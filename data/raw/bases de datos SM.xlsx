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lidiarubio/Downloads/"/>
    </mc:Choice>
  </mc:AlternateContent>
  <xr:revisionPtr revIDLastSave="0" documentId="13_ncr:1_{36D80B03-38E4-454C-B48E-50F7C07CC7EF}" xr6:coauthVersionLast="47" xr6:coauthVersionMax="47" xr10:uidLastSave="{00000000-0000-0000-0000-000000000000}"/>
  <bookViews>
    <workbookView xWindow="0" yWindow="500" windowWidth="28800" windowHeight="16280" activeTab="3" xr2:uid="{00000000-000D-0000-FFFF-FFFF00000000}"/>
  </bookViews>
  <sheets>
    <sheet name="1er proyecto" sheetId="1" r:id="rId1"/>
    <sheet name="casos proyecto 1" sheetId="2" r:id="rId2"/>
    <sheet name="controles 1" sheetId="3" r:id="rId3"/>
    <sheet name="proyecto 2" sheetId="4" r:id="rId4"/>
    <sheet name="Hoja1" sheetId="6" r:id="rId5"/>
    <sheet name="proyecto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46" i="4" l="1"/>
  <c r="AA446" i="4" s="1"/>
  <c r="O446" i="4"/>
  <c r="J446" i="4"/>
  <c r="Z445" i="4"/>
  <c r="AA445" i="4" s="1"/>
  <c r="O445" i="4"/>
  <c r="J445" i="4"/>
  <c r="Z444" i="4"/>
  <c r="AA444" i="4" s="1"/>
  <c r="O444" i="4"/>
  <c r="J444" i="4"/>
  <c r="Z443" i="4"/>
  <c r="AA443" i="4" s="1"/>
  <c r="O443" i="4"/>
  <c r="J443" i="4"/>
  <c r="Z442" i="4"/>
  <c r="AA442" i="4" s="1"/>
  <c r="O442" i="4"/>
  <c r="J442" i="4"/>
  <c r="Z441" i="4"/>
  <c r="AA441" i="4" s="1"/>
  <c r="O441" i="4"/>
  <c r="J441" i="4"/>
  <c r="Z440" i="4"/>
  <c r="AA440" i="4" s="1"/>
  <c r="O440" i="4"/>
  <c r="J440" i="4"/>
  <c r="Z439" i="4"/>
  <c r="AA439" i="4" s="1"/>
  <c r="O439" i="4"/>
  <c r="J439" i="4"/>
  <c r="Z438" i="4"/>
  <c r="AA438" i="4" s="1"/>
  <c r="O438" i="4"/>
  <c r="J438" i="4"/>
  <c r="AA437" i="4"/>
  <c r="Z437" i="4"/>
  <c r="O437" i="4"/>
  <c r="J437" i="4"/>
  <c r="Z436" i="4"/>
  <c r="AA436" i="4" s="1"/>
  <c r="O436" i="4"/>
  <c r="J436" i="4"/>
  <c r="Z435" i="4"/>
  <c r="AA435" i="4" s="1"/>
  <c r="O435" i="4"/>
  <c r="J435" i="4"/>
  <c r="Z434" i="4"/>
  <c r="AA434" i="4" s="1"/>
  <c r="O434" i="4"/>
  <c r="J434" i="4"/>
  <c r="Z433" i="4"/>
  <c r="AA433" i="4" s="1"/>
  <c r="O433" i="4"/>
  <c r="J433" i="4"/>
  <c r="Z432" i="4"/>
  <c r="AA432" i="4" s="1"/>
  <c r="O432" i="4"/>
  <c r="J432" i="4"/>
  <c r="Z431" i="4"/>
  <c r="AA431" i="4" s="1"/>
  <c r="O431" i="4"/>
  <c r="J431" i="4"/>
  <c r="Z430" i="4"/>
  <c r="AA430" i="4" s="1"/>
  <c r="O430" i="4"/>
  <c r="J430" i="4"/>
  <c r="AA429" i="4"/>
  <c r="Z429" i="4"/>
  <c r="O429" i="4"/>
  <c r="J429" i="4"/>
  <c r="Z428" i="4"/>
  <c r="AA428" i="4" s="1"/>
  <c r="O428" i="4"/>
  <c r="J428" i="4"/>
  <c r="Z427" i="4"/>
  <c r="AA427" i="4" s="1"/>
  <c r="O427" i="4"/>
  <c r="J427" i="4"/>
  <c r="Z426" i="4"/>
  <c r="AA426" i="4" s="1"/>
  <c r="O426" i="4"/>
  <c r="J426" i="4"/>
  <c r="Z425" i="4"/>
  <c r="AA425" i="4" s="1"/>
  <c r="O425" i="4"/>
  <c r="J425" i="4"/>
  <c r="Z424" i="4"/>
  <c r="AA424" i="4" s="1"/>
  <c r="O424" i="4"/>
  <c r="J424" i="4"/>
  <c r="Z423" i="4"/>
  <c r="AA423" i="4" s="1"/>
  <c r="O423" i="4"/>
  <c r="J423" i="4"/>
  <c r="Z422" i="4"/>
  <c r="AA422" i="4" s="1"/>
  <c r="O422" i="4"/>
  <c r="J422" i="4"/>
  <c r="AA421" i="4"/>
  <c r="Z421" i="4"/>
  <c r="O421" i="4"/>
  <c r="J421" i="4"/>
  <c r="Z420" i="4"/>
  <c r="AA420" i="4" s="1"/>
  <c r="O420" i="4"/>
  <c r="J420" i="4"/>
  <c r="AA419" i="4"/>
  <c r="Z419" i="4"/>
  <c r="O419" i="4"/>
  <c r="J419" i="4"/>
  <c r="Z418" i="4"/>
  <c r="AA418" i="4" s="1"/>
  <c r="O418" i="4"/>
  <c r="J418" i="4"/>
  <c r="Z417" i="4"/>
  <c r="AA417" i="4" s="1"/>
  <c r="O417" i="4"/>
  <c r="J417" i="4"/>
  <c r="Z416" i="4"/>
  <c r="AA416" i="4" s="1"/>
  <c r="O416" i="4"/>
  <c r="J416" i="4"/>
  <c r="Z415" i="4"/>
  <c r="AA415" i="4" s="1"/>
  <c r="O415" i="4"/>
  <c r="J415" i="4"/>
  <c r="Z414" i="4"/>
  <c r="AA414" i="4" s="1"/>
  <c r="O414" i="4"/>
  <c r="J414" i="4"/>
  <c r="Z413" i="4"/>
  <c r="AA413" i="4" s="1"/>
  <c r="O413" i="4"/>
  <c r="J413" i="4"/>
  <c r="Z412" i="4"/>
  <c r="AA412" i="4" s="1"/>
  <c r="O412" i="4"/>
  <c r="J412" i="4"/>
  <c r="Z411" i="4"/>
  <c r="AA411" i="4" s="1"/>
  <c r="O411" i="4"/>
  <c r="J411" i="4"/>
  <c r="Z410" i="4"/>
  <c r="AA410" i="4" s="1"/>
  <c r="O410" i="4"/>
  <c r="J410" i="4"/>
  <c r="Z409" i="4"/>
  <c r="AA409" i="4" s="1"/>
  <c r="O409" i="4"/>
  <c r="J409" i="4"/>
  <c r="Z408" i="4"/>
  <c r="AA408" i="4" s="1"/>
  <c r="O408" i="4"/>
  <c r="J408" i="4"/>
  <c r="Z407" i="4"/>
  <c r="AA407" i="4" s="1"/>
  <c r="O407" i="4"/>
  <c r="J407" i="4"/>
  <c r="Z406" i="4"/>
  <c r="AA406" i="4" s="1"/>
  <c r="O406" i="4"/>
  <c r="J406" i="4"/>
  <c r="AA405" i="4"/>
  <c r="Z405" i="4"/>
  <c r="O405" i="4"/>
  <c r="J405" i="4"/>
  <c r="Z404" i="4"/>
  <c r="AA404" i="4" s="1"/>
  <c r="O404" i="4"/>
  <c r="J404" i="4"/>
  <c r="Z403" i="4"/>
  <c r="AA403" i="4" s="1"/>
  <c r="O403" i="4"/>
  <c r="J403" i="4"/>
  <c r="Z402" i="4"/>
  <c r="AA402" i="4" s="1"/>
  <c r="O402" i="4"/>
  <c r="J402" i="4"/>
  <c r="Z401" i="4"/>
  <c r="AA401" i="4" s="1"/>
  <c r="O401" i="4"/>
  <c r="J401" i="4"/>
  <c r="Z400" i="4"/>
  <c r="AA400" i="4" s="1"/>
  <c r="O400" i="4"/>
  <c r="J400" i="4"/>
  <c r="Z399" i="4"/>
  <c r="AA399" i="4" s="1"/>
  <c r="O399" i="4"/>
  <c r="J399" i="4"/>
  <c r="Z398" i="4"/>
  <c r="AA398" i="4" s="1"/>
  <c r="O398" i="4"/>
  <c r="J398" i="4"/>
  <c r="AA397" i="4"/>
  <c r="Z397" i="4"/>
  <c r="O397" i="4"/>
  <c r="J397" i="4"/>
  <c r="Z396" i="4"/>
  <c r="AA396" i="4" s="1"/>
  <c r="O396" i="4"/>
  <c r="J396" i="4"/>
  <c r="Z395" i="4"/>
  <c r="AA395" i="4" s="1"/>
  <c r="O395" i="4"/>
  <c r="J395" i="4"/>
  <c r="Z394" i="4"/>
  <c r="AA394" i="4" s="1"/>
  <c r="O394" i="4"/>
  <c r="J394" i="4"/>
  <c r="AA393" i="4"/>
  <c r="Z393" i="4"/>
  <c r="O393" i="4"/>
  <c r="J393" i="4"/>
  <c r="Z392" i="4"/>
  <c r="AA392" i="4" s="1"/>
  <c r="O392" i="4"/>
  <c r="J392" i="4"/>
  <c r="Z391" i="4"/>
  <c r="AA391" i="4" s="1"/>
  <c r="O391" i="4"/>
  <c r="J391" i="4"/>
  <c r="Z390" i="4"/>
  <c r="AA390" i="4" s="1"/>
  <c r="O390" i="4"/>
  <c r="J390" i="4"/>
  <c r="AA389" i="4"/>
  <c r="Z389" i="4"/>
  <c r="O389" i="4"/>
  <c r="J389" i="4"/>
  <c r="Z388" i="4"/>
  <c r="AA388" i="4" s="1"/>
  <c r="O388" i="4"/>
  <c r="J388" i="4"/>
  <c r="Z387" i="4"/>
  <c r="AA387" i="4" s="1"/>
  <c r="O387" i="4"/>
  <c r="J387" i="4"/>
  <c r="Z386" i="4"/>
  <c r="AA386" i="4" s="1"/>
  <c r="O386" i="4"/>
  <c r="J386" i="4"/>
  <c r="Z385" i="4"/>
  <c r="AA385" i="4" s="1"/>
  <c r="O385" i="4"/>
  <c r="J385" i="4"/>
  <c r="Z384" i="4"/>
  <c r="AA384" i="4" s="1"/>
  <c r="O384" i="4"/>
  <c r="J384" i="4"/>
  <c r="Z383" i="4"/>
  <c r="AA383" i="4" s="1"/>
  <c r="O383" i="4"/>
  <c r="J383" i="4"/>
  <c r="Z382" i="4"/>
  <c r="AA382" i="4" s="1"/>
  <c r="O382" i="4"/>
  <c r="J382" i="4"/>
  <c r="Z381" i="4"/>
  <c r="AA381" i="4" s="1"/>
  <c r="O381" i="4"/>
  <c r="J381" i="4"/>
  <c r="Z380" i="4"/>
  <c r="AA380" i="4" s="1"/>
  <c r="O380" i="4"/>
  <c r="J380" i="4"/>
  <c r="AA379" i="4"/>
  <c r="Z379" i="4"/>
  <c r="O379" i="4"/>
  <c r="J379" i="4"/>
  <c r="Z378" i="4"/>
  <c r="AA378" i="4" s="1"/>
  <c r="O378" i="4"/>
  <c r="J378" i="4"/>
  <c r="Z377" i="4"/>
  <c r="AA377" i="4" s="1"/>
  <c r="O377" i="4"/>
  <c r="J377" i="4"/>
  <c r="Z376" i="4"/>
  <c r="AA376" i="4" s="1"/>
  <c r="O376" i="4"/>
  <c r="J376" i="4"/>
  <c r="Z375" i="4"/>
  <c r="AA375" i="4" s="1"/>
  <c r="O375" i="4"/>
  <c r="J375" i="4"/>
  <c r="Z374" i="4"/>
  <c r="AA374" i="4" s="1"/>
  <c r="O374" i="4"/>
  <c r="J374" i="4"/>
  <c r="AA373" i="4"/>
  <c r="Z373" i="4"/>
  <c r="O373" i="4"/>
  <c r="J373" i="4"/>
  <c r="Z372" i="4"/>
  <c r="AA372" i="4" s="1"/>
  <c r="O372" i="4"/>
  <c r="J372" i="4"/>
  <c r="Z371" i="4"/>
  <c r="AA371" i="4" s="1"/>
  <c r="O371" i="4"/>
  <c r="J371" i="4"/>
  <c r="Z370" i="4"/>
  <c r="AA370" i="4" s="1"/>
  <c r="O370" i="4"/>
  <c r="J370" i="4"/>
  <c r="Z369" i="4"/>
  <c r="AA369" i="4" s="1"/>
  <c r="O369" i="4"/>
  <c r="J369" i="4"/>
  <c r="Z368" i="4"/>
  <c r="AA368" i="4" s="1"/>
  <c r="O368" i="4"/>
  <c r="J368" i="4"/>
  <c r="Z367" i="4"/>
  <c r="AA367" i="4" s="1"/>
  <c r="O367" i="4"/>
  <c r="J367" i="4"/>
  <c r="Z366" i="4"/>
  <c r="AA366" i="4" s="1"/>
  <c r="O366" i="4"/>
  <c r="J366" i="4"/>
  <c r="Z365" i="4"/>
  <c r="AA365" i="4" s="1"/>
  <c r="O365" i="4"/>
  <c r="J365" i="4"/>
  <c r="Z364" i="4"/>
  <c r="AA364" i="4" s="1"/>
  <c r="O364" i="4"/>
  <c r="J364" i="4"/>
  <c r="AA363" i="4"/>
  <c r="Z363" i="4"/>
  <c r="O363" i="4"/>
  <c r="J363" i="4"/>
  <c r="Z362" i="4"/>
  <c r="AA362" i="4" s="1"/>
  <c r="O362" i="4"/>
  <c r="J362" i="4"/>
  <c r="AA361" i="4"/>
  <c r="Z361" i="4"/>
  <c r="O361" i="4"/>
  <c r="J361" i="4"/>
  <c r="Z360" i="4"/>
  <c r="AA360" i="4" s="1"/>
  <c r="O360" i="4"/>
  <c r="J360" i="4"/>
  <c r="Z359" i="4"/>
  <c r="AA359" i="4" s="1"/>
  <c r="O359" i="4"/>
  <c r="J359" i="4"/>
  <c r="Z358" i="4"/>
  <c r="AA358" i="4" s="1"/>
  <c r="O358" i="4"/>
  <c r="J358" i="4"/>
  <c r="Z357" i="4"/>
  <c r="AA357" i="4" s="1"/>
  <c r="O357" i="4"/>
  <c r="J357" i="4"/>
  <c r="Z356" i="4"/>
  <c r="AA356" i="4" s="1"/>
  <c r="O356" i="4"/>
  <c r="J356" i="4"/>
  <c r="Z355" i="4"/>
  <c r="AA355" i="4" s="1"/>
  <c r="O355" i="4"/>
  <c r="J355" i="4"/>
  <c r="Z354" i="4"/>
  <c r="AA354" i="4" s="1"/>
  <c r="O354" i="4"/>
  <c r="J354" i="4"/>
  <c r="Z353" i="4"/>
  <c r="AA353" i="4" s="1"/>
  <c r="O353" i="4"/>
  <c r="J353" i="4"/>
  <c r="Z352" i="4"/>
  <c r="AA352" i="4" s="1"/>
  <c r="O352" i="4"/>
  <c r="J352" i="4"/>
  <c r="Z351" i="4"/>
  <c r="AA351" i="4" s="1"/>
  <c r="O351" i="4"/>
  <c r="J351" i="4"/>
  <c r="Z350" i="4"/>
  <c r="AA350" i="4" s="1"/>
  <c r="O350" i="4"/>
  <c r="J350" i="4"/>
  <c r="Z349" i="4"/>
  <c r="AA349" i="4" s="1"/>
  <c r="O349" i="4"/>
  <c r="J349" i="4"/>
  <c r="Z348" i="4"/>
  <c r="AA348" i="4" s="1"/>
  <c r="O348" i="4"/>
  <c r="J348" i="4"/>
  <c r="AA347" i="4"/>
  <c r="Z347" i="4"/>
  <c r="O347" i="4"/>
  <c r="J347" i="4"/>
  <c r="Z346" i="4"/>
  <c r="AA346" i="4" s="1"/>
  <c r="O346" i="4"/>
  <c r="J346" i="4"/>
  <c r="Z345" i="4"/>
  <c r="AA345" i="4" s="1"/>
  <c r="O345" i="4"/>
  <c r="J345" i="4"/>
  <c r="Z344" i="4"/>
  <c r="AA344" i="4" s="1"/>
  <c r="O344" i="4"/>
  <c r="J344" i="4"/>
  <c r="Z343" i="4"/>
  <c r="AA343" i="4" s="1"/>
  <c r="O343" i="4"/>
  <c r="J343" i="4"/>
  <c r="Z342" i="4"/>
  <c r="AA342" i="4" s="1"/>
  <c r="O342" i="4"/>
  <c r="J342" i="4"/>
  <c r="Z341" i="4"/>
  <c r="AA341" i="4" s="1"/>
  <c r="O341" i="4"/>
  <c r="J341" i="4"/>
  <c r="Z340" i="4"/>
  <c r="AA340" i="4" s="1"/>
  <c r="O340" i="4"/>
  <c r="J340" i="4"/>
  <c r="AA339" i="4"/>
  <c r="Z339" i="4"/>
  <c r="O339" i="4"/>
  <c r="J339" i="4"/>
  <c r="Z338" i="4"/>
  <c r="AA338" i="4" s="1"/>
  <c r="O338" i="4"/>
  <c r="J338" i="4"/>
  <c r="Z337" i="4"/>
  <c r="AA337" i="4" s="1"/>
  <c r="O337" i="4"/>
  <c r="J337" i="4"/>
  <c r="Z336" i="4"/>
  <c r="AA336" i="4" s="1"/>
  <c r="O336" i="4"/>
  <c r="J336" i="4"/>
  <c r="Z335" i="4"/>
  <c r="AA335" i="4" s="1"/>
  <c r="O335" i="4"/>
  <c r="J335" i="4"/>
  <c r="Z334" i="4"/>
  <c r="AA334" i="4" s="1"/>
  <c r="O334" i="4"/>
  <c r="J334" i="4"/>
  <c r="Z333" i="4"/>
  <c r="AA333" i="4" s="1"/>
  <c r="O333" i="4"/>
  <c r="J333" i="4"/>
  <c r="Z332" i="4"/>
  <c r="AA332" i="4" s="1"/>
  <c r="O332" i="4"/>
  <c r="J332" i="4"/>
  <c r="Z331" i="4"/>
  <c r="AA331" i="4" s="1"/>
  <c r="O331" i="4"/>
  <c r="J331" i="4"/>
  <c r="Z330" i="4"/>
  <c r="AA330" i="4" s="1"/>
  <c r="O330" i="4"/>
  <c r="J330" i="4"/>
  <c r="Z329" i="4"/>
  <c r="AA329" i="4" s="1"/>
  <c r="O329" i="4"/>
  <c r="J329" i="4"/>
  <c r="Z328" i="4"/>
  <c r="AA328" i="4" s="1"/>
  <c r="O328" i="4"/>
  <c r="J328" i="4"/>
  <c r="Z327" i="4"/>
  <c r="AA327" i="4" s="1"/>
  <c r="O327" i="4"/>
  <c r="J327" i="4"/>
  <c r="Z326" i="4"/>
  <c r="AA326" i="4" s="1"/>
  <c r="O326" i="4"/>
  <c r="J326" i="4"/>
  <c r="Z325" i="4"/>
  <c r="AA325" i="4" s="1"/>
  <c r="O325" i="4"/>
  <c r="J325" i="4"/>
  <c r="Z324" i="4"/>
  <c r="AA324" i="4" s="1"/>
  <c r="O324" i="4"/>
  <c r="J324" i="4"/>
  <c r="Z323" i="4"/>
  <c r="AA323" i="4" s="1"/>
  <c r="O323" i="4"/>
  <c r="J323" i="4"/>
  <c r="Z322" i="4"/>
  <c r="AA322" i="4" s="1"/>
  <c r="O322" i="4"/>
  <c r="J322" i="4"/>
  <c r="Z321" i="4"/>
  <c r="AA321" i="4" s="1"/>
  <c r="O321" i="4"/>
  <c r="J321" i="4"/>
  <c r="Z320" i="4"/>
  <c r="AA320" i="4" s="1"/>
  <c r="O320" i="4"/>
  <c r="J320" i="4"/>
  <c r="Z319" i="4"/>
  <c r="AA319" i="4" s="1"/>
  <c r="O319" i="4"/>
  <c r="J319" i="4"/>
  <c r="Z318" i="4"/>
  <c r="AA318" i="4" s="1"/>
  <c r="O318" i="4"/>
  <c r="J318" i="4"/>
  <c r="AA317" i="4"/>
  <c r="Z317" i="4"/>
  <c r="O317" i="4"/>
  <c r="J317" i="4"/>
  <c r="Z316" i="4"/>
  <c r="AA316" i="4" s="1"/>
  <c r="O316" i="4"/>
  <c r="J316" i="4"/>
  <c r="Z315" i="4"/>
  <c r="AA315" i="4" s="1"/>
  <c r="O315" i="4"/>
  <c r="J315" i="4"/>
  <c r="Z314" i="4"/>
  <c r="AA314" i="4" s="1"/>
  <c r="O314" i="4"/>
  <c r="J314" i="4"/>
  <c r="AA313" i="4"/>
  <c r="Z313" i="4"/>
  <c r="O313" i="4"/>
  <c r="J313" i="4"/>
  <c r="Z312" i="4"/>
  <c r="AA312" i="4" s="1"/>
  <c r="O312" i="4"/>
  <c r="J312" i="4"/>
  <c r="Z311" i="4"/>
  <c r="AA311" i="4" s="1"/>
  <c r="O311" i="4"/>
  <c r="J311" i="4"/>
  <c r="Z310" i="4"/>
  <c r="AA310" i="4" s="1"/>
  <c r="O310" i="4"/>
  <c r="J310" i="4"/>
  <c r="Z309" i="4"/>
  <c r="AA309" i="4" s="1"/>
  <c r="O309" i="4"/>
  <c r="J309" i="4"/>
  <c r="Z308" i="4"/>
  <c r="AA308" i="4" s="1"/>
  <c r="O308" i="4"/>
  <c r="J308" i="4"/>
  <c r="Z307" i="4"/>
  <c r="AA307" i="4" s="1"/>
  <c r="O307" i="4"/>
  <c r="J307" i="4"/>
  <c r="Z306" i="4"/>
  <c r="AA306" i="4" s="1"/>
  <c r="O306" i="4"/>
  <c r="J306" i="4"/>
  <c r="Z305" i="4"/>
  <c r="AA305" i="4" s="1"/>
  <c r="O305" i="4"/>
  <c r="J305" i="4"/>
  <c r="Z304" i="4"/>
  <c r="AA304" i="4" s="1"/>
  <c r="O304" i="4"/>
  <c r="J304" i="4"/>
  <c r="Z303" i="4"/>
  <c r="AA303" i="4" s="1"/>
  <c r="O303" i="4"/>
  <c r="J303" i="4"/>
  <c r="Z302" i="4"/>
  <c r="AA302" i="4" s="1"/>
  <c r="O302" i="4"/>
  <c r="J302" i="4"/>
  <c r="Z301" i="4"/>
  <c r="AA301" i="4" s="1"/>
  <c r="O301" i="4"/>
  <c r="J301" i="4"/>
  <c r="Z300" i="4"/>
  <c r="AA300" i="4" s="1"/>
  <c r="O300" i="4"/>
  <c r="J300" i="4"/>
  <c r="Z299" i="4"/>
  <c r="AA299" i="4" s="1"/>
  <c r="O299" i="4"/>
  <c r="J299" i="4"/>
  <c r="Z298" i="4"/>
  <c r="AA298" i="4" s="1"/>
  <c r="O298" i="4"/>
  <c r="J298" i="4"/>
  <c r="Z297" i="4"/>
  <c r="AA297" i="4" s="1"/>
  <c r="O297" i="4"/>
  <c r="J297" i="4"/>
  <c r="Z296" i="4"/>
  <c r="AA296" i="4" s="1"/>
  <c r="O296" i="4"/>
  <c r="J296" i="4"/>
  <c r="Z295" i="4"/>
  <c r="AA295" i="4" s="1"/>
  <c r="O295" i="4"/>
  <c r="J295" i="4"/>
  <c r="Z294" i="4"/>
  <c r="AA294" i="4" s="1"/>
  <c r="O294" i="4"/>
  <c r="J294" i="4"/>
  <c r="Z293" i="4"/>
  <c r="AA293" i="4" s="1"/>
  <c r="O293" i="4"/>
  <c r="J293" i="4"/>
  <c r="Z292" i="4"/>
  <c r="AA292" i="4" s="1"/>
  <c r="O292" i="4"/>
  <c r="J292" i="4"/>
  <c r="AA291" i="4"/>
  <c r="Z291" i="4"/>
  <c r="O291" i="4"/>
  <c r="J291" i="4"/>
  <c r="Z290" i="4"/>
  <c r="AA290" i="4" s="1"/>
  <c r="O290" i="4"/>
  <c r="J290" i="4"/>
  <c r="Z289" i="4"/>
  <c r="AA289" i="4" s="1"/>
  <c r="O289" i="4"/>
  <c r="J289" i="4"/>
  <c r="Z288" i="4"/>
  <c r="AA288" i="4" s="1"/>
  <c r="O288" i="4"/>
  <c r="J288" i="4"/>
  <c r="AA287" i="4"/>
  <c r="Z287" i="4"/>
  <c r="O287" i="4"/>
  <c r="J287" i="4"/>
  <c r="Z286" i="4"/>
  <c r="AA286" i="4" s="1"/>
  <c r="O286" i="4"/>
  <c r="J286" i="4"/>
  <c r="Z285" i="4"/>
  <c r="AA285" i="4" s="1"/>
  <c r="O285" i="4"/>
  <c r="J285" i="4"/>
  <c r="Z284" i="4"/>
  <c r="AA284" i="4" s="1"/>
  <c r="O284" i="4"/>
  <c r="J284" i="4"/>
  <c r="AA283" i="4"/>
  <c r="Z283" i="4"/>
  <c r="O283" i="4"/>
  <c r="J283" i="4"/>
  <c r="Z282" i="4"/>
  <c r="AA282" i="4" s="1"/>
  <c r="O282" i="4"/>
  <c r="J282" i="4"/>
  <c r="Z281" i="4"/>
  <c r="AA281" i="4" s="1"/>
  <c r="O281" i="4"/>
  <c r="J281" i="4"/>
  <c r="Z280" i="4"/>
  <c r="AA280" i="4" s="1"/>
  <c r="O280" i="4"/>
  <c r="J280" i="4"/>
  <c r="Z279" i="4"/>
  <c r="AA279" i="4" s="1"/>
  <c r="O279" i="4"/>
  <c r="J279" i="4"/>
  <c r="Z278" i="4"/>
  <c r="AA278" i="4" s="1"/>
  <c r="O278" i="4"/>
  <c r="J278" i="4"/>
  <c r="Z277" i="4"/>
  <c r="AA277" i="4" s="1"/>
  <c r="O277" i="4"/>
  <c r="J277" i="4"/>
  <c r="Z276" i="4"/>
  <c r="AA276" i="4" s="1"/>
  <c r="O276" i="4"/>
  <c r="J276" i="4"/>
  <c r="Z275" i="4"/>
  <c r="AA275" i="4" s="1"/>
  <c r="O275" i="4"/>
  <c r="J275" i="4"/>
  <c r="Z274" i="4"/>
  <c r="AA274" i="4" s="1"/>
  <c r="O274" i="4"/>
  <c r="J274" i="4"/>
  <c r="Z273" i="4"/>
  <c r="AA273" i="4" s="1"/>
  <c r="O273" i="4"/>
  <c r="J273" i="4"/>
  <c r="Z272" i="4"/>
  <c r="AA272" i="4" s="1"/>
  <c r="O272" i="4"/>
  <c r="J272" i="4"/>
  <c r="Z271" i="4"/>
  <c r="AA271" i="4" s="1"/>
  <c r="O271" i="4"/>
  <c r="J271" i="4"/>
  <c r="Z270" i="4"/>
  <c r="AA270" i="4" s="1"/>
  <c r="O270" i="4"/>
  <c r="J270" i="4"/>
  <c r="Z269" i="4"/>
  <c r="AA269" i="4" s="1"/>
  <c r="O269" i="4"/>
  <c r="J269" i="4"/>
  <c r="Z268" i="4"/>
  <c r="AA268" i="4" s="1"/>
  <c r="O268" i="4"/>
  <c r="J268" i="4"/>
  <c r="Z267" i="4"/>
  <c r="AA267" i="4" s="1"/>
  <c r="O267" i="4"/>
  <c r="J267" i="4"/>
  <c r="Z266" i="4"/>
  <c r="AA266" i="4" s="1"/>
  <c r="O266" i="4"/>
  <c r="J266" i="4"/>
  <c r="Z265" i="4"/>
  <c r="AA265" i="4" s="1"/>
  <c r="O265" i="4"/>
  <c r="J265" i="4"/>
  <c r="Z264" i="4"/>
  <c r="AA264" i="4" s="1"/>
  <c r="O264" i="4"/>
  <c r="J264" i="4"/>
  <c r="AA263" i="4"/>
  <c r="Z263" i="4"/>
  <c r="O263" i="4"/>
  <c r="J263" i="4"/>
  <c r="Z262" i="4"/>
  <c r="AA262" i="4" s="1"/>
  <c r="O262" i="4"/>
  <c r="J262" i="4"/>
  <c r="AA261" i="4"/>
  <c r="Z261" i="4"/>
  <c r="O261" i="4"/>
  <c r="J261" i="4"/>
  <c r="Z260" i="4"/>
  <c r="AA260" i="4" s="1"/>
  <c r="O260" i="4"/>
  <c r="J260" i="4"/>
  <c r="Z259" i="4"/>
  <c r="AA259" i="4" s="1"/>
  <c r="O259" i="4"/>
  <c r="J259" i="4"/>
  <c r="Z258" i="4"/>
  <c r="AA258" i="4" s="1"/>
  <c r="O258" i="4"/>
  <c r="J258" i="4"/>
  <c r="AA257" i="4"/>
  <c r="Z257" i="4"/>
  <c r="O257" i="4"/>
  <c r="J257" i="4"/>
  <c r="Z256" i="4"/>
  <c r="AA256" i="4" s="1"/>
  <c r="O256" i="4"/>
  <c r="J256" i="4"/>
  <c r="Z255" i="4"/>
  <c r="AA255" i="4" s="1"/>
  <c r="O255" i="4"/>
  <c r="J255" i="4"/>
  <c r="Z254" i="4"/>
  <c r="AA254" i="4" s="1"/>
  <c r="O254" i="4"/>
  <c r="J254" i="4"/>
  <c r="Z253" i="4"/>
  <c r="AA253" i="4" s="1"/>
  <c r="O253" i="4"/>
  <c r="J253" i="4"/>
  <c r="Z252" i="4"/>
  <c r="AA252" i="4" s="1"/>
  <c r="O252" i="4"/>
  <c r="J252" i="4"/>
  <c r="Z251" i="4"/>
  <c r="AA251" i="4" s="1"/>
  <c r="O251" i="4"/>
  <c r="J251" i="4"/>
  <c r="Z250" i="4"/>
  <c r="AA250" i="4" s="1"/>
  <c r="O250" i="4"/>
  <c r="J250" i="4"/>
  <c r="Z249" i="4"/>
  <c r="AA249" i="4" s="1"/>
  <c r="O249" i="4"/>
  <c r="J249" i="4"/>
  <c r="Z248" i="4"/>
  <c r="AA248" i="4" s="1"/>
  <c r="O248" i="4"/>
  <c r="J248" i="4"/>
  <c r="Z247" i="4"/>
  <c r="AA247" i="4" s="1"/>
  <c r="O247" i="4"/>
  <c r="J247" i="4"/>
  <c r="Z246" i="4"/>
  <c r="AA246" i="4" s="1"/>
  <c r="O246" i="4"/>
  <c r="J246" i="4"/>
  <c r="Z245" i="4"/>
  <c r="AA245" i="4" s="1"/>
  <c r="O245" i="4"/>
  <c r="J245" i="4"/>
  <c r="Z244" i="4"/>
  <c r="AA244" i="4" s="1"/>
  <c r="O244" i="4"/>
  <c r="J244" i="4"/>
  <c r="Z243" i="4"/>
  <c r="AA243" i="4" s="1"/>
  <c r="O243" i="4"/>
  <c r="J243" i="4"/>
  <c r="Z242" i="4"/>
  <c r="AA242" i="4" s="1"/>
  <c r="O242" i="4"/>
  <c r="J242" i="4"/>
  <c r="Z241" i="4"/>
  <c r="AA241" i="4" s="1"/>
  <c r="O241" i="4"/>
  <c r="J241" i="4"/>
  <c r="Z240" i="4"/>
  <c r="AA240" i="4" s="1"/>
  <c r="O240" i="4"/>
  <c r="J240" i="4"/>
  <c r="Z239" i="4"/>
  <c r="AA239" i="4" s="1"/>
  <c r="O239" i="4"/>
  <c r="J239" i="4"/>
  <c r="Z238" i="4"/>
  <c r="AA238" i="4" s="1"/>
  <c r="O238" i="4"/>
  <c r="J238" i="4"/>
  <c r="Z237" i="4"/>
  <c r="AA237" i="4" s="1"/>
  <c r="O237" i="4"/>
  <c r="J237" i="4"/>
  <c r="Z236" i="4"/>
  <c r="AA236" i="4" s="1"/>
  <c r="O236" i="4"/>
  <c r="J236" i="4"/>
  <c r="Z235" i="4"/>
  <c r="AA235" i="4" s="1"/>
  <c r="O235" i="4"/>
  <c r="J235" i="4"/>
  <c r="Z234" i="4"/>
  <c r="AA234" i="4" s="1"/>
  <c r="O234" i="4"/>
  <c r="J234" i="4"/>
  <c r="Z233" i="4"/>
  <c r="AA233" i="4" s="1"/>
  <c r="O233" i="4"/>
  <c r="J233" i="4"/>
  <c r="Z232" i="4"/>
  <c r="AA232" i="4" s="1"/>
  <c r="O232" i="4"/>
  <c r="J232" i="4"/>
  <c r="Z231" i="4"/>
  <c r="AA231" i="4" s="1"/>
  <c r="O231" i="4"/>
  <c r="J231" i="4"/>
  <c r="Z230" i="4"/>
  <c r="AA230" i="4" s="1"/>
  <c r="O230" i="4"/>
  <c r="J230" i="4"/>
  <c r="Z229" i="4"/>
  <c r="AA229" i="4" s="1"/>
  <c r="O229" i="4"/>
  <c r="J229" i="4"/>
  <c r="Z228" i="4"/>
  <c r="AA228" i="4" s="1"/>
  <c r="O228" i="4"/>
  <c r="J228" i="4"/>
  <c r="Z227" i="4"/>
  <c r="AA227" i="4" s="1"/>
  <c r="O227" i="4"/>
  <c r="J227" i="4"/>
  <c r="Z226" i="4"/>
  <c r="AA226" i="4" s="1"/>
  <c r="O226" i="4"/>
  <c r="J226" i="4"/>
  <c r="AA225" i="4"/>
  <c r="Z225" i="4"/>
  <c r="O225" i="4"/>
  <c r="J225" i="4"/>
  <c r="Z224" i="4"/>
  <c r="AA224" i="4" s="1"/>
  <c r="O224" i="4"/>
  <c r="J224" i="4"/>
  <c r="Z223" i="4"/>
  <c r="AA223" i="4" s="1"/>
  <c r="O223" i="4"/>
  <c r="J223" i="4"/>
  <c r="Z222" i="4"/>
  <c r="AA222" i="4" s="1"/>
  <c r="O222" i="4"/>
  <c r="J222" i="4"/>
  <c r="AA221" i="4"/>
  <c r="Z221" i="4"/>
  <c r="O221" i="4"/>
  <c r="J221" i="4"/>
  <c r="Z220" i="4"/>
  <c r="AA220" i="4" s="1"/>
  <c r="O220" i="4"/>
  <c r="J220" i="4"/>
  <c r="AA219" i="4"/>
  <c r="Z219" i="4"/>
  <c r="O219" i="4"/>
  <c r="J219" i="4"/>
  <c r="Z218" i="4"/>
  <c r="AA218" i="4" s="1"/>
  <c r="O218" i="4"/>
  <c r="J218" i="4"/>
  <c r="Z217" i="4"/>
  <c r="AA217" i="4" s="1"/>
  <c r="O217" i="4"/>
  <c r="J217" i="4"/>
  <c r="Z216" i="4"/>
  <c r="AA216" i="4" s="1"/>
  <c r="O216" i="4"/>
  <c r="J216" i="4"/>
  <c r="Z215" i="4"/>
  <c r="AA215" i="4" s="1"/>
  <c r="O215" i="4"/>
  <c r="J215" i="4"/>
  <c r="Z214" i="4"/>
  <c r="AA214" i="4" s="1"/>
  <c r="O214" i="4"/>
  <c r="J214" i="4"/>
  <c r="Z213" i="4"/>
  <c r="AA213" i="4" s="1"/>
  <c r="O213" i="4"/>
  <c r="J213" i="4"/>
  <c r="Z212" i="4"/>
  <c r="AA212" i="4" s="1"/>
  <c r="O212" i="4"/>
  <c r="J212" i="4"/>
  <c r="Z211" i="4"/>
  <c r="AA211" i="4" s="1"/>
  <c r="O211" i="4"/>
  <c r="J211" i="4"/>
  <c r="Z210" i="4"/>
  <c r="AA210" i="4" s="1"/>
  <c r="O210" i="4"/>
  <c r="J210" i="4"/>
  <c r="Z209" i="4"/>
  <c r="AA209" i="4" s="1"/>
  <c r="O209" i="4"/>
  <c r="J209" i="4"/>
  <c r="Z208" i="4"/>
  <c r="AA208" i="4" s="1"/>
  <c r="O208" i="4"/>
  <c r="J208" i="4"/>
  <c r="Z207" i="4"/>
  <c r="AA207" i="4" s="1"/>
  <c r="O207" i="4"/>
  <c r="J207" i="4"/>
  <c r="Z206" i="4"/>
  <c r="AA206" i="4" s="1"/>
  <c r="O206" i="4"/>
  <c r="J206" i="4"/>
  <c r="Z205" i="4"/>
  <c r="AA205" i="4" s="1"/>
  <c r="O205" i="4"/>
  <c r="J205" i="4"/>
  <c r="Z204" i="4"/>
  <c r="AA204" i="4" s="1"/>
  <c r="O204" i="4"/>
  <c r="J204" i="4"/>
  <c r="Z203" i="4"/>
  <c r="AA203" i="4" s="1"/>
  <c r="O203" i="4"/>
  <c r="J203" i="4"/>
  <c r="Z202" i="4"/>
  <c r="AA202" i="4" s="1"/>
  <c r="O202" i="4"/>
  <c r="J202" i="4"/>
  <c r="Z201" i="4"/>
  <c r="AA201" i="4" s="1"/>
  <c r="O201" i="4"/>
  <c r="J201" i="4"/>
  <c r="Z200" i="4"/>
  <c r="AA200" i="4" s="1"/>
  <c r="O200" i="4"/>
  <c r="J200" i="4"/>
  <c r="Z199" i="4"/>
  <c r="AA199" i="4" s="1"/>
  <c r="O199" i="4"/>
  <c r="J199" i="4"/>
  <c r="Z198" i="4"/>
  <c r="AA198" i="4" s="1"/>
  <c r="O198" i="4"/>
  <c r="J198" i="4"/>
  <c r="Z197" i="4"/>
  <c r="AA197" i="4" s="1"/>
  <c r="O197" i="4"/>
  <c r="J197" i="4"/>
  <c r="Z196" i="4"/>
  <c r="AA196" i="4" s="1"/>
  <c r="O196" i="4"/>
  <c r="J196" i="4"/>
  <c r="Z195" i="4"/>
  <c r="AA195" i="4" s="1"/>
  <c r="O195" i="4"/>
  <c r="J195" i="4"/>
  <c r="Z194" i="4"/>
  <c r="AA194" i="4" s="1"/>
  <c r="O194" i="4"/>
  <c r="J194" i="4"/>
  <c r="Z193" i="4"/>
  <c r="AA193" i="4" s="1"/>
  <c r="O193" i="4"/>
  <c r="J193" i="4"/>
  <c r="Z192" i="4"/>
  <c r="AA192" i="4" s="1"/>
  <c r="O192" i="4"/>
  <c r="J192" i="4"/>
  <c r="Z191" i="4"/>
  <c r="AA191" i="4" s="1"/>
  <c r="O191" i="4"/>
  <c r="J191" i="4"/>
  <c r="Z190" i="4"/>
  <c r="AA190" i="4" s="1"/>
  <c r="O190" i="4"/>
  <c r="J190" i="4"/>
  <c r="Z189" i="4"/>
  <c r="AA189" i="4" s="1"/>
  <c r="O189" i="4"/>
  <c r="J189" i="4"/>
  <c r="Z188" i="4"/>
  <c r="AA188" i="4" s="1"/>
  <c r="O188" i="4"/>
  <c r="J188" i="4"/>
  <c r="Z187" i="4"/>
  <c r="AA187" i="4" s="1"/>
  <c r="O187" i="4"/>
  <c r="J187" i="4"/>
  <c r="Z186" i="4"/>
  <c r="AA186" i="4" s="1"/>
  <c r="O186" i="4"/>
  <c r="J186" i="4"/>
  <c r="AA185" i="4"/>
  <c r="Z185" i="4"/>
  <c r="O185" i="4"/>
  <c r="J185" i="4"/>
  <c r="Z184" i="4"/>
  <c r="AA184" i="4" s="1"/>
  <c r="O184" i="4"/>
  <c r="J184" i="4"/>
  <c r="Z183" i="4"/>
  <c r="AA183" i="4" s="1"/>
  <c r="O183" i="4"/>
  <c r="J183" i="4"/>
  <c r="Z182" i="4"/>
  <c r="AA182" i="4" s="1"/>
  <c r="O182" i="4"/>
  <c r="J182" i="4"/>
  <c r="AA181" i="4"/>
  <c r="Z181" i="4"/>
  <c r="O181" i="4"/>
  <c r="J181" i="4"/>
  <c r="Z180" i="4"/>
  <c r="AA180" i="4" s="1"/>
  <c r="O180" i="4"/>
  <c r="J180" i="4"/>
  <c r="Z179" i="4"/>
  <c r="AA179" i="4" s="1"/>
  <c r="O179" i="4"/>
  <c r="J179" i="4"/>
  <c r="Z178" i="4"/>
  <c r="AA178" i="4" s="1"/>
  <c r="O178" i="4"/>
  <c r="J178" i="4"/>
  <c r="Z177" i="4"/>
  <c r="AA177" i="4" s="1"/>
  <c r="O177" i="4"/>
  <c r="J177" i="4"/>
  <c r="Z176" i="4"/>
  <c r="AA176" i="4" s="1"/>
  <c r="O176" i="4"/>
  <c r="J176" i="4"/>
  <c r="Z175" i="4"/>
  <c r="AA175" i="4" s="1"/>
  <c r="O175" i="4"/>
  <c r="J175" i="4"/>
  <c r="Z174" i="4"/>
  <c r="AA174" i="4" s="1"/>
  <c r="O174" i="4"/>
  <c r="J174" i="4"/>
  <c r="Z173" i="4"/>
  <c r="AA173" i="4" s="1"/>
  <c r="O173" i="4"/>
  <c r="J173" i="4"/>
  <c r="Z172" i="4"/>
  <c r="AA172" i="4" s="1"/>
  <c r="O172" i="4"/>
  <c r="J172" i="4"/>
  <c r="AA171" i="4"/>
  <c r="Z171" i="4"/>
  <c r="O171" i="4"/>
  <c r="J171" i="4"/>
  <c r="Z170" i="4"/>
  <c r="AA170" i="4" s="1"/>
  <c r="O170" i="4"/>
  <c r="J170" i="4"/>
  <c r="Z169" i="4"/>
  <c r="AA169" i="4" s="1"/>
  <c r="O169" i="4"/>
  <c r="J169" i="4"/>
  <c r="Z168" i="4"/>
  <c r="AA168" i="4" s="1"/>
  <c r="O168" i="4"/>
  <c r="J168" i="4"/>
  <c r="AA167" i="4"/>
  <c r="Z167" i="4"/>
  <c r="O167" i="4"/>
  <c r="J167" i="4"/>
  <c r="Z166" i="4"/>
  <c r="AA166" i="4" s="1"/>
  <c r="O166" i="4"/>
  <c r="J166" i="4"/>
  <c r="Z165" i="4"/>
  <c r="AA165" i="4" s="1"/>
  <c r="O165" i="4"/>
  <c r="J165" i="4"/>
  <c r="Z164" i="4"/>
  <c r="AA164" i="4" s="1"/>
  <c r="O164" i="4"/>
  <c r="J164" i="4"/>
  <c r="Z163" i="4"/>
  <c r="AA163" i="4" s="1"/>
  <c r="O163" i="4"/>
  <c r="J163" i="4"/>
  <c r="Z162" i="4"/>
  <c r="AA162" i="4" s="1"/>
  <c r="O162" i="4"/>
  <c r="J162" i="4"/>
  <c r="Z161" i="4"/>
  <c r="AA161" i="4" s="1"/>
  <c r="O161" i="4"/>
  <c r="J161" i="4"/>
  <c r="Z160" i="4"/>
  <c r="AA160" i="4" s="1"/>
  <c r="O160" i="4"/>
  <c r="J160" i="4"/>
  <c r="Z159" i="4"/>
  <c r="AA159" i="4" s="1"/>
  <c r="O159" i="4"/>
  <c r="J159" i="4"/>
  <c r="Z158" i="4"/>
  <c r="AA158" i="4" s="1"/>
  <c r="O158" i="4"/>
  <c r="J158" i="4"/>
  <c r="AA157" i="4"/>
  <c r="Z157" i="4"/>
  <c r="O157" i="4"/>
  <c r="J157" i="4"/>
  <c r="Z156" i="4"/>
  <c r="AA156" i="4" s="1"/>
  <c r="O156" i="4"/>
  <c r="J156" i="4"/>
  <c r="AA155" i="4"/>
  <c r="Z155" i="4"/>
  <c r="O155" i="4"/>
  <c r="J155" i="4"/>
  <c r="Z154" i="4"/>
  <c r="AA154" i="4" s="1"/>
  <c r="O154" i="4"/>
  <c r="J154" i="4"/>
  <c r="Z153" i="4"/>
  <c r="AA153" i="4" s="1"/>
  <c r="O153" i="4"/>
  <c r="J153" i="4"/>
  <c r="Z152" i="4"/>
  <c r="AA152" i="4" s="1"/>
  <c r="O152" i="4"/>
  <c r="J152" i="4"/>
  <c r="AA151" i="4"/>
  <c r="Z151" i="4"/>
  <c r="O151" i="4"/>
  <c r="J151" i="4"/>
  <c r="Z150" i="4"/>
  <c r="AA150" i="4" s="1"/>
  <c r="O150" i="4"/>
  <c r="J150" i="4"/>
  <c r="Z149" i="4"/>
  <c r="AA149" i="4" s="1"/>
  <c r="O149" i="4"/>
  <c r="J149" i="4"/>
  <c r="Z148" i="4"/>
  <c r="AA148" i="4" s="1"/>
  <c r="O148" i="4"/>
  <c r="J148" i="4"/>
  <c r="Z147" i="4"/>
  <c r="AA147" i="4" s="1"/>
  <c r="O147" i="4"/>
  <c r="J147" i="4"/>
  <c r="Z146" i="4"/>
  <c r="AA146" i="4" s="1"/>
  <c r="O146" i="4"/>
  <c r="J146" i="4"/>
  <c r="AA145" i="4"/>
  <c r="Z145" i="4"/>
  <c r="O145" i="4"/>
  <c r="J145" i="4"/>
  <c r="Z144" i="4"/>
  <c r="AA144" i="4" s="1"/>
  <c r="O144" i="4"/>
  <c r="J144" i="4"/>
  <c r="Z143" i="4"/>
  <c r="AA143" i="4" s="1"/>
  <c r="O143" i="4"/>
  <c r="J143" i="4"/>
  <c r="Z142" i="4"/>
  <c r="AA142" i="4" s="1"/>
  <c r="O142" i="4"/>
  <c r="J142" i="4"/>
  <c r="Z141" i="4"/>
  <c r="AA141" i="4" s="1"/>
  <c r="O141" i="4"/>
  <c r="J141" i="4"/>
  <c r="Z140" i="4"/>
  <c r="AA140" i="4" s="1"/>
  <c r="O140" i="4"/>
  <c r="J140" i="4"/>
  <c r="AA139" i="4"/>
  <c r="Z139" i="4"/>
  <c r="O139" i="4"/>
  <c r="J139" i="4"/>
  <c r="Z138" i="4"/>
  <c r="AA138" i="4" s="1"/>
  <c r="O138" i="4"/>
  <c r="J138" i="4"/>
  <c r="Z137" i="4"/>
  <c r="AA137" i="4" s="1"/>
  <c r="O137" i="4"/>
  <c r="J137" i="4"/>
  <c r="Z136" i="4"/>
  <c r="AA136" i="4" s="1"/>
  <c r="O136" i="4"/>
  <c r="J136" i="4"/>
  <c r="AA135" i="4"/>
  <c r="Z135" i="4"/>
  <c r="O135" i="4"/>
  <c r="J135" i="4"/>
  <c r="Z134" i="4"/>
  <c r="AA134" i="4" s="1"/>
  <c r="O134" i="4"/>
  <c r="J134" i="4"/>
  <c r="Z133" i="4"/>
  <c r="AA133" i="4" s="1"/>
  <c r="O133" i="4"/>
  <c r="J133" i="4"/>
  <c r="Z132" i="4"/>
  <c r="AA132" i="4" s="1"/>
  <c r="O132" i="4"/>
  <c r="J132" i="4"/>
  <c r="Z131" i="4"/>
  <c r="AA131" i="4" s="1"/>
  <c r="O131" i="4"/>
  <c r="J131" i="4"/>
  <c r="Z130" i="4"/>
  <c r="AA130" i="4" s="1"/>
  <c r="O130" i="4"/>
  <c r="J130" i="4"/>
  <c r="AA129" i="4"/>
  <c r="Z129" i="4"/>
  <c r="O129" i="4"/>
  <c r="J129" i="4"/>
  <c r="Z128" i="4"/>
  <c r="AA128" i="4" s="1"/>
  <c r="O128" i="4"/>
  <c r="J128" i="4"/>
  <c r="Z127" i="4"/>
  <c r="AA127" i="4" s="1"/>
  <c r="O127" i="4"/>
  <c r="J127" i="4"/>
  <c r="Z126" i="4"/>
  <c r="AA126" i="4" s="1"/>
  <c r="O126" i="4"/>
  <c r="J126" i="4"/>
  <c r="Z125" i="4"/>
  <c r="AA125" i="4" s="1"/>
  <c r="O125" i="4"/>
  <c r="J125" i="4"/>
  <c r="Z124" i="4"/>
  <c r="AA124" i="4" s="1"/>
  <c r="O124" i="4"/>
  <c r="J124" i="4"/>
  <c r="AA123" i="4"/>
  <c r="Z123" i="4"/>
  <c r="O123" i="4"/>
  <c r="J123" i="4"/>
  <c r="Z122" i="4"/>
  <c r="AA122" i="4" s="1"/>
  <c r="O122" i="4"/>
  <c r="J122" i="4"/>
  <c r="Z121" i="4"/>
  <c r="AA121" i="4" s="1"/>
  <c r="O121" i="4"/>
  <c r="J121" i="4"/>
  <c r="Z120" i="4"/>
  <c r="AA120" i="4" s="1"/>
  <c r="O120" i="4"/>
  <c r="J120" i="4"/>
  <c r="AA119" i="4"/>
  <c r="Z119" i="4"/>
  <c r="O119" i="4"/>
  <c r="J119" i="4"/>
  <c r="Z118" i="4"/>
  <c r="AA118" i="4" s="1"/>
  <c r="O118" i="4"/>
  <c r="J118" i="4"/>
  <c r="Z117" i="4"/>
  <c r="AA117" i="4" s="1"/>
  <c r="O117" i="4"/>
  <c r="J117" i="4"/>
  <c r="Z116" i="4"/>
  <c r="AA116" i="4" s="1"/>
  <c r="O116" i="4"/>
  <c r="J116" i="4"/>
  <c r="Z115" i="4"/>
  <c r="AA115" i="4" s="1"/>
  <c r="O115" i="4"/>
  <c r="J115" i="4"/>
  <c r="Z114" i="4"/>
  <c r="AA114" i="4" s="1"/>
  <c r="O114" i="4"/>
  <c r="J114" i="4"/>
  <c r="AA113" i="4"/>
  <c r="Z113" i="4"/>
  <c r="O113" i="4"/>
  <c r="J113" i="4"/>
  <c r="Z112" i="4"/>
  <c r="AA112" i="4" s="1"/>
  <c r="O112" i="4"/>
  <c r="J112" i="4"/>
  <c r="Z111" i="4"/>
  <c r="AA111" i="4" s="1"/>
  <c r="O111" i="4"/>
  <c r="J111" i="4"/>
  <c r="Z110" i="4"/>
  <c r="AA110" i="4" s="1"/>
  <c r="O110" i="4"/>
  <c r="J110" i="4"/>
  <c r="AA109" i="4"/>
  <c r="Z109" i="4"/>
  <c r="O109" i="4"/>
  <c r="J109" i="4"/>
  <c r="Z108" i="4"/>
  <c r="AA108" i="4" s="1"/>
  <c r="O108" i="4"/>
  <c r="J108" i="4"/>
  <c r="AA107" i="4"/>
  <c r="Z107" i="4"/>
  <c r="O107" i="4"/>
  <c r="J107" i="4"/>
  <c r="Z106" i="4"/>
  <c r="AA106" i="4" s="1"/>
  <c r="O106" i="4"/>
  <c r="J106" i="4"/>
  <c r="Z105" i="4"/>
  <c r="AA105" i="4" s="1"/>
  <c r="O105" i="4"/>
  <c r="J105" i="4"/>
  <c r="Z104" i="4"/>
  <c r="AA104" i="4" s="1"/>
  <c r="O104" i="4"/>
  <c r="J104" i="4"/>
  <c r="AA103" i="4"/>
  <c r="Z103" i="4"/>
  <c r="O103" i="4"/>
  <c r="J103" i="4"/>
  <c r="Z102" i="4"/>
  <c r="AA102" i="4" s="1"/>
  <c r="O102" i="4"/>
  <c r="J102" i="4"/>
  <c r="Z101" i="4"/>
  <c r="AA101" i="4" s="1"/>
  <c r="O101" i="4"/>
  <c r="J101" i="4"/>
  <c r="Z100" i="4"/>
  <c r="AA100" i="4" s="1"/>
  <c r="O100" i="4"/>
  <c r="J100" i="4"/>
  <c r="Z99" i="4"/>
  <c r="AA99" i="4" s="1"/>
  <c r="O99" i="4"/>
  <c r="J99" i="4"/>
  <c r="Z98" i="4"/>
  <c r="AA98" i="4" s="1"/>
  <c r="O98" i="4"/>
  <c r="J98" i="4"/>
  <c r="Z97" i="4"/>
  <c r="AA97" i="4" s="1"/>
  <c r="O97" i="4"/>
  <c r="J97" i="4"/>
  <c r="Z96" i="4"/>
  <c r="AA96" i="4" s="1"/>
  <c r="O96" i="4"/>
  <c r="J96" i="4"/>
  <c r="Z95" i="4"/>
  <c r="AA95" i="4" s="1"/>
  <c r="O95" i="4"/>
  <c r="J95" i="4"/>
  <c r="Z94" i="4"/>
  <c r="AA94" i="4" s="1"/>
  <c r="O94" i="4"/>
  <c r="J94" i="4"/>
  <c r="Z93" i="4"/>
  <c r="AA93" i="4" s="1"/>
  <c r="O93" i="4"/>
  <c r="J93" i="4"/>
  <c r="Z92" i="4"/>
  <c r="AA92" i="4" s="1"/>
  <c r="O92" i="4"/>
  <c r="J92" i="4"/>
  <c r="AA91" i="4"/>
  <c r="Z91" i="4"/>
  <c r="O91" i="4"/>
  <c r="J91" i="4"/>
  <c r="Z90" i="4"/>
  <c r="AA90" i="4" s="1"/>
  <c r="O90" i="4"/>
  <c r="J90" i="4"/>
  <c r="Z89" i="4"/>
  <c r="AA89" i="4" s="1"/>
  <c r="O89" i="4"/>
  <c r="J89" i="4"/>
  <c r="Z88" i="4"/>
  <c r="AA88" i="4" s="1"/>
  <c r="O88" i="4"/>
  <c r="J88" i="4"/>
  <c r="AA87" i="4"/>
  <c r="Z87" i="4"/>
  <c r="O87" i="4"/>
  <c r="J87" i="4"/>
  <c r="Z86" i="4"/>
  <c r="AA86" i="4" s="1"/>
  <c r="O86" i="4"/>
  <c r="J86" i="4"/>
  <c r="Z85" i="4"/>
  <c r="AA85" i="4" s="1"/>
  <c r="O85" i="4"/>
  <c r="J85" i="4"/>
  <c r="Z84" i="4"/>
  <c r="AA84" i="4" s="1"/>
  <c r="O84" i="4"/>
  <c r="J84" i="4"/>
  <c r="Z83" i="4"/>
  <c r="AA83" i="4" s="1"/>
  <c r="O83" i="4"/>
  <c r="J83" i="4"/>
  <c r="Z82" i="4"/>
  <c r="AA82" i="4" s="1"/>
  <c r="O82" i="4"/>
  <c r="J82" i="4"/>
  <c r="Z81" i="4"/>
  <c r="AA81" i="4" s="1"/>
  <c r="O81" i="4"/>
  <c r="J81" i="4"/>
  <c r="Z80" i="4"/>
  <c r="AA80" i="4" s="1"/>
  <c r="O80" i="4"/>
  <c r="J80" i="4"/>
  <c r="Z79" i="4"/>
  <c r="AA79" i="4" s="1"/>
  <c r="O79" i="4"/>
  <c r="J79" i="4"/>
  <c r="Z78" i="4"/>
  <c r="AA78" i="4" s="1"/>
  <c r="O78" i="4"/>
  <c r="J78" i="4"/>
  <c r="Z77" i="4"/>
  <c r="AA77" i="4" s="1"/>
  <c r="O77" i="4"/>
  <c r="J77" i="4"/>
  <c r="Z76" i="4"/>
  <c r="AA76" i="4" s="1"/>
  <c r="O76" i="4"/>
  <c r="J76" i="4"/>
  <c r="AA75" i="4"/>
  <c r="Z75" i="4"/>
  <c r="O75" i="4"/>
  <c r="J75" i="4"/>
  <c r="Z74" i="4"/>
  <c r="AA74" i="4" s="1"/>
  <c r="O74" i="4"/>
  <c r="J74" i="4"/>
  <c r="Z73" i="4"/>
  <c r="AA73" i="4" s="1"/>
  <c r="O73" i="4"/>
  <c r="J73" i="4"/>
  <c r="Z72" i="4"/>
  <c r="AA72" i="4" s="1"/>
  <c r="O72" i="4"/>
  <c r="J72" i="4"/>
  <c r="AA71" i="4"/>
  <c r="Z71" i="4"/>
  <c r="O71" i="4"/>
  <c r="J71" i="4"/>
  <c r="Z70" i="4"/>
  <c r="AA70" i="4" s="1"/>
  <c r="O70" i="4"/>
  <c r="Z69" i="4"/>
  <c r="AA69" i="4" s="1"/>
  <c r="O69" i="4"/>
  <c r="J69" i="4"/>
  <c r="Z68" i="4"/>
  <c r="AA68" i="4" s="1"/>
  <c r="O68" i="4"/>
  <c r="J68" i="4"/>
  <c r="Z67" i="4"/>
  <c r="AA67" i="4" s="1"/>
  <c r="O67" i="4"/>
  <c r="J67" i="4"/>
  <c r="Z66" i="4"/>
  <c r="AA66" i="4" s="1"/>
  <c r="O66" i="4"/>
  <c r="J66" i="4"/>
  <c r="Z65" i="4"/>
  <c r="AA65" i="4" s="1"/>
  <c r="O65" i="4"/>
  <c r="J65" i="4"/>
  <c r="Z64" i="4"/>
  <c r="AA64" i="4" s="1"/>
  <c r="O64" i="4"/>
  <c r="J64" i="4"/>
  <c r="Z63" i="4"/>
  <c r="AA63" i="4" s="1"/>
  <c r="O63" i="4"/>
  <c r="J63" i="4"/>
  <c r="Z62" i="4"/>
  <c r="AA62" i="4" s="1"/>
  <c r="O62" i="4"/>
  <c r="J62" i="4"/>
  <c r="Z61" i="4"/>
  <c r="AA61" i="4" s="1"/>
  <c r="O61" i="4"/>
  <c r="J61" i="4"/>
  <c r="Z60" i="4"/>
  <c r="AA60" i="4" s="1"/>
  <c r="O60" i="4"/>
  <c r="J60" i="4"/>
  <c r="Z59" i="4"/>
  <c r="AA59" i="4" s="1"/>
  <c r="O59" i="4"/>
  <c r="J59" i="4"/>
  <c r="Z58" i="4"/>
  <c r="AA58" i="4" s="1"/>
  <c r="O58" i="4"/>
  <c r="J58" i="4"/>
  <c r="Z57" i="4"/>
  <c r="AA57" i="4" s="1"/>
  <c r="O57" i="4"/>
  <c r="J57" i="4"/>
  <c r="Z56" i="4"/>
  <c r="AA56" i="4" s="1"/>
  <c r="O56" i="4"/>
  <c r="J56" i="4"/>
  <c r="Z55" i="4"/>
  <c r="AA55" i="4" s="1"/>
  <c r="O55" i="4"/>
  <c r="J55" i="4"/>
  <c r="AA54" i="4"/>
  <c r="Z54" i="4"/>
  <c r="O54" i="4"/>
  <c r="J54" i="4"/>
  <c r="Z53" i="4"/>
  <c r="AA53" i="4" s="1"/>
  <c r="O53" i="4"/>
  <c r="J53" i="4"/>
  <c r="Z52" i="4"/>
  <c r="AA52" i="4" s="1"/>
  <c r="O52" i="4"/>
  <c r="J52" i="4"/>
  <c r="Z51" i="4"/>
  <c r="AA51" i="4" s="1"/>
  <c r="O51" i="4"/>
  <c r="J51" i="4"/>
  <c r="Z50" i="4"/>
  <c r="AA50" i="4" s="1"/>
  <c r="O50" i="4"/>
  <c r="J50" i="4"/>
  <c r="Z49" i="4"/>
  <c r="AA49" i="4" s="1"/>
  <c r="O49" i="4"/>
  <c r="J49" i="4"/>
  <c r="AA48" i="4"/>
  <c r="Z48" i="4"/>
  <c r="O48" i="4"/>
  <c r="J48" i="4"/>
  <c r="Z47" i="4"/>
  <c r="AA47" i="4" s="1"/>
  <c r="O47" i="4"/>
  <c r="J47" i="4"/>
  <c r="Z46" i="4"/>
  <c r="AA46" i="4" s="1"/>
  <c r="O46" i="4"/>
  <c r="J46" i="4"/>
  <c r="Z45" i="4"/>
  <c r="AA45" i="4" s="1"/>
  <c r="O45" i="4"/>
  <c r="J45" i="4"/>
  <c r="Z44" i="4"/>
  <c r="AA44" i="4" s="1"/>
  <c r="O44" i="4"/>
  <c r="J44" i="4"/>
  <c r="Z43" i="4"/>
  <c r="AA43" i="4" s="1"/>
  <c r="O43" i="4"/>
  <c r="J43" i="4"/>
  <c r="AA42" i="4"/>
  <c r="Z42" i="4"/>
  <c r="O42" i="4"/>
  <c r="J42" i="4"/>
  <c r="Z41" i="4"/>
  <c r="AA41" i="4" s="1"/>
  <c r="O41" i="4"/>
  <c r="J41" i="4"/>
  <c r="Z40" i="4"/>
  <c r="AA40" i="4" s="1"/>
  <c r="O40" i="4"/>
  <c r="J40" i="4"/>
  <c r="Z39" i="4"/>
  <c r="AA39" i="4" s="1"/>
  <c r="O39" i="4"/>
  <c r="J39" i="4"/>
  <c r="Z38" i="4"/>
  <c r="AA38" i="4" s="1"/>
  <c r="O38" i="4"/>
  <c r="J38" i="4"/>
  <c r="Z37" i="4"/>
  <c r="AA37" i="4" s="1"/>
  <c r="O37" i="4"/>
  <c r="J37" i="4"/>
  <c r="Z36" i="4"/>
  <c r="AA36" i="4" s="1"/>
  <c r="O36" i="4"/>
  <c r="J36" i="4"/>
  <c r="Z35" i="4"/>
  <c r="AA35" i="4" s="1"/>
  <c r="O35" i="4"/>
  <c r="J35" i="4"/>
  <c r="Z34" i="4"/>
  <c r="AA34" i="4" s="1"/>
  <c r="O34" i="4"/>
  <c r="J34" i="4"/>
  <c r="Z33" i="4"/>
  <c r="AA33" i="4" s="1"/>
  <c r="O33" i="4"/>
  <c r="J33" i="4"/>
  <c r="Z32" i="4"/>
  <c r="AA32" i="4" s="1"/>
  <c r="O32" i="4"/>
  <c r="J32" i="4"/>
  <c r="Z31" i="4"/>
  <c r="AA31" i="4" s="1"/>
  <c r="O31" i="4"/>
  <c r="J31" i="4"/>
  <c r="AA30" i="4"/>
  <c r="Z30" i="4"/>
  <c r="O30" i="4"/>
  <c r="J30" i="4"/>
  <c r="Z29" i="4"/>
  <c r="AA29" i="4" s="1"/>
  <c r="O29" i="4"/>
  <c r="J29" i="4"/>
  <c r="Z28" i="4"/>
  <c r="AA28" i="4" s="1"/>
  <c r="O28" i="4"/>
  <c r="J28" i="4"/>
  <c r="Z27" i="4"/>
  <c r="AA27" i="4" s="1"/>
  <c r="O27" i="4"/>
  <c r="J27" i="4"/>
  <c r="AA26" i="4"/>
  <c r="Z26" i="4"/>
  <c r="O26" i="4"/>
  <c r="J26" i="4"/>
  <c r="Z25" i="4"/>
  <c r="AA25" i="4" s="1"/>
  <c r="O25" i="4"/>
  <c r="J25" i="4"/>
  <c r="Z24" i="4"/>
  <c r="AA24" i="4" s="1"/>
  <c r="O24" i="4"/>
  <c r="J24" i="4"/>
  <c r="Z23" i="4"/>
  <c r="AA23" i="4" s="1"/>
  <c r="O23" i="4"/>
  <c r="J23" i="4"/>
  <c r="Z22" i="4"/>
  <c r="AA22" i="4" s="1"/>
  <c r="O22" i="4"/>
  <c r="J22" i="4"/>
  <c r="Z21" i="4"/>
  <c r="AA21" i="4" s="1"/>
  <c r="O21" i="4"/>
  <c r="J21" i="4"/>
  <c r="Z20" i="4"/>
  <c r="AA20" i="4" s="1"/>
  <c r="O20" i="4"/>
  <c r="J20" i="4"/>
  <c r="Z19" i="4"/>
  <c r="AA19" i="4" s="1"/>
  <c r="O19" i="4"/>
  <c r="J19" i="4"/>
  <c r="Z18" i="4"/>
  <c r="AA18" i="4" s="1"/>
  <c r="O18" i="4"/>
  <c r="J18" i="4"/>
  <c r="Z17" i="4"/>
  <c r="AA17" i="4" s="1"/>
  <c r="O17" i="4"/>
  <c r="J17" i="4"/>
  <c r="AA16" i="4"/>
  <c r="Z16" i="4"/>
  <c r="O16" i="4"/>
  <c r="J16" i="4"/>
  <c r="Z15" i="4"/>
  <c r="AA15" i="4" s="1"/>
  <c r="O15" i="4"/>
  <c r="J15" i="4"/>
  <c r="Z14" i="4"/>
  <c r="AA14" i="4" s="1"/>
  <c r="O14" i="4"/>
  <c r="J14" i="4"/>
  <c r="Z13" i="4"/>
  <c r="AA13" i="4" s="1"/>
  <c r="O13" i="4"/>
  <c r="J13" i="4"/>
  <c r="Z12" i="4"/>
  <c r="AA12" i="4" s="1"/>
  <c r="O12" i="4"/>
  <c r="J12" i="4"/>
  <c r="Z11" i="4"/>
  <c r="AA11" i="4" s="1"/>
  <c r="O11" i="4"/>
  <c r="J11" i="4"/>
  <c r="AA10" i="4"/>
  <c r="Z10" i="4"/>
  <c r="O10" i="4"/>
  <c r="J10" i="4"/>
  <c r="Z9" i="4"/>
  <c r="AA9" i="4" s="1"/>
  <c r="O9" i="4"/>
  <c r="J9" i="4"/>
  <c r="Z8" i="4"/>
  <c r="AA8" i="4" s="1"/>
  <c r="O8" i="4"/>
  <c r="J8" i="4"/>
  <c r="Z7" i="4"/>
  <c r="AA7" i="4" s="1"/>
  <c r="O7" i="4"/>
  <c r="J7" i="4"/>
  <c r="AA6" i="4"/>
  <c r="Z6" i="4"/>
  <c r="O6" i="4"/>
  <c r="J6" i="4"/>
  <c r="Z5" i="4"/>
  <c r="AA5" i="4" s="1"/>
  <c r="O5" i="4"/>
  <c r="J5" i="4"/>
  <c r="Z4" i="4"/>
  <c r="AA4" i="4" s="1"/>
  <c r="O4" i="4"/>
  <c r="J4" i="4"/>
  <c r="Z3" i="4"/>
  <c r="AA3" i="4" s="1"/>
  <c r="O3" i="4"/>
  <c r="J3" i="4"/>
  <c r="Z2" i="4"/>
  <c r="AA2" i="4" s="1"/>
  <c r="O2" i="4"/>
  <c r="J2" i="4"/>
  <c r="DG166" i="3"/>
  <c r="DG165" i="3"/>
  <c r="DG164" i="3"/>
  <c r="DG163" i="3"/>
  <c r="DG162" i="3"/>
  <c r="DG161" i="3"/>
  <c r="DG160" i="3"/>
  <c r="DG159" i="3"/>
  <c r="DG158" i="3"/>
  <c r="DG157" i="3"/>
  <c r="DG156" i="3"/>
  <c r="DG155" i="3"/>
  <c r="DG154" i="3"/>
  <c r="DG153" i="3"/>
  <c r="DG152" i="3"/>
  <c r="DG151" i="3"/>
  <c r="DG150" i="3"/>
  <c r="DG149" i="3"/>
  <c r="DG148" i="3"/>
  <c r="DG147" i="3"/>
  <c r="DG146" i="3"/>
  <c r="DG145" i="3"/>
  <c r="DG144" i="3"/>
  <c r="DG143" i="3"/>
  <c r="DG142" i="3"/>
  <c r="DG141" i="3"/>
  <c r="DG140" i="3"/>
  <c r="DG139" i="3"/>
  <c r="DG138" i="3"/>
  <c r="DG137" i="3"/>
  <c r="DG136" i="3"/>
  <c r="DG135" i="3"/>
  <c r="DG134" i="3"/>
  <c r="DG133" i="3"/>
  <c r="DG132" i="3"/>
  <c r="DG131" i="3"/>
  <c r="DG130" i="3"/>
  <c r="DG129" i="3"/>
  <c r="DG128" i="3"/>
  <c r="DG127" i="3"/>
  <c r="DG126" i="3"/>
  <c r="DG125" i="3"/>
  <c r="DG124" i="3"/>
  <c r="DG123" i="3"/>
  <c r="DG122" i="3"/>
  <c r="DG121" i="3"/>
  <c r="DG120" i="3"/>
  <c r="DG119" i="3"/>
  <c r="DG118" i="3"/>
  <c r="DG117" i="3"/>
  <c r="DG116" i="3"/>
  <c r="DG115" i="3"/>
  <c r="DG114" i="3"/>
  <c r="DG113" i="3"/>
  <c r="DG112" i="3"/>
  <c r="DG111" i="3"/>
  <c r="DG110" i="3"/>
  <c r="DG109" i="3"/>
  <c r="DG108" i="3"/>
  <c r="DG107" i="3"/>
  <c r="DG106" i="3"/>
  <c r="DG105" i="3"/>
  <c r="DG104" i="3"/>
  <c r="DG103" i="3"/>
  <c r="DG102" i="3"/>
  <c r="DG101" i="3"/>
  <c r="DG100" i="3"/>
  <c r="DG99" i="3"/>
  <c r="DG98" i="3"/>
  <c r="DG97" i="3"/>
  <c r="DG96" i="3"/>
  <c r="DG95" i="3"/>
  <c r="DG94" i="3"/>
  <c r="DG93" i="3"/>
  <c r="DG92" i="3"/>
  <c r="DG91" i="3"/>
  <c r="DG90" i="3"/>
  <c r="DG89" i="3"/>
  <c r="DG88" i="3"/>
  <c r="DG87" i="3"/>
  <c r="DG86" i="3"/>
  <c r="DG85" i="3"/>
  <c r="DG84" i="3"/>
  <c r="DG83" i="3"/>
  <c r="DG82" i="3"/>
  <c r="DG81" i="3"/>
  <c r="DG80" i="3"/>
  <c r="DG79" i="3"/>
  <c r="DG78" i="3"/>
  <c r="DG77" i="3"/>
  <c r="DG76" i="3"/>
  <c r="DG75" i="3"/>
  <c r="DG74" i="3"/>
  <c r="DG73" i="3"/>
  <c r="DG72" i="3"/>
  <c r="DG71" i="3"/>
  <c r="DG70" i="3"/>
  <c r="DG69" i="3"/>
  <c r="DG68" i="3"/>
  <c r="DG67" i="3"/>
  <c r="DG66" i="3"/>
  <c r="DG65" i="3"/>
  <c r="DG64" i="3"/>
  <c r="DG63" i="3"/>
  <c r="DG62" i="3"/>
  <c r="DG61" i="3"/>
  <c r="DG60" i="3"/>
  <c r="DG59" i="3"/>
  <c r="DG58" i="3"/>
  <c r="DG57" i="3"/>
  <c r="DG56" i="3"/>
  <c r="DG55" i="3"/>
  <c r="DG54" i="3"/>
  <c r="DG53" i="3"/>
  <c r="DG52" i="3"/>
  <c r="DG51" i="3"/>
  <c r="DG50" i="3"/>
  <c r="DG49" i="3"/>
  <c r="DG48" i="3"/>
  <c r="DG47" i="3"/>
  <c r="DG46" i="3"/>
  <c r="DG45" i="3"/>
  <c r="DG44" i="3"/>
  <c r="DG43" i="3"/>
  <c r="DG42" i="3"/>
  <c r="DG41" i="3"/>
  <c r="DG40" i="3"/>
  <c r="DG39" i="3"/>
  <c r="DG38" i="3"/>
  <c r="DG37" i="3"/>
  <c r="DG36" i="3"/>
  <c r="DG35" i="3"/>
  <c r="DG34" i="3"/>
  <c r="DG33" i="3"/>
  <c r="DG32" i="3"/>
  <c r="DG31" i="3"/>
  <c r="DG30" i="3"/>
  <c r="DG29" i="3"/>
  <c r="DG28" i="3"/>
  <c r="DG27" i="3"/>
  <c r="DG26" i="3"/>
  <c r="DG25" i="3"/>
  <c r="DG24" i="3"/>
  <c r="DG23" i="3"/>
  <c r="DG22" i="3"/>
  <c r="DG21" i="3"/>
  <c r="DG20" i="3"/>
  <c r="DG19" i="3"/>
  <c r="DG18" i="3"/>
  <c r="DG17" i="3"/>
  <c r="DG16" i="3"/>
  <c r="DG15" i="3"/>
  <c r="DG14" i="3"/>
  <c r="DG13" i="3"/>
  <c r="DG12" i="3"/>
  <c r="DG11" i="3"/>
  <c r="DG10" i="3"/>
  <c r="DG9" i="3"/>
  <c r="DG8" i="3"/>
  <c r="DG7" i="3"/>
  <c r="DG6" i="3"/>
  <c r="DG5" i="3"/>
  <c r="DG4" i="3"/>
  <c r="DG3" i="3"/>
  <c r="DG227" i="2"/>
  <c r="DG226" i="2"/>
  <c r="DG225" i="2"/>
  <c r="DG224" i="2"/>
  <c r="DG223" i="2"/>
  <c r="DG222" i="2"/>
  <c r="DG221" i="2"/>
  <c r="DG220" i="2"/>
  <c r="DG219" i="2"/>
  <c r="DG218" i="2"/>
  <c r="DG217" i="2"/>
  <c r="DG216" i="2"/>
  <c r="DG215" i="2"/>
  <c r="DG214" i="2"/>
  <c r="DG213" i="2"/>
  <c r="DG212" i="2"/>
  <c r="DG211" i="2"/>
  <c r="DG210" i="2"/>
  <c r="DG209" i="2"/>
  <c r="DG208" i="2"/>
  <c r="DG207" i="2"/>
  <c r="DG206" i="2"/>
  <c r="DG205" i="2"/>
  <c r="DG204" i="2"/>
  <c r="DG203" i="2"/>
  <c r="DG202" i="2"/>
  <c r="DG201" i="2"/>
  <c r="DG200" i="2"/>
  <c r="DG199" i="2"/>
  <c r="DG198" i="2"/>
  <c r="DG197" i="2"/>
  <c r="DG196" i="2"/>
  <c r="DG195" i="2"/>
  <c r="DG194" i="2"/>
  <c r="DG193" i="2"/>
  <c r="DG192" i="2"/>
  <c r="DG191" i="2"/>
  <c r="DG190" i="2"/>
  <c r="DG189" i="2"/>
  <c r="DG188" i="2"/>
  <c r="DG187" i="2"/>
  <c r="DG186" i="2"/>
  <c r="DG185" i="2"/>
  <c r="DG184" i="2"/>
  <c r="DG183" i="2"/>
  <c r="DG182" i="2"/>
  <c r="DG181" i="2"/>
  <c r="DG180" i="2"/>
  <c r="DG179" i="2"/>
  <c r="DG178" i="2"/>
  <c r="DG177" i="2"/>
  <c r="DG176" i="2"/>
  <c r="DG175" i="2"/>
  <c r="DG174" i="2"/>
  <c r="DG173" i="2"/>
  <c r="DG172" i="2"/>
  <c r="DG171" i="2"/>
  <c r="DG170" i="2"/>
  <c r="DG169" i="2"/>
  <c r="DG168" i="2"/>
  <c r="DG167" i="2"/>
  <c r="DG166" i="2"/>
  <c r="DG165" i="2"/>
  <c r="DG164" i="2"/>
  <c r="DG163" i="2"/>
  <c r="DG162" i="2"/>
  <c r="DG161" i="2"/>
  <c r="DG160" i="2"/>
  <c r="DG159" i="2"/>
  <c r="DG158" i="2"/>
  <c r="DG157" i="2"/>
  <c r="DG156" i="2"/>
  <c r="DG155" i="2"/>
  <c r="DG154" i="2"/>
  <c r="DG153" i="2"/>
  <c r="DG152" i="2"/>
  <c r="DG151" i="2"/>
  <c r="DG150" i="2"/>
  <c r="DG149" i="2"/>
  <c r="DG148" i="2"/>
  <c r="DG147" i="2"/>
  <c r="DG146" i="2"/>
  <c r="DG145" i="2"/>
  <c r="DG144" i="2"/>
  <c r="DG143" i="2"/>
  <c r="DG142" i="2"/>
  <c r="DG141" i="2"/>
  <c r="DG140" i="2"/>
  <c r="DG139" i="2"/>
  <c r="DG138" i="2"/>
  <c r="DG137" i="2"/>
  <c r="DG136" i="2"/>
  <c r="DG135" i="2"/>
  <c r="DG134" i="2"/>
  <c r="DG133" i="2"/>
  <c r="DG132" i="2"/>
  <c r="DG131" i="2"/>
  <c r="DG130" i="2"/>
  <c r="DG129" i="2"/>
  <c r="DG128" i="2"/>
  <c r="DG127" i="2"/>
  <c r="DG126" i="2"/>
  <c r="DG125" i="2"/>
  <c r="DG124" i="2"/>
  <c r="DG123" i="2"/>
  <c r="DG122" i="2"/>
  <c r="DG121" i="2"/>
  <c r="DG120" i="2"/>
  <c r="DG119" i="2"/>
  <c r="DG118" i="2"/>
  <c r="DG117" i="2"/>
  <c r="DG116" i="2"/>
  <c r="DG115" i="2"/>
  <c r="DG114" i="2"/>
  <c r="DG113" i="2"/>
  <c r="DG112" i="2"/>
  <c r="DG111" i="2"/>
  <c r="DG110" i="2"/>
  <c r="DG109" i="2"/>
  <c r="DG108" i="2"/>
  <c r="DG107" i="2"/>
  <c r="DG106" i="2"/>
  <c r="DG105" i="2"/>
  <c r="DG104" i="2"/>
  <c r="DG103" i="2"/>
  <c r="DG102" i="2"/>
  <c r="DG101" i="2"/>
  <c r="DG100" i="2"/>
  <c r="DG99" i="2"/>
  <c r="DG98" i="2"/>
  <c r="DG97" i="2"/>
  <c r="DG96" i="2"/>
  <c r="DG95" i="2"/>
  <c r="DG94" i="2"/>
  <c r="DG93" i="2"/>
  <c r="DG92" i="2"/>
  <c r="DG91" i="2"/>
  <c r="DG90" i="2"/>
  <c r="DG89" i="2"/>
  <c r="DG88" i="2"/>
  <c r="DG87" i="2"/>
  <c r="DG86" i="2"/>
  <c r="DG85" i="2"/>
  <c r="DG84" i="2"/>
  <c r="DG83" i="2"/>
  <c r="DG82" i="2"/>
  <c r="DG81" i="2"/>
  <c r="DG80" i="2"/>
  <c r="DG79" i="2"/>
  <c r="DG78" i="2"/>
  <c r="DG77" i="2"/>
  <c r="DG76" i="2"/>
  <c r="DG75" i="2"/>
  <c r="DG74" i="2"/>
  <c r="DG73" i="2"/>
  <c r="DG72" i="2"/>
  <c r="DG71" i="2"/>
  <c r="DG70" i="2"/>
  <c r="DG69" i="2"/>
  <c r="DG68" i="2"/>
  <c r="DG67" i="2"/>
  <c r="DG66" i="2"/>
  <c r="DG65" i="2"/>
  <c r="DG64" i="2"/>
  <c r="DG63" i="2"/>
  <c r="DG62" i="2"/>
  <c r="DG61" i="2"/>
  <c r="DG60" i="2"/>
  <c r="DG59" i="2"/>
  <c r="DG58" i="2"/>
  <c r="DG57" i="2"/>
  <c r="DG56" i="2"/>
  <c r="DG55" i="2"/>
  <c r="DG54" i="2"/>
  <c r="DG53" i="2"/>
  <c r="DG52" i="2"/>
  <c r="DG51" i="2"/>
  <c r="DG50" i="2"/>
  <c r="DG49" i="2"/>
  <c r="DG48" i="2"/>
  <c r="DG47" i="2"/>
  <c r="DG46" i="2"/>
  <c r="DG45" i="2"/>
  <c r="DG44" i="2"/>
  <c r="DG43" i="2"/>
  <c r="DG42" i="2"/>
  <c r="DG41" i="2"/>
  <c r="DG40" i="2"/>
  <c r="DG39" i="2"/>
  <c r="DG38" i="2"/>
  <c r="DG37" i="2"/>
  <c r="DG36" i="2"/>
  <c r="DG35" i="2"/>
  <c r="DG34" i="2"/>
  <c r="DG33" i="2"/>
  <c r="DG32" i="2"/>
  <c r="DG31" i="2"/>
  <c r="DG30" i="2"/>
  <c r="DG29" i="2"/>
  <c r="DG28" i="2"/>
  <c r="DG27" i="2"/>
  <c r="DG26" i="2"/>
  <c r="DG25" i="2"/>
  <c r="DG24" i="2"/>
  <c r="DG23" i="2"/>
  <c r="DG22" i="2"/>
  <c r="DG21" i="2"/>
  <c r="DG20" i="2"/>
  <c r="DG19" i="2"/>
  <c r="DG18" i="2"/>
  <c r="DG17" i="2"/>
  <c r="DG16" i="2"/>
  <c r="DG15" i="2"/>
  <c r="DG14" i="2"/>
  <c r="DG13" i="2"/>
  <c r="DG12" i="2"/>
  <c r="DG11" i="2"/>
  <c r="DG10" i="2"/>
  <c r="DG9" i="2"/>
  <c r="DG8" i="2"/>
  <c r="DG7" i="2"/>
  <c r="DG6" i="2"/>
  <c r="DG5" i="2"/>
  <c r="DG4" i="2"/>
  <c r="DG3" i="2"/>
  <c r="DG1078" i="1"/>
  <c r="DG1077" i="1"/>
  <c r="DG1076" i="1"/>
  <c r="DG1075" i="1"/>
  <c r="DG1074" i="1"/>
  <c r="DG1073" i="1"/>
  <c r="DG1072" i="1"/>
  <c r="DG1071" i="1"/>
  <c r="DG1070" i="1"/>
  <c r="DG1069" i="1"/>
  <c r="DG1068" i="1"/>
  <c r="DG1067" i="1"/>
  <c r="DG1066" i="1"/>
  <c r="DG1065" i="1"/>
  <c r="DG1064" i="1"/>
  <c r="DG1063" i="1"/>
  <c r="DG1062" i="1"/>
  <c r="DG1061" i="1"/>
  <c r="DG1060" i="1"/>
  <c r="DG1059" i="1"/>
  <c r="DG1058" i="1"/>
  <c r="DG1057" i="1"/>
  <c r="DG1056" i="1"/>
  <c r="DG1055" i="1"/>
  <c r="DG1054" i="1"/>
  <c r="DG1053" i="1"/>
  <c r="DG1052" i="1"/>
  <c r="DG1051" i="1"/>
  <c r="DG1050" i="1"/>
  <c r="DG1049" i="1"/>
  <c r="DG1048" i="1"/>
  <c r="DG1047" i="1"/>
  <c r="DG1046" i="1"/>
  <c r="DG1045" i="1"/>
  <c r="DG1044" i="1"/>
  <c r="DG1043" i="1"/>
  <c r="DG1042" i="1"/>
  <c r="DG1041" i="1"/>
  <c r="DG1040" i="1"/>
  <c r="DG1039" i="1"/>
  <c r="DG1038" i="1"/>
  <c r="DG1037" i="1"/>
  <c r="DG1036" i="1"/>
  <c r="DG1035" i="1"/>
  <c r="DG1034" i="1"/>
  <c r="DG1033" i="1"/>
  <c r="DG1032" i="1"/>
  <c r="DG1031" i="1"/>
  <c r="DG1030" i="1"/>
  <c r="DG1029" i="1"/>
  <c r="DG1028" i="1"/>
  <c r="DG1027" i="1"/>
  <c r="DG1026" i="1"/>
  <c r="DG1025" i="1"/>
  <c r="DG1024" i="1"/>
  <c r="DG1023" i="1"/>
  <c r="DG1022" i="1"/>
  <c r="DG1021" i="1"/>
  <c r="DG1020" i="1"/>
  <c r="DG1019" i="1"/>
  <c r="DG1018" i="1"/>
  <c r="DG1017" i="1"/>
  <c r="DG1016" i="1"/>
  <c r="DG1015" i="1"/>
  <c r="DG1014" i="1"/>
  <c r="DG1013" i="1"/>
  <c r="DG1012" i="1"/>
  <c r="DG1011" i="1"/>
  <c r="DG1010" i="1"/>
  <c r="DG1009" i="1"/>
  <c r="DG1008" i="1"/>
  <c r="DG1007" i="1"/>
  <c r="DG1006" i="1"/>
  <c r="DG1005" i="1"/>
  <c r="DG1004" i="1"/>
  <c r="DG1003" i="1"/>
  <c r="DG1002" i="1"/>
  <c r="DG1001" i="1"/>
  <c r="DG1000" i="1"/>
  <c r="DG999" i="1"/>
  <c r="DG998" i="1"/>
  <c r="DG997" i="1"/>
  <c r="DG996" i="1"/>
  <c r="DG995" i="1"/>
  <c r="DG994" i="1"/>
  <c r="DG993" i="1"/>
  <c r="DG992" i="1"/>
  <c r="DG991" i="1"/>
  <c r="DG990" i="1"/>
  <c r="DG989" i="1"/>
  <c r="DG988" i="1"/>
  <c r="DG987" i="1"/>
  <c r="DG986" i="1"/>
  <c r="DG985" i="1"/>
  <c r="DG984" i="1"/>
  <c r="DG983" i="1"/>
  <c r="DG982" i="1"/>
  <c r="DG981" i="1"/>
  <c r="DG980" i="1"/>
  <c r="DG979" i="1"/>
  <c r="DG978" i="1"/>
  <c r="DG977" i="1"/>
  <c r="DG976" i="1"/>
  <c r="DG975" i="1"/>
  <c r="DG974" i="1"/>
  <c r="DG973" i="1"/>
  <c r="DG972" i="1"/>
  <c r="DG971" i="1"/>
  <c r="DG970" i="1"/>
  <c r="DG969" i="1"/>
  <c r="DG968" i="1"/>
  <c r="DG967" i="1"/>
  <c r="DG966" i="1"/>
  <c r="DG965" i="1"/>
  <c r="DG964" i="1"/>
  <c r="DG963" i="1"/>
  <c r="DG962" i="1"/>
  <c r="DG961" i="1"/>
  <c r="DG960" i="1"/>
  <c r="DG959" i="1"/>
  <c r="DG958" i="1"/>
  <c r="DG957" i="1"/>
  <c r="DG956" i="1"/>
  <c r="DG955" i="1"/>
  <c r="DG954" i="1"/>
  <c r="DG953" i="1"/>
  <c r="DG952" i="1"/>
  <c r="DG951" i="1"/>
  <c r="DG950" i="1"/>
  <c r="DG949" i="1"/>
  <c r="DG948" i="1"/>
  <c r="DG947" i="1"/>
  <c r="DG946" i="1"/>
  <c r="DG945" i="1"/>
  <c r="DG944" i="1"/>
  <c r="DG943" i="1"/>
  <c r="DG942" i="1"/>
  <c r="DG941" i="1"/>
  <c r="DG940" i="1"/>
  <c r="DG939" i="1"/>
  <c r="DG938" i="1"/>
  <c r="DG937" i="1"/>
  <c r="DG936" i="1"/>
  <c r="DG935" i="1"/>
  <c r="DG934" i="1"/>
  <c r="DG933" i="1"/>
  <c r="DG932" i="1"/>
  <c r="DG931" i="1"/>
  <c r="DG930" i="1"/>
  <c r="DG929" i="1"/>
  <c r="DG928" i="1"/>
  <c r="DG927" i="1"/>
  <c r="DG926" i="1"/>
  <c r="DG925" i="1"/>
  <c r="DG924" i="1"/>
  <c r="DG923" i="1"/>
  <c r="DG922" i="1"/>
  <c r="DG921" i="1"/>
  <c r="DG920" i="1"/>
  <c r="DG919" i="1"/>
  <c r="DG918" i="1"/>
  <c r="DG917" i="1"/>
  <c r="DG916" i="1"/>
  <c r="DG915" i="1"/>
  <c r="DG914" i="1"/>
  <c r="DG913" i="1"/>
  <c r="DG912" i="1"/>
  <c r="DG911" i="1"/>
  <c r="DG910" i="1"/>
  <c r="DG909" i="1"/>
  <c r="DG908" i="1"/>
  <c r="DG907" i="1"/>
  <c r="DG906" i="1"/>
  <c r="DG905" i="1"/>
  <c r="DG904" i="1"/>
  <c r="DG903" i="1"/>
  <c r="DG902" i="1"/>
  <c r="DG901" i="1"/>
  <c r="DG900" i="1"/>
  <c r="DG899" i="1"/>
  <c r="DG898" i="1"/>
  <c r="DG897" i="1"/>
  <c r="DG896" i="1"/>
  <c r="DG895" i="1"/>
  <c r="DG894" i="1"/>
  <c r="DG893" i="1"/>
  <c r="DG892" i="1"/>
  <c r="DG891" i="1"/>
  <c r="DG890" i="1"/>
  <c r="DG889" i="1"/>
  <c r="DG888" i="1"/>
  <c r="DG887" i="1"/>
  <c r="DG886" i="1"/>
  <c r="DG885" i="1"/>
  <c r="DG884" i="1"/>
  <c r="DG883" i="1"/>
  <c r="DG882" i="1"/>
  <c r="DG881" i="1"/>
  <c r="DG880" i="1"/>
  <c r="DG879" i="1"/>
  <c r="DG878" i="1"/>
  <c r="DG877" i="1"/>
  <c r="DG876" i="1"/>
  <c r="DG875" i="1"/>
  <c r="DG874" i="1"/>
  <c r="DG873" i="1"/>
  <c r="DG872" i="1"/>
  <c r="DG871" i="1"/>
  <c r="DG870" i="1"/>
  <c r="DG869" i="1"/>
  <c r="DG868" i="1"/>
  <c r="DG867" i="1"/>
  <c r="DG866" i="1"/>
  <c r="DG865" i="1"/>
  <c r="DG864" i="1"/>
  <c r="DG863" i="1"/>
  <c r="DG862" i="1"/>
  <c r="DG861" i="1"/>
  <c r="DG860" i="1"/>
  <c r="DG859" i="1"/>
  <c r="DG858" i="1"/>
  <c r="DG857" i="1"/>
  <c r="DG856" i="1"/>
  <c r="DG855" i="1"/>
  <c r="DG854" i="1"/>
  <c r="DG853" i="1"/>
  <c r="DG852" i="1"/>
  <c r="DG851" i="1"/>
  <c r="DG850" i="1"/>
  <c r="DG849" i="1"/>
  <c r="DG848" i="1"/>
  <c r="DG847" i="1"/>
  <c r="DG846" i="1"/>
  <c r="DG845" i="1"/>
  <c r="DG844" i="1"/>
  <c r="DG843" i="1"/>
  <c r="DG842" i="1"/>
  <c r="DG841" i="1"/>
  <c r="DG840" i="1"/>
  <c r="DG839" i="1"/>
  <c r="DG838" i="1"/>
  <c r="DG837" i="1"/>
  <c r="DG836" i="1"/>
  <c r="DG835" i="1"/>
  <c r="DG834" i="1"/>
  <c r="DG833" i="1"/>
  <c r="DG832" i="1"/>
  <c r="DG831" i="1"/>
  <c r="DG830" i="1"/>
  <c r="DG829" i="1"/>
  <c r="DG828" i="1"/>
  <c r="DG827" i="1"/>
  <c r="DG826" i="1"/>
  <c r="DG825" i="1"/>
  <c r="DG824" i="1"/>
  <c r="DG823" i="1"/>
  <c r="DG822" i="1"/>
  <c r="DG821" i="1"/>
  <c r="DG820" i="1"/>
  <c r="DG819" i="1"/>
  <c r="DG818" i="1"/>
  <c r="DG817" i="1"/>
  <c r="DG816" i="1"/>
  <c r="DG815" i="1"/>
  <c r="DG814" i="1"/>
  <c r="DG813" i="1"/>
  <c r="DG812" i="1"/>
  <c r="DG811" i="1"/>
  <c r="DG810" i="1"/>
  <c r="DG809" i="1"/>
  <c r="DG808" i="1"/>
  <c r="DG807" i="1"/>
  <c r="DG806" i="1"/>
  <c r="DG805" i="1"/>
  <c r="DG804" i="1"/>
  <c r="DG803" i="1"/>
  <c r="DG802" i="1"/>
  <c r="DG801" i="1"/>
  <c r="DG800" i="1"/>
  <c r="DG799" i="1"/>
  <c r="DG798" i="1"/>
  <c r="DG797" i="1"/>
  <c r="DG796" i="1"/>
  <c r="DG795" i="1"/>
  <c r="DG794" i="1"/>
  <c r="DG793" i="1"/>
  <c r="DG792" i="1"/>
  <c r="DG791" i="1"/>
  <c r="DG790" i="1"/>
  <c r="DG789" i="1"/>
  <c r="DG788" i="1"/>
  <c r="DG787" i="1"/>
  <c r="DG786" i="1"/>
  <c r="DG785" i="1"/>
  <c r="DG784" i="1"/>
  <c r="DG783" i="1"/>
  <c r="DG782" i="1"/>
  <c r="DG781" i="1"/>
  <c r="DG780" i="1"/>
  <c r="DG779" i="1"/>
  <c r="DG778" i="1"/>
  <c r="DG777" i="1"/>
  <c r="DG776" i="1"/>
  <c r="DG775" i="1"/>
  <c r="DG774" i="1"/>
  <c r="DG773" i="1"/>
  <c r="DG772" i="1"/>
  <c r="DG771" i="1"/>
  <c r="DG770" i="1"/>
  <c r="DG769" i="1"/>
  <c r="DG768" i="1"/>
  <c r="DG767" i="1"/>
  <c r="DG766" i="1"/>
  <c r="DG765" i="1"/>
  <c r="DG764" i="1"/>
  <c r="DG763" i="1"/>
  <c r="DG762" i="1"/>
  <c r="DG761" i="1"/>
  <c r="DG760" i="1"/>
  <c r="DG759" i="1"/>
  <c r="DG758" i="1"/>
  <c r="DG757" i="1"/>
  <c r="DG756" i="1"/>
  <c r="DG755" i="1"/>
  <c r="DG754" i="1"/>
  <c r="DG753" i="1"/>
  <c r="DG752" i="1"/>
  <c r="DG751" i="1"/>
  <c r="DG750" i="1"/>
  <c r="DG749" i="1"/>
  <c r="DG748" i="1"/>
  <c r="DG747" i="1"/>
  <c r="DG746" i="1"/>
  <c r="DG745" i="1"/>
  <c r="DG744" i="1"/>
  <c r="DG743" i="1"/>
  <c r="DG742" i="1"/>
  <c r="DG741" i="1"/>
  <c r="DG740" i="1"/>
  <c r="DG739" i="1"/>
  <c r="DG738" i="1"/>
  <c r="DG737" i="1"/>
  <c r="DG736" i="1"/>
  <c r="DG735" i="1"/>
  <c r="DG734" i="1"/>
  <c r="DG733" i="1"/>
  <c r="DG732" i="1"/>
  <c r="DG731" i="1"/>
  <c r="DG730" i="1"/>
  <c r="DG729" i="1"/>
  <c r="DG728" i="1"/>
  <c r="DG727" i="1"/>
  <c r="DG726" i="1"/>
  <c r="DG725" i="1"/>
  <c r="DG724" i="1"/>
  <c r="DG723" i="1"/>
  <c r="DG722" i="1"/>
  <c r="DG721" i="1"/>
  <c r="DG720" i="1"/>
  <c r="DG719" i="1"/>
  <c r="DG718" i="1"/>
  <c r="DG717" i="1"/>
  <c r="DG716" i="1"/>
  <c r="DG715" i="1"/>
  <c r="DG714" i="1"/>
  <c r="DG713" i="1"/>
  <c r="DG712" i="1"/>
  <c r="DG711" i="1"/>
  <c r="DG710" i="1"/>
  <c r="DG709" i="1"/>
  <c r="DG708" i="1"/>
  <c r="DG707" i="1"/>
  <c r="DG706" i="1"/>
  <c r="DG705" i="1"/>
  <c r="DG704" i="1"/>
  <c r="DG703" i="1"/>
  <c r="DG702" i="1"/>
  <c r="DG701" i="1"/>
  <c r="DG700" i="1"/>
  <c r="AT700" i="1"/>
  <c r="DG699" i="1"/>
  <c r="DG698" i="1"/>
  <c r="DG697" i="1"/>
  <c r="DG696" i="1"/>
  <c r="DG695" i="1"/>
  <c r="DG694" i="1"/>
  <c r="DG693" i="1"/>
  <c r="DG692" i="1"/>
  <c r="DG691" i="1"/>
  <c r="DG690" i="1"/>
  <c r="DG689" i="1"/>
  <c r="DG688" i="1"/>
  <c r="DG687" i="1"/>
  <c r="DG686" i="1"/>
  <c r="DG685" i="1"/>
  <c r="DG684" i="1"/>
  <c r="DG683" i="1"/>
  <c r="DG682" i="1"/>
  <c r="DG681" i="1"/>
  <c r="DG680" i="1"/>
  <c r="DG679" i="1"/>
  <c r="DG678" i="1"/>
  <c r="DG677" i="1"/>
  <c r="DG676" i="1"/>
  <c r="DG675" i="1"/>
  <c r="DG674" i="1"/>
  <c r="DG673" i="1"/>
  <c r="DG672" i="1"/>
  <c r="DG671" i="1"/>
  <c r="DG670" i="1"/>
  <c r="DG669" i="1"/>
  <c r="DG668" i="1"/>
  <c r="DG667" i="1"/>
  <c r="DG666" i="1"/>
  <c r="DG665" i="1"/>
  <c r="DG664" i="1"/>
  <c r="DG663" i="1"/>
  <c r="DG662" i="1"/>
  <c r="DG661" i="1"/>
  <c r="DG660" i="1"/>
  <c r="DG659" i="1"/>
  <c r="DG658" i="1"/>
  <c r="DG657" i="1"/>
  <c r="DG656" i="1"/>
  <c r="DG655" i="1"/>
  <c r="DG654" i="1"/>
  <c r="DG653" i="1"/>
  <c r="DG652" i="1"/>
  <c r="DG651" i="1"/>
  <c r="DG650" i="1"/>
  <c r="DG649" i="1"/>
  <c r="DG648" i="1"/>
  <c r="DG647" i="1"/>
  <c r="DG646" i="1"/>
  <c r="DG645" i="1"/>
  <c r="DG644" i="1"/>
  <c r="DG643" i="1"/>
  <c r="DG642" i="1"/>
  <c r="DG641" i="1"/>
  <c r="DG640" i="1"/>
  <c r="DG639" i="1"/>
  <c r="DG638" i="1"/>
  <c r="DG637" i="1"/>
  <c r="DG636" i="1"/>
  <c r="DG635" i="1"/>
  <c r="DG634" i="1"/>
  <c r="DG633" i="1"/>
  <c r="DG632" i="1"/>
  <c r="DG631" i="1"/>
  <c r="DG630" i="1"/>
  <c r="DG629" i="1"/>
  <c r="DG628" i="1"/>
  <c r="DG627" i="1"/>
  <c r="DG626" i="1"/>
  <c r="DG625" i="1"/>
  <c r="DG624" i="1"/>
  <c r="DG623" i="1"/>
  <c r="DG622" i="1"/>
  <c r="DG621" i="1"/>
  <c r="DG620" i="1"/>
  <c r="DG619" i="1"/>
  <c r="DG618" i="1"/>
  <c r="DG617" i="1"/>
  <c r="DG616" i="1"/>
  <c r="DG615" i="1"/>
  <c r="DG614" i="1"/>
  <c r="DG613" i="1"/>
  <c r="DG612" i="1"/>
  <c r="DG611" i="1"/>
  <c r="DG610" i="1"/>
  <c r="DG609" i="1"/>
  <c r="DG608" i="1"/>
  <c r="DG607" i="1"/>
  <c r="DG606" i="1"/>
  <c r="DG605" i="1"/>
  <c r="DG604" i="1"/>
  <c r="DG603" i="1"/>
  <c r="DG602" i="1"/>
  <c r="DG601" i="1"/>
  <c r="DG600" i="1"/>
  <c r="DG599" i="1"/>
  <c r="DG598" i="1"/>
  <c r="DG597" i="1"/>
  <c r="DG596" i="1"/>
  <c r="DG595" i="1"/>
  <c r="DG594" i="1"/>
  <c r="DG593" i="1"/>
  <c r="DG592" i="1"/>
  <c r="DG591" i="1"/>
  <c r="DG590" i="1"/>
  <c r="DG589" i="1"/>
  <c r="DG588" i="1"/>
  <c r="DG587" i="1"/>
  <c r="DG586" i="1"/>
  <c r="DG585" i="1"/>
  <c r="DG584" i="1"/>
  <c r="DG583" i="1"/>
  <c r="DG582" i="1"/>
  <c r="DG581" i="1"/>
  <c r="DG580" i="1"/>
  <c r="DG579" i="1"/>
  <c r="DG578" i="1"/>
  <c r="DG577" i="1"/>
  <c r="DG576" i="1"/>
  <c r="DG575" i="1"/>
  <c r="DG574" i="1"/>
  <c r="DG573" i="1"/>
  <c r="DG572" i="1"/>
  <c r="DG571" i="1"/>
  <c r="DG570" i="1"/>
  <c r="DG569" i="1"/>
  <c r="DG568" i="1"/>
  <c r="DG567" i="1"/>
  <c r="DG566" i="1"/>
  <c r="DG565" i="1"/>
  <c r="DG564" i="1"/>
  <c r="DG563" i="1"/>
  <c r="DG562" i="1"/>
  <c r="DG561" i="1"/>
  <c r="DG560" i="1"/>
  <c r="DG559" i="1"/>
  <c r="DG558" i="1"/>
  <c r="DG557" i="1"/>
  <c r="DG556" i="1"/>
  <c r="DG555" i="1"/>
  <c r="DG554" i="1"/>
  <c r="DG553" i="1"/>
  <c r="DG552" i="1"/>
  <c r="DG551" i="1"/>
  <c r="DG550" i="1"/>
  <c r="DG549" i="1"/>
  <c r="DG548" i="1"/>
  <c r="DG547" i="1"/>
  <c r="DG546" i="1"/>
  <c r="DG545" i="1"/>
  <c r="DG544" i="1"/>
  <c r="DG543" i="1"/>
  <c r="DG542" i="1"/>
  <c r="DG541" i="1"/>
  <c r="DG540" i="1"/>
  <c r="DG539" i="1"/>
  <c r="DG538" i="1"/>
  <c r="DG537" i="1"/>
  <c r="DG536" i="1"/>
  <c r="DG535" i="1"/>
  <c r="DG534" i="1"/>
  <c r="DG533" i="1"/>
  <c r="DG532" i="1"/>
  <c r="DG531" i="1"/>
  <c r="DG530" i="1"/>
  <c r="DG529" i="1"/>
  <c r="DG528" i="1"/>
  <c r="DG527" i="1"/>
  <c r="DG526" i="1"/>
  <c r="DG525" i="1"/>
  <c r="DG524" i="1"/>
  <c r="DG523" i="1"/>
  <c r="DG522" i="1"/>
  <c r="DG521" i="1"/>
  <c r="DG520" i="1"/>
  <c r="DG519" i="1"/>
  <c r="DG518" i="1"/>
  <c r="DG517" i="1"/>
  <c r="DG516" i="1"/>
  <c r="DG515" i="1"/>
  <c r="DG514" i="1"/>
  <c r="DG513" i="1"/>
  <c r="DG512" i="1"/>
  <c r="DG511" i="1"/>
  <c r="DG510" i="1"/>
  <c r="DG509" i="1"/>
  <c r="DG508" i="1"/>
  <c r="DG507" i="1"/>
  <c r="DG506" i="1"/>
  <c r="DG505" i="1"/>
  <c r="DG504" i="1"/>
  <c r="DG503" i="1"/>
  <c r="DG502" i="1"/>
  <c r="DG501" i="1"/>
  <c r="DG500" i="1"/>
  <c r="DG499" i="1"/>
  <c r="DG498" i="1"/>
  <c r="DG497" i="1"/>
  <c r="DG496" i="1"/>
  <c r="DG495" i="1"/>
  <c r="DG494" i="1"/>
  <c r="DG493" i="1"/>
  <c r="DG492" i="1"/>
  <c r="DG491" i="1"/>
  <c r="DG490" i="1"/>
  <c r="DG489" i="1"/>
  <c r="DG488" i="1"/>
  <c r="DG487" i="1"/>
  <c r="DG486" i="1"/>
  <c r="DG485" i="1"/>
  <c r="DG484" i="1"/>
  <c r="DG483" i="1"/>
  <c r="DG482" i="1"/>
  <c r="DG481" i="1"/>
  <c r="DG480" i="1"/>
  <c r="DG479" i="1"/>
  <c r="DG478" i="1"/>
  <c r="DG477" i="1"/>
  <c r="DG476" i="1"/>
  <c r="DG475" i="1"/>
  <c r="DG474" i="1"/>
  <c r="DG473" i="1"/>
  <c r="DG472" i="1"/>
  <c r="DG471" i="1"/>
  <c r="DG470" i="1"/>
  <c r="DG469" i="1"/>
  <c r="DG468" i="1"/>
  <c r="DG467" i="1"/>
  <c r="DG466" i="1"/>
  <c r="DG465" i="1"/>
  <c r="DG464" i="1"/>
  <c r="DG463" i="1"/>
  <c r="DG462" i="1"/>
  <c r="DG461" i="1"/>
  <c r="DG460" i="1"/>
  <c r="DG459" i="1"/>
  <c r="DG458" i="1"/>
  <c r="DG457" i="1"/>
  <c r="DG456" i="1"/>
  <c r="DG455" i="1"/>
  <c r="DG454" i="1"/>
  <c r="DG453" i="1"/>
  <c r="DG452" i="1"/>
  <c r="DG451" i="1"/>
  <c r="DG450" i="1"/>
  <c r="DG449" i="1"/>
  <c r="DG448" i="1"/>
  <c r="DG447" i="1"/>
  <c r="DG446" i="1"/>
  <c r="DG445" i="1"/>
  <c r="DG444" i="1"/>
  <c r="DG443" i="1"/>
  <c r="DG442" i="1"/>
  <c r="DG441" i="1"/>
  <c r="DG440" i="1"/>
  <c r="DG439" i="1"/>
  <c r="DG438" i="1"/>
  <c r="DG437" i="1"/>
  <c r="DG436" i="1"/>
  <c r="DG435" i="1"/>
  <c r="DG434" i="1"/>
  <c r="DG433" i="1"/>
  <c r="DG432" i="1"/>
  <c r="DG431" i="1"/>
  <c r="DG430" i="1"/>
  <c r="DG429" i="1"/>
  <c r="DG428" i="1"/>
  <c r="DG427" i="1"/>
  <c r="DG426" i="1"/>
  <c r="DG425" i="1"/>
  <c r="DG424" i="1"/>
  <c r="DG423" i="1"/>
  <c r="DG422" i="1"/>
  <c r="DG421" i="1"/>
  <c r="DG420" i="1"/>
  <c r="DG419" i="1"/>
  <c r="DG418" i="1"/>
  <c r="DG417" i="1"/>
  <c r="DG416" i="1"/>
  <c r="DG415" i="1"/>
  <c r="DG414" i="1"/>
  <c r="DG413" i="1"/>
  <c r="DG412" i="1"/>
  <c r="DG411" i="1"/>
  <c r="DG410" i="1"/>
  <c r="DG409" i="1"/>
  <c r="DG408" i="1"/>
  <c r="DG407" i="1"/>
  <c r="DG406" i="1"/>
  <c r="DG405" i="1"/>
  <c r="DG404" i="1"/>
  <c r="DG403" i="1"/>
  <c r="DG402" i="1"/>
  <c r="DG401" i="1"/>
  <c r="DG400" i="1"/>
  <c r="DG399" i="1"/>
  <c r="DG398" i="1"/>
  <c r="DG397" i="1"/>
  <c r="DG396" i="1"/>
  <c r="DG395" i="1"/>
  <c r="DG394" i="1"/>
  <c r="DG393" i="1"/>
  <c r="DG392" i="1"/>
  <c r="DG391" i="1"/>
  <c r="DG390" i="1"/>
  <c r="DG389" i="1"/>
  <c r="DG388" i="1"/>
  <c r="DG387" i="1"/>
  <c r="DG386" i="1"/>
  <c r="DG385" i="1"/>
  <c r="DG384" i="1"/>
  <c r="DG383" i="1"/>
  <c r="DG382" i="1"/>
  <c r="DG381" i="1"/>
  <c r="DG380" i="1"/>
  <c r="DG379" i="1"/>
  <c r="DG378" i="1"/>
  <c r="DG377" i="1"/>
  <c r="DG376" i="1"/>
  <c r="DG375" i="1"/>
  <c r="DG374" i="1"/>
  <c r="DG373" i="1"/>
  <c r="DG372" i="1"/>
  <c r="DG371" i="1"/>
  <c r="DG370" i="1"/>
  <c r="DG369" i="1"/>
  <c r="DG368" i="1"/>
  <c r="DG367" i="1"/>
  <c r="DG366" i="1"/>
  <c r="DG365" i="1"/>
  <c r="DG364" i="1"/>
  <c r="DG363" i="1"/>
  <c r="DG362" i="1"/>
  <c r="DG361" i="1"/>
  <c r="DG360" i="1"/>
  <c r="DG359" i="1"/>
  <c r="DG358" i="1"/>
  <c r="DG357" i="1"/>
  <c r="DG356" i="1"/>
  <c r="DG355" i="1"/>
  <c r="DG354" i="1"/>
  <c r="DG353" i="1"/>
  <c r="DG352" i="1"/>
  <c r="DG351" i="1"/>
  <c r="DG350" i="1"/>
  <c r="DG349" i="1"/>
  <c r="DG348" i="1"/>
  <c r="DG347" i="1"/>
  <c r="DG346" i="1"/>
  <c r="DG345" i="1"/>
  <c r="DG344" i="1"/>
  <c r="DG343" i="1"/>
  <c r="DG342" i="1"/>
  <c r="DG341" i="1"/>
  <c r="DG340" i="1"/>
  <c r="DG339" i="1"/>
  <c r="DG338" i="1"/>
  <c r="DG337" i="1"/>
  <c r="DG336" i="1"/>
  <c r="DG335" i="1"/>
  <c r="DG334" i="1"/>
  <c r="DG333" i="1"/>
  <c r="DG332" i="1"/>
  <c r="DG331" i="1"/>
  <c r="DG330" i="1"/>
  <c r="DG329" i="1"/>
  <c r="DG328" i="1"/>
  <c r="DG327" i="1"/>
  <c r="DG326" i="1"/>
  <c r="DG325" i="1"/>
  <c r="DG324" i="1"/>
  <c r="DG323" i="1"/>
  <c r="DG322" i="1"/>
  <c r="DG321" i="1"/>
  <c r="DG320" i="1"/>
  <c r="DG319" i="1"/>
  <c r="DG318" i="1"/>
  <c r="DG317" i="1"/>
  <c r="DG316" i="1"/>
  <c r="DG315" i="1"/>
  <c r="DG314" i="1"/>
  <c r="DG313" i="1"/>
  <c r="DG312" i="1"/>
  <c r="DG311" i="1"/>
  <c r="DG310" i="1"/>
  <c r="DG309" i="1"/>
  <c r="DG308" i="1"/>
  <c r="DG307" i="1"/>
  <c r="DG306" i="1"/>
  <c r="DG305" i="1"/>
  <c r="DG304" i="1"/>
  <c r="DG303" i="1"/>
  <c r="DG302" i="1"/>
  <c r="DG301" i="1"/>
  <c r="DG300" i="1"/>
  <c r="DG299" i="1"/>
  <c r="DG298" i="1"/>
  <c r="DG297" i="1"/>
  <c r="DG296" i="1"/>
  <c r="DG295" i="1"/>
  <c r="DG294" i="1"/>
  <c r="DG293" i="1"/>
  <c r="DG292" i="1"/>
  <c r="DG291" i="1"/>
  <c r="DG290" i="1"/>
  <c r="DG289" i="1"/>
  <c r="DG288" i="1"/>
  <c r="DG287" i="1"/>
  <c r="DG286" i="1"/>
  <c r="DG285" i="1"/>
  <c r="DG284" i="1"/>
  <c r="DG283" i="1"/>
  <c r="DG282" i="1"/>
  <c r="DG281" i="1"/>
  <c r="DG280" i="1"/>
  <c r="DG279" i="1"/>
  <c r="DG278" i="1"/>
  <c r="DG277" i="1"/>
  <c r="DG276" i="1"/>
  <c r="DG275" i="1"/>
  <c r="DG274" i="1"/>
  <c r="DG273" i="1"/>
  <c r="DG272" i="1"/>
  <c r="DG271" i="1"/>
  <c r="DG270" i="1"/>
  <c r="DG269" i="1"/>
  <c r="DG268" i="1"/>
  <c r="DG267" i="1"/>
  <c r="DG266" i="1"/>
  <c r="DG265" i="1"/>
  <c r="DG264" i="1"/>
  <c r="DG263" i="1"/>
  <c r="DG262" i="1"/>
  <c r="DG261" i="1"/>
  <c r="DG260" i="1"/>
  <c r="DG259" i="1"/>
  <c r="DG258" i="1"/>
  <c r="DG257" i="1"/>
  <c r="DG256" i="1"/>
  <c r="DG255" i="1"/>
  <c r="DG254" i="1"/>
  <c r="DG253" i="1"/>
  <c r="DG252" i="1"/>
  <c r="DG251" i="1"/>
  <c r="DG250" i="1"/>
  <c r="DG249" i="1"/>
  <c r="DG248" i="1"/>
  <c r="DG247" i="1"/>
  <c r="DG246" i="1"/>
  <c r="DG245" i="1"/>
  <c r="DG244" i="1"/>
  <c r="DG243" i="1"/>
  <c r="DG242" i="1"/>
  <c r="DG241" i="1"/>
  <c r="DG240" i="1"/>
  <c r="DG239" i="1"/>
  <c r="DG238" i="1"/>
  <c r="DG237" i="1"/>
  <c r="DG236" i="1"/>
  <c r="DG235" i="1"/>
  <c r="DG234" i="1"/>
  <c r="DG233" i="1"/>
  <c r="DG232" i="1"/>
  <c r="DG231" i="1"/>
  <c r="DG230" i="1"/>
  <c r="DG229" i="1"/>
  <c r="DG228" i="1"/>
  <c r="DG227" i="1"/>
  <c r="DG226" i="1"/>
  <c r="DG225" i="1"/>
  <c r="DG224" i="1"/>
  <c r="DG223" i="1"/>
  <c r="DG222" i="1"/>
  <c r="DG221" i="1"/>
  <c r="DG220" i="1"/>
  <c r="DG219" i="1"/>
  <c r="DG218" i="1"/>
  <c r="DG217" i="1"/>
  <c r="DG216" i="1"/>
  <c r="DG215" i="1"/>
  <c r="DG214" i="1"/>
  <c r="DG213" i="1"/>
  <c r="DG212" i="1"/>
  <c r="DG211" i="1"/>
  <c r="DG210" i="1"/>
  <c r="DG209" i="1"/>
  <c r="DG208" i="1"/>
  <c r="DG207" i="1"/>
  <c r="DG206" i="1"/>
  <c r="DG205" i="1"/>
  <c r="DG204" i="1"/>
  <c r="DG203" i="1"/>
  <c r="DG202" i="1"/>
  <c r="DG201" i="1"/>
  <c r="DG200" i="1"/>
  <c r="DG199" i="1"/>
  <c r="DG198" i="1"/>
  <c r="DG197" i="1"/>
  <c r="DG196" i="1"/>
  <c r="DG195" i="1"/>
  <c r="DG194" i="1"/>
  <c r="DG193" i="1"/>
  <c r="DG192" i="1"/>
  <c r="DG191" i="1"/>
  <c r="DG190" i="1"/>
  <c r="DG189" i="1"/>
  <c r="DG188" i="1"/>
  <c r="DG187" i="1"/>
  <c r="DG186" i="1"/>
  <c r="DG185" i="1"/>
  <c r="DG184" i="1"/>
  <c r="DG183" i="1"/>
  <c r="DG182" i="1"/>
  <c r="DG181" i="1"/>
  <c r="DG180" i="1"/>
  <c r="DG179" i="1"/>
  <c r="DG178" i="1"/>
  <c r="DG177" i="1"/>
  <c r="DG176" i="1"/>
  <c r="DG175" i="1"/>
  <c r="DG174" i="1"/>
  <c r="DG173" i="1"/>
  <c r="DG172" i="1"/>
  <c r="DG171" i="1"/>
  <c r="DG170" i="1"/>
  <c r="DG169" i="1"/>
  <c r="DG168" i="1"/>
  <c r="DG167" i="1"/>
  <c r="DG166" i="1"/>
  <c r="DG165" i="1"/>
  <c r="DG164" i="1"/>
  <c r="DG163" i="1"/>
  <c r="DG162" i="1"/>
  <c r="DG161" i="1"/>
  <c r="DG160" i="1"/>
  <c r="DG159" i="1"/>
  <c r="DG158" i="1"/>
  <c r="DG157" i="1"/>
  <c r="DG156" i="1"/>
  <c r="DG155" i="1"/>
  <c r="DG154" i="1"/>
  <c r="DG153" i="1"/>
  <c r="DG152" i="1"/>
  <c r="DG151" i="1"/>
  <c r="DG150" i="1"/>
  <c r="DG149" i="1"/>
  <c r="DG148" i="1"/>
  <c r="DG147" i="1"/>
  <c r="DG146" i="1"/>
  <c r="DG145" i="1"/>
  <c r="DG144" i="1"/>
  <c r="DG143" i="1"/>
  <c r="DG142" i="1"/>
  <c r="DG141" i="1"/>
  <c r="DG140" i="1"/>
  <c r="DG139" i="1"/>
  <c r="DG138" i="1"/>
  <c r="DG137" i="1"/>
  <c r="DG136" i="1"/>
  <c r="DG135" i="1"/>
  <c r="DG134" i="1"/>
  <c r="DG133" i="1"/>
  <c r="DG132" i="1"/>
  <c r="DG131" i="1"/>
  <c r="DG130" i="1"/>
  <c r="DG129" i="1"/>
  <c r="DG128" i="1"/>
  <c r="DG127" i="1"/>
  <c r="DG126" i="1"/>
  <c r="DG125" i="1"/>
  <c r="DG124" i="1"/>
  <c r="DG123" i="1"/>
  <c r="DG122" i="1"/>
  <c r="DG121" i="1"/>
  <c r="DG120" i="1"/>
  <c r="DG119" i="1"/>
  <c r="DG118" i="1"/>
  <c r="DG117" i="1"/>
  <c r="DG116" i="1"/>
  <c r="DG115" i="1"/>
  <c r="DG114" i="1"/>
  <c r="DG113" i="1"/>
  <c r="DG112" i="1"/>
  <c r="DG111" i="1"/>
  <c r="DG110" i="1"/>
  <c r="DG109" i="1"/>
  <c r="DG108" i="1"/>
  <c r="DG107" i="1"/>
  <c r="DG106" i="1"/>
  <c r="DG105" i="1"/>
  <c r="DG104" i="1"/>
  <c r="DG103" i="1"/>
  <c r="DG102" i="1"/>
  <c r="DG101" i="1"/>
  <c r="DG100" i="1"/>
  <c r="DG99" i="1"/>
  <c r="DG98" i="1"/>
  <c r="DG97" i="1"/>
  <c r="DG96" i="1"/>
  <c r="DG95" i="1"/>
  <c r="DG94" i="1"/>
  <c r="DG93" i="1"/>
  <c r="DG92" i="1"/>
  <c r="DG91" i="1"/>
  <c r="DG90" i="1"/>
  <c r="DG89" i="1"/>
  <c r="DG88" i="1"/>
  <c r="DG87" i="1"/>
  <c r="DG86" i="1"/>
  <c r="DG85" i="1"/>
  <c r="DG84" i="1"/>
  <c r="DG83" i="1"/>
  <c r="DG82" i="1"/>
  <c r="DG81" i="1"/>
  <c r="DG80" i="1"/>
  <c r="DG79" i="1"/>
  <c r="DG78" i="1"/>
  <c r="DG77" i="1"/>
  <c r="DG76" i="1"/>
  <c r="DG75" i="1"/>
  <c r="DG74" i="1"/>
  <c r="DG73" i="1"/>
  <c r="DG72" i="1"/>
  <c r="DG71" i="1"/>
  <c r="DG70" i="1"/>
  <c r="DG69" i="1"/>
  <c r="DG68" i="1"/>
  <c r="DG67" i="1"/>
  <c r="DG66" i="1"/>
  <c r="DG65" i="1"/>
  <c r="DG64" i="1"/>
  <c r="DG63" i="1"/>
  <c r="DG62" i="1"/>
  <c r="DG61" i="1"/>
  <c r="DG60" i="1"/>
  <c r="DG59" i="1"/>
  <c r="DG58" i="1"/>
  <c r="DG57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DG5" i="1"/>
  <c r="DG4" i="1"/>
  <c r="DG3" i="1"/>
  <c r="DG2" i="1"/>
</calcChain>
</file>

<file path=xl/sharedStrings.xml><?xml version="1.0" encoding="utf-8"?>
<sst xmlns="http://schemas.openxmlformats.org/spreadsheetml/2006/main" count="65130" uniqueCount="11009">
  <si>
    <t>DATOS GENERALES</t>
  </si>
  <si>
    <t>GINECO</t>
  </si>
  <si>
    <t>ANTECEDENTES FACTORES DE RIESGO</t>
  </si>
  <si>
    <t>ANTECEDENTES QUE MODIFICAN RESULTADOS</t>
  </si>
  <si>
    <t>ANTECEDENTES FAMILIARES</t>
  </si>
  <si>
    <t>RESULTADOS CLÍNICOS Y BIOQUÍMICOS</t>
  </si>
  <si>
    <t>HÁBITOS ALIMENTICIOS</t>
  </si>
  <si>
    <t>ESTILO DE VIDA</t>
  </si>
  <si>
    <t>QUÍMICA SANGUÍNEA mg/dl</t>
  </si>
  <si>
    <t>#</t>
  </si>
  <si>
    <t>Fecha de toma de muestra</t>
  </si>
  <si>
    <t>Categoría</t>
  </si>
  <si>
    <t>Edad</t>
  </si>
  <si>
    <t>Origen</t>
  </si>
  <si>
    <t>F. nacimiento</t>
  </si>
  <si>
    <t>Ocupación</t>
  </si>
  <si>
    <t>Colonia</t>
  </si>
  <si>
    <t>Menarca</t>
  </si>
  <si>
    <t>Menopausia</t>
  </si>
  <si>
    <t>Ult. Embar</t>
  </si>
  <si>
    <t># embarazos</t>
  </si>
  <si>
    <t>Diabetes</t>
  </si>
  <si>
    <t>Hipertensión</t>
  </si>
  <si>
    <t>Dislpidemia</t>
  </si>
  <si>
    <t>Tabaquismo</t>
  </si>
  <si>
    <t>Alcohol</t>
  </si>
  <si>
    <t>Obesidad</t>
  </si>
  <si>
    <t>Expo. Quim</t>
  </si>
  <si>
    <t>Expo. Rad</t>
  </si>
  <si>
    <t>Cirugías</t>
  </si>
  <si>
    <t>Transfusiones</t>
  </si>
  <si>
    <t>Enfermedades</t>
  </si>
  <si>
    <t>Drogas</t>
  </si>
  <si>
    <t>Tratamiento</t>
  </si>
  <si>
    <t>Otros fármacos</t>
  </si>
  <si>
    <t>Madre</t>
  </si>
  <si>
    <t>Padre</t>
  </si>
  <si>
    <t>Abuelos M.</t>
  </si>
  <si>
    <t>Abuelos P.</t>
  </si>
  <si>
    <t>Cáncer</t>
  </si>
  <si>
    <t>Infarto</t>
  </si>
  <si>
    <t>Artritis</t>
  </si>
  <si>
    <t>Lupus</t>
  </si>
  <si>
    <t>Otros</t>
  </si>
  <si>
    <t>Peso</t>
  </si>
  <si>
    <t>Talla</t>
  </si>
  <si>
    <t>Cintura 80/88 102/88</t>
  </si>
  <si>
    <t>Cadera</t>
  </si>
  <si>
    <t>% grasa corp</t>
  </si>
  <si>
    <t>% grasa vis</t>
  </si>
  <si>
    <t>% músculo</t>
  </si>
  <si>
    <t>Edad corp</t>
  </si>
  <si>
    <t>IMC</t>
  </si>
  <si>
    <t>PA sistólica 130</t>
  </si>
  <si>
    <t>PA diastólica 85</t>
  </si>
  <si>
    <t>Cereales</t>
  </si>
  <si>
    <t>Grasas</t>
  </si>
  <si>
    <t>Animal</t>
  </si>
  <si>
    <t>Carnes</t>
  </si>
  <si>
    <t>Huevo</t>
  </si>
  <si>
    <t>Embutidos</t>
  </si>
  <si>
    <t>Queso</t>
  </si>
  <si>
    <t>Lácteos</t>
  </si>
  <si>
    <t>Mariscos</t>
  </si>
  <si>
    <t>Verduras</t>
  </si>
  <si>
    <t>Naturales</t>
  </si>
  <si>
    <t>Congeladas</t>
  </si>
  <si>
    <t>Enlatadas</t>
  </si>
  <si>
    <t>Frutas</t>
  </si>
  <si>
    <t>Bebidas</t>
  </si>
  <si>
    <t>Condimentos</t>
  </si>
  <si>
    <t>Chatarra</t>
  </si>
  <si>
    <t>Comidas al día</t>
  </si>
  <si>
    <t>Hora fija</t>
  </si>
  <si>
    <t>Ejercicio</t>
  </si>
  <si>
    <t>% vegetal/fruta</t>
  </si>
  <si>
    <t>% cereal</t>
  </si>
  <si>
    <t>% proteínas</t>
  </si>
  <si>
    <t>Glucosa</t>
  </si>
  <si>
    <t>Creatinina</t>
  </si>
  <si>
    <t>Colesterol</t>
  </si>
  <si>
    <t>Triglicéridos</t>
  </si>
  <si>
    <t>tertil</t>
  </si>
  <si>
    <t>VLDL</t>
  </si>
  <si>
    <t>Ac. Úrico</t>
  </si>
  <si>
    <t>ALT IU/L</t>
  </si>
  <si>
    <t>TGO IU/L</t>
  </si>
  <si>
    <t>HDL</t>
  </si>
  <si>
    <t>LDL</t>
  </si>
  <si>
    <t>GLICADA/PROMEDIO</t>
  </si>
  <si>
    <t>ADN</t>
  </si>
  <si>
    <t>ApN</t>
  </si>
  <si>
    <t>Retn</t>
  </si>
  <si>
    <t>RNA</t>
  </si>
  <si>
    <t>CSM001</t>
  </si>
  <si>
    <t>Mujer</t>
  </si>
  <si>
    <t>Jalisco</t>
  </si>
  <si>
    <t>Estudiante</t>
  </si>
  <si>
    <t>Morelos</t>
  </si>
  <si>
    <t>NO</t>
  </si>
  <si>
    <t>JALISCO</t>
  </si>
  <si>
    <t>SI/PADRE,ABUELOS, TIOS</t>
  </si>
  <si>
    <t>SI/PADRE, TIAS PA, ABUELA</t>
  </si>
  <si>
    <t>SI/TIA MA</t>
  </si>
  <si>
    <t>SI/PRIMA PA</t>
  </si>
  <si>
    <t>H</t>
  </si>
  <si>
    <t>SM001</t>
  </si>
  <si>
    <t>Hombre</t>
  </si>
  <si>
    <t>Ingeniero industrial</t>
  </si>
  <si>
    <t>MORELOS</t>
  </si>
  <si>
    <t>SI</t>
  </si>
  <si>
    <t>A</t>
  </si>
  <si>
    <t>G</t>
  </si>
  <si>
    <t>SM002</t>
  </si>
  <si>
    <t>__</t>
  </si>
  <si>
    <t>____</t>
  </si>
  <si>
    <t>___</t>
  </si>
  <si>
    <t>SI/MAMA HERMANAS</t>
  </si>
  <si>
    <t>MAMA</t>
  </si>
  <si>
    <t>_____</t>
  </si>
  <si>
    <t>SM003</t>
  </si>
  <si>
    <t>si/MET</t>
  </si>
  <si>
    <t>ABUELA(PA)</t>
  </si>
  <si>
    <t>PADRES</t>
  </si>
  <si>
    <t>ABUELA (MA)</t>
  </si>
  <si>
    <t>PAPA</t>
  </si>
  <si>
    <t>HERMANO</t>
  </si>
  <si>
    <t>SM004</t>
  </si>
  <si>
    <t>SI/3ALDIA/16AÑOS</t>
  </si>
  <si>
    <t>PA.MA,ABU</t>
  </si>
  <si>
    <t>MA(MATRIZ)</t>
  </si>
  <si>
    <t>SM005</t>
  </si>
  <si>
    <t>10AÑOS/MEDIC</t>
  </si>
  <si>
    <t>5ALDIA</t>
  </si>
  <si>
    <t>SI/CIDUPROFENO</t>
  </si>
  <si>
    <t>PADRE</t>
  </si>
  <si>
    <t>SM006</t>
  </si>
  <si>
    <t>6AÑOS/LOSART</t>
  </si>
  <si>
    <t>LOSALTRAN</t>
  </si>
  <si>
    <t>PA.ABU.TIO</t>
  </si>
  <si>
    <t>SM007</t>
  </si>
  <si>
    <t>TIPO1</t>
  </si>
  <si>
    <t>2SEMANA</t>
  </si>
  <si>
    <t>DICLLETAMINA</t>
  </si>
  <si>
    <t>MA.PA</t>
  </si>
  <si>
    <t>SM008</t>
  </si>
  <si>
    <t>INTEC</t>
  </si>
  <si>
    <t>HUMO CIGARRO</t>
  </si>
  <si>
    <t>FRACTURA</t>
  </si>
  <si>
    <t>PROYECTO</t>
  </si>
  <si>
    <t>zacatecas</t>
  </si>
  <si>
    <t>Zacatecas</t>
  </si>
  <si>
    <t>PAPAS,HERMANOS</t>
  </si>
  <si>
    <t>PRINCIPIOS DE ESQUISOFRENIA POR GOLPE HERMANO</t>
  </si>
  <si>
    <t>SM009</t>
  </si>
  <si>
    <t>DF</t>
  </si>
  <si>
    <t>SM010</t>
  </si>
  <si>
    <t>SM011</t>
  </si>
  <si>
    <t>SM012</t>
  </si>
  <si>
    <t>SM013</t>
  </si>
  <si>
    <t>15-ju-19</t>
  </si>
  <si>
    <t>SI/Prediabetes/Desde Febrero/Tratado metformina</t>
  </si>
  <si>
    <t>-</t>
  </si>
  <si>
    <t>JAlISCO</t>
  </si>
  <si>
    <t>MORELOS/DF</t>
  </si>
  <si>
    <t>SI/Abuelo materno y bisabuelo</t>
  </si>
  <si>
    <t>70.1</t>
  </si>
  <si>
    <t>26.9</t>
  </si>
  <si>
    <t>Tortilla/diario</t>
  </si>
  <si>
    <t>Frijoles/1-2 semana</t>
  </si>
  <si>
    <t>Galletas/2 semana</t>
  </si>
  <si>
    <t>Aceite</t>
  </si>
  <si>
    <t>3-4 SEMANA</t>
  </si>
  <si>
    <t>3-5 DIAS</t>
  </si>
  <si>
    <t>5 DIAS</t>
  </si>
  <si>
    <t>2 SEMANA</t>
  </si>
  <si>
    <t>DIARIO</t>
  </si>
  <si>
    <t>1-2 SEMANA</t>
  </si>
  <si>
    <t>BROCOLI</t>
  </si>
  <si>
    <t>ZANAHORIA</t>
  </si>
  <si>
    <t>CHAYOTE</t>
  </si>
  <si>
    <t>1-2 VECES SEMANA</t>
  </si>
  <si>
    <t>MANZANA</t>
  </si>
  <si>
    <t>PLATANO</t>
  </si>
  <si>
    <t>UVAS</t>
  </si>
  <si>
    <t>AGUA NATURAL/DIARIO</t>
  </si>
  <si>
    <t>PAPAS SABRITAS</t>
  </si>
  <si>
    <t>GALLETAS</t>
  </si>
  <si>
    <t>3 O 4</t>
  </si>
  <si>
    <t>78.6</t>
  </si>
  <si>
    <t>0.32</t>
  </si>
  <si>
    <t>35.20</t>
  </si>
  <si>
    <t>4.83</t>
  </si>
  <si>
    <t>70.5</t>
  </si>
  <si>
    <t>83.30</t>
  </si>
  <si>
    <t>SM014</t>
  </si>
  <si>
    <t>MUJER</t>
  </si>
  <si>
    <t>HOGAR</t>
  </si>
  <si>
    <t>12 AÑOS</t>
  </si>
  <si>
    <t>3 AÑOS</t>
  </si>
  <si>
    <t>SI/USO DOMESTICO</t>
  </si>
  <si>
    <t>TRIGLICERIDOS/TIROIDES</t>
  </si>
  <si>
    <t>BEZAFIBRATO</t>
  </si>
  <si>
    <t>MEXICO</t>
  </si>
  <si>
    <t>PUEBLA</t>
  </si>
  <si>
    <t>SI/PADRE Y ABUELO</t>
  </si>
  <si>
    <t>COLESTEROL-CORAZON/PADRE</t>
  </si>
  <si>
    <t>92.7</t>
  </si>
  <si>
    <t>32.8</t>
  </si>
  <si>
    <t>FRIJOLES/2 VECES POR SEMANA</t>
  </si>
  <si>
    <t>BOLILLO/1 VEZ POR SEMANA</t>
  </si>
  <si>
    <t>ACEITE/4 VECES POR SEMANA</t>
  </si>
  <si>
    <t>4 VECES POR SEMANA</t>
  </si>
  <si>
    <t>2 VECES POR SEMANA</t>
  </si>
  <si>
    <t>2-3 VECES POR SEMANA</t>
  </si>
  <si>
    <t>LECHE DIARIO</t>
  </si>
  <si>
    <t>1 VEZ AL MES</t>
  </si>
  <si>
    <t>CHAYOTE/3-4 VECES POR SEMANA</t>
  </si>
  <si>
    <t>BROCOLI/3-4 VECES POR SEMANA</t>
  </si>
  <si>
    <t>CALABAZA</t>
  </si>
  <si>
    <t>CHICHARO CON ZANAHORIA/1 VEZ AL MES</t>
  </si>
  <si>
    <t>PLATANO/4 A LA SEMANA</t>
  </si>
  <si>
    <t>MANGO/4 A LA SEMANA</t>
  </si>
  <si>
    <t>MANZANA/4 A LA SEMANA</t>
  </si>
  <si>
    <t>AGUA DE SABOR/1 VEZ POR SEMANA</t>
  </si>
  <si>
    <t>REFRESCO/1 VEZ AL MES</t>
  </si>
  <si>
    <t>HAMBURGUESAS/2 SEMANAS</t>
  </si>
  <si>
    <t>81.8</t>
  </si>
  <si>
    <t>0.67</t>
  </si>
  <si>
    <t>43.80</t>
  </si>
  <si>
    <t>4.68</t>
  </si>
  <si>
    <t>53.9</t>
  </si>
  <si>
    <t>48.30</t>
  </si>
  <si>
    <t>SM015</t>
  </si>
  <si>
    <t>COMERCIANTE</t>
  </si>
  <si>
    <t>EL VARGAL</t>
  </si>
  <si>
    <t>13 AÑOS</t>
  </si>
  <si>
    <t>47 AÑOS</t>
  </si>
  <si>
    <t>HACE 24 AÑOS</t>
  </si>
  <si>
    <t>5/4 NACIDOS Y 1 ABORTO</t>
  </si>
  <si>
    <t>SI/HACE 5 AÑOS</t>
  </si>
  <si>
    <t>SI/COLESTEROL</t>
  </si>
  <si>
    <t>CLORO</t>
  </si>
  <si>
    <t>RAYOS X/HACE 1 AÑOS</t>
  </si>
  <si>
    <t>TIFOIDEA/HACE 1 AÑO</t>
  </si>
  <si>
    <t>EMULSION SCOT</t>
  </si>
  <si>
    <t>SI/PADRE</t>
  </si>
  <si>
    <t>70.9</t>
  </si>
  <si>
    <t>103.5</t>
  </si>
  <si>
    <t>44.8</t>
  </si>
  <si>
    <t>23.2</t>
  </si>
  <si>
    <t>29.1</t>
  </si>
  <si>
    <t>76.2</t>
  </si>
  <si>
    <t>0.42</t>
  </si>
  <si>
    <t>3.76</t>
  </si>
  <si>
    <t>63.5</t>
  </si>
  <si>
    <t>59.50</t>
  </si>
  <si>
    <t>SM 16</t>
  </si>
  <si>
    <t xml:space="preserve">Hombre </t>
  </si>
  <si>
    <t>70 años</t>
  </si>
  <si>
    <t>Mexico DF</t>
  </si>
  <si>
    <t>Pensionado</t>
  </si>
  <si>
    <t>Alamo Industrial</t>
  </si>
  <si>
    <t>No</t>
  </si>
  <si>
    <t>sobrio desde el 2000</t>
  </si>
  <si>
    <t>nunca</t>
  </si>
  <si>
    <t>En un ojo en 1989 y del dedo meñique hace 10 años</t>
  </si>
  <si>
    <t>Puebla</t>
  </si>
  <si>
    <t>n</t>
  </si>
  <si>
    <t>Sí, Padre</t>
  </si>
  <si>
    <t>1 taza/diario</t>
  </si>
  <si>
    <t>2 veces/semanal</t>
  </si>
  <si>
    <t>2 veces/semana</t>
  </si>
  <si>
    <t>Licuados/diario</t>
  </si>
  <si>
    <t>1 vez/mes</t>
  </si>
  <si>
    <t>Variadas, en las comidas</t>
  </si>
  <si>
    <t>Mensual</t>
  </si>
  <si>
    <t>Manzana</t>
  </si>
  <si>
    <t>Platano</t>
  </si>
  <si>
    <t>Fruta de temporada</t>
  </si>
  <si>
    <t>Agua de limon o frutas/diario</t>
  </si>
  <si>
    <t>algunas veces</t>
  </si>
  <si>
    <t>9am, 3pm, 7pm</t>
  </si>
  <si>
    <t>Poco</t>
  </si>
  <si>
    <t>SM 17</t>
  </si>
  <si>
    <t>Sí</t>
  </si>
  <si>
    <t>Sí, (1 copa al mes desde los 15 años)</t>
  </si>
  <si>
    <t>transplantado renal</t>
  </si>
  <si>
    <t>taerolimus enolapril, azatioprina prednisona</t>
  </si>
  <si>
    <t>GDL, Jalisco</t>
  </si>
  <si>
    <t>GDL,Jalisco</t>
  </si>
  <si>
    <t>Sí, padre</t>
  </si>
  <si>
    <t>Sí, madre</t>
  </si>
  <si>
    <t>Frijol 3 veces/semana</t>
  </si>
  <si>
    <t>Avena 2 veces /semana</t>
  </si>
  <si>
    <t>Aguacate 1 vez/ semana</t>
  </si>
  <si>
    <t>Almendras 1 vez /quincenal</t>
  </si>
  <si>
    <t>3 veces /semana</t>
  </si>
  <si>
    <t>3 veces/semanal</t>
  </si>
  <si>
    <t>1 vez/semana</t>
  </si>
  <si>
    <t>1 vez/quincenal</t>
  </si>
  <si>
    <t>Brocoli 3 veces/ semana</t>
  </si>
  <si>
    <t>Zanahoria 3 veces/semana</t>
  </si>
  <si>
    <t>Calabaza 3 veces/semana</t>
  </si>
  <si>
    <t xml:space="preserve">Platano  </t>
  </si>
  <si>
    <t>Mango</t>
  </si>
  <si>
    <t>Agua natural/diario</t>
  </si>
  <si>
    <t>Te/diario</t>
  </si>
  <si>
    <t>Café/diario</t>
  </si>
  <si>
    <t>Pimienta</t>
  </si>
  <si>
    <t>Frituras/quincenal</t>
  </si>
  <si>
    <t>SM 18</t>
  </si>
  <si>
    <t>41 años</t>
  </si>
  <si>
    <t>GDL</t>
  </si>
  <si>
    <t>Empleado</t>
  </si>
  <si>
    <t>San jose</t>
  </si>
  <si>
    <t>Sí, (1 copa al mes)</t>
  </si>
  <si>
    <t>Apendicitis, rodilla con ingerto</t>
  </si>
  <si>
    <t>Estado de Mexico</t>
  </si>
  <si>
    <t>Sí mama</t>
  </si>
  <si>
    <t>Sí, papa</t>
  </si>
  <si>
    <t>Frijol/semanal</t>
  </si>
  <si>
    <t>Diario</t>
  </si>
  <si>
    <t>semanal</t>
  </si>
  <si>
    <t>anual</t>
  </si>
  <si>
    <t>mensual</t>
  </si>
  <si>
    <t>Papa/diario</t>
  </si>
  <si>
    <t>Lechuga/diario</t>
  </si>
  <si>
    <t>Jitomate/diario</t>
  </si>
  <si>
    <t>Atun/semanal</t>
  </si>
  <si>
    <t>Manzana/diario</t>
  </si>
  <si>
    <t>Melon/semanal</t>
  </si>
  <si>
    <t>Platano/diario</t>
  </si>
  <si>
    <t>Agua/diario</t>
  </si>
  <si>
    <t>Jugos/diario</t>
  </si>
  <si>
    <t>Refresco/diario</t>
  </si>
  <si>
    <t>Papas/semanal</t>
  </si>
  <si>
    <t>Churros/semanal</t>
  </si>
  <si>
    <t>SM019</t>
  </si>
  <si>
    <t>SERVIDOR PUBLICO</t>
  </si>
  <si>
    <t>ECHEVERRIA</t>
  </si>
  <si>
    <t>SI/28 AÑOS/2 POR SEMANA</t>
  </si>
  <si>
    <t>SI/25 AÑOS/1 COPA A LA SEMANA</t>
  </si>
  <si>
    <t>SI/ABUELA MATERNA</t>
  </si>
  <si>
    <t>TORTILLA/2 DIARIAS</t>
  </si>
  <si>
    <t>BIROTE</t>
  </si>
  <si>
    <t>ACEITE DIARIO</t>
  </si>
  <si>
    <t>MANTEQUILLA SEMANALA</t>
  </si>
  <si>
    <t>LECHE SEMANAL</t>
  </si>
  <si>
    <t>MENSUA</t>
  </si>
  <si>
    <t>SEMANAL</t>
  </si>
  <si>
    <t>DIARIA</t>
  </si>
  <si>
    <t>LECHUGA</t>
  </si>
  <si>
    <t>ESPINACAS</t>
  </si>
  <si>
    <t xml:space="preserve"> JITOMATE</t>
  </si>
  <si>
    <t xml:space="preserve">MANZANA </t>
  </si>
  <si>
    <t xml:space="preserve">FRESA </t>
  </si>
  <si>
    <t>GUAYABA</t>
  </si>
  <si>
    <t>AGUA DIARIA</t>
  </si>
  <si>
    <t>CAFÉ DIARIA</t>
  </si>
  <si>
    <t>REFRESCO SEMANAL</t>
  </si>
  <si>
    <t>AJO</t>
  </si>
  <si>
    <t>SAL</t>
  </si>
  <si>
    <t>PAPAS</t>
  </si>
  <si>
    <t>CACAHUATES</t>
  </si>
  <si>
    <t>SM020</t>
  </si>
  <si>
    <t>Abogado</t>
  </si>
  <si>
    <t>Lomas del Seminario</t>
  </si>
  <si>
    <t>Si</t>
  </si>
  <si>
    <t>1 cop/sem</t>
  </si>
  <si>
    <t>Abuelo materno, abuela materna, tio materno, primo paterno</t>
  </si>
  <si>
    <t>frijol/semanal</t>
  </si>
  <si>
    <t>arroz/semanal</t>
  </si>
  <si>
    <t>tortilla/semanal</t>
  </si>
  <si>
    <t>Aceite vegetal/diario</t>
  </si>
  <si>
    <t>Semanal</t>
  </si>
  <si>
    <t>Zanahoria/semanal</t>
  </si>
  <si>
    <t>jitomate/semanal</t>
  </si>
  <si>
    <t>lechuga/semanal</t>
  </si>
  <si>
    <t>plátano/semanal</t>
  </si>
  <si>
    <t>manzana/semanal</t>
  </si>
  <si>
    <t>Papaya/Semanal</t>
  </si>
  <si>
    <t>jugos/semanal</t>
  </si>
  <si>
    <t>Refresco/semanal</t>
  </si>
  <si>
    <t>Sal/Diario</t>
  </si>
  <si>
    <t>pimienta/diario</t>
  </si>
  <si>
    <t>172/107</t>
  </si>
  <si>
    <t>SM021</t>
  </si>
  <si>
    <t>Hernia</t>
  </si>
  <si>
    <t>Arroz/diario</t>
  </si>
  <si>
    <t>Torilla/diario</t>
  </si>
  <si>
    <t>Frijol/Diario</t>
  </si>
  <si>
    <t>Manquilla/ mensual</t>
  </si>
  <si>
    <t>Nueces/ mensual</t>
  </si>
  <si>
    <t>Zanahoria/diario</t>
  </si>
  <si>
    <t>Calabaza/Diario</t>
  </si>
  <si>
    <t>Chayote/diario</t>
  </si>
  <si>
    <t>naranja/semanal</t>
  </si>
  <si>
    <t>uva/semanal</t>
  </si>
  <si>
    <t>SM022</t>
  </si>
  <si>
    <t>Servidor público</t>
  </si>
  <si>
    <t>Clavicula y nariz 2016</t>
  </si>
  <si>
    <t>Metformina</t>
  </si>
  <si>
    <t>Oaxaca</t>
  </si>
  <si>
    <t xml:space="preserve">Padre, hermanos, Tíos </t>
  </si>
  <si>
    <t xml:space="preserve">Padre y Tíos </t>
  </si>
  <si>
    <t>padre</t>
  </si>
  <si>
    <t xml:space="preserve">Madre </t>
  </si>
  <si>
    <t>pn/semanal</t>
  </si>
  <si>
    <t>Aceite/diario</t>
  </si>
  <si>
    <t>Calabaza/diario</t>
  </si>
  <si>
    <t>chayote/diario</t>
  </si>
  <si>
    <t>Brocoli/diario</t>
  </si>
  <si>
    <t xml:space="preserve">melon/semanal </t>
  </si>
  <si>
    <t>Naranja/semanal</t>
  </si>
  <si>
    <t>Manzana/semanal</t>
  </si>
  <si>
    <t xml:space="preserve">agua </t>
  </si>
  <si>
    <t>refresco</t>
  </si>
  <si>
    <t xml:space="preserve">café </t>
  </si>
  <si>
    <t>Sal/ diario</t>
  </si>
  <si>
    <t>SM023</t>
  </si>
  <si>
    <t>Parques del Bosque</t>
  </si>
  <si>
    <t>Gastritis, colitis nerviosa</t>
  </si>
  <si>
    <t>madre</t>
  </si>
  <si>
    <t>abuelos</t>
  </si>
  <si>
    <t>abuela materna</t>
  </si>
  <si>
    <t>Arroz/semanal</t>
  </si>
  <si>
    <t>Frijol/Semanal</t>
  </si>
  <si>
    <t>trigo/semanal</t>
  </si>
  <si>
    <t>aceite vegetal/semanal</t>
  </si>
  <si>
    <t>calabaza/semanal</t>
  </si>
  <si>
    <t>platano/dirario</t>
  </si>
  <si>
    <t>manzana/diario</t>
  </si>
  <si>
    <t>naranja/diario</t>
  </si>
  <si>
    <t>Agua fresca/diario</t>
  </si>
  <si>
    <t>papas/semanal</t>
  </si>
  <si>
    <t>Pan/Semanal</t>
  </si>
  <si>
    <t>165/64</t>
  </si>
  <si>
    <t>SM024</t>
  </si>
  <si>
    <t>SM025</t>
  </si>
  <si>
    <t>Guanajuato</t>
  </si>
  <si>
    <t xml:space="preserve">Guanajuato </t>
  </si>
  <si>
    <t>abuelo paterno</t>
  </si>
  <si>
    <t>Abuela materna y paterna</t>
  </si>
  <si>
    <t>Migraña/madre</t>
  </si>
  <si>
    <t>pan/semanal</t>
  </si>
  <si>
    <t>aceite de coco/semanal</t>
  </si>
  <si>
    <t>brocoli/semanal</t>
  </si>
  <si>
    <t>champiñones/semanal</t>
  </si>
  <si>
    <t>jugo/semanal</t>
  </si>
  <si>
    <t>Refresco/Diario</t>
  </si>
  <si>
    <t>ajo/diario</t>
  </si>
  <si>
    <t>Sal/diario</t>
  </si>
  <si>
    <t>chocolate/diario</t>
  </si>
  <si>
    <t>SM026</t>
  </si>
  <si>
    <t>Chapultepec Country</t>
  </si>
  <si>
    <t>1cop/mes</t>
  </si>
  <si>
    <t>Oclusión tubárica bilateral</t>
  </si>
  <si>
    <t>Lupus, síndrome anti fosfolípido</t>
  </si>
  <si>
    <t>Quinolonas, cenocumarina, enoxaparina, cefyracet</t>
  </si>
  <si>
    <t>Vale Madre</t>
  </si>
  <si>
    <t>Aguascalientes</t>
  </si>
  <si>
    <t>padre y tia materna</t>
  </si>
  <si>
    <t>tia materna</t>
  </si>
  <si>
    <t>tromboembolia abuela</t>
  </si>
  <si>
    <t>papas/semana</t>
  </si>
  <si>
    <t>jitomate/diario</t>
  </si>
  <si>
    <t>zanahoria/semanal</t>
  </si>
  <si>
    <t>chicharos/semanal</t>
  </si>
  <si>
    <t>verduras/semanal</t>
  </si>
  <si>
    <t>melon/diario</t>
  </si>
  <si>
    <t>uva/diario</t>
  </si>
  <si>
    <t>café/diario</t>
  </si>
  <si>
    <t>leche/diario</t>
  </si>
  <si>
    <t>naranjada/diario</t>
  </si>
  <si>
    <t>Pimienta/Diario</t>
  </si>
  <si>
    <t>flan/semanalo</t>
  </si>
  <si>
    <t>frappe/semanal</t>
  </si>
  <si>
    <t>papas/seman</t>
  </si>
  <si>
    <t>5 o 4</t>
  </si>
  <si>
    <t>SM027</t>
  </si>
  <si>
    <t>EMPLEADO</t>
  </si>
  <si>
    <t>Belisario Domínguez</t>
  </si>
  <si>
    <t>no</t>
  </si>
  <si>
    <t xml:space="preserve"> NO</t>
  </si>
  <si>
    <t>1/SEM</t>
  </si>
  <si>
    <t>Si, Papá y abuela materna y paterna</t>
  </si>
  <si>
    <t>Si, abuelo paterno</t>
  </si>
  <si>
    <t>Papa/Semanal</t>
  </si>
  <si>
    <t>Almendras/Semanal</t>
  </si>
  <si>
    <t>Nuez/Semanal</t>
  </si>
  <si>
    <t>Aceite/Semanal</t>
  </si>
  <si>
    <t>Mantequilla/Semanal</t>
  </si>
  <si>
    <t>3 vec/sem</t>
  </si>
  <si>
    <t>2 vec/sem</t>
  </si>
  <si>
    <t>5 vec/sem</t>
  </si>
  <si>
    <t>4 vec/sem</t>
  </si>
  <si>
    <t>Zanahoria/Semanal</t>
  </si>
  <si>
    <t>Calabaza/semanal</t>
  </si>
  <si>
    <t>Chayote/semanal</t>
  </si>
  <si>
    <t>NA</t>
  </si>
  <si>
    <t>Mango/Semanal</t>
  </si>
  <si>
    <t>Manzana/Semanal</t>
  </si>
  <si>
    <t>Pepino/Semanal</t>
  </si>
  <si>
    <t>Agua/Diario</t>
  </si>
  <si>
    <t>Jugo/Diario</t>
  </si>
  <si>
    <t>Papas7semanal</t>
  </si>
  <si>
    <t>SM028</t>
  </si>
  <si>
    <t>Chofer</t>
  </si>
  <si>
    <t>Americana</t>
  </si>
  <si>
    <t>Si Tipo I</t>
  </si>
  <si>
    <t>Hipogonadismo gonadotrópico</t>
  </si>
  <si>
    <t>Veracruz/Jalisco</t>
  </si>
  <si>
    <t>Si, Abuelo Materno</t>
  </si>
  <si>
    <t>Abuela Materna</t>
  </si>
  <si>
    <t>Aceite/Diario</t>
  </si>
  <si>
    <t>Mantequilla/Meses</t>
  </si>
  <si>
    <t>Zanahoria/Diario</t>
  </si>
  <si>
    <t>calabaza/Diario</t>
  </si>
  <si>
    <t>Chayote/Diario</t>
  </si>
  <si>
    <t>Zanhahoria/Semanal</t>
  </si>
  <si>
    <t>Coliflor</t>
  </si>
  <si>
    <t>Chícharos</t>
  </si>
  <si>
    <t>Chicharos/Semanal</t>
  </si>
  <si>
    <t>Elote/Semanal</t>
  </si>
  <si>
    <t>Naranaja/Diario</t>
  </si>
  <si>
    <t>Piña/Diario</t>
  </si>
  <si>
    <t>Sandía/Semanal</t>
  </si>
  <si>
    <t>Refresco Dieta/Diario</t>
  </si>
  <si>
    <t>Refresco/Semanal</t>
  </si>
  <si>
    <t>Palomitas/Semanal</t>
  </si>
  <si>
    <t>SM029</t>
  </si>
  <si>
    <t>TOPAX</t>
  </si>
  <si>
    <t>Coahuila</t>
  </si>
  <si>
    <t>ABUELOS</t>
  </si>
  <si>
    <t>tortilla/diario</t>
  </si>
  <si>
    <t>aguacate/semanal</t>
  </si>
  <si>
    <t>CocaCola/Diario</t>
  </si>
  <si>
    <t>salsa/diario</t>
  </si>
  <si>
    <t>papas fritas/semanal</t>
  </si>
  <si>
    <t>SM030</t>
  </si>
  <si>
    <t>Jardínes del Valle</t>
  </si>
  <si>
    <t>Reactivos de laboratorio</t>
  </si>
  <si>
    <t>Ultrasonido</t>
  </si>
  <si>
    <t>Ovario poliquístico, gastritis, colitis, úlcera corneal</t>
  </si>
  <si>
    <t>Homeopatía</t>
  </si>
  <si>
    <t>Nayarit y Veracruz</t>
  </si>
  <si>
    <t>tío paterno</t>
  </si>
  <si>
    <t>tumor-abuela materna</t>
  </si>
  <si>
    <t>avena/diario</t>
  </si>
  <si>
    <t>nuez/mensual</t>
  </si>
  <si>
    <t>Manteca/Mensual</t>
  </si>
  <si>
    <t>papa/diario</t>
  </si>
  <si>
    <t>zanahoria/diario</t>
  </si>
  <si>
    <t>elote/semanal</t>
  </si>
  <si>
    <t>champiñones/mensual</t>
  </si>
  <si>
    <t>papaya/diario</t>
  </si>
  <si>
    <t>Manzana/Diario</t>
  </si>
  <si>
    <t>platano/semanal</t>
  </si>
  <si>
    <t>piña/anual</t>
  </si>
  <si>
    <t>refresco/mensual</t>
  </si>
  <si>
    <t>Ajo/Diario</t>
  </si>
  <si>
    <t>pizza/mensual</t>
  </si>
  <si>
    <t>pastel/mensual</t>
  </si>
  <si>
    <t>galletas/semanal</t>
  </si>
  <si>
    <t>SM031</t>
  </si>
  <si>
    <t>10AÑOS</t>
  </si>
  <si>
    <t>SI/10AÑOS/METFORMINA</t>
  </si>
  <si>
    <t>SI/10 AÑOS</t>
  </si>
  <si>
    <t>SI/MORBIDA</t>
  </si>
  <si>
    <t>HERMANA</t>
  </si>
  <si>
    <t>TIOS</t>
  </si>
  <si>
    <t>LENTEJAS</t>
  </si>
  <si>
    <t>ARROZ</t>
  </si>
  <si>
    <t>TORTILLAS</t>
  </si>
  <si>
    <t>CALAVAZA</t>
  </si>
  <si>
    <t>VERDURAS PARA ATUN</t>
  </si>
  <si>
    <t>PERA</t>
  </si>
  <si>
    <t>FRESAS</t>
  </si>
  <si>
    <t>AGUA</t>
  </si>
  <si>
    <t>REFRESCOS</t>
  </si>
  <si>
    <t>JUGOS</t>
  </si>
  <si>
    <t>HAMBURGUESAS</t>
  </si>
  <si>
    <t>3A4</t>
  </si>
  <si>
    <t>SM032</t>
  </si>
  <si>
    <t>empleada</t>
  </si>
  <si>
    <t>san anonio</t>
  </si>
  <si>
    <t>si/20años/6diarios</t>
  </si>
  <si>
    <t>si</t>
  </si>
  <si>
    <t>hepatitis c</t>
  </si>
  <si>
    <t>interferon/rivarrina</t>
  </si>
  <si>
    <t>abuela P</t>
  </si>
  <si>
    <t>FRIJOL</t>
  </si>
  <si>
    <t>HABAS</t>
  </si>
  <si>
    <t>3-SEMANA</t>
  </si>
  <si>
    <t>1SEMANA</t>
  </si>
  <si>
    <t>2-SEMANA</t>
  </si>
  <si>
    <t>2-MES</t>
  </si>
  <si>
    <t>ZANAHORIA-2SEMANA</t>
  </si>
  <si>
    <t>CALABAZA2-SEMANA</t>
  </si>
  <si>
    <t>CHAYOTE2-SEANA</t>
  </si>
  <si>
    <t>1-SEMANA</t>
  </si>
  <si>
    <t>PARA AATUN</t>
  </si>
  <si>
    <t>2 Y FIN 3</t>
  </si>
  <si>
    <t>SM033</t>
  </si>
  <si>
    <t>Michoacan</t>
  </si>
  <si>
    <t>12años</t>
  </si>
  <si>
    <t>49años</t>
  </si>
  <si>
    <t>si/12años/ocacional</t>
  </si>
  <si>
    <t>si/1-semana</t>
  </si>
  <si>
    <t>hipoglucemia</t>
  </si>
  <si>
    <t>Abuelos</t>
  </si>
  <si>
    <t>Hermano</t>
  </si>
  <si>
    <t>Abuelos y papa</t>
  </si>
  <si>
    <t>riñon/papa</t>
  </si>
  <si>
    <t>tortilla 4xdia</t>
  </si>
  <si>
    <t>pan 1xdia</t>
  </si>
  <si>
    <t>arroz1xdia</t>
  </si>
  <si>
    <t>aguacate 4veces-semana</t>
  </si>
  <si>
    <t>aceite oliva diario</t>
  </si>
  <si>
    <t>crema3-sema</t>
  </si>
  <si>
    <t>1-2semana</t>
  </si>
  <si>
    <t>1semana</t>
  </si>
  <si>
    <t>1mes</t>
  </si>
  <si>
    <t>3-semana</t>
  </si>
  <si>
    <t>zanahoria</t>
  </si>
  <si>
    <t>pimientos</t>
  </si>
  <si>
    <t>aceitunas</t>
  </si>
  <si>
    <t>jitomate</t>
  </si>
  <si>
    <t>melon 3-semana</t>
  </si>
  <si>
    <t>manzana4-semana</t>
  </si>
  <si>
    <t>mango 4-semana</t>
  </si>
  <si>
    <t>aguanatural diario</t>
  </si>
  <si>
    <t>agua fresca diario</t>
  </si>
  <si>
    <t>refresco 2-3semana</t>
  </si>
  <si>
    <t>diario</t>
  </si>
  <si>
    <t>pimienta</t>
  </si>
  <si>
    <t>sal</t>
  </si>
  <si>
    <t>ajo</t>
  </si>
  <si>
    <t>churros 1-semana</t>
  </si>
  <si>
    <t>cacahuates 2-semana</t>
  </si>
  <si>
    <t>papas1-mes</t>
  </si>
  <si>
    <t>caminar?</t>
  </si>
  <si>
    <t>SM034</t>
  </si>
  <si>
    <t>ALAMO IND</t>
  </si>
  <si>
    <t>16 AÑOS</t>
  </si>
  <si>
    <t>1-MES</t>
  </si>
  <si>
    <t>ANTINFLAMATORIOS,VITAMINA E, LORATADINA</t>
  </si>
  <si>
    <t>MAMA,PAPA,HERMANA</t>
  </si>
  <si>
    <t>PAN DULCE DIARIO</t>
  </si>
  <si>
    <t>BIROTE SEMANAL</t>
  </si>
  <si>
    <t>FROJOL 3-SEMANA</t>
  </si>
  <si>
    <t>AGUACATE- DIARIO</t>
  </si>
  <si>
    <t>NUEZ-SEMANAL</t>
  </si>
  <si>
    <t>1MES</t>
  </si>
  <si>
    <t>MES</t>
  </si>
  <si>
    <t>CHAYOTE-SEMANA</t>
  </si>
  <si>
    <t>LECHUCA-SEMANA</t>
  </si>
  <si>
    <t>CALABACITA-SEMANA</t>
  </si>
  <si>
    <t>PAPAYA 2-3SEMANA</t>
  </si>
  <si>
    <t>MELON 2-3 SEMANA</t>
  </si>
  <si>
    <t>FRESA 2-3 SEMANA</t>
  </si>
  <si>
    <t>PAPAS FRITAS 1-MES</t>
  </si>
  <si>
    <t>SM035</t>
  </si>
  <si>
    <t>MADRE</t>
  </si>
  <si>
    <t>ARROZ DIARIO</t>
  </si>
  <si>
    <t>FRIJOL DIARIO</t>
  </si>
  <si>
    <t>ZANAHORIA SEMANA</t>
  </si>
  <si>
    <t>BROCOLI SEMANA</t>
  </si>
  <si>
    <t>CHAYOTE SEMANA</t>
  </si>
  <si>
    <t>NARANJA DIARIO</t>
  </si>
  <si>
    <t>GUAYABA DIARIO</t>
  </si>
  <si>
    <t>MELON DIARIO</t>
  </si>
  <si>
    <t>SM036</t>
  </si>
  <si>
    <t>INCOMPLETO</t>
  </si>
  <si>
    <t>HOMBRE</t>
  </si>
  <si>
    <t>SM037</t>
  </si>
  <si>
    <t>SI/METROPORIOL-LOSARTAN</t>
  </si>
  <si>
    <t>Tamazula</t>
  </si>
  <si>
    <t>TORTILLA DIARIO</t>
  </si>
  <si>
    <t>ACEITE DE COCINA DIARIO</t>
  </si>
  <si>
    <t>3 VECES A LA SEMANA</t>
  </si>
  <si>
    <t>2 VECES A LA SEMANA</t>
  </si>
  <si>
    <t>1 SEMANA</t>
  </si>
  <si>
    <t>DE TODAS</t>
  </si>
  <si>
    <t>REFRESCO DIARIO</t>
  </si>
  <si>
    <t>PAPAS 2 SEMANA</t>
  </si>
  <si>
    <t>SM038</t>
  </si>
  <si>
    <t>DISEÑADOR</t>
  </si>
  <si>
    <t xml:space="preserve">EL MORAL   </t>
  </si>
  <si>
    <t>SI/17 AÑOS/1 COPA A LA SEMANA</t>
  </si>
  <si>
    <t>ACIDO URICO</t>
  </si>
  <si>
    <t>SI/ABUELA Y TIOS MATERNOS</t>
  </si>
  <si>
    <t>99.3</t>
  </si>
  <si>
    <t>36.3</t>
  </si>
  <si>
    <t>29.6</t>
  </si>
  <si>
    <t>PAN/3 POR SEMANA</t>
  </si>
  <si>
    <t>FRIJOL/3 POR SEMANA</t>
  </si>
  <si>
    <t>ARROZ/1 POR SEMANA</t>
  </si>
  <si>
    <t>5 SEMANAL</t>
  </si>
  <si>
    <t>3 SEMANAL</t>
  </si>
  <si>
    <t>3 MENSUAL</t>
  </si>
  <si>
    <t>3 A 4 VECES POR SEMANA</t>
  </si>
  <si>
    <t>Jitomate 4 vec/sem</t>
  </si>
  <si>
    <t>BROCOLI/1 MES</t>
  </si>
  <si>
    <t>CHICHAROS/2 MENSUAL</t>
  </si>
  <si>
    <t>ZANAHORIAS/2 MENSUAL</t>
  </si>
  <si>
    <t>3 VECES POR SEMANA</t>
  </si>
  <si>
    <t>MANDARINA</t>
  </si>
  <si>
    <t>NARANJA</t>
  </si>
  <si>
    <t>4 VECES AL MES</t>
  </si>
  <si>
    <t>4 VECES AL AÑO</t>
  </si>
  <si>
    <t>DURAZNOS</t>
  </si>
  <si>
    <t>AGUA FRESCA/5 VECES POR SEMANA</t>
  </si>
  <si>
    <t>REFRESCO/4 VECES A LA SEMANA</t>
  </si>
  <si>
    <t xml:space="preserve">SAL </t>
  </si>
  <si>
    <t>PIMIENTA</t>
  </si>
  <si>
    <t>FRITURAS/2 POR SEMANA</t>
  </si>
  <si>
    <t>PAN DULCE/4 POR SEMANA</t>
  </si>
  <si>
    <t>GALLETAS/2 POR SEMANA</t>
  </si>
  <si>
    <t>POCO</t>
  </si>
  <si>
    <t>SM039</t>
  </si>
  <si>
    <t xml:space="preserve">EMPLEADA </t>
  </si>
  <si>
    <t>18 DE MARZO</t>
  </si>
  <si>
    <t>MAMA, HERMANA</t>
  </si>
  <si>
    <t>PRIMA, ERMANA</t>
  </si>
  <si>
    <t>ALERGIAS, RINITIS</t>
  </si>
  <si>
    <t>PAN INTEGRAL</t>
  </si>
  <si>
    <t>CARN. FLAKLES</t>
  </si>
  <si>
    <t>TORTILLA</t>
  </si>
  <si>
    <t>NUEZ- SEMANAL</t>
  </si>
  <si>
    <t>CACAHUATE-SEMANAL</t>
  </si>
  <si>
    <t>ACEITE-DIARIO</t>
  </si>
  <si>
    <t>DIARIO-SEMANAL</t>
  </si>
  <si>
    <t>CHICHAROS</t>
  </si>
  <si>
    <t>AGUA DE JAMAICA</t>
  </si>
  <si>
    <t>AGUA LIMON</t>
  </si>
  <si>
    <t>REFRESCO AL MES</t>
  </si>
  <si>
    <t>CACAHUATES JAPONESES</t>
  </si>
  <si>
    <t>SEMILLAS</t>
  </si>
  <si>
    <t>PAPA DESHIDRATADA</t>
  </si>
  <si>
    <t>5 Y COLACIÓN</t>
  </si>
  <si>
    <t>SI,CARDIO</t>
  </si>
  <si>
    <t>SM040</t>
  </si>
  <si>
    <t>AUX. ADM</t>
  </si>
  <si>
    <t>CHAPALITA LAS FUENTES</t>
  </si>
  <si>
    <t>SI/1-MES</t>
  </si>
  <si>
    <t>CEREAL DIARIO</t>
  </si>
  <si>
    <t>HARINA</t>
  </si>
  <si>
    <t>MANTEQUILLA</t>
  </si>
  <si>
    <t>ACEITE</t>
  </si>
  <si>
    <t>VETABEL</t>
  </si>
  <si>
    <t>MANGO</t>
  </si>
  <si>
    <t>AGUA DE PIÑA</t>
  </si>
  <si>
    <t>AGUA DE MELON</t>
  </si>
  <si>
    <t>KNOR ZUIZA</t>
  </si>
  <si>
    <t>CLAVO</t>
  </si>
  <si>
    <t>OREGANO</t>
  </si>
  <si>
    <t>PAPAS SEMANA</t>
  </si>
  <si>
    <t>SM041</t>
  </si>
  <si>
    <t>EMPLEADA GOBIERNO</t>
  </si>
  <si>
    <t>40AÑOS</t>
  </si>
  <si>
    <t>SI/28AÑOS/10DIA</t>
  </si>
  <si>
    <t>VERTIGO-CIRANICINA</t>
  </si>
  <si>
    <t>MAMA,ABUELA MA</t>
  </si>
  <si>
    <t>ABUELO PA</t>
  </si>
  <si>
    <t>MAMA, ABUELA PA</t>
  </si>
  <si>
    <t>1-DIARIO</t>
  </si>
  <si>
    <t>2-DIARIO</t>
  </si>
  <si>
    <t>2-SEMANAL</t>
  </si>
  <si>
    <t>3-SEMANAL</t>
  </si>
  <si>
    <t>1-SEMANAL</t>
  </si>
  <si>
    <t>4-SEMANAL</t>
  </si>
  <si>
    <t>SI,YOGA Y CAMINAR</t>
  </si>
  <si>
    <t>1?</t>
  </si>
  <si>
    <t>SM 42</t>
  </si>
  <si>
    <t>45 años</t>
  </si>
  <si>
    <t>Bombero</t>
  </si>
  <si>
    <t>Chapala, jal</t>
  </si>
  <si>
    <t>Sí,(1 copa al mes)</t>
  </si>
  <si>
    <t>Sí, abuelo materno</t>
  </si>
  <si>
    <t>Sí, tia paterna</t>
  </si>
  <si>
    <t>Birote2 veces/semana</t>
  </si>
  <si>
    <t>Frijoles /diario</t>
  </si>
  <si>
    <t>Crema 1 vez/semana</t>
  </si>
  <si>
    <t>Aguacate/semanal</t>
  </si>
  <si>
    <t>Chayote 3 veces /semana</t>
  </si>
  <si>
    <t>Manzana 4 veces /semana</t>
  </si>
  <si>
    <t>Platano 4 veces/semana</t>
  </si>
  <si>
    <t>Pera 4 veces/semana</t>
  </si>
  <si>
    <t>Refresco 2 veces /semana</t>
  </si>
  <si>
    <t>Pimienta/diario</t>
  </si>
  <si>
    <t>Tacos 1 vez/semana</t>
  </si>
  <si>
    <t>Galletas/diario</t>
  </si>
  <si>
    <t>Pan3 veces/semana</t>
  </si>
  <si>
    <t>Sí, varia</t>
  </si>
  <si>
    <t>SM043</t>
  </si>
  <si>
    <t>COAHUILA</t>
  </si>
  <si>
    <t>SI-7AÑOS-LOSARTAN,METROPOLAL</t>
  </si>
  <si>
    <t>AMIGDALAS-HACE 5AÑOS</t>
  </si>
  <si>
    <t>ANSIEDAD (ESTRÉS)</t>
  </si>
  <si>
    <t>CARBAMEZAPINA, CLONAZEPAN</t>
  </si>
  <si>
    <t>JAL/ZACATECAS</t>
  </si>
  <si>
    <t>FRIJOL- CASIDIARIO</t>
  </si>
  <si>
    <t>LENTEJAS-1SEMANA</t>
  </si>
  <si>
    <t>CASI DIARIO</t>
  </si>
  <si>
    <t>CASIDIARIO</t>
  </si>
  <si>
    <t>MANZANA DIARIO</t>
  </si>
  <si>
    <t>PAPAYA DIARIO</t>
  </si>
  <si>
    <t>GUA NATURAL DIARIO</t>
  </si>
  <si>
    <t>CHILE DIARIO</t>
  </si>
  <si>
    <t>TACOS 3-SEMANA</t>
  </si>
  <si>
    <t>SM044</t>
  </si>
  <si>
    <t>EMPLEADA</t>
  </si>
  <si>
    <t>SI-25AÑOS-1MES</t>
  </si>
  <si>
    <t>MO</t>
  </si>
  <si>
    <t>GUERRERO</t>
  </si>
  <si>
    <t>POCO ARROZ</t>
  </si>
  <si>
    <t>SEMANA</t>
  </si>
  <si>
    <t>DIARIO (RES)</t>
  </si>
  <si>
    <t>DE TODAS SEMANALMENTE</t>
  </si>
  <si>
    <t>FRESA</t>
  </si>
  <si>
    <t>PAPAYA</t>
  </si>
  <si>
    <t>AGUA NATURAL DIARIO</t>
  </si>
  <si>
    <t>AGUA SABOR DIARIO</t>
  </si>
  <si>
    <t>CAFÉ</t>
  </si>
  <si>
    <t>CONSOME DE POLLO</t>
  </si>
  <si>
    <t>PALETAS HELADAS</t>
  </si>
  <si>
    <t>ATUN ENLATADO</t>
  </si>
  <si>
    <t>SALSAS ENLATADAS</t>
  </si>
  <si>
    <t>SABRITAS</t>
  </si>
  <si>
    <t>SM045</t>
  </si>
  <si>
    <t>J. DEL CONTRY</t>
  </si>
  <si>
    <t>SI-15AÑOS-DIARIO</t>
  </si>
  <si>
    <t>SI-20AÑOS-1SEMANA</t>
  </si>
  <si>
    <t>SI?</t>
  </si>
  <si>
    <t>SM046</t>
  </si>
  <si>
    <t>BOMBERO</t>
  </si>
  <si>
    <t>GOMEZ FARÍAS</t>
  </si>
  <si>
    <t>2015-2016/COLUMNA</t>
  </si>
  <si>
    <t>ZACATECAS</t>
  </si>
  <si>
    <t>ZACAtecas</t>
  </si>
  <si>
    <t xml:space="preserve">SI/ABUELO MATERNO  </t>
  </si>
  <si>
    <t>SI/HERMANOS</t>
  </si>
  <si>
    <t>104.3</t>
  </si>
  <si>
    <t>32.9</t>
  </si>
  <si>
    <t>31.2</t>
  </si>
  <si>
    <t>31.5</t>
  </si>
  <si>
    <t xml:space="preserve">MAIZ  </t>
  </si>
  <si>
    <t>CACAHUATE</t>
  </si>
  <si>
    <t>2 POR SEMANA</t>
  </si>
  <si>
    <t>2-3 POR SEMANA</t>
  </si>
  <si>
    <t>1 AL MES</t>
  </si>
  <si>
    <t>3 POR SEMANA</t>
  </si>
  <si>
    <t>DIARIOS</t>
  </si>
  <si>
    <t>ZANAHORIA/5 POR SEMANA</t>
  </si>
  <si>
    <t>CHICHAROS/1 AL MES</t>
  </si>
  <si>
    <t>ELOTE</t>
  </si>
  <si>
    <t>MANZANA/DIARIO</t>
  </si>
  <si>
    <t>PEPINO</t>
  </si>
  <si>
    <t>AGUA/DIARIO 7 LITROS</t>
  </si>
  <si>
    <t>LECHE/DIARIO</t>
  </si>
  <si>
    <t>CAFÉ/Diario MEDIO LITRO</t>
  </si>
  <si>
    <t xml:space="preserve">OREGANO   </t>
  </si>
  <si>
    <t>AJO CON SAL/2 POR SEMANA</t>
  </si>
  <si>
    <t>CHOCOLATE/2 POR SEMANA</t>
  </si>
  <si>
    <t>PAPAS SABRITAS/1 POR SEMANA</t>
  </si>
  <si>
    <t>SI/JUGAR BASKETBALL</t>
  </si>
  <si>
    <t>SM047</t>
  </si>
  <si>
    <t>AUDITOR</t>
  </si>
  <si>
    <t>CONSTITUCIÓN</t>
  </si>
  <si>
    <t>SI-18AÑOS-1SEMANA</t>
  </si>
  <si>
    <t>VITAMINAS Y MINERALES</t>
  </si>
  <si>
    <t>ARROZ 3-SEMANA</t>
  </si>
  <si>
    <t>CORN FLAKE 2-SEMANA</t>
  </si>
  <si>
    <t>GRANOLA 2-SEMANA</t>
  </si>
  <si>
    <t>ACEITE OLIVA 1- SEMANA</t>
  </si>
  <si>
    <t>MANTECA 1- SEMANA</t>
  </si>
  <si>
    <t>CACAHUATE 1-SEMANA</t>
  </si>
  <si>
    <t>CALABAZA,ZANAHORIA, APIO 3-SEMANA</t>
  </si>
  <si>
    <t>APIO, LECHUGA, NOPALES 2- SEMANA</t>
  </si>
  <si>
    <t>BROCOLI 1-SEMANA</t>
  </si>
  <si>
    <t>ELOTE 1-SEMANA</t>
  </si>
  <si>
    <t>CHICHAROS 1-SEMA</t>
  </si>
  <si>
    <t>MANZANA 3-SEMANA</t>
  </si>
  <si>
    <t>PLATANO 3-SEMANA</t>
  </si>
  <si>
    <t>GUAYABA 1-SEMANA</t>
  </si>
  <si>
    <t>AGUA FRESCA DIARIO</t>
  </si>
  <si>
    <t>REFRESCO 2-SEMANA</t>
  </si>
  <si>
    <t>ALCOHOL 2-SEMAA</t>
  </si>
  <si>
    <t>SAL DIARIO</t>
  </si>
  <si>
    <t>OREGANO 1-SEMANA</t>
  </si>
  <si>
    <t>PAPAS 1-SEMANA</t>
  </si>
  <si>
    <t>REGULARMENTE</t>
  </si>
  <si>
    <t>1-2 VECES?</t>
  </si>
  <si>
    <t>SM048</t>
  </si>
  <si>
    <t>jardin de san jose</t>
  </si>
  <si>
    <t>en 2011</t>
  </si>
  <si>
    <t>abdominoplastia</t>
  </si>
  <si>
    <t>coahuila</t>
  </si>
  <si>
    <t>padre y abuela materna</t>
  </si>
  <si>
    <t>abuela paterna</t>
  </si>
  <si>
    <t>Cereal/semanal</t>
  </si>
  <si>
    <t>Nuez/mensual</t>
  </si>
  <si>
    <t>Papa/semanal</t>
  </si>
  <si>
    <t>Vegetales/semanal</t>
  </si>
  <si>
    <t>legumbres/semanal</t>
  </si>
  <si>
    <t>Mango/semanal</t>
  </si>
  <si>
    <t>agua fresca/diario</t>
  </si>
  <si>
    <t>refresco/semanal</t>
  </si>
  <si>
    <t>Pimienta/semanal</t>
  </si>
  <si>
    <t>Albahaca/semanal</t>
  </si>
  <si>
    <t>churro/semanal</t>
  </si>
  <si>
    <t>SM049</t>
  </si>
  <si>
    <t>sinaloa</t>
  </si>
  <si>
    <t>ARQUITECTO</t>
  </si>
  <si>
    <t>Real cantabria</t>
  </si>
  <si>
    <t>Frijol/diario</t>
  </si>
  <si>
    <t>Zanahoria</t>
  </si>
  <si>
    <t>papa</t>
  </si>
  <si>
    <t>nopales</t>
  </si>
  <si>
    <t>Melon/diairo</t>
  </si>
  <si>
    <t>agua/diario</t>
  </si>
  <si>
    <t>Agua de frutas/diario</t>
  </si>
  <si>
    <t>papas fritas/mensual</t>
  </si>
  <si>
    <t>Hamburguesa/mensual</t>
  </si>
  <si>
    <t>Pizza/mensual</t>
  </si>
  <si>
    <t>SM050</t>
  </si>
  <si>
    <t>hemorroides</t>
  </si>
  <si>
    <t>antidepresivos circulatorios y diureticos</t>
  </si>
  <si>
    <t>homeopatia</t>
  </si>
  <si>
    <t>tepatitlan</t>
  </si>
  <si>
    <t>michoacan</t>
  </si>
  <si>
    <t xml:space="preserve">tepatitlan </t>
  </si>
  <si>
    <t>madre y padre</t>
  </si>
  <si>
    <t>madre padre y tias</t>
  </si>
  <si>
    <t>enfermedad renal(padre y madre)</t>
  </si>
  <si>
    <t>Pan/diario</t>
  </si>
  <si>
    <t>Brocoli/semanal</t>
  </si>
  <si>
    <t>verduras /diario</t>
  </si>
  <si>
    <t>Pera/semanal</t>
  </si>
  <si>
    <t>Platano/semanal</t>
  </si>
  <si>
    <t>fresa/semanal</t>
  </si>
  <si>
    <t>fresa</t>
  </si>
  <si>
    <t>piña</t>
  </si>
  <si>
    <t>coctel</t>
  </si>
  <si>
    <t>Ajo/diario</t>
  </si>
  <si>
    <t>SM051</t>
  </si>
  <si>
    <t>supervisor de auditores</t>
  </si>
  <si>
    <t>jalisco</t>
  </si>
  <si>
    <t>Cacahuates/diario</t>
  </si>
  <si>
    <t>Nuez/diario</t>
  </si>
  <si>
    <t>Almendra/diario</t>
  </si>
  <si>
    <t>Lechuga</t>
  </si>
  <si>
    <t>Brocoli</t>
  </si>
  <si>
    <t>Refresco/mensual</t>
  </si>
  <si>
    <t>Azucar/diario</t>
  </si>
  <si>
    <t>SM 52</t>
  </si>
  <si>
    <t>48 años</t>
  </si>
  <si>
    <t>Servidor publico</t>
  </si>
  <si>
    <t>Insurgentes</t>
  </si>
  <si>
    <t>Sí, (1 copa al mes o menos, desde los 14 años)</t>
  </si>
  <si>
    <t>bosobasostumia, apendicitis, tendon del dedo meñique</t>
  </si>
  <si>
    <t>Zapotlanejo</t>
  </si>
  <si>
    <t>Los altos, jalisco</t>
  </si>
  <si>
    <t>Los altos, Jalisco</t>
  </si>
  <si>
    <t>Sí, mamá</t>
  </si>
  <si>
    <t>1vez por mes</t>
  </si>
  <si>
    <t>4 veces por semana</t>
  </si>
  <si>
    <t>3 a 5</t>
  </si>
  <si>
    <t>SM053</t>
  </si>
  <si>
    <t>CENTRO</t>
  </si>
  <si>
    <t>15AÑOS</t>
  </si>
  <si>
    <t>DERMATITIS</t>
  </si>
  <si>
    <t>ANTINFLAMATORIOS, ANTIESTAMINICOS</t>
  </si>
  <si>
    <t>NUEVO LEON</t>
  </si>
  <si>
    <t>ABUELA MATERNA</t>
  </si>
  <si>
    <t>4TORTILLAS DIARIAS</t>
  </si>
  <si>
    <t>102VECES A LA SEMANA</t>
  </si>
  <si>
    <t>DIAARIO</t>
  </si>
  <si>
    <t>REFRESCO</t>
  </si>
  <si>
    <t>PIMUENTA</t>
  </si>
  <si>
    <t>MOZTAZA</t>
  </si>
  <si>
    <t>TACOS</t>
  </si>
  <si>
    <t>TORTAS</t>
  </si>
  <si>
    <t>ATUN</t>
  </si>
  <si>
    <t>80?</t>
  </si>
  <si>
    <t>SM054</t>
  </si>
  <si>
    <t>empleado</t>
  </si>
  <si>
    <t>la arboleda</t>
  </si>
  <si>
    <t>rayos X</t>
  </si>
  <si>
    <t>gabapentina</t>
  </si>
  <si>
    <t>df</t>
  </si>
  <si>
    <t>Maiz/diario</t>
  </si>
  <si>
    <t>Pepino/diario</t>
  </si>
  <si>
    <t>chiles</t>
  </si>
  <si>
    <t>sandia/semanal</t>
  </si>
  <si>
    <t>refresco/diario</t>
  </si>
  <si>
    <t>papas fritas</t>
  </si>
  <si>
    <t>SM055</t>
  </si>
  <si>
    <t>rinconadas del auditorio</t>
  </si>
  <si>
    <t>SONORA</t>
  </si>
  <si>
    <t>Abuelos maternos.</t>
  </si>
  <si>
    <t>abuelos paternos</t>
  </si>
  <si>
    <t>menual</t>
  </si>
  <si>
    <t>Cabalaza/diario</t>
  </si>
  <si>
    <t>Uva/semanal</t>
  </si>
  <si>
    <t>Agua de sabor/semanal</t>
  </si>
  <si>
    <t>hierbas finas/diario</t>
  </si>
  <si>
    <t>Laurel/diario</t>
  </si>
  <si>
    <t>pizza/semanal</t>
  </si>
  <si>
    <t>hot-dogs/semanal</t>
  </si>
  <si>
    <t>SM056</t>
  </si>
  <si>
    <t>vesicula y hemorroides</t>
  </si>
  <si>
    <t>Alergias</t>
  </si>
  <si>
    <t>TAMAULIPAS</t>
  </si>
  <si>
    <t>df y puebla</t>
  </si>
  <si>
    <t>abuela</t>
  </si>
  <si>
    <t>tias</t>
  </si>
  <si>
    <t>tias y abuelo</t>
  </si>
  <si>
    <t>Semillas/semanal</t>
  </si>
  <si>
    <t>chayote</t>
  </si>
  <si>
    <t>mixtas/mensual</t>
  </si>
  <si>
    <t>Papaya/mensual</t>
  </si>
  <si>
    <t>fruta de temporada</t>
  </si>
  <si>
    <t>Agua de frutas/semanal</t>
  </si>
  <si>
    <t>Azucar</t>
  </si>
  <si>
    <t>Frituras/semanal</t>
  </si>
  <si>
    <t>chocolates/semanal</t>
  </si>
  <si>
    <t>dulces/semanal</t>
  </si>
  <si>
    <t>SM057</t>
  </si>
  <si>
    <t>2 cesareas, apendice y vesicula</t>
  </si>
  <si>
    <t>Alergia (rinitis alergica)</t>
  </si>
  <si>
    <t>padre y abuelos</t>
  </si>
  <si>
    <t>Avena/semanal</t>
  </si>
  <si>
    <t>Mayonesa/diario</t>
  </si>
  <si>
    <t>Aguacate/diario</t>
  </si>
  <si>
    <t>Verduras/semanal</t>
  </si>
  <si>
    <t>Piña/semanal</t>
  </si>
  <si>
    <t>Guayaba/semanal</t>
  </si>
  <si>
    <t>Fresas/semanal</t>
  </si>
  <si>
    <t>Café/semanal</t>
  </si>
  <si>
    <t>Sal con ajo/mensual</t>
  </si>
  <si>
    <t>SM058</t>
  </si>
  <si>
    <t>LAE</t>
  </si>
  <si>
    <t>morelos</t>
  </si>
  <si>
    <t>HIPOTIROIDISMO</t>
  </si>
  <si>
    <t>levotiroxina AINES</t>
  </si>
  <si>
    <t>calcio, omegas 3 y 6</t>
  </si>
  <si>
    <t>hipertiroidismo (primas)</t>
  </si>
  <si>
    <t>Mantequilla/semanal</t>
  </si>
  <si>
    <t>Pepino/semanal</t>
  </si>
  <si>
    <t>Toronja/semanal</t>
  </si>
  <si>
    <t>Fresa/semanal</t>
  </si>
  <si>
    <t>Sal</t>
  </si>
  <si>
    <t>SM059</t>
  </si>
  <si>
    <t>exfumadora</t>
  </si>
  <si>
    <t>Mamografia y rayos X</t>
  </si>
  <si>
    <t>papa, tios y abuelos</t>
  </si>
  <si>
    <t>papas, hermanos, tios</t>
  </si>
  <si>
    <t>Fallo renal (padre y hermanos)</t>
  </si>
  <si>
    <t>muy poco</t>
  </si>
  <si>
    <t>SM060</t>
  </si>
  <si>
    <t>Depresion y ansiedad</t>
  </si>
  <si>
    <t>tia</t>
  </si>
  <si>
    <t>prima</t>
  </si>
  <si>
    <t>SM061</t>
  </si>
  <si>
    <t>polanco</t>
  </si>
  <si>
    <t>nayarit</t>
  </si>
  <si>
    <t>Tortillas/diario</t>
  </si>
  <si>
    <t>Frijoles/diario</t>
  </si>
  <si>
    <t>Galletas/semanal</t>
  </si>
  <si>
    <t>Jitomate</t>
  </si>
  <si>
    <t>Calabaza</t>
  </si>
  <si>
    <t>Melon</t>
  </si>
  <si>
    <t>Sandia</t>
  </si>
  <si>
    <t>Agua fresca/semanal</t>
  </si>
  <si>
    <t>SM062</t>
  </si>
  <si>
    <t>5TA VERDE</t>
  </si>
  <si>
    <t>ABUELA</t>
  </si>
  <si>
    <t>AGUACATE</t>
  </si>
  <si>
    <t>OLIVO</t>
  </si>
  <si>
    <t>5DIARIAS</t>
  </si>
  <si>
    <t>SM063</t>
  </si>
  <si>
    <t>mamografia</t>
  </si>
  <si>
    <t>levotiroxina</t>
  </si>
  <si>
    <t>padres</t>
  </si>
  <si>
    <t>tios</t>
  </si>
  <si>
    <t>SM064</t>
  </si>
  <si>
    <t>SER.PUBLICO</t>
  </si>
  <si>
    <t>SI,METROPOLOL.LOZARTAN,HIDROCLORIATIZIDA</t>
  </si>
  <si>
    <t>CELEBREX</t>
  </si>
  <si>
    <t>HIPERTENCION, ACIDO ACETILICITICO, PARACETAMOL</t>
  </si>
  <si>
    <t>JAL, NAYARIT</t>
  </si>
  <si>
    <t>MADRE Y PAPA</t>
  </si>
  <si>
    <t>ARROZ 2SEMANA</t>
  </si>
  <si>
    <t>CEREAL 2 SEMANA</t>
  </si>
  <si>
    <t>FRIJOL 2 SEMANA</t>
  </si>
  <si>
    <t>ACEITE OLIVO DIARIO</t>
  </si>
  <si>
    <t>3 SEMANA</t>
  </si>
  <si>
    <t>MELON</t>
  </si>
  <si>
    <t>SM065</t>
  </si>
  <si>
    <t>molinos</t>
  </si>
  <si>
    <t>ninguno</t>
  </si>
  <si>
    <t>sobrina</t>
  </si>
  <si>
    <t>hermana</t>
  </si>
  <si>
    <t>Pan integral/semanal</t>
  </si>
  <si>
    <t>Avena/diario</t>
  </si>
  <si>
    <t>Nopales/diario</t>
  </si>
  <si>
    <t>Camote</t>
  </si>
  <si>
    <t>Piña</t>
  </si>
  <si>
    <t>Agua de coco</t>
  </si>
  <si>
    <t>SM066</t>
  </si>
  <si>
    <t>mexico</t>
  </si>
  <si>
    <t>tios, abuelos</t>
  </si>
  <si>
    <t>bisabuela</t>
  </si>
  <si>
    <t>Cereal/diario</t>
  </si>
  <si>
    <t>SM067</t>
  </si>
  <si>
    <t>QUINTANA ROO</t>
  </si>
  <si>
    <t>SI/21 AÑOS/1 COPA A LA SEMANA</t>
  </si>
  <si>
    <t>HUMO</t>
  </si>
  <si>
    <t>SI/8 RADROGRAFIAS</t>
  </si>
  <si>
    <t>BETAMETAZONA</t>
  </si>
  <si>
    <t>MICHOACAN</t>
  </si>
  <si>
    <t>SI/MADRE,ABUELA</t>
  </si>
  <si>
    <t>SI/PADRES</t>
  </si>
  <si>
    <t>SI/ABUELA</t>
  </si>
  <si>
    <t>SI/MADRE</t>
  </si>
  <si>
    <t>AVENA</t>
  </si>
  <si>
    <t>NUEZ 3 VECES A LA SEMANA</t>
  </si>
  <si>
    <t>MANTECA</t>
  </si>
  <si>
    <t>CARNE ROJA,POLLO DIARIO</t>
  </si>
  <si>
    <t>SALCHICHA 1 SEMANAL</t>
  </si>
  <si>
    <t>LECHE ENTERA 3 VECES A LA SEMANA</t>
  </si>
  <si>
    <t>2 VECES AL MES</t>
  </si>
  <si>
    <t>PAPA 1 VEZ A LA SEMANA</t>
  </si>
  <si>
    <t>JITOMATE DIARIO</t>
  </si>
  <si>
    <t>PIÑA</t>
  </si>
  <si>
    <t>REFRESCO 1 VEZ A LA SEMANA</t>
  </si>
  <si>
    <t>AGUA 2 L AL DIA</t>
  </si>
  <si>
    <t>AGUAS FRESCAS 2 VECES A LA SEMANA</t>
  </si>
  <si>
    <t>PAN 3 VECES A LA SEMANA</t>
  </si>
  <si>
    <t>PAPAS 1 VEZ A LA SEMANA</t>
  </si>
  <si>
    <t>CHURROS 1 VEZ A LA SEMANA</t>
  </si>
  <si>
    <t>SM068</t>
  </si>
  <si>
    <t>Antiinflamatorio</t>
  </si>
  <si>
    <t>Pan/semanal</t>
  </si>
  <si>
    <t>Almendra</t>
  </si>
  <si>
    <t>Aguacate</t>
  </si>
  <si>
    <t>Espinaca</t>
  </si>
  <si>
    <t>Betabel</t>
  </si>
  <si>
    <t>Perejil</t>
  </si>
  <si>
    <t>Elote</t>
  </si>
  <si>
    <t>Champiñon</t>
  </si>
  <si>
    <t>Piña/diario</t>
  </si>
  <si>
    <t>Café</t>
  </si>
  <si>
    <t>Te</t>
  </si>
  <si>
    <t>Papas/mensual</t>
  </si>
  <si>
    <t>Chocolate/semanal</t>
  </si>
  <si>
    <t>SM069</t>
  </si>
  <si>
    <t>EL MORAL II</t>
  </si>
  <si>
    <t>SI/DESDEE17 AÑOS 1O MENOS AL  MES</t>
  </si>
  <si>
    <t xml:space="preserve"> 14 AÑOS</t>
  </si>
  <si>
    <t>CESARIAS/25-10-2018</t>
  </si>
  <si>
    <t>CALESASIS EN EL EMBARAZO</t>
  </si>
  <si>
    <t>ABUELA Y TIOS PATERNOS</t>
  </si>
  <si>
    <t>RENAL TIOS PATERNOS</t>
  </si>
  <si>
    <t>PAN 1-2DIARIOS</t>
  </si>
  <si>
    <t>ARROS 2 A 3</t>
  </si>
  <si>
    <t>AVENA 2-3</t>
  </si>
  <si>
    <t>AGUACATE SEMANA</t>
  </si>
  <si>
    <t>SEMILLAS SEMANAL</t>
  </si>
  <si>
    <t>1 MES</t>
  </si>
  <si>
    <t>4 SEMANA</t>
  </si>
  <si>
    <t>DIARIO LECHE</t>
  </si>
  <si>
    <t>CALABAZA 4 SEMANA</t>
  </si>
  <si>
    <t>ZANAHORIA 4 SEMANA</t>
  </si>
  <si>
    <t>CHAYOE 4 SEMANA</t>
  </si>
  <si>
    <t>ELOTE 1 MES</t>
  </si>
  <si>
    <t>TUNA, MELON, PAPAYA</t>
  </si>
  <si>
    <t>AGUA FRESCA</t>
  </si>
  <si>
    <t>AGUA NATURAL</t>
  </si>
  <si>
    <t>HIERVASSECAS</t>
  </si>
  <si>
    <t>PAN O GALLETAS DIARIO</t>
  </si>
  <si>
    <t>FLAN O DULCE DIARIO</t>
  </si>
  <si>
    <t>PAPAS, SEMANAL</t>
  </si>
  <si>
    <t>SM070</t>
  </si>
  <si>
    <t>SM071</t>
  </si>
  <si>
    <t>toma yodo radioactivo</t>
  </si>
  <si>
    <t>laparotomias</t>
  </si>
  <si>
    <t>faringitis hipertiroidismo</t>
  </si>
  <si>
    <t>levotiroxina,omeprazol, spasmopiu, espven enzimatico, angiotrofin Ap 90</t>
  </si>
  <si>
    <t>ibuprofeno</t>
  </si>
  <si>
    <t>Cd. Mexico</t>
  </si>
  <si>
    <t>abuelas</t>
  </si>
  <si>
    <t>madre y abuela</t>
  </si>
  <si>
    <t>hiper/hipo tiroidismo (madre)</t>
  </si>
  <si>
    <t>Sandia/diario</t>
  </si>
  <si>
    <t>agua natural</t>
  </si>
  <si>
    <t>sueros</t>
  </si>
  <si>
    <t>sal/diario</t>
  </si>
  <si>
    <t>Hierbas finas/semanal</t>
  </si>
  <si>
    <t>SM072</t>
  </si>
  <si>
    <t>VERACRUZ</t>
  </si>
  <si>
    <t>veracruz</t>
  </si>
  <si>
    <t>moderado</t>
  </si>
  <si>
    <t>SM073</t>
  </si>
  <si>
    <t>camichines ll</t>
  </si>
  <si>
    <t>Cesarea y aumento de busto</t>
  </si>
  <si>
    <t>MULTIVITAMINICO y oxido nitrico</t>
  </si>
  <si>
    <t>abuelos y tios</t>
  </si>
  <si>
    <t>Cebolla/diario</t>
  </si>
  <si>
    <t>Chile/diario</t>
  </si>
  <si>
    <t>Papaya/semanal</t>
  </si>
  <si>
    <t>fresas</t>
  </si>
  <si>
    <t>Alcohol/semanal</t>
  </si>
  <si>
    <t>Nieve/semanal</t>
  </si>
  <si>
    <t>Papasfritas/semanal</t>
  </si>
  <si>
    <t>ocasionalmente</t>
  </si>
  <si>
    <t>SM074</t>
  </si>
  <si>
    <t>28/julio-/2018</t>
  </si>
  <si>
    <t>embarazo ectopico</t>
  </si>
  <si>
    <t>COMPLEJO B</t>
  </si>
  <si>
    <t>SM075</t>
  </si>
  <si>
    <t>S.P.</t>
  </si>
  <si>
    <t>Homeopatia y control de peso</t>
  </si>
  <si>
    <t>Granola/diario</t>
  </si>
  <si>
    <t>Almendras/semanal</t>
  </si>
  <si>
    <t>Espinaca/diario</t>
  </si>
  <si>
    <t>5 diarias</t>
  </si>
  <si>
    <t>SM076</t>
  </si>
  <si>
    <t>abuelo materno</t>
  </si>
  <si>
    <t>mama</t>
  </si>
  <si>
    <t>Arroz</t>
  </si>
  <si>
    <t>Frijol</t>
  </si>
  <si>
    <t>Uvas</t>
  </si>
  <si>
    <t>Papaya</t>
  </si>
  <si>
    <t>Refresco</t>
  </si>
  <si>
    <t>Agua</t>
  </si>
  <si>
    <t>Jugos</t>
  </si>
  <si>
    <t>papas</t>
  </si>
  <si>
    <t>SM077</t>
  </si>
  <si>
    <t>abuelo</t>
  </si>
  <si>
    <t>Jitomate/semanal</t>
  </si>
  <si>
    <t>Cebolla/semanal</t>
  </si>
  <si>
    <t>Fresas/diario</t>
  </si>
  <si>
    <t>Melon/diario</t>
  </si>
  <si>
    <t>SM078</t>
  </si>
  <si>
    <t>Chayote/semanl</t>
  </si>
  <si>
    <t>Durazno</t>
  </si>
  <si>
    <t>de 2 a 3</t>
  </si>
  <si>
    <t>poco</t>
  </si>
  <si>
    <t>SM079</t>
  </si>
  <si>
    <t>sector publico</t>
  </si>
  <si>
    <t>nimesulida</t>
  </si>
  <si>
    <t>Manteca/semanal</t>
  </si>
  <si>
    <t>Verdes/diario</t>
  </si>
  <si>
    <t>Elote/semanal</t>
  </si>
  <si>
    <t>Jicama/diario</t>
  </si>
  <si>
    <t>Mixtas/diario</t>
  </si>
  <si>
    <t>refreco/diario</t>
  </si>
  <si>
    <t>varios/diario</t>
  </si>
  <si>
    <t>SM080</t>
  </si>
  <si>
    <t>santa cecilia</t>
  </si>
  <si>
    <t>Pan/semanl</t>
  </si>
  <si>
    <t>Mantequilla/diario</t>
  </si>
  <si>
    <t xml:space="preserve">Verduras </t>
  </si>
  <si>
    <t>Uvas/semanal</t>
  </si>
  <si>
    <t>diairo</t>
  </si>
  <si>
    <t>dulces</t>
  </si>
  <si>
    <t>SM081</t>
  </si>
  <si>
    <t>ingeniero</t>
  </si>
  <si>
    <t>villas del valle</t>
  </si>
  <si>
    <t>chayote/mensual</t>
  </si>
  <si>
    <t>papa/mensual</t>
  </si>
  <si>
    <t>Pera/mensual</t>
  </si>
  <si>
    <t>Jicama/mensual</t>
  </si>
  <si>
    <t>platano/mensual</t>
  </si>
  <si>
    <t>frituras/semanal</t>
  </si>
  <si>
    <t>SM082</t>
  </si>
  <si>
    <t>Frijol/diairo</t>
  </si>
  <si>
    <t>chayote/semana</t>
  </si>
  <si>
    <t>Elote/mensual</t>
  </si>
  <si>
    <t>Papaya/diario</t>
  </si>
  <si>
    <t>Fresa/diario</t>
  </si>
  <si>
    <t>pimienta/semanal</t>
  </si>
  <si>
    <t>Mejorana/Semanal</t>
  </si>
  <si>
    <t>papas/mensual</t>
  </si>
  <si>
    <t>SM083</t>
  </si>
  <si>
    <t>auditorio</t>
  </si>
  <si>
    <t>de cadera</t>
  </si>
  <si>
    <t>Trotilla/diairo</t>
  </si>
  <si>
    <t>betabel</t>
  </si>
  <si>
    <t>brocoli</t>
  </si>
  <si>
    <t>Melon chino/diario</t>
  </si>
  <si>
    <t>tede manzanilla/diario</t>
  </si>
  <si>
    <t>tacos/semanal</t>
  </si>
  <si>
    <t>SM084</t>
  </si>
  <si>
    <t>nsi</t>
  </si>
  <si>
    <t>HISTERECTOMIA</t>
  </si>
  <si>
    <t>de 3 a 5</t>
  </si>
  <si>
    <t>SM085</t>
  </si>
  <si>
    <t>gobierno</t>
  </si>
  <si>
    <t>tlaquepaque</t>
  </si>
  <si>
    <t>Aceite de oliva/diario</t>
  </si>
  <si>
    <t>atun</t>
  </si>
  <si>
    <t>SM86</t>
  </si>
  <si>
    <t>47 años</t>
  </si>
  <si>
    <t>Secretaria</t>
  </si>
  <si>
    <t>Terralta</t>
  </si>
  <si>
    <t>Ciudad Guzman Jalisco</t>
  </si>
  <si>
    <t>Si, mamá</t>
  </si>
  <si>
    <t>Si, papá y Hermana</t>
  </si>
  <si>
    <t>3 por Semana</t>
  </si>
  <si>
    <t>4 por semana</t>
  </si>
  <si>
    <t>2 por semana</t>
  </si>
  <si>
    <t>Aguas frescas/diario</t>
  </si>
  <si>
    <t>SM 87</t>
  </si>
  <si>
    <t>67 años</t>
  </si>
  <si>
    <t>CD Mexico</t>
  </si>
  <si>
    <t>Ama de casa</t>
  </si>
  <si>
    <t>11 años</t>
  </si>
  <si>
    <t>Santa Maria</t>
  </si>
  <si>
    <t>1 taza /diario</t>
  </si>
  <si>
    <t>4 veces /semana</t>
  </si>
  <si>
    <t>de temporada/diario</t>
  </si>
  <si>
    <t>5 veces/mensual</t>
  </si>
  <si>
    <t>Aguas frescas /diario</t>
  </si>
  <si>
    <t>Muy poca/mensual</t>
  </si>
  <si>
    <t>SM 88</t>
  </si>
  <si>
    <t>GDL, Jal.</t>
  </si>
  <si>
    <t>Administrador</t>
  </si>
  <si>
    <t>zona industrial</t>
  </si>
  <si>
    <t>Si, tipo ll desde hace 2 años/toma metformina con glibenulamida</t>
  </si>
  <si>
    <t xml:space="preserve">Si </t>
  </si>
  <si>
    <t>lumbalgia, miocardio patia dilatada, diabetes</t>
  </si>
  <si>
    <t>diclofenaco ketorolaco</t>
  </si>
  <si>
    <t>espironolactona, bisoprolol, digoxina, metformina y glibenclamida, aloporinol, aspirina protechidroclortiacida</t>
  </si>
  <si>
    <t>CDMX</t>
  </si>
  <si>
    <t>San juan de los lagos</t>
  </si>
  <si>
    <t>CDMX y guanajuato</t>
  </si>
  <si>
    <t>Si, tio</t>
  </si>
  <si>
    <t>Si, abuelas, hermano, tio</t>
  </si>
  <si>
    <t>Si, bisabuela paterna</t>
  </si>
  <si>
    <t>Si, tios, abuela</t>
  </si>
  <si>
    <t>1 vez/Diario</t>
  </si>
  <si>
    <t>2 veces/diario</t>
  </si>
  <si>
    <t>2 veces /diario</t>
  </si>
  <si>
    <t>1 vez/semanal</t>
  </si>
  <si>
    <t>1 vez</t>
  </si>
  <si>
    <t>2 veces</t>
  </si>
  <si>
    <t>3veces</t>
  </si>
  <si>
    <t>3 veces</t>
  </si>
  <si>
    <t>7 veces</t>
  </si>
  <si>
    <t>2 a 3 y 2 guarniciones</t>
  </si>
  <si>
    <t>SM89</t>
  </si>
  <si>
    <t>09/08/-</t>
  </si>
  <si>
    <t>SI/20 años/1 caja</t>
  </si>
  <si>
    <t>SI/18 años/1 copa diaria</t>
  </si>
  <si>
    <t>Durango</t>
  </si>
  <si>
    <t>117/114</t>
  </si>
  <si>
    <t>81/80</t>
  </si>
  <si>
    <t>Mantequilla/1 por semana</t>
  </si>
  <si>
    <t>Mantequilla/1 vez por mes</t>
  </si>
  <si>
    <t>Res/Diario</t>
  </si>
  <si>
    <t>3 por semana</t>
  </si>
  <si>
    <t>Salchicha 4 por semana</t>
  </si>
  <si>
    <t>6 por semana</t>
  </si>
  <si>
    <t>1 por semana</t>
  </si>
  <si>
    <t>Naranja/4 por semana</t>
  </si>
  <si>
    <t>Melón/3 veces por semana</t>
  </si>
  <si>
    <t>Manzana/5 por semana</t>
  </si>
  <si>
    <t>Agua fresca/Diario</t>
  </si>
  <si>
    <t>Agua natural/Diario</t>
  </si>
  <si>
    <t>Solo 1</t>
  </si>
  <si>
    <t xml:space="preserve">SM 90 </t>
  </si>
  <si>
    <t>San Juan de los lagos</t>
  </si>
  <si>
    <t>Zona industrial</t>
  </si>
  <si>
    <t>Sí,desde los 16 años</t>
  </si>
  <si>
    <t>complejos ventriculares prematuros o paroxisticos</t>
  </si>
  <si>
    <t>Metroprolol, propafenona, omeprazol, atorbastotina, acenocumarina</t>
  </si>
  <si>
    <t>San juan, San julian</t>
  </si>
  <si>
    <t>San juan, guanajuato</t>
  </si>
  <si>
    <t>Sí, hermano</t>
  </si>
  <si>
    <t>Sí, abuelas</t>
  </si>
  <si>
    <t>Sí, hermanos</t>
  </si>
  <si>
    <t>SM 91</t>
  </si>
  <si>
    <t>43 años</t>
  </si>
  <si>
    <t>Ciudad Guzman  Jalisco</t>
  </si>
  <si>
    <t xml:space="preserve">S.P. </t>
  </si>
  <si>
    <t>si ( 1 copa por semana)</t>
  </si>
  <si>
    <t>Sobrepeso</t>
  </si>
  <si>
    <t>Esporadicamente</t>
  </si>
  <si>
    <t>Hernia Hiatal de 2do grado</t>
  </si>
  <si>
    <t>Omeprazol c/24hrs., Metocoplamidac/24hrs., y Losartan</t>
  </si>
  <si>
    <t>Si, abuelos paternos</t>
  </si>
  <si>
    <t>Si, papá</t>
  </si>
  <si>
    <t>Aceite de cocina/semanal</t>
  </si>
  <si>
    <t>Aceite de oliva/semanal</t>
  </si>
  <si>
    <t>pollo, res, cerdo/diario</t>
  </si>
  <si>
    <t>jamon</t>
  </si>
  <si>
    <t>fresco, cotija</t>
  </si>
  <si>
    <t xml:space="preserve">Leche, yogurt </t>
  </si>
  <si>
    <t>Chicharo</t>
  </si>
  <si>
    <t>Chiles</t>
  </si>
  <si>
    <t>Citricos de temporada</t>
  </si>
  <si>
    <t>9hrs-15hrs-21rs</t>
  </si>
  <si>
    <t>Ocasional</t>
  </si>
  <si>
    <t>SM 92</t>
  </si>
  <si>
    <t>Sí, abuela materna</t>
  </si>
  <si>
    <t>Bolillo/semanal</t>
  </si>
  <si>
    <t>Aceite/semanal</t>
  </si>
  <si>
    <t>Mantequilla/mensual</t>
  </si>
  <si>
    <t>Atun/mensual</t>
  </si>
  <si>
    <t>Verduras/mensual</t>
  </si>
  <si>
    <t>Aguas frescas/mensual</t>
  </si>
  <si>
    <t>Chile/semanal</t>
  </si>
  <si>
    <t>Sabritas/mensual</t>
  </si>
  <si>
    <t>SM093</t>
  </si>
  <si>
    <t>Michoacán</t>
  </si>
  <si>
    <t>SI/madre</t>
  </si>
  <si>
    <t>108/114</t>
  </si>
  <si>
    <t>70/71</t>
  </si>
  <si>
    <t>Pera/cada 2 días</t>
  </si>
  <si>
    <t>Manzana/cada 3 días</t>
  </si>
  <si>
    <t>Melón/cada 3 días</t>
  </si>
  <si>
    <t>Semanalmente</t>
  </si>
  <si>
    <t>Papitas</t>
  </si>
  <si>
    <t>Hamburguesas</t>
  </si>
  <si>
    <t>SM 94</t>
  </si>
  <si>
    <t>09//08/1982</t>
  </si>
  <si>
    <t>Inspector</t>
  </si>
  <si>
    <t>El zalate</t>
  </si>
  <si>
    <t>No,  1 copa al mes o menos</t>
  </si>
  <si>
    <t>Puede presentarse</t>
  </si>
  <si>
    <t>GDL,Jal.</t>
  </si>
  <si>
    <t>Tortilla</t>
  </si>
  <si>
    <t>Pan</t>
  </si>
  <si>
    <t>Res</t>
  </si>
  <si>
    <t>Revueltos</t>
  </si>
  <si>
    <t>SM 95</t>
  </si>
  <si>
    <t>St. Margarita</t>
  </si>
  <si>
    <t>09 de agosto</t>
  </si>
  <si>
    <t>capsulas de salmon 1 al dia desde hace 2 meses</t>
  </si>
  <si>
    <t>Sí, papa y mama</t>
  </si>
  <si>
    <t>Sí, mama, papa microinfarto</t>
  </si>
  <si>
    <t>Arroz 3 diario</t>
  </si>
  <si>
    <t>Manteca mensual</t>
  </si>
  <si>
    <t>Res 5 veces/semana</t>
  </si>
  <si>
    <t>4 veces/semana</t>
  </si>
  <si>
    <t>6 veces/semana</t>
  </si>
  <si>
    <t>Melon 4 veces/semana</t>
  </si>
  <si>
    <t>Naranja 5 veces/semana</t>
  </si>
  <si>
    <t>Manzana 3 veces/semana</t>
  </si>
  <si>
    <t>Agua natural 2lt/diario</t>
  </si>
  <si>
    <t>Consome/diario</t>
  </si>
  <si>
    <t>Nachos/mensual</t>
  </si>
  <si>
    <t>7:20am, 2pm, 7pm</t>
  </si>
  <si>
    <t>5 veces/semana</t>
  </si>
  <si>
    <t>SM096</t>
  </si>
  <si>
    <t>BAJA CALIFORNIA</t>
  </si>
  <si>
    <t>AMINISTRATIVO</t>
  </si>
  <si>
    <t>JARDINES DEL COUNTRY</t>
  </si>
  <si>
    <t>SI/17 AÑOS/DIARIO</t>
  </si>
  <si>
    <t>SI/17 AÑOS/1 COPA DIARIA</t>
  </si>
  <si>
    <t>FLUOXETINA/1 AL DIA/4 MESES</t>
  </si>
  <si>
    <t>SI/TÍAS PATERNAS</t>
  </si>
  <si>
    <t>SI/PRIMA</t>
  </si>
  <si>
    <t>5 VECES A LA SEMANA</t>
  </si>
  <si>
    <t>1 VEZ POR SEMANA</t>
  </si>
  <si>
    <t>SM 97</t>
  </si>
  <si>
    <t>46 años</t>
  </si>
  <si>
    <t>Tlaquepaque</t>
  </si>
  <si>
    <t>Arros/semanal</t>
  </si>
  <si>
    <t>Avena 2 veces/semana</t>
  </si>
  <si>
    <t>Manteca/anual</t>
  </si>
  <si>
    <t>3 comidas</t>
  </si>
  <si>
    <t>SM98</t>
  </si>
  <si>
    <t>SI/25 años/Diario</t>
  </si>
  <si>
    <t>SI/20 años/consumo mínimo al año</t>
  </si>
  <si>
    <t>SI/padre</t>
  </si>
  <si>
    <t>102/104</t>
  </si>
  <si>
    <t>72/81</t>
  </si>
  <si>
    <t>Cacahuate</t>
  </si>
  <si>
    <t>Chicharrón de puerco</t>
  </si>
  <si>
    <t>Arándano/Semanal</t>
  </si>
  <si>
    <t>Plátano/diario</t>
  </si>
  <si>
    <t>Frambuesa/Semanal</t>
  </si>
  <si>
    <t>Fresa/Semanal</t>
  </si>
  <si>
    <t>Piña/Semanal</t>
  </si>
  <si>
    <t>Botana papas</t>
  </si>
  <si>
    <t>SM 99</t>
  </si>
  <si>
    <t>Del sur</t>
  </si>
  <si>
    <t>Maiz 2 veces /semana</t>
  </si>
  <si>
    <t>Trigo 4 veces /semana</t>
  </si>
  <si>
    <t>Aceite vegetal 2 veces /semana</t>
  </si>
  <si>
    <t>Chayote 2 veces /semana</t>
  </si>
  <si>
    <t>Calabaza/ 2 veces /semana</t>
  </si>
  <si>
    <t>Zanahoria 2 veces/semana</t>
  </si>
  <si>
    <t>Verduras 2 veces/mes</t>
  </si>
  <si>
    <t>Verduras 1 vez/mes</t>
  </si>
  <si>
    <t>Elote 1 vez/mes</t>
  </si>
  <si>
    <t>Manzana 2 veces/semana</t>
  </si>
  <si>
    <t>Platano 3 veces/semana</t>
  </si>
  <si>
    <t>Agua con sabor/ 2 veces/semana</t>
  </si>
  <si>
    <t>Café/ diario</t>
  </si>
  <si>
    <t>Papas fritas 2 veces/semanal</t>
  </si>
  <si>
    <t>Salchicha 2 veces/semana</t>
  </si>
  <si>
    <t>SM100</t>
  </si>
  <si>
    <t>ESTUDIANTE</t>
  </si>
  <si>
    <t>ALAMO INDUSTRIAL</t>
  </si>
  <si>
    <t>SI/TIA PATERNA</t>
  </si>
  <si>
    <t xml:space="preserve">LENTEJAS </t>
  </si>
  <si>
    <t>MESES</t>
  </si>
  <si>
    <t>PERAS</t>
  </si>
  <si>
    <t>MANDARINAS</t>
  </si>
  <si>
    <t>MANZANAS</t>
  </si>
  <si>
    <t>PIMIENTA NEGRA</t>
  </si>
  <si>
    <t>SAL CON AJO</t>
  </si>
  <si>
    <t>SM 101</t>
  </si>
  <si>
    <t>Oficial Operativo</t>
  </si>
  <si>
    <t>San pedro tlaquepaque</t>
  </si>
  <si>
    <t>Sí (1 copa al mes desde los 20 años)</t>
  </si>
  <si>
    <t>Polipo nasal</t>
  </si>
  <si>
    <t>deflazacont</t>
  </si>
  <si>
    <t>Sí, paterno</t>
  </si>
  <si>
    <t>7 Tortillas/diario</t>
  </si>
  <si>
    <t>Frijol 4 veces /semana</t>
  </si>
  <si>
    <t>Maiz tostado 4veces /semana</t>
  </si>
  <si>
    <t>1 diario</t>
  </si>
  <si>
    <t>1 semanal</t>
  </si>
  <si>
    <t>1 mensual</t>
  </si>
  <si>
    <t>Zanahoria 2/semana</t>
  </si>
  <si>
    <t>Papa 2/semana</t>
  </si>
  <si>
    <t>Pescado</t>
  </si>
  <si>
    <t>Pollo</t>
  </si>
  <si>
    <t>Atún</t>
  </si>
  <si>
    <t>Platano 4/semana</t>
  </si>
  <si>
    <t>Papaya 4 veces /semana</t>
  </si>
  <si>
    <t>Manzana 4 pzas/semana</t>
  </si>
  <si>
    <t>Refresco 2 / semanal</t>
  </si>
  <si>
    <t>Papas fritas/semanal</t>
  </si>
  <si>
    <t>SM 102</t>
  </si>
  <si>
    <t>40 años</t>
  </si>
  <si>
    <t>Independencia</t>
  </si>
  <si>
    <t>Sí, desde los 11 años</t>
  </si>
  <si>
    <t>Sí, (1 copaa la semana)</t>
  </si>
  <si>
    <t>sobrepeso</t>
  </si>
  <si>
    <t>Domesticos</t>
  </si>
  <si>
    <t>Rinitis alergica</t>
  </si>
  <si>
    <t>Loratadina</t>
  </si>
  <si>
    <t>Multivitaminico</t>
  </si>
  <si>
    <t>Teocaltiche</t>
  </si>
  <si>
    <t>Tuxpan</t>
  </si>
  <si>
    <t>Teocaltiche, aguas calientes</t>
  </si>
  <si>
    <t>Tuxpan, Santa maria del oro, Jalisco</t>
  </si>
  <si>
    <t>Almendras/diario</t>
  </si>
  <si>
    <t>Olivo/diario</t>
  </si>
  <si>
    <t>Cartamo/diario</t>
  </si>
  <si>
    <t>res y cerdo/ocasional</t>
  </si>
  <si>
    <t>3veces/semana</t>
  </si>
  <si>
    <t>Zanahoria/diaio</t>
  </si>
  <si>
    <t>Chicharos</t>
  </si>
  <si>
    <t>Pera/diario</t>
  </si>
  <si>
    <t>Sal con ajo/diario</t>
  </si>
  <si>
    <t>Mostaza/diario</t>
  </si>
  <si>
    <t>2 a 3</t>
  </si>
  <si>
    <t>institucional</t>
  </si>
  <si>
    <t>SM103</t>
  </si>
  <si>
    <t>PROTECCIÓN CIVIL</t>
  </si>
  <si>
    <t>TETLAN</t>
  </si>
  <si>
    <t>SI/18 AÑOS/1 COPA A LA SEMANA</t>
  </si>
  <si>
    <t>RINOPLASTIA</t>
  </si>
  <si>
    <t>ELOTES</t>
  </si>
  <si>
    <t>MIXTAS</t>
  </si>
  <si>
    <t>SM 104</t>
  </si>
  <si>
    <t>Oficial P.C.</t>
  </si>
  <si>
    <t>Cañada real</t>
  </si>
  <si>
    <t>de adulto despues de los 38</t>
  </si>
  <si>
    <t>Eventualmente</t>
  </si>
  <si>
    <t>Minimo</t>
  </si>
  <si>
    <t>100gr/ mensuales</t>
  </si>
  <si>
    <t>300 gr/semana</t>
  </si>
  <si>
    <t>200gr/semana</t>
  </si>
  <si>
    <t>600gr/semana</t>
  </si>
  <si>
    <t>100gr/semana</t>
  </si>
  <si>
    <t>800gr/semana</t>
  </si>
  <si>
    <t>40gr/diario</t>
  </si>
  <si>
    <t>40 gr/diario</t>
  </si>
  <si>
    <t>350ml/semana</t>
  </si>
  <si>
    <t>10gr/semana</t>
  </si>
  <si>
    <t>80gr/semana</t>
  </si>
  <si>
    <t>Depende</t>
  </si>
  <si>
    <t>SM105</t>
  </si>
  <si>
    <t>14 AÑOS</t>
  </si>
  <si>
    <t>50 AÑOS</t>
  </si>
  <si>
    <t>MIOMAS</t>
  </si>
  <si>
    <t>SI/2018</t>
  </si>
  <si>
    <t>SI/MAMÁ</t>
  </si>
  <si>
    <t>SI/PAPÁ</t>
  </si>
  <si>
    <t>AVENA 1 TAZA DIARIA</t>
  </si>
  <si>
    <t>TORTILLAS 4 DIARIAS</t>
  </si>
  <si>
    <t>TRIGO 1 PIEZA</t>
  </si>
  <si>
    <t>POLLO 1 VEZ A LA SEMANA</t>
  </si>
  <si>
    <t>DOS VECES A LA SEMANA</t>
  </si>
  <si>
    <t>4 QUESADILLAS A LA SEMANA</t>
  </si>
  <si>
    <t>1 TAZA DIARIA</t>
  </si>
  <si>
    <t>SM 106</t>
  </si>
  <si>
    <t>20 años</t>
  </si>
  <si>
    <t>Planetario</t>
  </si>
  <si>
    <t>13 años</t>
  </si>
  <si>
    <t>Jalisco, Jalisco</t>
  </si>
  <si>
    <t>Guanajuato, Guadalajara</t>
  </si>
  <si>
    <t>Sí, Bisabuela</t>
  </si>
  <si>
    <t>Frijol 5 veces/semana</t>
  </si>
  <si>
    <t>Mantequilla 4 veces/semana</t>
  </si>
  <si>
    <t>Manteca 1 vez/semana</t>
  </si>
  <si>
    <t>de cerdo</t>
  </si>
  <si>
    <t>2 veces /semana</t>
  </si>
  <si>
    <t>3 veces/semana</t>
  </si>
  <si>
    <t xml:space="preserve">zanahoria 4 veces/semana </t>
  </si>
  <si>
    <t>Calabaza 4 veces/semana</t>
  </si>
  <si>
    <t>Papa 4 veces/semana</t>
  </si>
  <si>
    <t>Elote 2 veces/semana</t>
  </si>
  <si>
    <t>Manzana 4 veces/semana</t>
  </si>
  <si>
    <t>Piña 4 veces /semana</t>
  </si>
  <si>
    <t>Platano 2 veces/semana</t>
  </si>
  <si>
    <t>Refresco 4 veces/semana</t>
  </si>
  <si>
    <t>Agua de frutas naturales 4 veces/semana</t>
  </si>
  <si>
    <t>Pimienta 4 veces/semana</t>
  </si>
  <si>
    <t>Sazonador 3 veces/semana</t>
  </si>
  <si>
    <t>Takis 3 veces/semana</t>
  </si>
  <si>
    <t>Galletas 3 veces/semana</t>
  </si>
  <si>
    <t>3 a 4</t>
  </si>
  <si>
    <t>10am, 9pm</t>
  </si>
  <si>
    <t>SM107</t>
  </si>
  <si>
    <t>MECANICO</t>
  </si>
  <si>
    <t>SM108</t>
  </si>
  <si>
    <t>SI/16 AÑOS</t>
  </si>
  <si>
    <t>SI/16 AÑOS/1 COPA A LA SEMANA</t>
  </si>
  <si>
    <t>SI/PADRE,TÍA MATERNA</t>
  </si>
  <si>
    <t>ACEITES</t>
  </si>
  <si>
    <t>RES</t>
  </si>
  <si>
    <t>4 VECES A LA SEMANA</t>
  </si>
  <si>
    <t>ZANAHORIA 1 VEZ A LA SEMANA</t>
  </si>
  <si>
    <t>PAPA 2 VECES A LA SEMANA</t>
  </si>
  <si>
    <t>OCASIONAL</t>
  </si>
  <si>
    <t>SM109</t>
  </si>
  <si>
    <t>BECARIO</t>
  </si>
  <si>
    <t>JAR. DEL ALAMO</t>
  </si>
  <si>
    <t>SI/14 AÑOS/1 COPA A LA SEMANA</t>
  </si>
  <si>
    <t>SI/2014</t>
  </si>
  <si>
    <t>MARIHUANA</t>
  </si>
  <si>
    <t>PROTEINA/2 AL DIA/3 MESES</t>
  </si>
  <si>
    <t>SINALOA</t>
  </si>
  <si>
    <t>SI/PADRE,MADRE,ABUELOS</t>
  </si>
  <si>
    <t>MAIZ</t>
  </si>
  <si>
    <t>FRIJOLES</t>
  </si>
  <si>
    <t>RES 2 VECES A LA SEMANA</t>
  </si>
  <si>
    <t>CERVEZA</t>
  </si>
  <si>
    <t>PAPITAS</t>
  </si>
  <si>
    <t>CHURROS</t>
  </si>
  <si>
    <t>SM110</t>
  </si>
  <si>
    <t>TLAQUEPAQUE</t>
  </si>
  <si>
    <t>JITOMATE</t>
  </si>
  <si>
    <t>SM111</t>
  </si>
  <si>
    <t>ADMINISTRATIVO</t>
  </si>
  <si>
    <t>NOGALERA</t>
  </si>
  <si>
    <t>SI/19 AÑOS/1 COPA A LA SEMANA</t>
  </si>
  <si>
    <t>SM112</t>
  </si>
  <si>
    <t>SM113</t>
  </si>
  <si>
    <t>SM114</t>
  </si>
  <si>
    <t>SI/1 copa al mes o menos</t>
  </si>
  <si>
    <t>98/92</t>
  </si>
  <si>
    <t>60/62</t>
  </si>
  <si>
    <t>Pan/4 por semana</t>
  </si>
  <si>
    <t>Tortilla/4 por semana</t>
  </si>
  <si>
    <t>Arroz/2 por semana</t>
  </si>
  <si>
    <t>Mantequilla/8 por mes</t>
  </si>
  <si>
    <t>Aceite/4 por semana</t>
  </si>
  <si>
    <t>Panela/5 veces por semana</t>
  </si>
  <si>
    <t>Leche/4 veces por semana</t>
  </si>
  <si>
    <t>2 veces por mes</t>
  </si>
  <si>
    <t>Chayote/2 veces por semana</t>
  </si>
  <si>
    <t>Zanahoria/2 veces por semana</t>
  </si>
  <si>
    <t>Verduras/2 veces por semana</t>
  </si>
  <si>
    <t>Elote/3 veces al mes</t>
  </si>
  <si>
    <t>Manzana/3 veces por semana</t>
  </si>
  <si>
    <t>Pepino/2 veces por semana</t>
  </si>
  <si>
    <t>Jícama/5 veces al mes</t>
  </si>
  <si>
    <t>Jugo natural/3 veces por semana</t>
  </si>
  <si>
    <t>Pimienta/3 veces por semana</t>
  </si>
  <si>
    <t>Sal de ajo/2 veces por semana</t>
  </si>
  <si>
    <t>Papas doradas/3 veces al mes</t>
  </si>
  <si>
    <t>Galletas con chía</t>
  </si>
  <si>
    <t>SI/Natación</t>
  </si>
  <si>
    <t>SM115</t>
  </si>
  <si>
    <t>Sinaloa</t>
  </si>
  <si>
    <t>Oblatos</t>
  </si>
  <si>
    <t>SI/1 copa a la semana</t>
  </si>
  <si>
    <t xml:space="preserve">SI  </t>
  </si>
  <si>
    <t>Placa en pie</t>
  </si>
  <si>
    <t>117/118</t>
  </si>
  <si>
    <t>67/68</t>
  </si>
  <si>
    <t>Pera/Semanal</t>
  </si>
  <si>
    <t>Coca</t>
  </si>
  <si>
    <t>Pimienta/Semanal</t>
  </si>
  <si>
    <t>Consomé/Semanal</t>
  </si>
  <si>
    <t>Comino/Semanal</t>
  </si>
  <si>
    <t>SM116</t>
  </si>
  <si>
    <t>SI/18 años/3 veces por día</t>
  </si>
  <si>
    <t>SI/a los 18 años/1 copa al mes o menos</t>
  </si>
  <si>
    <t>129/118</t>
  </si>
  <si>
    <t>76/72</t>
  </si>
  <si>
    <t>Leguminosas</t>
  </si>
  <si>
    <t>Legumbres</t>
  </si>
  <si>
    <t>Harinas</t>
  </si>
  <si>
    <t>SM117</t>
  </si>
  <si>
    <t>TRABAJADOR</t>
  </si>
  <si>
    <t>RADIOGRAFIAS DE TORAX HACE 10 AÑOS</t>
  </si>
  <si>
    <t>ASMA/BETAMETAZONA</t>
  </si>
  <si>
    <t>SI/ABUELOS</t>
  </si>
  <si>
    <t>SI/LEUCEMIA/PRIMA MATERNA</t>
  </si>
  <si>
    <t>SI/TIA MATERNA</t>
  </si>
  <si>
    <t>2 VECES AL DIA</t>
  </si>
  <si>
    <t>CHOCOLATE</t>
  </si>
  <si>
    <t>SM118</t>
  </si>
  <si>
    <t>LA PRIMAVERA</t>
  </si>
  <si>
    <t>SI/ABUELO</t>
  </si>
  <si>
    <t>PAN</t>
  </si>
  <si>
    <t>SANDIA</t>
  </si>
  <si>
    <t>AGUA DE SABOR</t>
  </si>
  <si>
    <t>PAPAS FRITAS</t>
  </si>
  <si>
    <t>CHICLE</t>
  </si>
  <si>
    <t>SM119</t>
  </si>
  <si>
    <t>NUEVA SANTA MARIA</t>
  </si>
  <si>
    <t>SI/1 COPA A LA SEMANA</t>
  </si>
  <si>
    <t>GRIPA Y TOS</t>
  </si>
  <si>
    <t>HIDALGO</t>
  </si>
  <si>
    <t>MICHOACAN/ZACATECAS</t>
  </si>
  <si>
    <t>ANUAL</t>
  </si>
  <si>
    <t>CHAYOTES</t>
  </si>
  <si>
    <t>MANZANA SEMANAL</t>
  </si>
  <si>
    <t>PERA SEMANAL</t>
  </si>
  <si>
    <t>GUAYABAS DIARIA</t>
  </si>
  <si>
    <t>SODA SEMANAL</t>
  </si>
  <si>
    <t>LACTEOS SEMANAL</t>
  </si>
  <si>
    <t xml:space="preserve">DULCES </t>
  </si>
  <si>
    <t>SM 120</t>
  </si>
  <si>
    <t>Operador de Enlace</t>
  </si>
  <si>
    <t>Sí (1 copa a la semana)</t>
  </si>
  <si>
    <t>Actual</t>
  </si>
  <si>
    <t xml:space="preserve">Michoacan </t>
  </si>
  <si>
    <t>Amaranto/diario</t>
  </si>
  <si>
    <t>Cereal integral/diario</t>
  </si>
  <si>
    <t>Res/mensual</t>
  </si>
  <si>
    <t>Gallina</t>
  </si>
  <si>
    <t>Jamon, salchicha/semanal</t>
  </si>
  <si>
    <t>Cotija, adobera, panela</t>
  </si>
  <si>
    <t>Leche, yogurt</t>
  </si>
  <si>
    <t>Camaron, calamar, filete</t>
  </si>
  <si>
    <t>Germinado/diario</t>
  </si>
  <si>
    <t>Champiñones</t>
  </si>
  <si>
    <t>Elotes</t>
  </si>
  <si>
    <t>Naranja</t>
  </si>
  <si>
    <t>Consome de pollo/semanal</t>
  </si>
  <si>
    <t>1 ó 2</t>
  </si>
  <si>
    <t>SM 121</t>
  </si>
  <si>
    <t>Si, desde los 16 consume 1 vez al mes</t>
  </si>
  <si>
    <t>Si, desde los 16 1 copa a la semana</t>
  </si>
  <si>
    <t>niñes</t>
  </si>
  <si>
    <t>Dengue</t>
  </si>
  <si>
    <t>Ketorolaco 3ml 1 vez/semana</t>
  </si>
  <si>
    <t>Tecalitlan, Jalisco</t>
  </si>
  <si>
    <t>Si, abuelo</t>
  </si>
  <si>
    <t>Integral/semanal</t>
  </si>
  <si>
    <t>Queso/semanal</t>
  </si>
  <si>
    <t>Chorizo/semanal</t>
  </si>
  <si>
    <t>Anual</t>
  </si>
  <si>
    <t>Limon</t>
  </si>
  <si>
    <t>Atun</t>
  </si>
  <si>
    <t>Coca-cola/diario</t>
  </si>
  <si>
    <t>SM 122</t>
  </si>
  <si>
    <t>19 años</t>
  </si>
  <si>
    <t>Benito Juarez</t>
  </si>
  <si>
    <t>El tule, Jalisco</t>
  </si>
  <si>
    <t>Frijol/mensual</t>
  </si>
  <si>
    <t>Arroz/mensual</t>
  </si>
  <si>
    <t>Lentejas/mensual</t>
  </si>
  <si>
    <t>Carnes/semanal</t>
  </si>
  <si>
    <t>Pollo,res/diario</t>
  </si>
  <si>
    <t>Jamon, salchicha</t>
  </si>
  <si>
    <t>Panela, crema</t>
  </si>
  <si>
    <t>Deslactosada</t>
  </si>
  <si>
    <t>Durazno/semanal</t>
  </si>
  <si>
    <t>Agua mineral</t>
  </si>
  <si>
    <t>Ajo</t>
  </si>
  <si>
    <t>Mentas/diario</t>
  </si>
  <si>
    <t>8am, 5pm, 10pm</t>
  </si>
  <si>
    <t>SM123</t>
  </si>
  <si>
    <t>AMARANTO</t>
  </si>
  <si>
    <t>CEREAL DE TRIGO</t>
  </si>
  <si>
    <t>PESCADO,RES,POLLO</t>
  </si>
  <si>
    <t>JAMÓN,SALCHICHA DE PAVO</t>
  </si>
  <si>
    <t>OAXACA,COTIJA,ADOBERA</t>
  </si>
  <si>
    <t>CHAMPIÑONES</t>
  </si>
  <si>
    <t>GALLETA</t>
  </si>
  <si>
    <t>SM124</t>
  </si>
  <si>
    <t>Tonalá,Centro</t>
  </si>
  <si>
    <t>SI/17 años/1 copa a la semana</t>
  </si>
  <si>
    <t>SI/ abuelos paternos</t>
  </si>
  <si>
    <t>SI/abuelo materno</t>
  </si>
  <si>
    <t>102/95</t>
  </si>
  <si>
    <t>59/59</t>
  </si>
  <si>
    <t>Cereal de caja corn flakes/diario</t>
  </si>
  <si>
    <t>Papa/4 veces por semana</t>
  </si>
  <si>
    <t>Manteca de cerdo/Diario</t>
  </si>
  <si>
    <t>Res/3 veces por semana</t>
  </si>
  <si>
    <t>1 vez por semana</t>
  </si>
  <si>
    <t>Zanahoria/3 veces por semana</t>
  </si>
  <si>
    <t>Calabaza/3 veces por semana</t>
  </si>
  <si>
    <t>Chayote/3 veces por semana</t>
  </si>
  <si>
    <t>SM 125</t>
  </si>
  <si>
    <t>Trabajo</t>
  </si>
  <si>
    <t>Lomas Verdes #56</t>
  </si>
  <si>
    <t>GDL, jalisco</t>
  </si>
  <si>
    <t>Avena</t>
  </si>
  <si>
    <t>Trigo</t>
  </si>
  <si>
    <t>Integral</t>
  </si>
  <si>
    <t>Papas</t>
  </si>
  <si>
    <t>Salchichas</t>
  </si>
  <si>
    <t>pollo/semanal</t>
  </si>
  <si>
    <t>chicharos</t>
  </si>
  <si>
    <t>Guayaba/diario</t>
  </si>
  <si>
    <t>Platano /diario</t>
  </si>
  <si>
    <t>Agua natural de sabor</t>
  </si>
  <si>
    <t>refrescos</t>
  </si>
  <si>
    <t>canela</t>
  </si>
  <si>
    <t xml:space="preserve">sal </t>
  </si>
  <si>
    <t xml:space="preserve">pizza </t>
  </si>
  <si>
    <t>hamburguesa</t>
  </si>
  <si>
    <t>tortas</t>
  </si>
  <si>
    <t>Desayuno, fruta cereal y yogurth</t>
  </si>
  <si>
    <t xml:space="preserve">9am </t>
  </si>
  <si>
    <t>SM 126</t>
  </si>
  <si>
    <t>25 años</t>
  </si>
  <si>
    <t>Centro</t>
  </si>
  <si>
    <t>Sí (1 copa al mes desde los 18 años)</t>
  </si>
  <si>
    <t>Atequiza</t>
  </si>
  <si>
    <t>Aceite de cocina/diario</t>
  </si>
  <si>
    <t>Betabel/semanal</t>
  </si>
  <si>
    <t>uvas/semanal</t>
  </si>
  <si>
    <t>Jugos/semanal</t>
  </si>
  <si>
    <t>Licuados/semanal</t>
  </si>
  <si>
    <t>SM127</t>
  </si>
  <si>
    <t>Empleada</t>
  </si>
  <si>
    <t>Res de la Soledad Tlaquepaque</t>
  </si>
  <si>
    <t>Fisuras anales</t>
  </si>
  <si>
    <t>SI/30 años</t>
  </si>
  <si>
    <t>Faringoamigdalitis</t>
  </si>
  <si>
    <t>SI/abuela paterna</t>
  </si>
  <si>
    <t>SI/abuela materna</t>
  </si>
  <si>
    <t>130/121</t>
  </si>
  <si>
    <t>87/85</t>
  </si>
  <si>
    <t>Mantequilla</t>
  </si>
  <si>
    <t>Plátano</t>
  </si>
  <si>
    <t>Agua natural</t>
  </si>
  <si>
    <t>Té</t>
  </si>
  <si>
    <t>Papas fritas</t>
  </si>
  <si>
    <t>Galletas</t>
  </si>
  <si>
    <t>N/A</t>
  </si>
  <si>
    <t>SM128</t>
  </si>
  <si>
    <t>Fraccionamiento Rev</t>
  </si>
  <si>
    <t>SI/18 años/Diario</t>
  </si>
  <si>
    <t>SI/18 años/1 copa al mes o menos</t>
  </si>
  <si>
    <t>Cauterización 14/11/2018</t>
  </si>
  <si>
    <t>Eritema nudoso</t>
  </si>
  <si>
    <t>SI/abuelos maternos</t>
  </si>
  <si>
    <t>SI/abuelos paternos</t>
  </si>
  <si>
    <t>SI/tíos maternos</t>
  </si>
  <si>
    <t>108/100</t>
  </si>
  <si>
    <t>74/76</t>
  </si>
  <si>
    <t>Roja</t>
  </si>
  <si>
    <t>Salchicha</t>
  </si>
  <si>
    <t>Oaxaca, crema y requesón</t>
  </si>
  <si>
    <t>leche</t>
  </si>
  <si>
    <t>Chayote</t>
  </si>
  <si>
    <t>Chiles jalapeños</t>
  </si>
  <si>
    <t>SI/en almíbar</t>
  </si>
  <si>
    <t>Dulces</t>
  </si>
  <si>
    <t>4 o 5</t>
  </si>
  <si>
    <t>SM129</t>
  </si>
  <si>
    <t>Hogar</t>
  </si>
  <si>
    <t>Nogalera</t>
  </si>
  <si>
    <t>/06/1999</t>
  </si>
  <si>
    <t>84/80</t>
  </si>
  <si>
    <t>39/38</t>
  </si>
  <si>
    <t>3/semanal</t>
  </si>
  <si>
    <t>2/mensual</t>
  </si>
  <si>
    <t>SM130</t>
  </si>
  <si>
    <t>SI/5 AÑOS/LOZARTÁN</t>
  </si>
  <si>
    <t>SI/6 MESES/SIN TRATAMIENTO</t>
  </si>
  <si>
    <t>ISTECTOMIA/15 AÑOS</t>
  </si>
  <si>
    <t>HOMEOPATIA</t>
  </si>
  <si>
    <t>SI/PADRES,HERMANO</t>
  </si>
  <si>
    <t>SI/MADRE,ABUELA MATERNA</t>
  </si>
  <si>
    <t>SI/ABUELAS</t>
  </si>
  <si>
    <t>SM131</t>
  </si>
  <si>
    <t>Comerciante</t>
  </si>
  <si>
    <t>La Aurora</t>
  </si>
  <si>
    <t>SI/Hace 1 año/Metformina</t>
  </si>
  <si>
    <t>SI/10 años/1 copa a la semana</t>
  </si>
  <si>
    <t>SI/Madre</t>
  </si>
  <si>
    <t>125/144/134</t>
  </si>
  <si>
    <t>81/97/94</t>
  </si>
  <si>
    <t>SM132</t>
  </si>
  <si>
    <t>Higuerillas</t>
  </si>
  <si>
    <t>SI/Captopril</t>
  </si>
  <si>
    <t>SI/16 años/2 por día</t>
  </si>
  <si>
    <t>SI/abuela</t>
  </si>
  <si>
    <t>SI/abuela y madre</t>
  </si>
  <si>
    <t>Cereal caja/1 al mes</t>
  </si>
  <si>
    <t>3 veces por semana</t>
  </si>
  <si>
    <t>2 veces por semana</t>
  </si>
  <si>
    <t>Casi diario</t>
  </si>
  <si>
    <t>SM133</t>
  </si>
  <si>
    <t>México</t>
  </si>
  <si>
    <t>SI/17 años/5 diarios</t>
  </si>
  <si>
    <t>Intestino</t>
  </si>
  <si>
    <t>NO/9 años</t>
  </si>
  <si>
    <t>Cabergolina/1/2 pastilla lunes/de por vida</t>
  </si>
  <si>
    <t>Cabergolina</t>
  </si>
  <si>
    <t>SI/Padre</t>
  </si>
  <si>
    <t>101/96</t>
  </si>
  <si>
    <t>71/69</t>
  </si>
  <si>
    <t>Almendras</t>
  </si>
  <si>
    <t>Pollo y puerco/diario</t>
  </si>
  <si>
    <t>Jamon/2 veces por semana</t>
  </si>
  <si>
    <t>Mandarina/semanal</t>
  </si>
  <si>
    <t>limón/diario</t>
  </si>
  <si>
    <t>Refresco/2 o 3 diarios</t>
  </si>
  <si>
    <t>Pan dulce/diario</t>
  </si>
  <si>
    <t>SM134</t>
  </si>
  <si>
    <t>Gripe</t>
  </si>
  <si>
    <t>SI/María Elena Aguirre</t>
  </si>
  <si>
    <t>SI/Echeverria</t>
  </si>
  <si>
    <t>Frijol/3 veces por semana</t>
  </si>
  <si>
    <t>Papa/3 veces por semana</t>
  </si>
  <si>
    <t>Tortilla/3 Diario</t>
  </si>
  <si>
    <t>Res/2 veces por semana y puerco/2 veces por semana</t>
  </si>
  <si>
    <t>Pera/1 vez por semana</t>
  </si>
  <si>
    <t>Guayaba/1 vez por semana</t>
  </si>
  <si>
    <t>Uvas/1 vez por semana</t>
  </si>
  <si>
    <t>Coca/1 diario</t>
  </si>
  <si>
    <t>Galletas/3 veces por semana</t>
  </si>
  <si>
    <t>Papas/2 veces por semana</t>
  </si>
  <si>
    <t>SM135</t>
  </si>
  <si>
    <t>Tetlán</t>
  </si>
  <si>
    <t>Desenfriol</t>
  </si>
  <si>
    <t>SI/ABUELA PATERNA</t>
  </si>
  <si>
    <t>92/87</t>
  </si>
  <si>
    <t>67/56</t>
  </si>
  <si>
    <t>Tortilla harina/1 mes</t>
  </si>
  <si>
    <t>Papa/Diario</t>
  </si>
  <si>
    <t>Mixta</t>
  </si>
  <si>
    <t>Pera</t>
  </si>
  <si>
    <t>Agua fresca</t>
  </si>
  <si>
    <t>Jugo</t>
  </si>
  <si>
    <t>SM136</t>
  </si>
  <si>
    <t>SERVICIOS GENERALES</t>
  </si>
  <si>
    <t>TONALÁ</t>
  </si>
  <si>
    <t>PINOL</t>
  </si>
  <si>
    <t>3 RX,2 TOMOGRAFÍAS</t>
  </si>
  <si>
    <t>HERNIA INGUINAL</t>
  </si>
  <si>
    <t>CLORFENAMINA, FENILEFRINA</t>
  </si>
  <si>
    <t>SI/PATERNO PROSTATA</t>
  </si>
  <si>
    <t>MAIZ SEMANAL</t>
  </si>
  <si>
    <t>ARROZ SEMANAL</t>
  </si>
  <si>
    <t>TRIGO SEMANAL</t>
  </si>
  <si>
    <t>MENSUAL</t>
  </si>
  <si>
    <t>CHAYOTE SEMANAL</t>
  </si>
  <si>
    <t>LECHUGA SEMANAL</t>
  </si>
  <si>
    <t>JITOMATE SEMANAL</t>
  </si>
  <si>
    <t>NARANJA SEMANAL</t>
  </si>
  <si>
    <t>MANDARINA SEMANAL</t>
  </si>
  <si>
    <t>COCA COLA</t>
  </si>
  <si>
    <t>SM137</t>
  </si>
  <si>
    <t>San Miguel de Huentitán</t>
  </si>
  <si>
    <t>SI/Resistencia a la insulina</t>
  </si>
  <si>
    <t>SI/a los 10 años/4 cigarros por día</t>
  </si>
  <si>
    <t>SI/ a los 14 años/1 copa al mes o menos</t>
  </si>
  <si>
    <t>SI/hace 1 año y medio</t>
  </si>
  <si>
    <t>Radiografías (2)</t>
  </si>
  <si>
    <t>SI/ abuelas</t>
  </si>
  <si>
    <t>SI/abuelos</t>
  </si>
  <si>
    <t>IRC/Abuelo materno y padre</t>
  </si>
  <si>
    <t>120/111/99</t>
  </si>
  <si>
    <t>71/58/57</t>
  </si>
  <si>
    <t>Tortilla/diariamente</t>
  </si>
  <si>
    <t>Trigo/2 veces por semana</t>
  </si>
  <si>
    <t>Manteca de puerco/diario</t>
  </si>
  <si>
    <t>Res/6 veces por mes, pollo/casi diario</t>
  </si>
  <si>
    <t>Jamon/3 veces por semana</t>
  </si>
  <si>
    <t>1 vez a la semana</t>
  </si>
  <si>
    <t>Rara vez</t>
  </si>
  <si>
    <t>Coca cola</t>
  </si>
  <si>
    <t>2 o 3</t>
  </si>
  <si>
    <t>solo 1</t>
  </si>
  <si>
    <t>SM138</t>
  </si>
  <si>
    <t>SI/15 años/ocasionalmente</t>
  </si>
  <si>
    <t>Asma</t>
  </si>
  <si>
    <t>JALISCO/QUERETARO</t>
  </si>
  <si>
    <t>SI/ABUELO, MADRE, TIOS</t>
  </si>
  <si>
    <t xml:space="preserve">SI/madre </t>
  </si>
  <si>
    <t>SI/ABUELA, MADRE, TIAS, PRIMAS</t>
  </si>
  <si>
    <t>ASMA/ABUELA, BISABUELA, TIA</t>
  </si>
  <si>
    <t>138/135/135</t>
  </si>
  <si>
    <t>86/84/80</t>
  </si>
  <si>
    <t>SM139</t>
  </si>
  <si>
    <t>Fraccionamiento Camichín</t>
  </si>
  <si>
    <t>12 años</t>
  </si>
  <si>
    <t>55 años</t>
  </si>
  <si>
    <t>/02/1981</t>
  </si>
  <si>
    <t>Humo de leña</t>
  </si>
  <si>
    <t>SI/Hermana</t>
  </si>
  <si>
    <t>95/97</t>
  </si>
  <si>
    <t>41/43</t>
  </si>
  <si>
    <t xml:space="preserve">Cereal   </t>
  </si>
  <si>
    <t>Lentejas</t>
  </si>
  <si>
    <t>Normal</t>
  </si>
  <si>
    <t>Mandarina</t>
  </si>
  <si>
    <t>Agua de frutas</t>
  </si>
  <si>
    <t>A veces</t>
  </si>
  <si>
    <t>SM140</t>
  </si>
  <si>
    <t>SI/15 años/1 copa a la semana</t>
  </si>
  <si>
    <t>SI/Tía</t>
  </si>
  <si>
    <t>110/107</t>
  </si>
  <si>
    <t>63/61</t>
  </si>
  <si>
    <t>Papa</t>
  </si>
  <si>
    <t>Diaria</t>
  </si>
  <si>
    <t>Chile</t>
  </si>
  <si>
    <t>Jugo natural</t>
  </si>
  <si>
    <t>Sabritas</t>
  </si>
  <si>
    <t>SM141</t>
  </si>
  <si>
    <t>SM142</t>
  </si>
  <si>
    <t>SI/6 AÑOS/SIN TRATAMIENTO</t>
  </si>
  <si>
    <t>SI/ACTUALMENTE</t>
  </si>
  <si>
    <t>SI/TIOS</t>
  </si>
  <si>
    <t>SI/TIA</t>
  </si>
  <si>
    <t>TORTILLA DIARIA</t>
  </si>
  <si>
    <t>FRIJOL SEMANAL</t>
  </si>
  <si>
    <t>ARROZ MENSUAL</t>
  </si>
  <si>
    <t>MANTECA SEMANAL</t>
  </si>
  <si>
    <t>MANTEQUILLA SEMANAL</t>
  </si>
  <si>
    <t>PAPA FRITAS</t>
  </si>
  <si>
    <t>SALCHIPULPOS</t>
  </si>
  <si>
    <t>SM 143</t>
  </si>
  <si>
    <t>Si, desde los 18 1/3 dias</t>
  </si>
  <si>
    <t>Ocacional, 1 copa a la semana</t>
  </si>
  <si>
    <t>Omeprazol</t>
  </si>
  <si>
    <t>Tepic, Nayarit.</t>
  </si>
  <si>
    <t>xx</t>
  </si>
  <si>
    <t>Si, tio paterno</t>
  </si>
  <si>
    <t xml:space="preserve">Semanal </t>
  </si>
  <si>
    <t>Si, semanal</t>
  </si>
  <si>
    <t>SM 144</t>
  </si>
  <si>
    <t>34 años</t>
  </si>
  <si>
    <t>Ocotlan, Jal</t>
  </si>
  <si>
    <t>Polanco</t>
  </si>
  <si>
    <t>Sí, (1 copa a la semana desde los 18 años)</t>
  </si>
  <si>
    <t>Vasectomia 2014</t>
  </si>
  <si>
    <t>Glucosamina, pronsina, conoroitina.</t>
  </si>
  <si>
    <t>Veracruz</t>
  </si>
  <si>
    <t>Tortillas 7/diario</t>
  </si>
  <si>
    <t>Pastas y Arroz/semanal</t>
  </si>
  <si>
    <t>Nopales/semanal</t>
  </si>
  <si>
    <t>Hojas verdes/semanal</t>
  </si>
  <si>
    <t>Frutas de temporada</t>
  </si>
  <si>
    <t>1 vez Por año</t>
  </si>
  <si>
    <t>Café 2 tazas/diario</t>
  </si>
  <si>
    <t>Sal/en alimentos</t>
  </si>
  <si>
    <t>Pimienta/en alimentos</t>
  </si>
  <si>
    <t>Sí, carrera de montaña o ciclismo</t>
  </si>
  <si>
    <t>SM 145</t>
  </si>
  <si>
    <t>33 años</t>
  </si>
  <si>
    <t>Sayula, Jal</t>
  </si>
  <si>
    <t>Tlajomulco</t>
  </si>
  <si>
    <t>SM146</t>
  </si>
  <si>
    <t>SECRETARIA</t>
  </si>
  <si>
    <t>JARDINES DE LA PAZ</t>
  </si>
  <si>
    <t>SI/16 AÑOS/3 AL MES</t>
  </si>
  <si>
    <t>SI/20 AÑOS/3 VECES AL MES</t>
  </si>
  <si>
    <t>SOBREPESO EN LA ADOLESCENCIA</t>
  </si>
  <si>
    <t>RES,PUERCO,POLLO</t>
  </si>
  <si>
    <t>CHEDDAR</t>
  </si>
  <si>
    <t>CAMARONES</t>
  </si>
  <si>
    <t>UVA</t>
  </si>
  <si>
    <t>AGUA JAMAICA</t>
  </si>
  <si>
    <t>MEJORANA</t>
  </si>
  <si>
    <t>SM 147</t>
  </si>
  <si>
    <t>La barca, Jal.</t>
  </si>
  <si>
    <t>Si, desde los 18, 5 cigarros diarios</t>
  </si>
  <si>
    <t>Si, desde los 18, 1 copa al dia</t>
  </si>
  <si>
    <t>Inflamacion de muela</t>
  </si>
  <si>
    <t>Clonacepan 2 al dia 2mg desde hace 20 años</t>
  </si>
  <si>
    <t>Si, hermana</t>
  </si>
  <si>
    <t>Hemofilia</t>
  </si>
  <si>
    <t>Carne</t>
  </si>
  <si>
    <t>Semanal/poco</t>
  </si>
  <si>
    <t xml:space="preserve">No  </t>
  </si>
  <si>
    <t xml:space="preserve">Sal </t>
  </si>
  <si>
    <t xml:space="preserve">Pimienta </t>
  </si>
  <si>
    <t xml:space="preserve">Ajo </t>
  </si>
  <si>
    <t xml:space="preserve">Papas  </t>
  </si>
  <si>
    <t>SM 148</t>
  </si>
  <si>
    <t>Liebres</t>
  </si>
  <si>
    <t>No, 1 copa a la semana</t>
  </si>
  <si>
    <t>actualmente</t>
  </si>
  <si>
    <t>Cesarea en el 2010</t>
  </si>
  <si>
    <t>Acatic, Jal.</t>
  </si>
  <si>
    <t>Le dan ataques, hermano</t>
  </si>
  <si>
    <t>Confleis fibra</t>
  </si>
  <si>
    <t>Kelos</t>
  </si>
  <si>
    <t>Chococrisis</t>
  </si>
  <si>
    <t>Birria</t>
  </si>
  <si>
    <t>Caldo de res</t>
  </si>
  <si>
    <t>Variable</t>
  </si>
  <si>
    <t>Al gusto</t>
  </si>
  <si>
    <t>De varios</t>
  </si>
  <si>
    <t>leche, yogurth, crema</t>
  </si>
  <si>
    <t>Variados</t>
  </si>
  <si>
    <t>Variadas</t>
  </si>
  <si>
    <t>No me gustan</t>
  </si>
  <si>
    <t>de vez en cuando</t>
  </si>
  <si>
    <t>solo cuando es comprada la comida</t>
  </si>
  <si>
    <t>SM 149</t>
  </si>
  <si>
    <t>Ameca, Jal.</t>
  </si>
  <si>
    <t>Echeverria</t>
  </si>
  <si>
    <t>50 años</t>
  </si>
  <si>
    <t>G8 A1</t>
  </si>
  <si>
    <t xml:space="preserve">Insecticidas en el hogar </t>
  </si>
  <si>
    <t>si, no recuerda</t>
  </si>
  <si>
    <t xml:space="preserve">Gripa/homeopatia/colesterol 6 meses por tratamiento suspendio recientemente </t>
  </si>
  <si>
    <t>homeopatia y complejo B</t>
  </si>
  <si>
    <t xml:space="preserve">Ameca, Jal. </t>
  </si>
  <si>
    <t>Si, madre</t>
  </si>
  <si>
    <t>Si, padre</t>
  </si>
  <si>
    <t>Si, esposo</t>
  </si>
  <si>
    <t>Si, yo</t>
  </si>
  <si>
    <t>Frijoles 1 vez/semana</t>
  </si>
  <si>
    <t>Almendra/mensual</t>
  </si>
  <si>
    <t>Aguacate/mensual</t>
  </si>
  <si>
    <t>2-3 veces/semana</t>
  </si>
  <si>
    <t>Requeson y panela/ 15 dias</t>
  </si>
  <si>
    <t>Leche entera/semanal</t>
  </si>
  <si>
    <t>Calabaza/15 dias</t>
  </si>
  <si>
    <t>Chayote/15 dias</t>
  </si>
  <si>
    <t>Zanahoria/15 dias</t>
  </si>
  <si>
    <t>pepino</t>
  </si>
  <si>
    <t>jicama</t>
  </si>
  <si>
    <t>papaya/naranja</t>
  </si>
  <si>
    <t>Aguas de frutas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</si>
  <si>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</si>
  <si>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</si>
  <si>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</si>
  <si>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</si>
  <si>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</si>
  <si>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</si>
  <si>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</si>
  <si>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</si>
  <si>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</si>
  <si>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</si>
  <si>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</si>
  <si>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</si>
  <si>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</si>
  <si>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</si>
  <si>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</si>
  <si>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</si>
  <si>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SM166</t>
  </si>
  <si>
    <t>SM167</t>
  </si>
  <si>
    <t>SM168</t>
  </si>
  <si>
    <t>SM169</t>
  </si>
  <si>
    <t>SM170</t>
  </si>
  <si>
    <t>SM171</t>
  </si>
  <si>
    <t>SM172</t>
  </si>
  <si>
    <t>SM173</t>
  </si>
  <si>
    <t>SM174</t>
  </si>
  <si>
    <t>SM175</t>
  </si>
  <si>
    <t>SM196</t>
  </si>
  <si>
    <t>ABOGADO</t>
  </si>
  <si>
    <t>PATRIA UNIVERSIDAD</t>
  </si>
  <si>
    <t>SI/16 AÑOS/1 COPA DIARIA</t>
  </si>
  <si>
    <t>OMEPRAZOL</t>
  </si>
  <si>
    <t>FRUTAS</t>
  </si>
  <si>
    <t>JAMAICA</t>
  </si>
  <si>
    <t>TAMARINDO</t>
  </si>
  <si>
    <t>SM 197</t>
  </si>
  <si>
    <t>36 años</t>
  </si>
  <si>
    <t>Lomas de polanco</t>
  </si>
  <si>
    <t>Sí,( 1 copa al mes)</t>
  </si>
  <si>
    <t>entre los 20 y 25 años</t>
  </si>
  <si>
    <t>Hidrocarburos</t>
  </si>
  <si>
    <t>Radiografias</t>
  </si>
  <si>
    <t>Artroscopia de rodilla</t>
  </si>
  <si>
    <t>Leon, Guanajuato</t>
  </si>
  <si>
    <t>Acatlan, Jalisco</t>
  </si>
  <si>
    <t>Sí, tio materno</t>
  </si>
  <si>
    <t>Sí, tio y primos maternos</t>
  </si>
  <si>
    <t>4-5 tortillas/diario</t>
  </si>
  <si>
    <t>Aceites/semanal</t>
  </si>
  <si>
    <t>5 dias/semana</t>
  </si>
  <si>
    <t>4 dias/semana</t>
  </si>
  <si>
    <t>3-4 veces/semana</t>
  </si>
  <si>
    <t>Nopal 5 dias/semana</t>
  </si>
  <si>
    <t>Calabaza 3 dias/semana</t>
  </si>
  <si>
    <t>Hojas verdes 3 dias/semana</t>
  </si>
  <si>
    <t xml:space="preserve">De temporada </t>
  </si>
  <si>
    <t>Piña 1 vez/año</t>
  </si>
  <si>
    <t>Agua natural 2.5lts/diario</t>
  </si>
  <si>
    <t>Agua fresca 3 dias /semana</t>
  </si>
  <si>
    <t>Sal en alimentos</t>
  </si>
  <si>
    <t>SP101</t>
  </si>
  <si>
    <t>ABUELOS,TIOS</t>
  </si>
  <si>
    <t>T</t>
  </si>
  <si>
    <t>MA</t>
  </si>
  <si>
    <t>AGUASCALIENTES</t>
  </si>
  <si>
    <t>ARTRITIS</t>
  </si>
  <si>
    <t>HERMANOS</t>
  </si>
  <si>
    <t>MAMA(HIGADO)</t>
  </si>
  <si>
    <t>MAMOGRAFIAS</t>
  </si>
  <si>
    <t>SAN LUIS P</t>
  </si>
  <si>
    <t>DOTRADAN</t>
  </si>
  <si>
    <t>7AÑOS/LOSARTAN</t>
  </si>
  <si>
    <t>2AÑOS/BEAFIBUTE</t>
  </si>
  <si>
    <t>NAYARIT</t>
  </si>
  <si>
    <t>CLIMIPIDINA/METF</t>
  </si>
  <si>
    <t>118</t>
  </si>
  <si>
    <t>5/4NACIDOS</t>
  </si>
  <si>
    <t>METF</t>
  </si>
  <si>
    <t>BISABUELOS/TIAS ABUELAS</t>
  </si>
  <si>
    <t>119</t>
  </si>
  <si>
    <t>MIRAVALLE</t>
  </si>
  <si>
    <t>RIÑONES</t>
  </si>
  <si>
    <t>SP120</t>
  </si>
  <si>
    <t>ANAPREN</t>
  </si>
  <si>
    <t>PRABASTATINA</t>
  </si>
  <si>
    <t>DEJO10AÑOS</t>
  </si>
  <si>
    <t>REUNIONES</t>
  </si>
  <si>
    <t>SI/METF,INS</t>
  </si>
  <si>
    <t>PAPA,ABUELOS</t>
  </si>
  <si>
    <t>121</t>
  </si>
  <si>
    <t>GYM</t>
  </si>
  <si>
    <t>TIA</t>
  </si>
  <si>
    <t>122</t>
  </si>
  <si>
    <t>SI/5MESES</t>
  </si>
  <si>
    <t>123</t>
  </si>
  <si>
    <t>SP124</t>
  </si>
  <si>
    <t>SI/INFECCION URINARIA</t>
  </si>
  <si>
    <t>HERMANA/PAPA</t>
  </si>
  <si>
    <t>125</t>
  </si>
  <si>
    <t>BESAFIBRATO/PRABASTANINA</t>
  </si>
  <si>
    <t>NO SANGRE</t>
  </si>
  <si>
    <t>127</t>
  </si>
  <si>
    <t>SP128</t>
  </si>
  <si>
    <t>TIA(MA)</t>
  </si>
  <si>
    <t>ABUELO/TIO</t>
  </si>
  <si>
    <t>INSTRUCTOR GYM</t>
  </si>
  <si>
    <t>GUANAJUATO</t>
  </si>
  <si>
    <t>ABUELA(MA)</t>
  </si>
  <si>
    <t>102/91</t>
  </si>
  <si>
    <t>ABUELO(MA)</t>
  </si>
  <si>
    <t>SP132</t>
  </si>
  <si>
    <t>RESEPCIONISTA</t>
  </si>
  <si>
    <t>SINALOA/JAL</t>
  </si>
  <si>
    <t>ABUELA(MA)ABUELO(PA)</t>
  </si>
  <si>
    <t>ABUELO(PA)</t>
  </si>
  <si>
    <t>ABUELA, PADRE</t>
  </si>
  <si>
    <t>RIÑON(HERMANO)</t>
  </si>
  <si>
    <t>GERENTE</t>
  </si>
  <si>
    <t>SP134</t>
  </si>
  <si>
    <t>NO adn</t>
  </si>
  <si>
    <t>LCARNITINA</t>
  </si>
  <si>
    <t>MAMA,PAPA</t>
  </si>
  <si>
    <t>105/90</t>
  </si>
  <si>
    <t>LCARNITINA/ALCACHOFA/IFANOREX</t>
  </si>
  <si>
    <t>ABUELA,MAMA</t>
  </si>
  <si>
    <t>4DIARIOS</t>
  </si>
  <si>
    <t>PAPA,ABUELA(MA)</t>
  </si>
  <si>
    <t>FERROCARRIL</t>
  </si>
  <si>
    <t>MIOMA</t>
  </si>
  <si>
    <t>DOLOR DE RODILLA</t>
  </si>
  <si>
    <t>ANALJESICOS/ANTINFLAMATORIOS</t>
  </si>
  <si>
    <t>HIJO</t>
  </si>
  <si>
    <t>GASOLINERO</t>
  </si>
  <si>
    <t>1CAJA ALDIA</t>
  </si>
  <si>
    <t>ABSESO</t>
  </si>
  <si>
    <t>CIPROFOSAXINO</t>
  </si>
  <si>
    <t>ABUELOS(MA)</t>
  </si>
  <si>
    <t>HIJO(TROMBSISPULMONAL)</t>
  </si>
  <si>
    <t>SP142</t>
  </si>
  <si>
    <t>TECNICOPATOLOGO</t>
  </si>
  <si>
    <t>MEDICDA</t>
  </si>
  <si>
    <t>PIEDRAS EN RIÑON</t>
  </si>
  <si>
    <t>OVARIO POLIQUISTICO</t>
  </si>
  <si>
    <t>PAPAS,ABUELOS</t>
  </si>
  <si>
    <t>MAMA,ABUELA(MA)</t>
  </si>
  <si>
    <t>PRIMA</t>
  </si>
  <si>
    <t>LODEJO</t>
  </si>
  <si>
    <t>CESARIAS</t>
  </si>
  <si>
    <t>VITAMINAS</t>
  </si>
  <si>
    <t>SINALO</t>
  </si>
  <si>
    <t>SONORA/JAL</t>
  </si>
  <si>
    <t>PULMONES Y CORAZON CRECIDO ABUELA</t>
  </si>
  <si>
    <t>estudiante</t>
  </si>
  <si>
    <t>6ALDIA</t>
  </si>
  <si>
    <t>9AÑOS LO DEJO</t>
  </si>
  <si>
    <t>GASTRITIS,PROBLEMAS SIRCULACION</t>
  </si>
  <si>
    <t>MUCHAS</t>
  </si>
  <si>
    <t>JAL/COLIMA</t>
  </si>
  <si>
    <t>PAPA ABUELA(PA)</t>
  </si>
  <si>
    <t>TIO(PA)</t>
  </si>
  <si>
    <t>SP145</t>
  </si>
  <si>
    <t>DESEMPLEADO</t>
  </si>
  <si>
    <t>1MES ANTIVIOTICOS</t>
  </si>
  <si>
    <t>COAHILA</t>
  </si>
  <si>
    <t>TAXCALA/GUANAJUATO</t>
  </si>
  <si>
    <t>PROBLEMAS</t>
  </si>
  <si>
    <t>CLAVO EN RODILLA</t>
  </si>
  <si>
    <t>DREPRESION</t>
  </si>
  <si>
    <t>COCAINA</t>
  </si>
  <si>
    <t>ABUELO Y TIO(MA)</t>
  </si>
  <si>
    <t>CONVULCIONES</t>
  </si>
  <si>
    <t>OAXACA</t>
  </si>
  <si>
    <t>ABUELA MA</t>
  </si>
  <si>
    <t>ESTIDIANTE</t>
  </si>
  <si>
    <t>MIGRAÑAS</t>
  </si>
  <si>
    <t>VITAMINAS Y CARPIMANATO</t>
  </si>
  <si>
    <t>ABUELOS(MA,PA),MAMA</t>
  </si>
  <si>
    <t>ABUELOS(MA,PA),PAPA</t>
  </si>
  <si>
    <t>SAN LUIS</t>
  </si>
  <si>
    <t>INSUFICIENCIA REBALABU</t>
  </si>
  <si>
    <t>METFORMINA</t>
  </si>
  <si>
    <t>METFOR/PRESION</t>
  </si>
  <si>
    <t>DESCONOSE</t>
  </si>
  <si>
    <t>TODA LA VIDA</t>
  </si>
  <si>
    <t>OMEPRASOL RANITININA</t>
  </si>
  <si>
    <t>AGUASCALIENTES / JAL</t>
  </si>
  <si>
    <t>ABUELA MA TIO MA</t>
  </si>
  <si>
    <t>ABUELA/ABUELO MAT</t>
  </si>
  <si>
    <t>EMBOLIA ABUELA</t>
  </si>
  <si>
    <t>SP152</t>
  </si>
  <si>
    <t>UNA VEZ</t>
  </si>
  <si>
    <t>BESAFIBRATO</t>
  </si>
  <si>
    <t>HIGADO GRASO/CANCERMATRIZ</t>
  </si>
  <si>
    <t>MAMA/HERMANAS</t>
  </si>
  <si>
    <t>TIAS</t>
  </si>
  <si>
    <t>DIENTES</t>
  </si>
  <si>
    <t>IBUFRPFENO Y CLINDAMINA</t>
  </si>
  <si>
    <t>TLAXCALA</t>
  </si>
  <si>
    <t>TIAS(PA)</t>
  </si>
  <si>
    <t>GLAUCOMA(ABUEAMA)</t>
  </si>
  <si>
    <t>SP154</t>
  </si>
  <si>
    <t>SOLDADOR</t>
  </si>
  <si>
    <t>SP155</t>
  </si>
  <si>
    <t>DIF</t>
  </si>
  <si>
    <t>HACE 32</t>
  </si>
  <si>
    <t>5/2AB</t>
  </si>
  <si>
    <t>SI-6AÑOS</t>
  </si>
  <si>
    <t>OCACIONAL</t>
  </si>
  <si>
    <t>INFECCION EN GARGANTA</t>
  </si>
  <si>
    <t>METFORMINA/GLICAMINA</t>
  </si>
  <si>
    <t>HERMANA/MAMA</t>
  </si>
  <si>
    <t>SP156</t>
  </si>
  <si>
    <t>HACE 4 AÑOS</t>
  </si>
  <si>
    <t>VIVECONFUMADOR</t>
  </si>
  <si>
    <t>SP157</t>
  </si>
  <si>
    <t>CAPTOPRIL3-AÑOS</t>
  </si>
  <si>
    <t>SI2010</t>
  </si>
  <si>
    <t>MUCHOS</t>
  </si>
  <si>
    <t>METOTREZON,DEZAFLACO,DICOFLENACO</t>
  </si>
  <si>
    <t>venta de suplementos</t>
  </si>
  <si>
    <t>SIN MATRIZ</t>
  </si>
  <si>
    <t>sin matriz</t>
  </si>
  <si>
    <t>SUPLEMENTOS, VITAMINAS, COMPLEJOS ETC</t>
  </si>
  <si>
    <t>HACE 37</t>
  </si>
  <si>
    <t>SOCIAL</t>
  </si>
  <si>
    <t>artritis</t>
  </si>
  <si>
    <t>ENFERMERA, VENTA DE SUPLEMENTOS</t>
  </si>
  <si>
    <t>TIO (PA)</t>
  </si>
  <si>
    <t>TIO (PA),PAPA, BISABUELA</t>
  </si>
  <si>
    <t>ABUELO (PA)</t>
  </si>
  <si>
    <t>BISABUELA</t>
  </si>
  <si>
    <t>SP162</t>
  </si>
  <si>
    <t>MEDICO ESTUDIANTE DOCTOR</t>
  </si>
  <si>
    <t>ENDOPLASTIA ENGINAL</t>
  </si>
  <si>
    <t>BAJA NORTE</t>
  </si>
  <si>
    <t>ALEMAN/NAYARIT</t>
  </si>
  <si>
    <t>ABUELA(MA) TIOS(MA)</t>
  </si>
  <si>
    <t>ABUELA (PA)</t>
  </si>
  <si>
    <t>SOBRINA</t>
  </si>
  <si>
    <t>VASO CELULAR</t>
  </si>
  <si>
    <t>TORTILLA ARINA 20SEMANAL</t>
  </si>
  <si>
    <t>PAN DULCE 4-SEMANA</t>
  </si>
  <si>
    <t>ARROZ 1LILO</t>
  </si>
  <si>
    <t>CACAHUATE DIARIO 200GR</t>
  </si>
  <si>
    <t>MAYONESA 4 VECES</t>
  </si>
  <si>
    <t>JUMUS 3-SEMANA</t>
  </si>
  <si>
    <t>CADA 3ER DIA</t>
  </si>
  <si>
    <t>TORONJA</t>
  </si>
  <si>
    <t>COCA LIGH DIARIO 1LT O MAS</t>
  </si>
  <si>
    <t>CERVESA</t>
  </si>
  <si>
    <t>BOTANAS</t>
  </si>
  <si>
    <t>CHICHARRON</t>
  </si>
  <si>
    <t>SEDENTARIO</t>
  </si>
  <si>
    <t>SP163</t>
  </si>
  <si>
    <t>SI-METFORMINA</t>
  </si>
  <si>
    <t>METMORMINA</t>
  </si>
  <si>
    <t>hermanos</t>
  </si>
  <si>
    <t>APENDICE</t>
  </si>
  <si>
    <t>EMBOLIA CEREBRAL</t>
  </si>
  <si>
    <t>PAPA(PULMON)</t>
  </si>
  <si>
    <t>frijol</t>
  </si>
  <si>
    <t>arros</t>
  </si>
  <si>
    <t>tortilla</t>
  </si>
  <si>
    <t xml:space="preserve">aceite </t>
  </si>
  <si>
    <t>manteca</t>
  </si>
  <si>
    <t>cerdo 7-6 dias</t>
  </si>
  <si>
    <t>2dias</t>
  </si>
  <si>
    <t>3-4dias</t>
  </si>
  <si>
    <t>1dia</t>
  </si>
  <si>
    <t>1-mes</t>
  </si>
  <si>
    <t>lechuga</t>
  </si>
  <si>
    <t>colifror</t>
  </si>
  <si>
    <t>naranja</t>
  </si>
  <si>
    <t>platano</t>
  </si>
  <si>
    <t>aguanatural</t>
  </si>
  <si>
    <t>agua de frutas</t>
  </si>
  <si>
    <t>bolillo</t>
  </si>
  <si>
    <t>3/1ABORTO</t>
  </si>
  <si>
    <t>CESARIA</t>
  </si>
  <si>
    <t>HIPERTIROIDISMO 10 AÑOS</t>
  </si>
  <si>
    <t>RELAJANTE HOMEOPATICO</t>
  </si>
  <si>
    <t>PAPA, TIOS MA</t>
  </si>
  <si>
    <t>TORTILLA DIARIO 4-5</t>
  </si>
  <si>
    <t>RES 3 SEMANA</t>
  </si>
  <si>
    <t>2 MES</t>
  </si>
  <si>
    <t xml:space="preserve">ZANAHORIA </t>
  </si>
  <si>
    <t>LECHE</t>
  </si>
  <si>
    <t>CAFÉ DIARIO</t>
  </si>
  <si>
    <t>GALLETAS 1 SEMANA</t>
  </si>
  <si>
    <t>2+1COL</t>
  </si>
  <si>
    <t>11años</t>
  </si>
  <si>
    <t>1año</t>
  </si>
  <si>
    <t>NERVIO CIATICO</t>
  </si>
  <si>
    <t>pan 3-4semana</t>
  </si>
  <si>
    <t>tortilla7 al dia</t>
  </si>
  <si>
    <t>aceite diario</t>
  </si>
  <si>
    <t>mantequlla 1sema</t>
  </si>
  <si>
    <t>aguacate</t>
  </si>
  <si>
    <t>chorizo 2dia</t>
  </si>
  <si>
    <t>1por semana</t>
  </si>
  <si>
    <t>2dia</t>
  </si>
  <si>
    <t>a adia</t>
  </si>
  <si>
    <t>diaioleche</t>
  </si>
  <si>
    <t>calabaza</t>
  </si>
  <si>
    <t>elote</t>
  </si>
  <si>
    <t>papaya</t>
  </si>
  <si>
    <t>coca</t>
  </si>
  <si>
    <t>agua sabor/jugo de marca</t>
  </si>
  <si>
    <t>papas marca</t>
  </si>
  <si>
    <t>dulces, chocolates</t>
  </si>
  <si>
    <t>salchiplpos</t>
  </si>
  <si>
    <t>EPILEPSIAS</t>
  </si>
  <si>
    <t>VARICOSEMIA</t>
  </si>
  <si>
    <t>GASTRICAS</t>
  </si>
  <si>
    <t>ANTIVIOTICOS</t>
  </si>
  <si>
    <t>LEUCOMA,CATARATAS</t>
  </si>
  <si>
    <t>PAN DULCE CASERO 6-7 AL MES</t>
  </si>
  <si>
    <t>TIRTILLAS SEMANA</t>
  </si>
  <si>
    <t>CEREAL CAJA 5 SEMANA</t>
  </si>
  <si>
    <t>ALMENDRA 2 AL MES</t>
  </si>
  <si>
    <t>AGUACATE 1 SEMANA</t>
  </si>
  <si>
    <t>ACEITE 5 SEMANA</t>
  </si>
  <si>
    <t>5 MES</t>
  </si>
  <si>
    <t xml:space="preserve">PERA </t>
  </si>
  <si>
    <t>AGUA JMAICA</t>
  </si>
  <si>
    <t>REFRESCO MANZANA</t>
  </si>
  <si>
    <t xml:space="preserve">GALLETAS </t>
  </si>
  <si>
    <t>PACHUCA</t>
  </si>
  <si>
    <t>CARNISERO</t>
  </si>
  <si>
    <t>SANGRE EN EL PIE, QUISTE EN LABIO</t>
  </si>
  <si>
    <t>NO /HOMEOPATIA</t>
  </si>
  <si>
    <t>CHIHUHUA</t>
  </si>
  <si>
    <t>HERMANO(SIDA)</t>
  </si>
  <si>
    <t>TIROIDES HERMANA</t>
  </si>
  <si>
    <t>AMA DE CASA</t>
  </si>
  <si>
    <t>49 AÑOS</t>
  </si>
  <si>
    <t>24 AÑOS</t>
  </si>
  <si>
    <t>HEMOMOIDES</t>
  </si>
  <si>
    <t>PRAVASTATINA,ASPIRINA,HOMEOPATIA</t>
  </si>
  <si>
    <t>39 AÑOS</t>
  </si>
  <si>
    <t>COLAGENO</t>
  </si>
  <si>
    <t>MAMA,HERMANO</t>
  </si>
  <si>
    <t>TIOS(PA)</t>
  </si>
  <si>
    <t>ANEMIA(HACE TIEMPO</t>
  </si>
  <si>
    <t>DURANGO</t>
  </si>
  <si>
    <t>DURANGO/USA</t>
  </si>
  <si>
    <t>ABUELO(MA),PRIMO</t>
  </si>
  <si>
    <t>PRIMA(MA)</t>
  </si>
  <si>
    <t>8 DE JULIO</t>
  </si>
  <si>
    <t>HACE 15 AÑOS</t>
  </si>
  <si>
    <t>26AÑOS</t>
  </si>
  <si>
    <t>97/106 CAPILAR</t>
  </si>
  <si>
    <t>FRABRICA DE ZAPATOS</t>
  </si>
  <si>
    <t>MARIHUANA(18-20AÑOS)</t>
  </si>
  <si>
    <t>HOMEOPATIA/ANTIBIOTICOS(2MESES)</t>
  </si>
  <si>
    <t>PISA</t>
  </si>
  <si>
    <t>UTV</t>
  </si>
  <si>
    <t>GDL/DF</t>
  </si>
  <si>
    <t>MAMA,ABUELA(PA)</t>
  </si>
  <si>
    <t>2VECES</t>
  </si>
  <si>
    <t>1 A MES</t>
  </si>
  <si>
    <t>DIVERSOS CHILES</t>
  </si>
  <si>
    <t>SI/LOSARTAN,ASPIRINA</t>
  </si>
  <si>
    <t>SI/MEDI</t>
  </si>
  <si>
    <t>SALPINGO</t>
  </si>
  <si>
    <t>FIBROSIS QUISTICA MAMA, TIROIDES, ARTRITIS</t>
  </si>
  <si>
    <t>TIOS(AMBOS)</t>
  </si>
  <si>
    <t>CADA 3 DIAS</t>
  </si>
  <si>
    <t>JITOMATE, CEBOLLA</t>
  </si>
  <si>
    <t>AGUA DE FRUTAS CON AZUCAR</t>
  </si>
  <si>
    <t>CANELA TE</t>
  </si>
  <si>
    <t>TES</t>
  </si>
  <si>
    <t>AJOS</t>
  </si>
  <si>
    <t>CEBOLLA</t>
  </si>
  <si>
    <t>SI/BENZAFIBRATO,PRAVASTATINA</t>
  </si>
  <si>
    <t>MATRIZ</t>
  </si>
  <si>
    <t>ANSIEDAD,COLITIS,GASTRITIS</t>
  </si>
  <si>
    <t>PAROXETINA, ALANCEPINA,BROMACEOAN, LAMOTRIGINA</t>
  </si>
  <si>
    <t>PADRES,HERMANA</t>
  </si>
  <si>
    <t>LINAZA</t>
  </si>
  <si>
    <t>ACEITE DE OLIVA</t>
  </si>
  <si>
    <t>POLLO PESCADO</t>
  </si>
  <si>
    <t>CADA SE MANA</t>
  </si>
  <si>
    <t>SANDIAS</t>
  </si>
  <si>
    <t>7AÑOS SIN MATRIZ</t>
  </si>
  <si>
    <t>4/2ABORTOS</t>
  </si>
  <si>
    <t>SI/MED</t>
  </si>
  <si>
    <t>ANSIEDAD</t>
  </si>
  <si>
    <t>LOREZARTAN,GABAPENTINA,NEYPAX DUO</t>
  </si>
  <si>
    <t>PAPA,3HERMANOS</t>
  </si>
  <si>
    <t>TORTILLA 3AL DIA</t>
  </si>
  <si>
    <t>AVENA 2 CUCHARADAS</t>
  </si>
  <si>
    <t>ARROZ 3SEMANA</t>
  </si>
  <si>
    <t>MANTEQUILLA 1 SEMANA</t>
  </si>
  <si>
    <t>CLARA DOS SEMANA</t>
  </si>
  <si>
    <t>1 CADA 15 DIAS</t>
  </si>
  <si>
    <t>CHAYOTE DIARIO</t>
  </si>
  <si>
    <t>REFRESCO 1 SEMANA</t>
  </si>
  <si>
    <t>CEBOLLA PIMENTA</t>
  </si>
  <si>
    <t>TOMILLO</t>
  </si>
  <si>
    <t>PIZZA FIN DE SEMANA</t>
  </si>
  <si>
    <t>SABRITAS 1 SEMANA</t>
  </si>
  <si>
    <t>SP180</t>
  </si>
  <si>
    <t>101/90</t>
  </si>
  <si>
    <t>TIA MA</t>
  </si>
  <si>
    <t>PAN DULCE</t>
  </si>
  <si>
    <t>CEREAL DE CAJA</t>
  </si>
  <si>
    <t>PISTACHES</t>
  </si>
  <si>
    <t>TODOS LOS DIAS 2 VECES AL DIA</t>
  </si>
  <si>
    <t>2 AL MES</t>
  </si>
  <si>
    <t>4-5 SEMANA</t>
  </si>
  <si>
    <t>3-4 AL AÑO</t>
  </si>
  <si>
    <t>COLIFLOR</t>
  </si>
  <si>
    <t>CHIPOTRE</t>
  </si>
  <si>
    <t>DURAZNO</t>
  </si>
  <si>
    <t>JUGO TIENDA 4-5SEMANA</t>
  </si>
  <si>
    <t>AGUA NATURAL 5-4 SEMANA</t>
  </si>
  <si>
    <t>SAL PARA TODO</t>
  </si>
  <si>
    <t>SALSA SOYA</t>
  </si>
  <si>
    <t>TOSTILOCOS 1 SEMANA</t>
  </si>
  <si>
    <t>CHURRITOS 3 SEMANA</t>
  </si>
  <si>
    <t>PALETA HELADA DE COCO 2 SEMANA</t>
  </si>
  <si>
    <t>ZAPATERO</t>
  </si>
  <si>
    <t>PAN-BOLILLO</t>
  </si>
  <si>
    <t>MAYONESA</t>
  </si>
  <si>
    <t>2-1 AL DIA 3-SEMANA</t>
  </si>
  <si>
    <t>1-3 SEMNA</t>
  </si>
  <si>
    <t>PESCADO SEMANAL O 15SENAL</t>
  </si>
  <si>
    <t>REFRESCO FIN DE SEMANAS</t>
  </si>
  <si>
    <t>AGUA DE FRUTAS</t>
  </si>
  <si>
    <t>CAFÉ CON LECHE DIARIO</t>
  </si>
  <si>
    <t>AGUANATUAL</t>
  </si>
  <si>
    <t>NORSUIZA</t>
  </si>
  <si>
    <t>AZUCAR</t>
  </si>
  <si>
    <t>18 años</t>
  </si>
  <si>
    <t>PARACETAMOL</t>
  </si>
  <si>
    <t>13AÑOS</t>
  </si>
  <si>
    <t>5/2ABORTOS</t>
  </si>
  <si>
    <t>MALTEADA/SUPEMENTOS</t>
  </si>
  <si>
    <t>MAMA,ABUELA,TIA</t>
  </si>
  <si>
    <t>PROBLEMAS CORAZON, MAMA HERMANO</t>
  </si>
  <si>
    <t>BOLILLO PAN DULCE</t>
  </si>
  <si>
    <t>ACEITE VEGETAL</t>
  </si>
  <si>
    <t>AGUACATE 1-2 SEMANA</t>
  </si>
  <si>
    <t>1-2 MES</t>
  </si>
  <si>
    <t>2-3 SEMANA</t>
  </si>
  <si>
    <t>5 SEMANA</t>
  </si>
  <si>
    <t>COL</t>
  </si>
  <si>
    <t>PARA ATUN</t>
  </si>
  <si>
    <t>ENSALADA DE VERDURAS</t>
  </si>
  <si>
    <t>FRUTOS DEL BOSQUE, MAMEY</t>
  </si>
  <si>
    <t>PIÑA ESPORADICAMENTE</t>
  </si>
  <si>
    <t>TE DIARIO</t>
  </si>
  <si>
    <t>COMINO</t>
  </si>
  <si>
    <t>PIZZA</t>
  </si>
  <si>
    <t>PAPAS A LA FRANCESA</t>
  </si>
  <si>
    <t>FRITURAS</t>
  </si>
  <si>
    <t>GARGANTA</t>
  </si>
  <si>
    <t>TRIMETROPINA</t>
  </si>
  <si>
    <t>23 AÑOS</t>
  </si>
  <si>
    <t>TE HERBALIFE</t>
  </si>
  <si>
    <t>MAMOGRAFIA EL VIERNES</t>
  </si>
  <si>
    <t>COHUILA</t>
  </si>
  <si>
    <t>ABUELA,TIA,HERMANO,HERMANA</t>
  </si>
  <si>
    <t>ED.MEXICO</t>
  </si>
  <si>
    <t>5/3ABORTOS</t>
  </si>
  <si>
    <t>ABUELO</t>
  </si>
  <si>
    <t>SAN ANDRES</t>
  </si>
  <si>
    <t>ECTOPICO EMBARAZO</t>
  </si>
  <si>
    <t>ASMA</t>
  </si>
  <si>
    <t>ABUELOS(AMBOS)</t>
  </si>
  <si>
    <t>ASMA(MAMA)</t>
  </si>
  <si>
    <t>AVENA DIARIO</t>
  </si>
  <si>
    <t>TORTILLA 2 SEMANA</t>
  </si>
  <si>
    <t>AGUACATE DIARIO</t>
  </si>
  <si>
    <t>ZANAHORIA 3 SEMANAL</t>
  </si>
  <si>
    <t>CHAYOTE 3 SEMANA</t>
  </si>
  <si>
    <t>BROCOLI 3 SEMANAL</t>
  </si>
  <si>
    <t>PA ATUN 2 MES</t>
  </si>
  <si>
    <t>PLATANO DIARIO</t>
  </si>
  <si>
    <t>AJO DIARIO</t>
  </si>
  <si>
    <t>TACOS  1-2 AL MES</t>
  </si>
  <si>
    <t>CAMINATA</t>
  </si>
  <si>
    <t>44?</t>
  </si>
  <si>
    <t>JEFA DE SUCURSAL CONTRATISTTA</t>
  </si>
  <si>
    <t>SI 3-5/DIARIOS</t>
  </si>
  <si>
    <t>si/estetica</t>
  </si>
  <si>
    <t>infeccion en riñon</t>
  </si>
  <si>
    <t>VITAMINAS A-Z, NOLOBELOQ, TALILO</t>
  </si>
  <si>
    <t>abuelo pulmon</t>
  </si>
  <si>
    <t>ARROZ FRIJOL</t>
  </si>
  <si>
    <t>CREMA</t>
  </si>
  <si>
    <t>POLLO</t>
  </si>
  <si>
    <t>PANELA</t>
  </si>
  <si>
    <t>LECHE Y YOGURT</t>
  </si>
  <si>
    <t>3 AL MES</t>
  </si>
  <si>
    <t>CALABAZA JITOMATE</t>
  </si>
  <si>
    <t>CHILE</t>
  </si>
  <si>
    <t>AGUA SABOR</t>
  </si>
  <si>
    <t>VIVE</t>
  </si>
  <si>
    <t>SUSTITUTO AZUCAR</t>
  </si>
  <si>
    <t>DULCES</t>
  </si>
  <si>
    <t>SPICOLOGA</t>
  </si>
  <si>
    <t>abuela(pahigado),maa(matriz)</t>
  </si>
  <si>
    <t>ADEREZO</t>
  </si>
  <si>
    <t>MOSTASA</t>
  </si>
  <si>
    <t>ATUN LATA</t>
  </si>
  <si>
    <t>1 SEM</t>
  </si>
  <si>
    <t>COLIFROR</t>
  </si>
  <si>
    <t>ZAHANAHORIA CALABAZA ELOTE</t>
  </si>
  <si>
    <t>FRUTOS DEL BOSQUE</t>
  </si>
  <si>
    <t>TE DE SOBRE</t>
  </si>
  <si>
    <t>MIEL</t>
  </si>
  <si>
    <t>MERMELADAS</t>
  </si>
  <si>
    <t xml:space="preserve">PAN </t>
  </si>
  <si>
    <t>OFICINISTA</t>
  </si>
  <si>
    <t>abuelos(ma)</t>
  </si>
  <si>
    <t>tia abuela(matpancreas) tia(maestomago)</t>
  </si>
  <si>
    <t>ARROZ PAPA</t>
  </si>
  <si>
    <t>GRANOLA</t>
  </si>
  <si>
    <t>TODAS</t>
  </si>
  <si>
    <t>LECHUGA ESPINACAS</t>
  </si>
  <si>
    <t xml:space="preserve">CILE, MORRON, CHAYOTE , </t>
  </si>
  <si>
    <t>REFRESCO COLA</t>
  </si>
  <si>
    <t>GALLEAS</t>
  </si>
  <si>
    <t>CHIAPAS</t>
  </si>
  <si>
    <t>uber</t>
  </si>
  <si>
    <t>FUMIGO</t>
  </si>
  <si>
    <t>besicula</t>
  </si>
  <si>
    <t>virus de papiloma</t>
  </si>
  <si>
    <t>CEREAL CAJA</t>
  </si>
  <si>
    <t>NUECES</t>
  </si>
  <si>
    <t>4 AL MES</t>
  </si>
  <si>
    <t xml:space="preserve">CALABAZA </t>
  </si>
  <si>
    <t>1 AL AÑO</t>
  </si>
  <si>
    <t>TEMPORADA</t>
  </si>
  <si>
    <t>NORSUISA</t>
  </si>
  <si>
    <t>TACOS DEL OXXO</t>
  </si>
  <si>
    <t>HOmbre</t>
  </si>
  <si>
    <t>FRACTURA/APENDICE</t>
  </si>
  <si>
    <t>SI/11AÑOS</t>
  </si>
  <si>
    <t>ABUELOS,TIOS(MAMA)</t>
  </si>
  <si>
    <t>TIOS(MA)</t>
  </si>
  <si>
    <t xml:space="preserve">ARROZ </t>
  </si>
  <si>
    <t>JUGO NATURAL</t>
  </si>
  <si>
    <t>JUGO DE MARCA</t>
  </si>
  <si>
    <t>FRITURAS 1 SEMA</t>
  </si>
  <si>
    <t>2,3</t>
  </si>
  <si>
    <t>BAJA SUR</t>
  </si>
  <si>
    <t>GRIPE</t>
  </si>
  <si>
    <t>BAJSUR</t>
  </si>
  <si>
    <t>PAPA,TIOS,ABUELOS,MAMA</t>
  </si>
  <si>
    <t>ABUELO(PA)VISABUELA(MA)</t>
  </si>
  <si>
    <t>TIO(PAPA)</t>
  </si>
  <si>
    <t>GASTRITIS CRONICA</t>
  </si>
  <si>
    <t>TECTA,DAGLA</t>
  </si>
  <si>
    <t>PAPA,ABUELOS(AMBOS)</t>
  </si>
  <si>
    <t>MAAMA</t>
  </si>
  <si>
    <t>HIPERTIRODISMO(MAMA)</t>
  </si>
  <si>
    <t>CHAYOTE ZANAHORI</t>
  </si>
  <si>
    <t>manzana</t>
  </si>
  <si>
    <t>1 mes</t>
  </si>
  <si>
    <t>uvas</t>
  </si>
  <si>
    <t>1 semana</t>
  </si>
  <si>
    <t>agua</t>
  </si>
  <si>
    <t>café</t>
  </si>
  <si>
    <t>sabritas</t>
  </si>
  <si>
    <t>nieve</t>
  </si>
  <si>
    <t>galletas</t>
  </si>
  <si>
    <t>DRA.</t>
  </si>
  <si>
    <t>GANGLIONAR,TUBERCOLISIS</t>
  </si>
  <si>
    <t>PAPAS,HERMANOS,TIOS</t>
  </si>
  <si>
    <t>TORTILLA AVENA</t>
  </si>
  <si>
    <t>ACEITE MAIZ</t>
  </si>
  <si>
    <t>ACEITE OLIVA</t>
  </si>
  <si>
    <t>MANTEQUILLA, MAYONESA</t>
  </si>
  <si>
    <t>POLLO 4 SEMANA</t>
  </si>
  <si>
    <t>2 PIEZAS 4 SEMANA</t>
  </si>
  <si>
    <t>3 SEMNA</t>
  </si>
  <si>
    <t>TODOS LOS DÍAS</t>
  </si>
  <si>
    <t>2 AL AÑO</t>
  </si>
  <si>
    <t>AGUA CASERA</t>
  </si>
  <si>
    <t>SP198</t>
  </si>
  <si>
    <t>TIO</t>
  </si>
  <si>
    <t>CEBADA</t>
  </si>
  <si>
    <t>ALMENDRAS</t>
  </si>
  <si>
    <t>2 VECES</t>
  </si>
  <si>
    <t>CALABAZITA</t>
  </si>
  <si>
    <t>PAPAYO</t>
  </si>
  <si>
    <t>PLATANOS</t>
  </si>
  <si>
    <t>1 A AÑO</t>
  </si>
  <si>
    <t>JUGO ZANAHORIA</t>
  </si>
  <si>
    <t>TE</t>
  </si>
  <si>
    <t>MAZAPAN, BORRRACHITOS</t>
  </si>
  <si>
    <t>SOLO DESAYUNO</t>
  </si>
  <si>
    <t>CAMINAR</t>
  </si>
  <si>
    <t>BUSCAR</t>
  </si>
  <si>
    <t>ARROS 3-4 SEMANA</t>
  </si>
  <si>
    <t>AVENA 5 SEMANA</t>
  </si>
  <si>
    <t>MANTEQUILLA DIARIO</t>
  </si>
  <si>
    <t>MAGO</t>
  </si>
  <si>
    <t>RETIRO DE MATRIZ</t>
  </si>
  <si>
    <t>SI/PASTILLAS</t>
  </si>
  <si>
    <t>CESARIA/SIN MATRIZ</t>
  </si>
  <si>
    <t>PASTILLAS</t>
  </si>
  <si>
    <t>MAA Y ABUELA(PA)</t>
  </si>
  <si>
    <t>ARROZ 3 SEMANAL</t>
  </si>
  <si>
    <t>ACETE DE OLIVA 1 MES</t>
  </si>
  <si>
    <t>CADA 15 DIAS</t>
  </si>
  <si>
    <t xml:space="preserve">CHAYOTE </t>
  </si>
  <si>
    <t>ELOTE 1 AL MES</t>
  </si>
  <si>
    <t>REFRESCO CON AGUA</t>
  </si>
  <si>
    <t>JUGOS NARANJA</t>
  </si>
  <si>
    <t>SAL POCO</t>
  </si>
  <si>
    <t>RETIROMATRIZ</t>
  </si>
  <si>
    <t>SI A LOS 39 AÑOS</t>
  </si>
  <si>
    <t>COLIMA</t>
  </si>
  <si>
    <t>2HERMANOSY HERMANA</t>
  </si>
  <si>
    <t>AVENA  6 CUCHARADAS DIARIAS</t>
  </si>
  <si>
    <t>FRIJOL 1 TAZA DIARIA</t>
  </si>
  <si>
    <t>ARROZ 1 TAZA DIARIA</t>
  </si>
  <si>
    <t>ACETE DIARIO</t>
  </si>
  <si>
    <t>MANTEQUILLA DARIO</t>
  </si>
  <si>
    <t>POLLO 3 SEMANA</t>
  </si>
  <si>
    <t>2 A LA SEMANA</t>
  </si>
  <si>
    <t>3 AL AÑO</t>
  </si>
  <si>
    <t xml:space="preserve">AGUA </t>
  </si>
  <si>
    <t>REFRSCO 1 AL MES COCA</t>
  </si>
  <si>
    <t>9 AÑOS</t>
  </si>
  <si>
    <t>2/1ABORTO</t>
  </si>
  <si>
    <t>SALPINGO/RODILLA</t>
  </si>
  <si>
    <t>LIBOTIROXINA</t>
  </si>
  <si>
    <t>FRIJOL CADA 3ER DIA</t>
  </si>
  <si>
    <t>PAPA 1.2 SEMANA</t>
  </si>
  <si>
    <t>RES, POLLO 2 SEMANA</t>
  </si>
  <si>
    <t>2-3 MES</t>
  </si>
  <si>
    <t xml:space="preserve">AGUA NATURAL </t>
  </si>
  <si>
    <t>AGUA SABOR CASERA</t>
  </si>
  <si>
    <t>REFRESCO, JUGOS NAURALES</t>
  </si>
  <si>
    <t xml:space="preserve">PAPAS TIENDA </t>
  </si>
  <si>
    <t>55AÑOS</t>
  </si>
  <si>
    <t>vitamina</t>
  </si>
  <si>
    <t>MAMA, 2 HERMANOS</t>
  </si>
  <si>
    <t>SOBRONO EN RIÑON</t>
  </si>
  <si>
    <t>48.5/85?</t>
  </si>
  <si>
    <t>AVECES</t>
  </si>
  <si>
    <t>ALCALDE BARRANQUITAS</t>
  </si>
  <si>
    <t>SI/ANFITEATRO</t>
  </si>
  <si>
    <t>DENTAL</t>
  </si>
  <si>
    <t>ANEMIA</t>
  </si>
  <si>
    <t>TODOS</t>
  </si>
  <si>
    <t>MAMA,BISABUELA</t>
  </si>
  <si>
    <t>TIOS,PAPA</t>
  </si>
  <si>
    <t>FIBROSIS, VARISES</t>
  </si>
  <si>
    <t>TORTILLA, PAPA</t>
  </si>
  <si>
    <t>PAN CASERO</t>
  </si>
  <si>
    <t>PAN NTEGRAL</t>
  </si>
  <si>
    <t>MANTECA 3 SEMANA</t>
  </si>
  <si>
    <t>ROJA 3 SEMANA</t>
  </si>
  <si>
    <t>BROCOL</t>
  </si>
  <si>
    <t>EJOTE</t>
  </si>
  <si>
    <t>COCA</t>
  </si>
  <si>
    <t>TOMILLO, AJO</t>
  </si>
  <si>
    <t>PAPAS 1 SEMANA</t>
  </si>
  <si>
    <t>SALCHICHA DIARIO</t>
  </si>
  <si>
    <t>LUMBALGIA/IBUPROFENO 1SEM</t>
  </si>
  <si>
    <t>ABUELA(AMBOS)</t>
  </si>
  <si>
    <t>DAIRIO</t>
  </si>
  <si>
    <t>REFRESCO 3 SEMANA</t>
  </si>
  <si>
    <t>AGUA NATIRAL</t>
  </si>
  <si>
    <t>SEMANL</t>
  </si>
  <si>
    <t>EXTRACCION DE HERNIA</t>
  </si>
  <si>
    <t>BRUCELOSIS HACE 5 AÑOS</t>
  </si>
  <si>
    <t>ARROZ 1-2 SEMANA</t>
  </si>
  <si>
    <t>ALMENDRAS 1-2 SEM</t>
  </si>
  <si>
    <t>ACEITE OLIVA 1 SEMA</t>
  </si>
  <si>
    <t>FRESA PLATANO</t>
  </si>
  <si>
    <t>MANGP</t>
  </si>
  <si>
    <t xml:space="preserve">DURAZNO </t>
  </si>
  <si>
    <t>REFRESCO DIARI</t>
  </si>
  <si>
    <t>100/90</t>
  </si>
  <si>
    <t>CASA</t>
  </si>
  <si>
    <t>NO SABE</t>
  </si>
  <si>
    <t>BAJO DE PESO</t>
  </si>
  <si>
    <t>SOL LE HACE DAÑO</t>
  </si>
  <si>
    <t>DISCAPACIDAD INTELECTUAL POR CAIDA</t>
  </si>
  <si>
    <t>LOZARTAN/CAPTOPRIN/COMPLEJOB</t>
  </si>
  <si>
    <t>COCAINA HACE 15 AÑOS DURANTE 3 AÑOS</t>
  </si>
  <si>
    <t>MAMA,TIA(MA)</t>
  </si>
  <si>
    <t>FRIJOL 3-4 SEMANA</t>
  </si>
  <si>
    <t>TRIJO 2-3 SEMANA</t>
  </si>
  <si>
    <t>ACEITE DE OLVA</t>
  </si>
  <si>
    <t>ADREZOZ MAYONESA</t>
  </si>
  <si>
    <t>FRUTA TEMPORADA</t>
  </si>
  <si>
    <t>AGUA LIMODADA Y PIÑA</t>
  </si>
  <si>
    <t>SAJO</t>
  </si>
  <si>
    <t>40 AÑOS</t>
  </si>
  <si>
    <t>3/1 ABORTO</t>
  </si>
  <si>
    <t>TUMOR DE OREJA</t>
  </si>
  <si>
    <t>PAPA,HERMANA</t>
  </si>
  <si>
    <t>2O3</t>
  </si>
  <si>
    <t>AXILIAR CONTABLE</t>
  </si>
  <si>
    <t>TABIQUE</t>
  </si>
  <si>
    <t>SI HACE 15 AÑOS</t>
  </si>
  <si>
    <t>MADRE, HERMANA</t>
  </si>
  <si>
    <t>2 A SEMANA</t>
  </si>
  <si>
    <t>YAKUH DIARIO</t>
  </si>
  <si>
    <t>REFRSCO DINES DE SEMANA</t>
  </si>
  <si>
    <t>PIMIENTAS</t>
  </si>
  <si>
    <t>PALOMITAS</t>
  </si>
  <si>
    <t>50A ÑOS</t>
  </si>
  <si>
    <t>DURANTE EMBARAZO</t>
  </si>
  <si>
    <t>A LOS 13 AÑOS CA 3ER DIA DURANTE 8 DIAS</t>
  </si>
  <si>
    <t>ABUELA(MA),HERMANO</t>
  </si>
  <si>
    <t>MADRE LINFATICO</t>
  </si>
  <si>
    <t>CANCER EN PIEL ABUELA</t>
  </si>
  <si>
    <t>FRIJOLES DIARIO</t>
  </si>
  <si>
    <t>ARROZ 2 SEMANA</t>
  </si>
  <si>
    <t>AVENA 6 SEMANA</t>
  </si>
  <si>
    <t>ACEITE MAIZ DIARIO</t>
  </si>
  <si>
    <t>ACEITE OLIVA 2-3 SEMA</t>
  </si>
  <si>
    <t>POLLO PUERCO, 2 SEMANA</t>
  </si>
  <si>
    <t>4 HUEVOS A LA SEMANA</t>
  </si>
  <si>
    <t>ELOTE 1 SEMANA</t>
  </si>
  <si>
    <t>CHICHAROS CADA 15 DIAS</t>
  </si>
  <si>
    <t>PIÑA 4 SEMANA</t>
  </si>
  <si>
    <t>MANGO DIARIO</t>
  </si>
  <si>
    <t xml:space="preserve">PLATANO DIARIO </t>
  </si>
  <si>
    <t>AGUA FRESCA EN CASA DIARIO</t>
  </si>
  <si>
    <t>CAFÉ DAIRIO</t>
  </si>
  <si>
    <t>LICUADO FRUTAS 5 SEMANA</t>
  </si>
  <si>
    <t>PIMIENTA DIARIO</t>
  </si>
  <si>
    <t>SI/17/ 2 POR DIA</t>
  </si>
  <si>
    <t>AMPICILINA, PARACETAMOL, NAPROXENO</t>
  </si>
  <si>
    <t>TIOS MATERNOS</t>
  </si>
  <si>
    <t>ARROZ 3 SEMANA</t>
  </si>
  <si>
    <t>RES 5 SEMANA</t>
  </si>
  <si>
    <t>BROCOLI 2 SEMANA</t>
  </si>
  <si>
    <t>NEGRITOS</t>
  </si>
  <si>
    <t>SECRETARIADO</t>
  </si>
  <si>
    <t>SI/ COLESTEROL</t>
  </si>
  <si>
    <t>MAMA,HERMANA</t>
  </si>
  <si>
    <t>SOBRINO</t>
  </si>
  <si>
    <t>ARROZ 2 VECES SEMANA, FRIJOÑ DIARIO</t>
  </si>
  <si>
    <t>TORTILLA SIARIO</t>
  </si>
  <si>
    <t>CREMA 1 SEMANA</t>
  </si>
  <si>
    <t>MAYONESA 1 SEMANA</t>
  </si>
  <si>
    <t>RES 1 SEMANA/POLLO 2 SEMANA</t>
  </si>
  <si>
    <t>LECHUGA DIARIO</t>
  </si>
  <si>
    <t>CHICHAROS 1 SEMANA</t>
  </si>
  <si>
    <t>MANZANA 2 SEMANA</t>
  </si>
  <si>
    <t>PLATANO 1 SEMANA</t>
  </si>
  <si>
    <t>PAPAYA 3 SEMAAN</t>
  </si>
  <si>
    <t>REFRESCO FIN DE SEMANA</t>
  </si>
  <si>
    <t>AGUA FRESCA CASERA DIARIO</t>
  </si>
  <si>
    <t>TE BOLSITA 2 AL AÑO</t>
  </si>
  <si>
    <t>CONSOME DIARIO</t>
  </si>
  <si>
    <t>GALLETAS 2 SEMANA</t>
  </si>
  <si>
    <t>PAN TIENDA DIARIO</t>
  </si>
  <si>
    <t>CATETERISMO</t>
  </si>
  <si>
    <t>TROMBOSIS, PRALAXA</t>
  </si>
  <si>
    <t>VITAMINAS B12</t>
  </si>
  <si>
    <t>TROMBOSIS EN MAMA Y HERMANAS</t>
  </si>
  <si>
    <t>5/1ABORTO</t>
  </si>
  <si>
    <t>COCINERO</t>
  </si>
  <si>
    <t>MADRE, ABUELA</t>
  </si>
  <si>
    <t>LIPOMATOSIS</t>
  </si>
  <si>
    <t>SI/ANAPRIL</t>
  </si>
  <si>
    <t>ULCERA</t>
  </si>
  <si>
    <t>hijo</t>
  </si>
  <si>
    <t>CANTANTE7CHOFER</t>
  </si>
  <si>
    <t>VASECTOMIA,PLACA DE RODILLA</t>
  </si>
  <si>
    <t>KETOROLACO</t>
  </si>
  <si>
    <t>PATERNOS TODOS</t>
  </si>
  <si>
    <t>MAMA, ABUELA</t>
  </si>
  <si>
    <t>2TIOS(MA)1 PA</t>
  </si>
  <si>
    <t>MAIZ DIARIO</t>
  </si>
  <si>
    <t xml:space="preserve">ACEITE </t>
  </si>
  <si>
    <t>RES 4 SEMANA</t>
  </si>
  <si>
    <t>3-4SEMAA</t>
  </si>
  <si>
    <t>ZANAHORIA BROCOLI</t>
  </si>
  <si>
    <t>PLATANO 3 SEMANA</t>
  </si>
  <si>
    <t>FRESA Y GUAYABA</t>
  </si>
  <si>
    <t>AGUA 4 LITROS DIARIOS</t>
  </si>
  <si>
    <t>PAN 1 SEMANA</t>
  </si>
  <si>
    <t>YODO</t>
  </si>
  <si>
    <t>QUISTE EN OVARIO</t>
  </si>
  <si>
    <t>HIPOTIRODISMO</t>
  </si>
  <si>
    <t>LEVOTIROXINA</t>
  </si>
  <si>
    <t>MARGARINA</t>
  </si>
  <si>
    <t>PUERCO 2 SEMANA</t>
  </si>
  <si>
    <t>DIARIO (2)</t>
  </si>
  <si>
    <t>KNOR</t>
  </si>
  <si>
    <t>PAPAS FRITAS 2 SEMANA</t>
  </si>
  <si>
    <t>MAESTRA</t>
  </si>
  <si>
    <t>SI/BIZAFIBRATO</t>
  </si>
  <si>
    <t>OVARIO, APENDICE</t>
  </si>
  <si>
    <t>DEPRESIÓN</t>
  </si>
  <si>
    <t>SEDARMEK POR DOLOR DE CABEZA DIA ANTERIOR</t>
  </si>
  <si>
    <t>MAMA,HNO,TIOS(MA)</t>
  </si>
  <si>
    <t>TIA(PA)SOBRNA(MA)</t>
  </si>
  <si>
    <t>HIPERTIROIDISMO</t>
  </si>
  <si>
    <t>LENTEJAS 2-3 SEMANA</t>
  </si>
  <si>
    <t>ACEITE VEGETAL SIARIO</t>
  </si>
  <si>
    <t>MANTECA DIARIO</t>
  </si>
  <si>
    <t>MARGARINA MANTEQUILLA</t>
  </si>
  <si>
    <t>POLLO PUERCO 3-4 SEMANA</t>
  </si>
  <si>
    <t>SOLO CLARA DIARIO</t>
  </si>
  <si>
    <t>ZANAHORIA DIARIA</t>
  </si>
  <si>
    <t>BROCOLI DIARIO</t>
  </si>
  <si>
    <t>PEPINO DIARIO</t>
  </si>
  <si>
    <t>AGUA FRUTAS CON AZUCAR</t>
  </si>
  <si>
    <t>REFRESCO 250 DIARIO</t>
  </si>
  <si>
    <t>SAL GRANO</t>
  </si>
  <si>
    <t>CLAVO, COMINOS</t>
  </si>
  <si>
    <t>ESTU ODONTO</t>
  </si>
  <si>
    <t>CORTICORTOMIA</t>
  </si>
  <si>
    <t>MULTIVITAMINICO</t>
  </si>
  <si>
    <t>HACE 22 DIAS ANTIBIOTICOS ANTIGRIPAL</t>
  </si>
  <si>
    <t>ABUELO(AMBOS)</t>
  </si>
  <si>
    <t>MELANOMA(MAMA,ABUELOS,TIOS(MA)</t>
  </si>
  <si>
    <t>TIROIDES(TIAMA)</t>
  </si>
  <si>
    <t>48 AÑOS</t>
  </si>
  <si>
    <t>ARTOPLASTIA</t>
  </si>
  <si>
    <t>LOZARTAN</t>
  </si>
  <si>
    <t>LIPOMATOSIS(HIJA,HERMANA,NIETA)</t>
  </si>
  <si>
    <t>SI/ESPURIA</t>
  </si>
  <si>
    <t>MANO</t>
  </si>
  <si>
    <t>ESPURIA</t>
  </si>
  <si>
    <t>TIO(MA)</t>
  </si>
  <si>
    <t>HIPOT MAMA</t>
  </si>
  <si>
    <t>PASTA DIARIO</t>
  </si>
  <si>
    <t>10-14 AL AÑO</t>
  </si>
  <si>
    <t>CALABAZA TODOS LOS DIAS LECHUGA CEBOLLA</t>
  </si>
  <si>
    <t>SI DIARIO</t>
  </si>
  <si>
    <t>SI 1 SEMANA</t>
  </si>
  <si>
    <t>REFRESCO 1-2 SEMANA</t>
  </si>
  <si>
    <t>LIMON PIMIENTA</t>
  </si>
  <si>
    <t>PALOMITAS NATURALES</t>
  </si>
  <si>
    <t>CACAHUATES JAPONES</t>
  </si>
  <si>
    <t>INDEPENDENCIA</t>
  </si>
  <si>
    <t>HACE 8 AÑOS</t>
  </si>
  <si>
    <t>32 AÑOS</t>
  </si>
  <si>
    <t>SI/HIDROXILISAR,LOXARTAN</t>
  </si>
  <si>
    <t>DICLOFENACO</t>
  </si>
  <si>
    <t>HERMANO,TIA</t>
  </si>
  <si>
    <t>TRASFUCION EN DIC</t>
  </si>
  <si>
    <t>BIOLECTA</t>
  </si>
  <si>
    <t>JUBILADO</t>
  </si>
  <si>
    <t>ALCALDE</t>
  </si>
  <si>
    <t>AMIGDALAS,UTB-PARASCOPIA</t>
  </si>
  <si>
    <t>MAMA(85AÑOS)</t>
  </si>
  <si>
    <t>TROMBOSITOPENIA PURPURA</t>
  </si>
  <si>
    <t>95/103</t>
  </si>
  <si>
    <t>145/165</t>
  </si>
  <si>
    <t>3,2</t>
  </si>
  <si>
    <t>ESTILISTA</t>
  </si>
  <si>
    <t>MESA COLORADA</t>
  </si>
  <si>
    <t>2/1ectopico</t>
  </si>
  <si>
    <t>SI/LOSARTAN,AMODIQUINO</t>
  </si>
  <si>
    <t>OJOS Y VESUCULA</t>
  </si>
  <si>
    <t>TEXAS</t>
  </si>
  <si>
    <t>PAPA,TIA</t>
  </si>
  <si>
    <t>PAPA,ABUELA(PA)</t>
  </si>
  <si>
    <t>TIROIDES(PRIMA,HERMANA(PA)</t>
  </si>
  <si>
    <t>ARBOLEDAS FRAC BOSQUES DE LA VICTORIA</t>
  </si>
  <si>
    <t>ESTABLE</t>
  </si>
  <si>
    <t>ENALAPRIL</t>
  </si>
  <si>
    <t>SIPROFAXINO</t>
  </si>
  <si>
    <t>AVENA 1 SEMANAL</t>
  </si>
  <si>
    <t>ACEITE DE OLIVO</t>
  </si>
  <si>
    <t>NARANJA PLATANO</t>
  </si>
  <si>
    <t>JICAMA PEPINO</t>
  </si>
  <si>
    <t>REFRESCO 2 SEMANA</t>
  </si>
  <si>
    <t>JUGO NARANJA REBAJADO DIARIO</t>
  </si>
  <si>
    <t>CILANDRO</t>
  </si>
  <si>
    <t>HIERBA BUENA</t>
  </si>
  <si>
    <t>NORSE SUIZA</t>
  </si>
  <si>
    <t xml:space="preserve">NUECES </t>
  </si>
  <si>
    <t>AVAS</t>
  </si>
  <si>
    <t>COMIENZA APENAS</t>
  </si>
  <si>
    <t>CARPINTERO</t>
  </si>
  <si>
    <t>ANO Y APENDICE</t>
  </si>
  <si>
    <t>DEPRESION</t>
  </si>
  <si>
    <t>PAPA,ABIELA(MA)</t>
  </si>
  <si>
    <t>SI/DIETA</t>
  </si>
  <si>
    <t>MASTECTOMIA RADICAL BILATERAL</t>
  </si>
  <si>
    <t>CAMAMA 6 AÑOS</t>
  </si>
  <si>
    <t>PAPA,HERMANO</t>
  </si>
  <si>
    <t>MAMA,HERMANA (PULMON), HERMANO(COLON)</t>
  </si>
  <si>
    <t>HIPERTIRO(HERMANA)</t>
  </si>
  <si>
    <t>UBER</t>
  </si>
  <si>
    <t>SI/HIDROCLOLAXIDA,LOZARTAN</t>
  </si>
  <si>
    <t>RODILLA</t>
  </si>
  <si>
    <t>SI, OCACIONAL</t>
  </si>
  <si>
    <t>GLUCOSAMINA</t>
  </si>
  <si>
    <t>TORTILLADIARIO</t>
  </si>
  <si>
    <t>ZUCARITAS</t>
  </si>
  <si>
    <t>RARA VEZ</t>
  </si>
  <si>
    <t xml:space="preserve">AGUA SABOR </t>
  </si>
  <si>
    <t>106/130</t>
  </si>
  <si>
    <t>VERTIGO POR OIDO,ARTRITIS,INFARTO</t>
  </si>
  <si>
    <t>HIJA</t>
  </si>
  <si>
    <t>CATERTE CORAZON HIJO</t>
  </si>
  <si>
    <t>COSMETOLOGA</t>
  </si>
  <si>
    <t>AMIGDALAS,VESICULA,RODILLA</t>
  </si>
  <si>
    <t>LOSARTAN/PRAVASTATINA</t>
  </si>
  <si>
    <t xml:space="preserve">TIOS AMBOSLADOS (PROSTATA) ,MAMAESTOMAGO, </t>
  </si>
  <si>
    <t>MIGUEL DE HUENTITAN</t>
  </si>
  <si>
    <t>BUROSETINA&amp;//NERVIOS</t>
  </si>
  <si>
    <t>HIJO,HERMANA</t>
  </si>
  <si>
    <t>TEMPLO EXPIATORIO</t>
  </si>
  <si>
    <t>SI/TRIGLICERIDOS</t>
  </si>
  <si>
    <t>TIOS(MA)MAMA</t>
  </si>
  <si>
    <t>SALPINGO/TRASFUCION2016</t>
  </si>
  <si>
    <t>SUPLEMENTOS ALIMENTICIOS</t>
  </si>
  <si>
    <t>MAMA, ABUELA(MA)</t>
  </si>
  <si>
    <t>ABUELO(PA)PROSTATA</t>
  </si>
  <si>
    <t>ENFERMERA</t>
  </si>
  <si>
    <t>BCO Y CUELLA</t>
  </si>
  <si>
    <t>HERMANA,BISABUELA,PAPA,TIO</t>
  </si>
  <si>
    <t>ARROZ CADA 3ER DIA</t>
  </si>
  <si>
    <t>TORTILLA 1 DIARIA</t>
  </si>
  <si>
    <t>AVENA DIARIO, GRANOLA 2 SEMANA</t>
  </si>
  <si>
    <t>ACACIONALMENTE</t>
  </si>
  <si>
    <t>ESPORADICAMENTE</t>
  </si>
  <si>
    <t>DIARIO 1/2 TAZA LECHE DESLACTOSADA</t>
  </si>
  <si>
    <t>DE TODAS LAS VERDURAS</t>
  </si>
  <si>
    <t>ATUN 1 SEMANA</t>
  </si>
  <si>
    <t>CHICHAROS ESPORADICO</t>
  </si>
  <si>
    <t>ELOTE ESPORADICO</t>
  </si>
  <si>
    <t>POR LO GENERAL DE TODAS SALTEADAS DIARIO</t>
  </si>
  <si>
    <t>ESPORADICO DURAZNO</t>
  </si>
  <si>
    <t>AGUANATURAL DIARIO</t>
  </si>
  <si>
    <t>AGUA FRESCA 1 SEMANA</t>
  </si>
  <si>
    <t>PIMIENTA ESPORADICO</t>
  </si>
  <si>
    <t>AJO CADA 3ER DIA</t>
  </si>
  <si>
    <t>MEJORANA ESPORADICO</t>
  </si>
  <si>
    <t>PAPAS MUY POCAS</t>
  </si>
  <si>
    <t>CACAHUATE POCO</t>
  </si>
  <si>
    <t>AMARANTO Y GRANOLA 1 SEMANA</t>
  </si>
  <si>
    <t>EL RETIRO</t>
  </si>
  <si>
    <t>4/1ABOERTO</t>
  </si>
  <si>
    <t>43AÑOS</t>
  </si>
  <si>
    <t>ARTRITIS FIEBRE DEUMATICA?</t>
  </si>
  <si>
    <t>AMIGDALAS/QUISTE MAMARIO</t>
  </si>
  <si>
    <t>HOMEOPATIA/TRANQUILIZAR</t>
  </si>
  <si>
    <t>PERSONAL FIEBRE DRAMATICA</t>
  </si>
  <si>
    <t>SI/METFORMINA</t>
  </si>
  <si>
    <t>SI/AMLODIPILO</t>
  </si>
  <si>
    <t>S/MEZAFIBRATO/TRIGLICERIDOS</t>
  </si>
  <si>
    <t>MAMA,ABUELA(MAT)</t>
  </si>
  <si>
    <t>40 HISTERECTOMIA</t>
  </si>
  <si>
    <t>SI/AMILODIPINO</t>
  </si>
  <si>
    <t>HERNIA APENDICE</t>
  </si>
  <si>
    <t>TIROIDES,PLAQUETAS ELEBADAS</t>
  </si>
  <si>
    <t>2 HERANOS</t>
  </si>
  <si>
    <t>TORTILLA 3 SEMANA</t>
  </si>
  <si>
    <t>PAN 3 SEMANA</t>
  </si>
  <si>
    <t>ACEITE 4 SEMANA</t>
  </si>
  <si>
    <t>MANTECA 1 AÑO</t>
  </si>
  <si>
    <t>EJOTES</t>
  </si>
  <si>
    <t>PAPAYA 1 SEMANA</t>
  </si>
  <si>
    <t>NARANJA 4 SEMANA</t>
  </si>
  <si>
    <t>MANGO 3 SEMANA</t>
  </si>
  <si>
    <t>OREGANO 1 SEMANA</t>
  </si>
  <si>
    <t>PIMIENTA 1 SEMANA</t>
  </si>
  <si>
    <t xml:space="preserve">LAUREL </t>
  </si>
  <si>
    <t>SI/LOSARTAN/20AÑOS</t>
  </si>
  <si>
    <t>SALPINGO,LEVANTAR VEJIGA</t>
  </si>
  <si>
    <t>HIPOTI,RIÑON,</t>
  </si>
  <si>
    <t>PIEDRAS HERMANOS</t>
  </si>
  <si>
    <t>CESARIA/APENDICE</t>
  </si>
  <si>
    <t>HOMEOPATIA VITAMINAS</t>
  </si>
  <si>
    <t>IRLANDES/PUEBLA</t>
  </si>
  <si>
    <t>ARROZ SEMANA</t>
  </si>
  <si>
    <t>AGAUCATE SEMANA</t>
  </si>
  <si>
    <t>CACAHUATE SEMANAL</t>
  </si>
  <si>
    <t>RES, POLLO DIARIO</t>
  </si>
  <si>
    <t>DE TODAS DIARIO</t>
  </si>
  <si>
    <t>AGUA FRESCA DIARIA</t>
  </si>
  <si>
    <t>TES DIARIO</t>
  </si>
  <si>
    <t>OREGANO SEMANAL</t>
  </si>
  <si>
    <t>PIMIENTA SEMANAL</t>
  </si>
  <si>
    <t>ARTESANA</t>
  </si>
  <si>
    <t>SI/2AÑOS</t>
  </si>
  <si>
    <t>SI/SOLVENTES</t>
  </si>
  <si>
    <t>CESARIA/ESTETICA</t>
  </si>
  <si>
    <t>HERMANA(MATRIZ)</t>
  </si>
  <si>
    <t>TORTILLA 2 DIARIO</t>
  </si>
  <si>
    <t>HARINA 3 SEMANA</t>
  </si>
  <si>
    <t>MANTEQ 2 SEMANA</t>
  </si>
  <si>
    <t>6 SEMANA</t>
  </si>
  <si>
    <t>3-4 MES</t>
  </si>
  <si>
    <t xml:space="preserve">LECHUGA </t>
  </si>
  <si>
    <t>CALABAZA, CHAYOTE, PEPINO , JICAMA</t>
  </si>
  <si>
    <t>PIÑA , MELON, PEPINO, MANGO</t>
  </si>
  <si>
    <t>AGUA DIARIO</t>
  </si>
  <si>
    <t>AGUA DE FRUTAS 3 SEMANA</t>
  </si>
  <si>
    <t>YERBABUENA, PIMIENTA</t>
  </si>
  <si>
    <t>AJO, CEBOLLA</t>
  </si>
  <si>
    <t>OREGANO, CILANTRO</t>
  </si>
  <si>
    <t>1NORMAL/1ABORTO</t>
  </si>
  <si>
    <t>ABUELOS(2)</t>
  </si>
  <si>
    <t>ASMA(MA)</t>
  </si>
  <si>
    <t>EL SALTO</t>
  </si>
  <si>
    <t>NUNCA</t>
  </si>
  <si>
    <t>INTESTINO</t>
  </si>
  <si>
    <t>BROMURO DE PIRAMIDIO</t>
  </si>
  <si>
    <t>ARROZ  MES</t>
  </si>
  <si>
    <t>AGUACATE 3 SEMANA</t>
  </si>
  <si>
    <t>PAPAS FRITAS 1 MES</t>
  </si>
  <si>
    <t>CUACTEMOC</t>
  </si>
  <si>
    <t>ABUELA(2)</t>
  </si>
  <si>
    <t>ABUELO(MAT)</t>
  </si>
  <si>
    <t>HOGAR/VENTAS</t>
  </si>
  <si>
    <t>COLI URBANO</t>
  </si>
  <si>
    <t>CESARIA,APENDICE, HERNIA</t>
  </si>
  <si>
    <t>PAPA/PROSTATA</t>
  </si>
  <si>
    <t>PAPA,MAMA</t>
  </si>
  <si>
    <t>AUTOCINEMA</t>
  </si>
  <si>
    <t>RETIRO DE PAQ. VENOSO EN PIERNA</t>
  </si>
  <si>
    <t>PIROXICAM DOLOR RODILLA</t>
  </si>
  <si>
    <t>HOMEOPATIA,HERVOLARIA</t>
  </si>
  <si>
    <t>ABUELA,TIA(PAT)</t>
  </si>
  <si>
    <t>TORTILLA 10 AL DIA</t>
  </si>
  <si>
    <t xml:space="preserve">CEREAL </t>
  </si>
  <si>
    <t>1 FRTA DIARIO</t>
  </si>
  <si>
    <t>SABRITAS 4 SEMANA</t>
  </si>
  <si>
    <t>COMERCIO</t>
  </si>
  <si>
    <t>LA PERLA</t>
  </si>
  <si>
    <t>2 MESES</t>
  </si>
  <si>
    <t>38 AÑOS</t>
  </si>
  <si>
    <t>DESCONOCE</t>
  </si>
  <si>
    <t>CESARIA/AMIGDALAS</t>
  </si>
  <si>
    <t>ARTRITIS(PIERNAS ) REUMATICAS/RIÑON SECUNDARIO A DIABETES</t>
  </si>
  <si>
    <t>HOMOPATIA</t>
  </si>
  <si>
    <t>TORTILLA 20 A LA SEMANA</t>
  </si>
  <si>
    <t>ARROZ 1 MES</t>
  </si>
  <si>
    <t>PAPA 1 SEMANA</t>
  </si>
  <si>
    <t>MANTEQUILLA AL MES</t>
  </si>
  <si>
    <t>PESCADO 1 SEMANA</t>
  </si>
  <si>
    <t>GUAYABA, PAPAYA, PLATANO</t>
  </si>
  <si>
    <t>REFRESCO CA 3ER DIA</t>
  </si>
  <si>
    <t>AGUA FRUTAS DIARIO</t>
  </si>
  <si>
    <t>CILANTRO DIARIO</t>
  </si>
  <si>
    <t>JO DIARIO</t>
  </si>
  <si>
    <t>PEREJIL DIARIO</t>
  </si>
  <si>
    <t>PAPAS FRITAS SEMANAL</t>
  </si>
  <si>
    <t>SAN JUDAS</t>
  </si>
  <si>
    <t>PIERNA,ANGINA,APENDICE</t>
  </si>
  <si>
    <t>TRIVEDOCE</t>
  </si>
  <si>
    <t>ACEITE  DIARIO</t>
  </si>
  <si>
    <t>PISTACHES SEMANL</t>
  </si>
  <si>
    <t>1 SEMANAL</t>
  </si>
  <si>
    <t>CEREAL</t>
  </si>
  <si>
    <t>TORTILA</t>
  </si>
  <si>
    <t>YOGURT</t>
  </si>
  <si>
    <t>PIMIENTO</t>
  </si>
  <si>
    <t>SALCHICHAS</t>
  </si>
  <si>
    <t>JARDINES ALCALDE</t>
  </si>
  <si>
    <t>15 AÑOS</t>
  </si>
  <si>
    <t>ABUELA MAT</t>
  </si>
  <si>
    <t>84?</t>
  </si>
  <si>
    <t>PRE</t>
  </si>
  <si>
    <t>EFISEMA PULMONAR</t>
  </si>
  <si>
    <t>MAESTRA JUBIADA</t>
  </si>
  <si>
    <t>TIA(MAT)</t>
  </si>
  <si>
    <t>KOREAHUNTIGTON(PAPA,ABUELA,TIOS,HERMANO</t>
  </si>
  <si>
    <t>MANTEQUILLA Y AGUACATE SEMANAL</t>
  </si>
  <si>
    <t>SEMILLAS DIARIO</t>
  </si>
  <si>
    <t>DE TODO TIPO DIARIO</t>
  </si>
  <si>
    <t>3 SE MANAL</t>
  </si>
  <si>
    <t>2 SEMANAL</t>
  </si>
  <si>
    <t>ZANAHORIA CHAYOTE</t>
  </si>
  <si>
    <t>BETABEL</t>
  </si>
  <si>
    <t>LECHUGA CHICHARO</t>
  </si>
  <si>
    <t>CADA MES</t>
  </si>
  <si>
    <t>ZANAHORIOA</t>
  </si>
  <si>
    <t>CHICHARO</t>
  </si>
  <si>
    <t>DETODAS PREFEREMTE DE TEMPORADA</t>
  </si>
  <si>
    <t>JUGO SEMANAL</t>
  </si>
  <si>
    <t>OREGANO YERBA BUENA</t>
  </si>
  <si>
    <t>37 HITEROCTOMIA</t>
  </si>
  <si>
    <t>ESTETICA,HISTERECTOMIA</t>
  </si>
  <si>
    <t>CANCERCU</t>
  </si>
  <si>
    <t>FAMILIA MADRE</t>
  </si>
  <si>
    <t>PAN DIARIO</t>
  </si>
  <si>
    <t>APIO DIARIO</t>
  </si>
  <si>
    <t>CALABAZA ZANAHORIA</t>
  </si>
  <si>
    <t>MANAZANA DIARIO</t>
  </si>
  <si>
    <t>PIÑA DIARIO</t>
  </si>
  <si>
    <t>PIMIENA</t>
  </si>
  <si>
    <t>JENGIBRE</t>
  </si>
  <si>
    <t>TACOS MES</t>
  </si>
  <si>
    <t>QUIMICA</t>
  </si>
  <si>
    <t>METFORMINA,BENCLAMIDA</t>
  </si>
  <si>
    <t>COMPLICACION DE DIABETES</t>
  </si>
  <si>
    <t>ZAC/JALIS</t>
  </si>
  <si>
    <t>´PAPAS</t>
  </si>
  <si>
    <t>TORTILLA 15 SEMANAL</t>
  </si>
  <si>
    <t>PAPA SEMANAL</t>
  </si>
  <si>
    <t>ACEITE COCO SEMANAL</t>
  </si>
  <si>
    <t>ALMENDRAS MES</t>
  </si>
  <si>
    <t>SEMANAL SOLO CLARAS</t>
  </si>
  <si>
    <t>NADA</t>
  </si>
  <si>
    <t>PESCADO</t>
  </si>
  <si>
    <t>CHAYOTE CALABAZA</t>
  </si>
  <si>
    <t>ACEITUNAS APIO</t>
  </si>
  <si>
    <t>BROCOLI COLIFLOR</t>
  </si>
  <si>
    <t>REFRESCO 1  CADA SEMANA</t>
  </si>
  <si>
    <t>CILANTRO</t>
  </si>
  <si>
    <t>PEREJIL APIO</t>
  </si>
  <si>
    <t>ABUELO (PA)ABUELA(MA)</t>
  </si>
  <si>
    <t>MAIZ AL MES</t>
  </si>
  <si>
    <t>AGUACATE SEMANAL</t>
  </si>
  <si>
    <t>DAIRO</t>
  </si>
  <si>
    <t>DETODAS DIARIO</t>
  </si>
  <si>
    <t>HOSTOPENIA</t>
  </si>
  <si>
    <t>PARA HOSTOPENIA</t>
  </si>
  <si>
    <t>MEXICANOS</t>
  </si>
  <si>
    <t>ARROS DARIO</t>
  </si>
  <si>
    <t>TORTILLA SEMANAL</t>
  </si>
  <si>
    <t>NUEZ SEMANAL</t>
  </si>
  <si>
    <t>AGUA FRUTAS SIN AZUCAR</t>
  </si>
  <si>
    <t xml:space="preserve">AJO </t>
  </si>
  <si>
    <t>50?</t>
  </si>
  <si>
    <t>DENTISTA</t>
  </si>
  <si>
    <t>POLIPOS VAGINAL</t>
  </si>
  <si>
    <t>AVENA DARIO</t>
  </si>
  <si>
    <t>NUEZ DIARIO</t>
  </si>
  <si>
    <t>ZANAHORIA DIARIO</t>
  </si>
  <si>
    <t>CALABAZA DIARIO</t>
  </si>
  <si>
    <t>MANGO 3 SEMANAL</t>
  </si>
  <si>
    <t>AGUA ENDULZADA DIARIO</t>
  </si>
  <si>
    <t>216/182</t>
  </si>
  <si>
    <t>212/107</t>
  </si>
  <si>
    <t>LAPAROSCOPIA</t>
  </si>
  <si>
    <t>AVENA SEMANAL</t>
  </si>
  <si>
    <t>ACEITE SEMANAL</t>
  </si>
  <si>
    <t>MAYONESA MES</t>
  </si>
  <si>
    <t>CHAYOTE 2 SEMANAL</t>
  </si>
  <si>
    <t>ZANAHORIA 2 SEMANAL</t>
  </si>
  <si>
    <t>CALABAZA 2 SEMANAL</t>
  </si>
  <si>
    <t>CHICHAROS 1 SEMANAL</t>
  </si>
  <si>
    <t>ELOTES 1 SEMNAL</t>
  </si>
  <si>
    <t>JICAMA 3 SEMANA</t>
  </si>
  <si>
    <t>PEPINO 3 SEMANAL</t>
  </si>
  <si>
    <t>TE NATURAL DIARIO</t>
  </si>
  <si>
    <t>CAFÉ 1 EMANA</t>
  </si>
  <si>
    <t>SAL SEMANA</t>
  </si>
  <si>
    <t>AJO SEMANAL</t>
  </si>
  <si>
    <t>MASTECTOMIA</t>
  </si>
  <si>
    <t>CANCERMAMA</t>
  </si>
  <si>
    <t>HOMEOPATIA/VITAMINA</t>
  </si>
  <si>
    <t>MAMA,TIOS</t>
  </si>
  <si>
    <t>ACEITE VEGEAL</t>
  </si>
  <si>
    <t>EN LAS 3 COMIDAS DIARIO</t>
  </si>
  <si>
    <t xml:space="preserve">PAPAYA </t>
  </si>
  <si>
    <t>77?</t>
  </si>
  <si>
    <t>A/HREPT</t>
  </si>
  <si>
    <t>NARIZ DOS</t>
  </si>
  <si>
    <t>GOTA</t>
  </si>
  <si>
    <t>LA MITAD</t>
  </si>
  <si>
    <t>RIÑON</t>
  </si>
  <si>
    <t>PAN SALADO</t>
  </si>
  <si>
    <t>POCA SI</t>
  </si>
  <si>
    <t>LIMON</t>
  </si>
  <si>
    <t>LIMA</t>
  </si>
  <si>
    <t>MENUDO</t>
  </si>
  <si>
    <t>BIRRIA PAPAS</t>
  </si>
  <si>
    <t>PENCIONADO</t>
  </si>
  <si>
    <t>VALE DE SAN JUAN</t>
  </si>
  <si>
    <t xml:space="preserve">ESCOLIOSIS </t>
  </si>
  <si>
    <t>SULINDACO PARACETAMOL</t>
  </si>
  <si>
    <t>ACEITESOYA</t>
  </si>
  <si>
    <t>3 SEMA</t>
  </si>
  <si>
    <t>LOSARTAN</t>
  </si>
  <si>
    <t>HOMBRO</t>
  </si>
  <si>
    <t>FRIJOLES 5 SEMANA</t>
  </si>
  <si>
    <t>PAPA 4 SEMANA</t>
  </si>
  <si>
    <t>AGUACATE 2 SEMANA</t>
  </si>
  <si>
    <t>RES 2 POR SEMANA</t>
  </si>
  <si>
    <t>2  (4 HUEVOS) SEMANA</t>
  </si>
  <si>
    <t>CHAYOTE 2 SEMANA</t>
  </si>
  <si>
    <t>MANZANA 4 SEMANA</t>
  </si>
  <si>
    <t>REFRESCO 5 SEMANA</t>
  </si>
  <si>
    <t>AGUA PRESCA 3 SEMANA</t>
  </si>
  <si>
    <t>GALLETA 3 SEMANA</t>
  </si>
  <si>
    <t>ASPIRINA , PENICILINA SEMANA PASADA</t>
  </si>
  <si>
    <t>ALMENDRA</t>
  </si>
  <si>
    <t>NUEZ</t>
  </si>
  <si>
    <t>VEGETARIANO"</t>
  </si>
  <si>
    <t>6 MES</t>
  </si>
  <si>
    <t>YOGURT 2 SEMANA</t>
  </si>
  <si>
    <t>TE VERDE</t>
  </si>
  <si>
    <t>MINERAL</t>
  </si>
  <si>
    <t>CHILE EN POLVO</t>
  </si>
  <si>
    <t>SOLO COMIDA</t>
  </si>
  <si>
    <t>LA ESPERANZA</t>
  </si>
  <si>
    <t>20 dias a mis 27 años</t>
  </si>
  <si>
    <t>CESARIA 20-06-2017</t>
  </si>
  <si>
    <t>ASMA(TIA</t>
  </si>
  <si>
    <t>122?</t>
  </si>
  <si>
    <t>SANLUIS</t>
  </si>
  <si>
    <t>COLESTEROLL</t>
  </si>
  <si>
    <t>TIROIDES BOCIO MULTI NODULAR</t>
  </si>
  <si>
    <t>GASTRITIS,</t>
  </si>
  <si>
    <t>CORTICOIDES</t>
  </si>
  <si>
    <t>VACUNAS PARA ALERGIAS, ASMA, POLIPOS</t>
  </si>
  <si>
    <t>SAN LUIS POTOSI</t>
  </si>
  <si>
    <t>ESCLERISISMULTIPLE HIJA</t>
  </si>
  <si>
    <t>FRIJOLES 1 SEMANA</t>
  </si>
  <si>
    <t>PAPA 1-2 SEMANA</t>
  </si>
  <si>
    <t>ACEITES 3 SEMANA</t>
  </si>
  <si>
    <t>POLLO 2 SEMANA</t>
  </si>
  <si>
    <t>DE BULGAROS</t>
  </si>
  <si>
    <t>ZANAHORIA 1 SEMANA</t>
  </si>
  <si>
    <t>CHAYOTE 1 SEMANA</t>
  </si>
  <si>
    <t>CALABACITA 1 SEMANA</t>
  </si>
  <si>
    <t>PLATANO UVAS NARANJITAS DIARIO</t>
  </si>
  <si>
    <t>MELON PAPAYA</t>
  </si>
  <si>
    <t>PIÑA 2 AL MES</t>
  </si>
  <si>
    <t>REFRESCO LIGHT DIAIRIO</t>
  </si>
  <si>
    <t>AGUA NATURAL DIARIIO</t>
  </si>
  <si>
    <t>TODAS LAS COMIDAS 3 VECES</t>
  </si>
  <si>
    <t>CACAHUATES CADA 8 DIAS</t>
  </si>
  <si>
    <t>ESTUDANTE</t>
  </si>
  <si>
    <t>CACAHUATE 1 SEMANA</t>
  </si>
  <si>
    <t>MANTEQUILLA 1 MES</t>
  </si>
  <si>
    <t>LECHE CASI DIARIO</t>
  </si>
  <si>
    <t>ZANAHORIA CASI DIARIO</t>
  </si>
  <si>
    <t>PAPA 2 SEMANA</t>
  </si>
  <si>
    <t>PLATANO 2 SEMANA</t>
  </si>
  <si>
    <t>NARANJA CASI DIARIO</t>
  </si>
  <si>
    <t>AGUA FRESCA DEL DIA DIARIO SIN ZUCAR</t>
  </si>
  <si>
    <t>CAFÉ CASIDIARIO</t>
  </si>
  <si>
    <t>HAMBURGESAS 2 AL MES</t>
  </si>
  <si>
    <t>PIZZA 1 MES</t>
  </si>
  <si>
    <t>EMBOLIA PAPAS</t>
  </si>
  <si>
    <t>BOLILLO</t>
  </si>
  <si>
    <t>4 AL AÑO</t>
  </si>
  <si>
    <t>MAS O MENOS</t>
  </si>
  <si>
    <t>ROMAS DE POLANCO</t>
  </si>
  <si>
    <t>SI/2 AÑOS</t>
  </si>
  <si>
    <t>METFORMINA CLINDAMINA</t>
  </si>
  <si>
    <t>QUERETARO</t>
  </si>
  <si>
    <t>MATERNO</t>
  </si>
  <si>
    <t>LENTEJAS 2 AL MES</t>
  </si>
  <si>
    <t>CACAHUATE 2 MES</t>
  </si>
  <si>
    <t>AGUACATE 2MES</t>
  </si>
  <si>
    <t>RES CADA 3ER DIA</t>
  </si>
  <si>
    <t>PESCADO SEMANAL</t>
  </si>
  <si>
    <t>CALABACITA CADA 3ER DIA</t>
  </si>
  <si>
    <t>ZANAHORIA CADA 3ER DIA</t>
  </si>
  <si>
    <t>BROCOLI CADA 3ER DIA</t>
  </si>
  <si>
    <t>AGUA FRUTAS DIARIO CADA 3ER DIA</t>
  </si>
  <si>
    <t>JUCO CADA 3ER DIA</t>
  </si>
  <si>
    <t>PAN DULCE 2 AL MES</t>
  </si>
  <si>
    <t>GALLETAS 2 AL MES</t>
  </si>
  <si>
    <t>TERAPIA FISICO</t>
  </si>
  <si>
    <t>POLANCO</t>
  </si>
  <si>
    <t>MIC/JAL</t>
  </si>
  <si>
    <t>ABUELOS Y HERMANA</t>
  </si>
  <si>
    <t>ISUFICIENCIA RENAL</t>
  </si>
  <si>
    <t>BIROTE 3 MES</t>
  </si>
  <si>
    <t>MANTEQUILLA 5 SEMANA</t>
  </si>
  <si>
    <t>NUES 2 SEMANA</t>
  </si>
  <si>
    <t>CHAYOTE 4 SEMANA</t>
  </si>
  <si>
    <t>LECHUGA 4 SEMANA</t>
  </si>
  <si>
    <t>ATUN 2 SEMANA</t>
  </si>
  <si>
    <t>PAPAYA 5 SEMANA</t>
  </si>
  <si>
    <t>MANZANA 5 SEMANA</t>
  </si>
  <si>
    <t>CAFÉ 5 SEMANA</t>
  </si>
  <si>
    <t>PIMIENTA 4 SEMANA</t>
  </si>
  <si>
    <t>AJO 4 SEMANA</t>
  </si>
  <si>
    <t>PAPAS 2 MES</t>
  </si>
  <si>
    <t>ALITAS 2 MES</t>
  </si>
  <si>
    <t>DULCES 2 SEMANA</t>
  </si>
  <si>
    <t>VARIS</t>
  </si>
  <si>
    <t>QUISTE MAMA</t>
  </si>
  <si>
    <t>SINUCITES ALERGICAS</t>
  </si>
  <si>
    <t>158?</t>
  </si>
  <si>
    <t>PROFECIONISTA</t>
  </si>
  <si>
    <t>MELOXICAM/METOCARBAMOL</t>
  </si>
  <si>
    <t>LENTEJAS SEMANAL</t>
  </si>
  <si>
    <t>NUEZ MENSUAL</t>
  </si>
  <si>
    <t>RES SEMANAL</t>
  </si>
  <si>
    <t>SEMANAL 4</t>
  </si>
  <si>
    <t>CALABAZA SEMANAL</t>
  </si>
  <si>
    <t>ELOTE MENSUAL</t>
  </si>
  <si>
    <t>BROCOLI SEMANAL</t>
  </si>
  <si>
    <t>CHICHAROS SEMANAL</t>
  </si>
  <si>
    <t>LEGUMBRES SEMANAL</t>
  </si>
  <si>
    <t>ELOTE SEMANAL</t>
  </si>
  <si>
    <t>CIRUELA ANUAL</t>
  </si>
  <si>
    <t>DURAZNO ANUAL</t>
  </si>
  <si>
    <t>PIÑA ANUAL</t>
  </si>
  <si>
    <t>SODAS SEMANAL</t>
  </si>
  <si>
    <t>JUGOS SEMANAL</t>
  </si>
  <si>
    <t>PAPAS MENSUAL</t>
  </si>
  <si>
    <t>GALLETAS DIARIO</t>
  </si>
  <si>
    <t>3 DIAS</t>
  </si>
  <si>
    <t>CLONAZEPAN, ZITALOPRAM</t>
  </si>
  <si>
    <t>ARROZ 1 SEMANA</t>
  </si>
  <si>
    <t>MANTEQUILLA 3 SEMANA</t>
  </si>
  <si>
    <t>CREMA 5 SEMANA</t>
  </si>
  <si>
    <t>POLLO 5 SEMANA</t>
  </si>
  <si>
    <t>CALABAZA 2 SEMANA</t>
  </si>
  <si>
    <t>ELOTE MES</t>
  </si>
  <si>
    <t>CHICHARO MES</t>
  </si>
  <si>
    <t>AGUA FRESCA 2 SEMANA</t>
  </si>
  <si>
    <t xml:space="preserve">PAN DULCE 1 </t>
  </si>
  <si>
    <t>TIROLANA</t>
  </si>
  <si>
    <t>FAMILIA (PA)</t>
  </si>
  <si>
    <t>MAYONESA 2 SEMANA</t>
  </si>
  <si>
    <t>MANTEQUILLA 2 SEMANA</t>
  </si>
  <si>
    <t>2 HUEVOS X MES</t>
  </si>
  <si>
    <t>2 X SEMANA</t>
  </si>
  <si>
    <t>4 X SEMANA</t>
  </si>
  <si>
    <t>CALABAZA 5 SEMANA</t>
  </si>
  <si>
    <t>KNOR SUIZA</t>
  </si>
  <si>
    <t>GALETTAS DIARIO</t>
  </si>
  <si>
    <t>31?</t>
  </si>
  <si>
    <t>TRIGLICERIDOS/3 AÑOS</t>
  </si>
  <si>
    <t>MIOMAS, ANEMIA, ENDOMETIO ALTA 1 AÑO</t>
  </si>
  <si>
    <t>ALGAS MARINAS HOMEOPARTI, PICOLIHUATU CREMA</t>
  </si>
  <si>
    <t>CHIHUAHUA</t>
  </si>
  <si>
    <t>AGUACATE ALMENDRAS</t>
  </si>
  <si>
    <t>AGUA CACERA</t>
  </si>
  <si>
    <t>CHINA 1 SEMANA</t>
  </si>
  <si>
    <t>CHURRITOS</t>
  </si>
  <si>
    <t>TORTILLA 5 DIARIAS</t>
  </si>
  <si>
    <t>FRIJOLES 2 SEMANA</t>
  </si>
  <si>
    <t>MARGARINA 1 SEMANA</t>
  </si>
  <si>
    <t>ACEITE 1 MES</t>
  </si>
  <si>
    <t>RES 2 SEMANA</t>
  </si>
  <si>
    <t>MEDIO KILO X MES</t>
  </si>
  <si>
    <t>SALCHICHA 5 MES</t>
  </si>
  <si>
    <t>LECHE 1 SEMANA</t>
  </si>
  <si>
    <t>BROCOLI 1 MES</t>
  </si>
  <si>
    <t>JITOMATE 3 SEMANA</t>
  </si>
  <si>
    <t>ATUN 1 2 MESES</t>
  </si>
  <si>
    <t>LECHE CLAVEL 1 3 MESES</t>
  </si>
  <si>
    <t>CHILES JALAPEÑOS 1 MES</t>
  </si>
  <si>
    <t>UVAS 1 SEMANA</t>
  </si>
  <si>
    <t>PLTANO 1 SEMANA</t>
  </si>
  <si>
    <t>JICAMA 1 MES</t>
  </si>
  <si>
    <t>COCA 2 SEMANA</t>
  </si>
  <si>
    <t>AGUA FRESCA 3 SEMANA</t>
  </si>
  <si>
    <t>PAPAS FRANCESAS 1 MES</t>
  </si>
  <si>
    <t>SALCHIPULPOS 1 MES</t>
  </si>
  <si>
    <t>57?</t>
  </si>
  <si>
    <t>TORTILLA 6 DIARIAS</t>
  </si>
  <si>
    <t>ACEITE 3 DIARIAS</t>
  </si>
  <si>
    <t>MANTECA 1 SEMANA</t>
  </si>
  <si>
    <t>JAMON 1 SEMANA</t>
  </si>
  <si>
    <t>ZANAHORIA 2 SEMANA</t>
  </si>
  <si>
    <t>ATUN 1 MES</t>
  </si>
  <si>
    <t>GUAYABA 4 SEMANA</t>
  </si>
  <si>
    <t xml:space="preserve">AGUA FRESCA DIARIO </t>
  </si>
  <si>
    <t>PAPITAS 1 MES</t>
  </si>
  <si>
    <t>PAN3 SEMANA</t>
  </si>
  <si>
    <t>67?</t>
  </si>
  <si>
    <t>VESICULA Y QUISTE OVARIO</t>
  </si>
  <si>
    <t>QUISTE OVARIO</t>
  </si>
  <si>
    <t>HOMEOPATIA VITAMINAB</t>
  </si>
  <si>
    <t>PADRE MAMA</t>
  </si>
  <si>
    <t>RENAL</t>
  </si>
  <si>
    <t>COCA LIGHT</t>
  </si>
  <si>
    <t>71?</t>
  </si>
  <si>
    <t>FIBROSIS VENTRICULAR</t>
  </si>
  <si>
    <t>ESPIRULINA</t>
  </si>
  <si>
    <t>MEFORMINA, AMIODARONA, ESNALAPRIT, TORVASTANINA</t>
  </si>
  <si>
    <t>Nayarit</t>
  </si>
  <si>
    <t>35?</t>
  </si>
  <si>
    <t>SI/5 AÑOS</t>
  </si>
  <si>
    <t>BESAFIBRATI, METFORMINA, AC.ACETALICIDO</t>
  </si>
  <si>
    <t>LENTEJAS 2 SEMANA</t>
  </si>
  <si>
    <t>ACEITE VEGETAL CADA 3ER DIA</t>
  </si>
  <si>
    <t>ACEITE OLIVA 3ER DIA</t>
  </si>
  <si>
    <t>RES DIARIO</t>
  </si>
  <si>
    <t>1-2 HUEVOS 2-3 SEMANA</t>
  </si>
  <si>
    <t>ESCASO 1 SEMANA</t>
  </si>
  <si>
    <t>1 CADA SEMANA</t>
  </si>
  <si>
    <t>RABANO</t>
  </si>
  <si>
    <t>JUGO PREPARADO EN CASA DIARIO</t>
  </si>
  <si>
    <t>PIIENTA</t>
  </si>
  <si>
    <t>AJO, TOMILLO</t>
  </si>
  <si>
    <t>119/101</t>
  </si>
  <si>
    <t>130?</t>
  </si>
  <si>
    <t>OIDO</t>
  </si>
  <si>
    <t>GLUCOSAMINA/CONDROTINA</t>
  </si>
  <si>
    <t>PULMONARY NEURONAL, EMBOLIA</t>
  </si>
  <si>
    <t>TORTILLA 6 DIARIO</t>
  </si>
  <si>
    <t>ACEITE OLIVA DIARIO</t>
  </si>
  <si>
    <t>ACEITE COCO</t>
  </si>
  <si>
    <t>ACEITE UVA</t>
  </si>
  <si>
    <t>PANELA Y REQUESON DIARIO</t>
  </si>
  <si>
    <t>LECHE SOYA 3 SEMANA</t>
  </si>
  <si>
    <t>CHILE MORRON</t>
  </si>
  <si>
    <t>JUGO 3 SEMANA</t>
  </si>
  <si>
    <t>GENJIBRE</t>
  </si>
  <si>
    <t>PAN DULCE 1 SEMANA</t>
  </si>
  <si>
    <t>Fraccionamiento 18 de marzo</t>
  </si>
  <si>
    <t>49 años</t>
  </si>
  <si>
    <t>5,1</t>
  </si>
  <si>
    <t>1cop/semanal</t>
  </si>
  <si>
    <t>cesarea e injerto de piel</t>
  </si>
  <si>
    <t>Hormonas</t>
  </si>
  <si>
    <t>Tia</t>
  </si>
  <si>
    <t>Mamá</t>
  </si>
  <si>
    <t>plaquetas bajas/papá</t>
  </si>
  <si>
    <t>Frijol/CADA 3ER DIA</t>
  </si>
  <si>
    <t>lentejas/1semanal</t>
  </si>
  <si>
    <t>Aguacate/2semanal</t>
  </si>
  <si>
    <t>3 SEM</t>
  </si>
  <si>
    <t>2 SEMA</t>
  </si>
  <si>
    <t>2 SEMAN</t>
  </si>
  <si>
    <t>2 SEM</t>
  </si>
  <si>
    <t>Cebolla</t>
  </si>
  <si>
    <t>lechugA</t>
  </si>
  <si>
    <t>Leche</t>
  </si>
  <si>
    <t>Oregano</t>
  </si>
  <si>
    <t>Papas fritas/3ER DIA</t>
  </si>
  <si>
    <t>78?</t>
  </si>
  <si>
    <t>10 años</t>
  </si>
  <si>
    <t>35 años</t>
  </si>
  <si>
    <t>32 años</t>
  </si>
  <si>
    <t>DIBERTICULOS</t>
  </si>
  <si>
    <t xml:space="preserve">Omeprazol, ENALPRIL, </t>
  </si>
  <si>
    <t>Michoachán</t>
  </si>
  <si>
    <t>24 años</t>
  </si>
  <si>
    <t>vesicula</t>
  </si>
  <si>
    <t>Papas, Abuel</t>
  </si>
  <si>
    <t>15 años</t>
  </si>
  <si>
    <t>Cesarea</t>
  </si>
  <si>
    <t>Vitaminas</t>
  </si>
  <si>
    <t>Mamá, abuela</t>
  </si>
  <si>
    <t>MINIMO</t>
  </si>
  <si>
    <t>2SEM</t>
  </si>
  <si>
    <t>1SEM</t>
  </si>
  <si>
    <t>1SEMANAL</t>
  </si>
  <si>
    <t>refresco dietetico/ocasional</t>
  </si>
  <si>
    <t>Cilantro</t>
  </si>
  <si>
    <t>PG294</t>
  </si>
  <si>
    <t>PG295</t>
  </si>
  <si>
    <t>SI/99- INSULINA</t>
  </si>
  <si>
    <t>SI-MEDICAMENTO</t>
  </si>
  <si>
    <t>SI,COLESTEROL PRAVASTATINA Y BEZAFIBRATO</t>
  </si>
  <si>
    <t>QUISTE PERITERIAL</t>
  </si>
  <si>
    <t>HOMEOPATIA, SUPLEMENTOS</t>
  </si>
  <si>
    <t>GHERMANO, PAPA, ABUELA PA</t>
  </si>
  <si>
    <t>1 DIARIO</t>
  </si>
  <si>
    <t>LECHE 2 DIAS DIARIO</t>
  </si>
  <si>
    <t>SALCHICA</t>
  </si>
  <si>
    <t>NO DIARIO</t>
  </si>
  <si>
    <t>Prediabetico</t>
  </si>
  <si>
    <t>Cataratas</t>
  </si>
  <si>
    <t>prostata</t>
  </si>
  <si>
    <t>Tansolucina</t>
  </si>
  <si>
    <t>Tias materna</t>
  </si>
  <si>
    <t>5 SEMA</t>
  </si>
  <si>
    <t>Calabcitas</t>
  </si>
  <si>
    <t>COCA UN TRAGO AL DIA</t>
  </si>
  <si>
    <t>Papas/ocasionalmente</t>
  </si>
  <si>
    <t>Pan dulce/ocasionalmente</t>
  </si>
  <si>
    <t>PG297</t>
  </si>
  <si>
    <t>MANTECA P FRIJOLES</t>
  </si>
  <si>
    <t>3SEMANA</t>
  </si>
  <si>
    <t xml:space="preserve">AGUA FRESCA </t>
  </si>
  <si>
    <t>REFRESCO OCACIONAL</t>
  </si>
  <si>
    <t>HACE UN AÑO</t>
  </si>
  <si>
    <t>Salpingo</t>
  </si>
  <si>
    <t>Pulmon</t>
  </si>
  <si>
    <t>ELPIFAFIBATO</t>
  </si>
  <si>
    <t>Padre y hermana</t>
  </si>
  <si>
    <t>hermanas</t>
  </si>
  <si>
    <t>Maiz/SEMANAL</t>
  </si>
  <si>
    <t>SEGUIDO</t>
  </si>
  <si>
    <t>Calabacita/diario</t>
  </si>
  <si>
    <t>Naranja/diario</t>
  </si>
  <si>
    <t>Jugo/diario</t>
  </si>
  <si>
    <t>Refresco/2semanal</t>
  </si>
  <si>
    <t>mujer</t>
  </si>
  <si>
    <t>jubilada</t>
  </si>
  <si>
    <t>jardines de la cruz</t>
  </si>
  <si>
    <t>hace 20 años histerectomia</t>
  </si>
  <si>
    <t>vejiga, histerectomia, retiro de mamas</t>
  </si>
  <si>
    <t>FIBROSIS QUISTICA&lt;</t>
  </si>
  <si>
    <t>diclofenaco,metformina,lucopran,lozartan,meropamilo</t>
  </si>
  <si>
    <t>homeopatia(deprecion)</t>
  </si>
  <si>
    <t>abuelo, tios maternos</t>
  </si>
  <si>
    <t>mamá</t>
  </si>
  <si>
    <t>mamá,tios maternos</t>
  </si>
  <si>
    <t>papá</t>
  </si>
  <si>
    <t>tiroides mamá, hermana</t>
  </si>
  <si>
    <t>opradora</t>
  </si>
  <si>
    <t>vitaminas</t>
  </si>
  <si>
    <t>papá,mamá, abuela paterna</t>
  </si>
  <si>
    <t>papá y mamá</t>
  </si>
  <si>
    <t>riñon</t>
  </si>
  <si>
    <t>PG301</t>
  </si>
  <si>
    <t>JUBILADA</t>
  </si>
  <si>
    <t>SAN PEDRO TLAQUEPAQUE</t>
  </si>
  <si>
    <t>ESPOSO FUMA</t>
  </si>
  <si>
    <t>2007 ANTIINFLAMATORIOS</t>
  </si>
  <si>
    <t>FLORES DE BACK ESTRÉS</t>
  </si>
  <si>
    <t>FRIJOL ARROZ</t>
  </si>
  <si>
    <t>ROJA 2 SEMANA, POLLO 2 SEMANA</t>
  </si>
  <si>
    <t>LECHE NORMA DIARIO</t>
  </si>
  <si>
    <t>ARANDANOS FRESCOS</t>
  </si>
  <si>
    <t>JUGO JUMEX ESPORADICO</t>
  </si>
  <si>
    <t>PIMIENTA/COMINOS</t>
  </si>
  <si>
    <t>PG302</t>
  </si>
  <si>
    <t>PANADERA</t>
  </si>
  <si>
    <t xml:space="preserve">DEDO CORTADO </t>
  </si>
  <si>
    <t>HOMEOPATIA DOLOR DE RODILLA</t>
  </si>
  <si>
    <t>OPERADORA</t>
  </si>
  <si>
    <t>ABUELOS (MA)</t>
  </si>
  <si>
    <t>ZAPOTE TONALA</t>
  </si>
  <si>
    <t>CIRCULATORIO</t>
  </si>
  <si>
    <t>ANTRIGRIPALES HACE 6 MESES</t>
  </si>
  <si>
    <t>1 SEMAN POLLO 4 SEMANA</t>
  </si>
  <si>
    <t>CAFÉ CON AZUCAR</t>
  </si>
  <si>
    <t>TE CON AZUCAR</t>
  </si>
  <si>
    <t>san andres</t>
  </si>
  <si>
    <t>propolio</t>
  </si>
  <si>
    <t>papá,mamá</t>
  </si>
  <si>
    <t>CANCER PROSTATTA</t>
  </si>
  <si>
    <t>3 MESES CAP</t>
  </si>
  <si>
    <t>CARBAXIPINA, PROSTATA, TRAMSULOSINA, BRICOLUTAMIDA</t>
  </si>
  <si>
    <t>Jardines de la paz</t>
  </si>
  <si>
    <t>5,2</t>
  </si>
  <si>
    <t>ENDOCRINOLOGIA 12 AÑOS TRATAMIENTO HIPER TIROIDISMO</t>
  </si>
  <si>
    <t>3 HERMANOS Y PADRES</t>
  </si>
  <si>
    <t>TORTILLA MAIZ</t>
  </si>
  <si>
    <t>AGUA  NATURAL</t>
  </si>
  <si>
    <t>AGUA PREPARADA</t>
  </si>
  <si>
    <t>PAPAS DE TIENDA Y CALLE 1 AL MES</t>
  </si>
  <si>
    <t>3, AVECES COLACIÓN</t>
  </si>
  <si>
    <t>Guadalajara</t>
  </si>
  <si>
    <t>comerciante</t>
  </si>
  <si>
    <t>brazo</t>
  </si>
  <si>
    <t>MAREOS, SINUCITIS</t>
  </si>
  <si>
    <t>Paracetamol</t>
  </si>
  <si>
    <t>Se desconoce</t>
  </si>
  <si>
    <t>TiroidesMAMA</t>
  </si>
  <si>
    <t>130/128</t>
  </si>
  <si>
    <t>Alcalde</t>
  </si>
  <si>
    <t>Articulaciones/ARTRITIS</t>
  </si>
  <si>
    <t>Moringa</t>
  </si>
  <si>
    <t>Ayotlan</t>
  </si>
  <si>
    <t>Cruz del Sur</t>
  </si>
  <si>
    <t>Limpiadores</t>
  </si>
  <si>
    <t>antiinflamatorios y antibioticos</t>
  </si>
  <si>
    <t>Toda la familia</t>
  </si>
  <si>
    <t>Hermana</t>
  </si>
  <si>
    <t>tias y madre</t>
  </si>
  <si>
    <t>Hermanas y madre</t>
  </si>
  <si>
    <t>trigo</t>
  </si>
  <si>
    <t>avena</t>
  </si>
  <si>
    <t>maiz</t>
  </si>
  <si>
    <t>aceite</t>
  </si>
  <si>
    <t>aceite de oliva</t>
  </si>
  <si>
    <t>CADA 4 DIAS</t>
  </si>
  <si>
    <t>3ER DIA</t>
  </si>
  <si>
    <t>Lechuga/semanal</t>
  </si>
  <si>
    <t>Apio/semanal</t>
  </si>
  <si>
    <t>Chicharos/semanal</t>
  </si>
  <si>
    <t>Mango/diario</t>
  </si>
  <si>
    <t>Sandia/semanal</t>
  </si>
  <si>
    <t>Agua de jamaica/diaro</t>
  </si>
  <si>
    <t>Agua de limon con chia/diario</t>
  </si>
  <si>
    <t>Pizza/semanal</t>
  </si>
  <si>
    <t>Tacos de barbacoa/semanal</t>
  </si>
  <si>
    <t>FRACC. COLON</t>
  </si>
  <si>
    <t>ABUELOS PATERNOS PAPA</t>
  </si>
  <si>
    <t>TIOS ABUELOS</t>
  </si>
  <si>
    <t>TORTILLA 4 DIARIAS</t>
  </si>
  <si>
    <t>YOGURT 3 SEMANA</t>
  </si>
  <si>
    <t>3 SEMANA COMBINA POLLO, PESCADO SOLO 3 SEMANA</t>
  </si>
  <si>
    <t>NOPALES</t>
  </si>
  <si>
    <t>JICAMA</t>
  </si>
  <si>
    <t>MAESTRO</t>
  </si>
  <si>
    <t>JARDINES CONTRY</t>
  </si>
  <si>
    <t>HERNIA HACE 10 AÑOS</t>
  </si>
  <si>
    <t>GRIPE ALERGIAS</t>
  </si>
  <si>
    <t>COMPLEJO VITAMINA B</t>
  </si>
  <si>
    <t>BOLILLO/PAN DIARIO</t>
  </si>
  <si>
    <t>AVENA 2 SEMANA</t>
  </si>
  <si>
    <t>DEPENDE DIARIO/1 MES</t>
  </si>
  <si>
    <t>MANZANA PIÑA</t>
  </si>
  <si>
    <t>AGUA FRUTAS</t>
  </si>
  <si>
    <t>CERVEZA 1 SEMANA</t>
  </si>
  <si>
    <t>CHILE BOTELLA</t>
  </si>
  <si>
    <t>PAPITAS 1 SEMANA</t>
  </si>
  <si>
    <t>63?</t>
  </si>
  <si>
    <t>TRABAJADORA SOCIAL</t>
  </si>
  <si>
    <t>REDUCCION DE BUSTO HACE 10 AÑOS</t>
  </si>
  <si>
    <t>ABUELA (AMBOS</t>
  </si>
  <si>
    <t>INFARTO CEREBRAL MAMA</t>
  </si>
  <si>
    <t>108?</t>
  </si>
  <si>
    <t>FRAC. OBLATOS</t>
  </si>
  <si>
    <t>VECINO</t>
  </si>
  <si>
    <t>HOSPITALIZADO POR TRATAMIENTO PSIQUIATRICO</t>
  </si>
  <si>
    <t>HOMEOPATICO Y OTRO</t>
  </si>
  <si>
    <t>PUERTO RICO</t>
  </si>
  <si>
    <t>ADOPTADO</t>
  </si>
  <si>
    <t>PAPA ADOPTIVO</t>
  </si>
  <si>
    <t>CONCIDERAR DAR DE BAJA</t>
  </si>
  <si>
    <t>TLAJOMULCO</t>
  </si>
  <si>
    <t>PROBLEMAS CON RIÑON</t>
  </si>
  <si>
    <t>MAMA, HERMANOS</t>
  </si>
  <si>
    <t>TUBERCULOSIS HERMANA</t>
  </si>
  <si>
    <t>TORTILLA 2-3 DIARIAS</t>
  </si>
  <si>
    <t>MANTEQUILLA 1 SEM</t>
  </si>
  <si>
    <t>MANTECA 2 SEMANA</t>
  </si>
  <si>
    <t>3 SEMANA 2 HUEVOS</t>
  </si>
  <si>
    <t>CAFÉ 2 SEMANA</t>
  </si>
  <si>
    <t>PAN DULCE 3 SEMANA</t>
  </si>
  <si>
    <t>87?</t>
  </si>
  <si>
    <t>PG317</t>
  </si>
  <si>
    <t>JARDINES DELCONTRY</t>
  </si>
  <si>
    <t>SI/15-20 AÑOS</t>
  </si>
  <si>
    <t>FRIJOL 2 AL MES</t>
  </si>
  <si>
    <t>4 MES</t>
  </si>
  <si>
    <t>LECHUGA 1 SEMANA</t>
  </si>
  <si>
    <t>AGUA  DIARIO</t>
  </si>
  <si>
    <t>AGUA HECHA EN CASA DIARIO</t>
  </si>
  <si>
    <t>TORTAS AHOGADAS</t>
  </si>
  <si>
    <t>TACOS BARBACOA</t>
  </si>
  <si>
    <t>PG318</t>
  </si>
  <si>
    <t>JARDINES DE LA CRUZ</t>
  </si>
  <si>
    <t>SI/2 AÑOS NO MEDICAMENTO</t>
  </si>
  <si>
    <t>SI / 2 AÑOS NO MEDI</t>
  </si>
  <si>
    <t>HERMNO</t>
  </si>
  <si>
    <t>TORTILLA 6-8 AL DIA</t>
  </si>
  <si>
    <t>FRIJOL 2-3 SEM</t>
  </si>
  <si>
    <t>MANTEQUILLA 1-2 SEMANA</t>
  </si>
  <si>
    <t>POLLO  2 SEMANA</t>
  </si>
  <si>
    <t>CHAYOTE 4-5SEMANA</t>
  </si>
  <si>
    <t>NARANJA 6 SEMANA</t>
  </si>
  <si>
    <t>JUGOS NATURALES 5 SEMANA</t>
  </si>
  <si>
    <t>AGUA FRESXA 2-3 SEMANA</t>
  </si>
  <si>
    <t>SABRITAS 1-2 SEMANA</t>
  </si>
  <si>
    <t>PG319</t>
  </si>
  <si>
    <t>OLIMPICA</t>
  </si>
  <si>
    <t>AI</t>
  </si>
  <si>
    <t>REACTIVOS LAB</t>
  </si>
  <si>
    <t>UV LAB</t>
  </si>
  <si>
    <t>ABUELA PATERNO</t>
  </si>
  <si>
    <t>TRIGO 2-3 SEMANA</t>
  </si>
  <si>
    <t>ACEITE VEGETAL DIARIO</t>
  </si>
  <si>
    <t>POLLO 1 SEMANA/ RES 1 SEMANA</t>
  </si>
  <si>
    <t>2HUEVOS 1 SEMANA</t>
  </si>
  <si>
    <t>AGUA FRESCA PREPARADA 2 SEMANA</t>
  </si>
  <si>
    <t>PAN DULCE 2 SEMANA</t>
  </si>
  <si>
    <t>PG320</t>
  </si>
  <si>
    <t>FIBROSIS EN PECHOS</t>
  </si>
  <si>
    <t>HOMEOPATIA PARA FIBROSIS Y NERVIOS</t>
  </si>
  <si>
    <t>MAMA (PECHO) TIOS PROSTATA</t>
  </si>
  <si>
    <t xml:space="preserve">TORTILLA </t>
  </si>
  <si>
    <t>FRIJOL, ARROZ</t>
  </si>
  <si>
    <t>PG321</t>
  </si>
  <si>
    <t>11/2ABORTOS</t>
  </si>
  <si>
    <t>ANEMIA EN EMBARZO</t>
  </si>
  <si>
    <t>PAPA, ABUELOS PATERNOS</t>
  </si>
  <si>
    <t>ABUELA MATERNA, TIOS MATERNOS</t>
  </si>
  <si>
    <t>HIJA ANOREXIA</t>
  </si>
  <si>
    <t>TODAS DIARIA</t>
  </si>
  <si>
    <t>MARISCOS 1 MES</t>
  </si>
  <si>
    <t>CEBOLLA DIARIO</t>
  </si>
  <si>
    <t>PEPEINO DIARIO</t>
  </si>
  <si>
    <t>CHICHARO 2 SEMNA</t>
  </si>
  <si>
    <t>TUNAS 2 SEMANA</t>
  </si>
  <si>
    <t>JUGO VERDE PIÑA 2 SEMANA</t>
  </si>
  <si>
    <t>JUGO VERDE 2 SEMANA</t>
  </si>
  <si>
    <t>REFRESCO NEGRO 2 SEMANA</t>
  </si>
  <si>
    <t>KOR SUIZA DIARIO</t>
  </si>
  <si>
    <t>AJO 3 SEMANA</t>
  </si>
  <si>
    <t>37?</t>
  </si>
  <si>
    <t>PG322</t>
  </si>
  <si>
    <t>TRIGO DIARIO</t>
  </si>
  <si>
    <t>AVENA 1 MES</t>
  </si>
  <si>
    <t>MANTECA 4 SEMANA</t>
  </si>
  <si>
    <t>MANTEQUILLA 2MES CREMA 3 SEMANA</t>
  </si>
  <si>
    <t>TODAS 4 SEMANA</t>
  </si>
  <si>
    <t>2- 3 SEMANA</t>
  </si>
  <si>
    <t>YOGHURT 1 SEMANA</t>
  </si>
  <si>
    <t>PESCADO 2 MES</t>
  </si>
  <si>
    <t xml:space="preserve">CHICHAROS </t>
  </si>
  <si>
    <t>FRESA 1 SEMANA</t>
  </si>
  <si>
    <t>MELON 1 SEMANA</t>
  </si>
  <si>
    <t>REFRESCO NEGRO</t>
  </si>
  <si>
    <t>SAL DE GRANO</t>
  </si>
  <si>
    <t>TACOS 2 MES</t>
  </si>
  <si>
    <t>HAMBURGUESAS 1 MES</t>
  </si>
  <si>
    <t>REGULARMENTE SI</t>
  </si>
  <si>
    <t>ZUMBA</t>
  </si>
  <si>
    <t>58?</t>
  </si>
  <si>
    <t>PG323</t>
  </si>
  <si>
    <t>PG324</t>
  </si>
  <si>
    <t>DEL SUR</t>
  </si>
  <si>
    <t>BROCOLI ZANAHORIA</t>
  </si>
  <si>
    <t>REFRESCO 2 MES</t>
  </si>
  <si>
    <t>PG325</t>
  </si>
  <si>
    <t>PG326</t>
  </si>
  <si>
    <t>PG327</t>
  </si>
  <si>
    <t>TRABAJO PARTICLAR</t>
  </si>
  <si>
    <t>LOMAS DE POLANCO</t>
  </si>
  <si>
    <t>28AÑOS</t>
  </si>
  <si>
    <t>SI LOSARTAN</t>
  </si>
  <si>
    <t>10 AÑOS INCONTINGENCIA URINARIA</t>
  </si>
  <si>
    <t>GASTRITIS NEMOPATICA DIABETICA</t>
  </si>
  <si>
    <t>HERBALIFE</t>
  </si>
  <si>
    <t>PG328</t>
  </si>
  <si>
    <t>PAPA TIOS(PS)</t>
  </si>
  <si>
    <t>PAPA (TIOS ABUELOS)</t>
  </si>
  <si>
    <t>TIOS (PAPA)</t>
  </si>
  <si>
    <t>TIA VITILIGIO</t>
  </si>
  <si>
    <t>MANTEQUILA</t>
  </si>
  <si>
    <t>CASI NO</t>
  </si>
  <si>
    <t>AGUA NATURAL POCA</t>
  </si>
  <si>
    <t>PAPAS NATURALES</t>
  </si>
  <si>
    <t>PG329</t>
  </si>
  <si>
    <t>PG330</t>
  </si>
  <si>
    <t>LOS ALTOS</t>
  </si>
  <si>
    <t>MAMA 2 ABUELAS</t>
  </si>
  <si>
    <t>PADRE ABUELAS</t>
  </si>
  <si>
    <t>ABUE (PA) CANCER ESTOMAGO</t>
  </si>
  <si>
    <t>ABUELAS</t>
  </si>
  <si>
    <t>ABUELA PAT</t>
  </si>
  <si>
    <t xml:space="preserve">FRIJOL </t>
  </si>
  <si>
    <t>MALLONESA</t>
  </si>
  <si>
    <t>MANZANA NARANJA</t>
  </si>
  <si>
    <t xml:space="preserve">AGA </t>
  </si>
  <si>
    <t>LICUADOS JUGO VER O CON LECHE</t>
  </si>
  <si>
    <t>SAL PIMIENTA</t>
  </si>
  <si>
    <t>OCACIONALMENTE TOSTITOS</t>
  </si>
  <si>
    <t>30 MIN CAMINANDO</t>
  </si>
  <si>
    <t>PG331</t>
  </si>
  <si>
    <t>1 NO TERMINO</t>
  </si>
  <si>
    <t>SI PREDIABETES/METFORMINA</t>
  </si>
  <si>
    <t>SI/20 AÑOS SIN FUMAR</t>
  </si>
  <si>
    <t>PAPA Y 2 HERMANOS</t>
  </si>
  <si>
    <t>BOLILLO DIARIO</t>
  </si>
  <si>
    <t>FRIJOL DARIO</t>
  </si>
  <si>
    <t>ROJA 2 SEMANA/ POLLO 4 SEMANA</t>
  </si>
  <si>
    <t>4SEMANA</t>
  </si>
  <si>
    <t xml:space="preserve">TUNA </t>
  </si>
  <si>
    <t>Agua / Diario</t>
  </si>
  <si>
    <t>Naproxeno</t>
  </si>
  <si>
    <t>Tíos, padre</t>
  </si>
  <si>
    <t>Abuelo</t>
  </si>
  <si>
    <t>Tortilla 5 vec/sem</t>
  </si>
  <si>
    <t>Pan 4 vec/sem</t>
  </si>
  <si>
    <t>Aceites 5 vec/sem</t>
  </si>
  <si>
    <t>Mantequilla 2 vec/sem</t>
  </si>
  <si>
    <t>2 vec/ Mes</t>
  </si>
  <si>
    <t>3 vec/mes</t>
  </si>
  <si>
    <t>Zanahoria 5 vec/sem</t>
  </si>
  <si>
    <t>Chayote 5 vec/sem</t>
  </si>
  <si>
    <t>Verduras 2 vec/mes</t>
  </si>
  <si>
    <t>Manzana 5 vec/sem</t>
  </si>
  <si>
    <t>Melón 5 vec/sem</t>
  </si>
  <si>
    <t>Refresco 2 vec/sem</t>
  </si>
  <si>
    <t>A. fresca 3 vec/sem</t>
  </si>
  <si>
    <t>Papas 3 vec/mes</t>
  </si>
  <si>
    <t>PG333</t>
  </si>
  <si>
    <t>SALTO JAL</t>
  </si>
  <si>
    <t>SI/1 AÑO/ ENALAPRI, METROPOL, DIGOXINA, COPIDOQUEL ETC.</t>
  </si>
  <si>
    <t>SI 1 AÑO</t>
  </si>
  <si>
    <t>HACE 1 AÑO LO DEJO</t>
  </si>
  <si>
    <t>CATETERISMO 20-11-2016 Y 5-02-2017</t>
  </si>
  <si>
    <t>PARA HIPERTENCION MUCHOS MEDICAMENTOS</t>
  </si>
  <si>
    <t>CELEBREX Y ANTIGRIPALES</t>
  </si>
  <si>
    <t>PG334</t>
  </si>
  <si>
    <t>COSTURA</t>
  </si>
  <si>
    <t>EXTRACCION DE VESICULA/ HACE 1 AÑO</t>
  </si>
  <si>
    <t>ACIDO FOLICO</t>
  </si>
  <si>
    <t>MAMA, ABUELAS</t>
  </si>
  <si>
    <t>AB(PA) CANCER ESTOMAGO</t>
  </si>
  <si>
    <t>2MES</t>
  </si>
  <si>
    <t>JUGO VERDE</t>
  </si>
  <si>
    <t>SAL Y PIMIENTA</t>
  </si>
  <si>
    <t>OCACIONALMENTE TOSTITOS Y PAN</t>
  </si>
  <si>
    <t>CAMINAR 30 MIN</t>
  </si>
  <si>
    <t>PG335</t>
  </si>
  <si>
    <t>DOCENTE</t>
  </si>
  <si>
    <t>REVOLUCIÓN</t>
  </si>
  <si>
    <t>SI POCO</t>
  </si>
  <si>
    <t>HEMORROIDES, APENDICE</t>
  </si>
  <si>
    <t>DIENTES DE LEON Y NATURISTA PARA VESICULA</t>
  </si>
  <si>
    <t>hombre</t>
  </si>
  <si>
    <t>D.F</t>
  </si>
  <si>
    <t>jardines de morelos, ecatepec, edo. México</t>
  </si>
  <si>
    <t>Si/CAPTOPRIL, VERAPAMILLO, VALIARTAN,ISOSORBIDE</t>
  </si>
  <si>
    <t>Si, BEZAFIBRATO, PRAVASTATINA, ATURVASTATINA</t>
  </si>
  <si>
    <t>1 cop/mes</t>
  </si>
  <si>
    <t>transplante renal</t>
  </si>
  <si>
    <t>2 marzo 2010 y 2011</t>
  </si>
  <si>
    <t>prednisona 5mg/cada 24 hrs, tacrolidos 4mg/cada 24 hrs, acid. Micofenolico 1000mg/cada 24 hrs</t>
  </si>
  <si>
    <t>lectina de soja, capsulas de ajo,ginko biloba</t>
  </si>
  <si>
    <t>culiacan,sinaloa</t>
  </si>
  <si>
    <t>Edo. México</t>
  </si>
  <si>
    <t>sinaloa/DF</t>
  </si>
  <si>
    <t>si padre y abuelo materno</t>
  </si>
  <si>
    <t>si abuelo materno</t>
  </si>
  <si>
    <t>si sujeto</t>
  </si>
  <si>
    <t>pan/diario</t>
  </si>
  <si>
    <t>tortilla de maiz/diario</t>
  </si>
  <si>
    <t>arroz/diario/galletas/diario</t>
  </si>
  <si>
    <t>aceite/diario</t>
  </si>
  <si>
    <t>mantequilla/diario</t>
  </si>
  <si>
    <t>soja/diario</t>
  </si>
  <si>
    <t>res/pollo</t>
  </si>
  <si>
    <t>mensual/semanal</t>
  </si>
  <si>
    <t>zanahoria,chayote,calabaza/diario</t>
  </si>
  <si>
    <t>lechuga, jitomate/semanal</t>
  </si>
  <si>
    <t>coliflor</t>
  </si>
  <si>
    <t>chiles/semana</t>
  </si>
  <si>
    <t>legumbres</t>
  </si>
  <si>
    <t>zanahorias</t>
  </si>
  <si>
    <t>manzana/dirio</t>
  </si>
  <si>
    <t>Sandia/mensual</t>
  </si>
  <si>
    <t>zarzamora/diario</t>
  </si>
  <si>
    <t>fresa/diario</t>
  </si>
  <si>
    <t>frambuesa/diario</t>
  </si>
  <si>
    <t>chabacano</t>
  </si>
  <si>
    <t>durazno</t>
  </si>
  <si>
    <t>agua mineral/mensaul</t>
  </si>
  <si>
    <t>ajo en polvo</t>
  </si>
  <si>
    <t>perejil</t>
  </si>
  <si>
    <t>frituras/diario</t>
  </si>
  <si>
    <t>PG337</t>
  </si>
  <si>
    <t>PG338</t>
  </si>
  <si>
    <t>PROGRESO</t>
  </si>
  <si>
    <t>10 AÑOS SIN MATRIZ</t>
  </si>
  <si>
    <t>3/2ABORTOS</t>
  </si>
  <si>
    <t>3, MATRIZ, PARASCOPIA, QUISTE</t>
  </si>
  <si>
    <t>QUISTE OVARIO DERECHO/COLITIS</t>
  </si>
  <si>
    <t>2 DIARIO</t>
  </si>
  <si>
    <t>DESLACTOSADA DIARIO</t>
  </si>
  <si>
    <t>1-2 AL MES</t>
  </si>
  <si>
    <t>Raidolito</t>
  </si>
  <si>
    <t>7 Radiografías</t>
  </si>
  <si>
    <t>1 año</t>
  </si>
  <si>
    <t>Colitis, renales</t>
  </si>
  <si>
    <t>Plátano/Diario</t>
  </si>
  <si>
    <t>PG340</t>
  </si>
  <si>
    <t>VEJIGA</t>
  </si>
  <si>
    <t>1 42 AÑOS</t>
  </si>
  <si>
    <t>ESPINACA</t>
  </si>
  <si>
    <t>JUGO</t>
  </si>
  <si>
    <t>76?</t>
  </si>
  <si>
    <t>D.f</t>
  </si>
  <si>
    <t>musico</t>
  </si>
  <si>
    <t>san cristobal</t>
  </si>
  <si>
    <t>Si tipoll</t>
  </si>
  <si>
    <t>METFORMINA, ATORVASTATINA</t>
  </si>
  <si>
    <t>benzafibrato, PROTEINA</t>
  </si>
  <si>
    <t>Df</t>
  </si>
  <si>
    <t>si papa, mama y abuelo materno</t>
  </si>
  <si>
    <t>si angina de pecho abuelo materno</t>
  </si>
  <si>
    <t>Tortilla/Diario</t>
  </si>
  <si>
    <t>Hongo/semanal</t>
  </si>
  <si>
    <t>Chicharos/Mensual</t>
  </si>
  <si>
    <t>Ensalada de verduras/ Semanal</t>
  </si>
  <si>
    <t>Mango/mensual</t>
  </si>
  <si>
    <t>Manzana/mensual</t>
  </si>
  <si>
    <t>Energetizante/semanal</t>
  </si>
  <si>
    <t>Moringa/diario</t>
  </si>
  <si>
    <t>cacahuate/semanal</t>
  </si>
  <si>
    <t xml:space="preserve">2 a 3 </t>
  </si>
  <si>
    <t>yoga</t>
  </si>
  <si>
    <t>ABUELO MATERNO</t>
  </si>
  <si>
    <t>TIA MATERNA</t>
  </si>
  <si>
    <t>ACCIDENTE CEREBROVASCULAR ABUELA MATERNA</t>
  </si>
  <si>
    <t>PG342</t>
  </si>
  <si>
    <t>SI/5 AÑOS ENALAPRIL</t>
  </si>
  <si>
    <t>MAIZ 2 SEMANA</t>
  </si>
  <si>
    <t>ARROZ 4 SEMANA</t>
  </si>
  <si>
    <t xml:space="preserve"> MANTEQUILLA 2 SEMANA</t>
  </si>
  <si>
    <t>PUERCO DIARIO</t>
  </si>
  <si>
    <t>AGUA 1 VASO AL DIA</t>
  </si>
  <si>
    <t>LICUADO DIARIO</t>
  </si>
  <si>
    <t>SABRITAS DIARIO</t>
  </si>
  <si>
    <t>SI/VASECTOMIA 4 MESES</t>
  </si>
  <si>
    <t>GRIPE Y CONTRACTURA, DESINFLAMATORIOS Y ANTIGRIPALES</t>
  </si>
  <si>
    <t>GRANOLA DAIRIO</t>
  </si>
  <si>
    <t>ARROS SEMANAL</t>
  </si>
  <si>
    <t>ACEITE DE OLIVA O AGUACATE DIARIO</t>
  </si>
  <si>
    <t>ACEITE CANOLA OCACIONAL</t>
  </si>
  <si>
    <t>1  MES</t>
  </si>
  <si>
    <t>ZANAHORIA, NOPALES</t>
  </si>
  <si>
    <t>ELOTE, ZANAHORIA CHICHAROS, EJOTE</t>
  </si>
  <si>
    <t>ATUN DESHIDRATADO</t>
  </si>
  <si>
    <t>VERDURA</t>
  </si>
  <si>
    <t>PIÑA, DE TEMPORADA NO MANGO</t>
  </si>
  <si>
    <t>1 LITRO DIARIO</t>
  </si>
  <si>
    <t>2 AGUA SAVOR CON STEVIA</t>
  </si>
  <si>
    <t>REFRESCO COCA LIGHT</t>
  </si>
  <si>
    <t>BOTANA</t>
  </si>
  <si>
    <t>AL MENOS 3</t>
  </si>
  <si>
    <t>30 MIN</t>
  </si>
  <si>
    <t>PG344</t>
  </si>
  <si>
    <t>OBLATOS</t>
  </si>
  <si>
    <t>Lomas de la soledad</t>
  </si>
  <si>
    <t>Incección respiratoria</t>
  </si>
  <si>
    <t>PG346</t>
  </si>
  <si>
    <t>PG347</t>
  </si>
  <si>
    <t>PG348</t>
  </si>
  <si>
    <t>jardinera</t>
  </si>
  <si>
    <t>villas de guadalupe</t>
  </si>
  <si>
    <t>uso domestico</t>
  </si>
  <si>
    <t>radiografia en torax</t>
  </si>
  <si>
    <t>cesareas</t>
  </si>
  <si>
    <t xml:space="preserve">si </t>
  </si>
  <si>
    <t>hermana, abuelo paterno</t>
  </si>
  <si>
    <t>PG349</t>
  </si>
  <si>
    <t>teocaltiche</t>
  </si>
  <si>
    <t>radiografia en los 90's</t>
  </si>
  <si>
    <t>gripa</t>
  </si>
  <si>
    <t>paracetamol</t>
  </si>
  <si>
    <t>cañados de obregon</t>
  </si>
  <si>
    <t>hidalgo</t>
  </si>
  <si>
    <t>desconoce</t>
  </si>
  <si>
    <t>tios paternos</t>
  </si>
  <si>
    <t xml:space="preserve">varices </t>
  </si>
  <si>
    <t>PG350</t>
  </si>
  <si>
    <t>PG351</t>
  </si>
  <si>
    <t>COLINAS DEL RIO</t>
  </si>
  <si>
    <t>AMOXILINA</t>
  </si>
  <si>
    <t>PG352</t>
  </si>
  <si>
    <t>azucena</t>
  </si>
  <si>
    <t>radiografia</t>
  </si>
  <si>
    <t>Homeopatia</t>
  </si>
  <si>
    <t>j</t>
  </si>
  <si>
    <t>tio paterno</t>
  </si>
  <si>
    <t xml:space="preserve">abuelos paternos, abuelo materno </t>
  </si>
  <si>
    <t>primo y padre</t>
  </si>
  <si>
    <t>12/10/1082</t>
  </si>
  <si>
    <t>Ingeniero</t>
  </si>
  <si>
    <t>col,Esperanza, Guadalajara</t>
  </si>
  <si>
    <t>28/30 años de edad</t>
  </si>
  <si>
    <t>10 galletas/</t>
  </si>
  <si>
    <t>3 tortillas/diario</t>
  </si>
  <si>
    <t>brocoli/diario</t>
  </si>
  <si>
    <t>calabacita/diario</t>
  </si>
  <si>
    <t>varias verduras/3veces semana</t>
  </si>
  <si>
    <t>mango/diario</t>
  </si>
  <si>
    <t>fruta de temporada/diario</t>
  </si>
  <si>
    <t>agua de fruta/diario</t>
  </si>
  <si>
    <t xml:space="preserve">sal de ajo/diario </t>
  </si>
  <si>
    <t>comino/diario</t>
  </si>
  <si>
    <t>cacahuate saldo 1kg/mensual</t>
  </si>
  <si>
    <t>4 veces/mes</t>
  </si>
  <si>
    <t>PG354</t>
  </si>
  <si>
    <t>AMEPRAZOL Y ANTIACIDOS EN CASO DE DOLOR</t>
  </si>
  <si>
    <t>CD. Guzman</t>
  </si>
  <si>
    <t>cerro del tesoro</t>
  </si>
  <si>
    <t>Abuela</t>
  </si>
  <si>
    <t>Tio</t>
  </si>
  <si>
    <t>PG355</t>
  </si>
  <si>
    <t>RECAMARISTA</t>
  </si>
  <si>
    <t>SANTA CECILIA</t>
  </si>
  <si>
    <t>SI(RECAMARISTA)</t>
  </si>
  <si>
    <t>SISTITIS</t>
  </si>
  <si>
    <t>ABUELA PATERNA</t>
  </si>
  <si>
    <t>paseos del sol</t>
  </si>
  <si>
    <t>adre</t>
  </si>
  <si>
    <t>Trigliceridos altos</t>
  </si>
  <si>
    <t>Bezafibrato</t>
  </si>
  <si>
    <t>Avena/ semanal</t>
  </si>
  <si>
    <t>Aceites/diario</t>
  </si>
  <si>
    <t>PG356</t>
  </si>
  <si>
    <t>PROVIDENCIA</t>
  </si>
  <si>
    <t>SI/1993</t>
  </si>
  <si>
    <t>madre/Abuela/tio</t>
  </si>
  <si>
    <t>Almendra/diairo</t>
  </si>
  <si>
    <t>Zanahoria/diairo</t>
  </si>
  <si>
    <t>Platano/diairo</t>
  </si>
  <si>
    <t>Agua/diairo</t>
  </si>
  <si>
    <t>Tes/diario</t>
  </si>
  <si>
    <t>Churritos/mensual</t>
  </si>
  <si>
    <t>PG357</t>
  </si>
  <si>
    <t>2 ASÑOS</t>
  </si>
  <si>
    <t>SI/UN AÑO/METFORMINA</t>
  </si>
  <si>
    <t>SO</t>
  </si>
  <si>
    <t>DERMOGRAS</t>
  </si>
  <si>
    <t>ZACATECAS QUERETARO</t>
  </si>
  <si>
    <t>MAMA Y ABUELA</t>
  </si>
  <si>
    <t>PG358</t>
  </si>
  <si>
    <t>PG359</t>
  </si>
  <si>
    <t>pemsionado</t>
  </si>
  <si>
    <t>retiro</t>
  </si>
  <si>
    <t xml:space="preserve"> </t>
  </si>
  <si>
    <t>si 1 1/2 años</t>
  </si>
  <si>
    <t>cateterismo</t>
  </si>
  <si>
    <t>yumel</t>
  </si>
  <si>
    <t xml:space="preserve">copidogiel, astarbastapina y aspirina </t>
  </si>
  <si>
    <t>gdl</t>
  </si>
  <si>
    <t>san juan tecomatlan</t>
  </si>
  <si>
    <t>insuficiencia pulmonar</t>
  </si>
  <si>
    <t>PG360</t>
  </si>
  <si>
    <t>PG361</t>
  </si>
  <si>
    <t>PG362</t>
  </si>
  <si>
    <t>PG363</t>
  </si>
  <si>
    <t>PG364</t>
  </si>
  <si>
    <t>PG365</t>
  </si>
  <si>
    <t>PG366</t>
  </si>
  <si>
    <t>PG367</t>
  </si>
  <si>
    <t>PG368</t>
  </si>
  <si>
    <t>PG369</t>
  </si>
  <si>
    <t>PG370</t>
  </si>
  <si>
    <t>PG371</t>
  </si>
  <si>
    <t>PG372</t>
  </si>
  <si>
    <t>PG373</t>
  </si>
  <si>
    <t>PG374</t>
  </si>
  <si>
    <t>PG375</t>
  </si>
  <si>
    <t>PG376</t>
  </si>
  <si>
    <t>Villaseñor</t>
  </si>
  <si>
    <t>Raid/ SI</t>
  </si>
  <si>
    <t>SI/ abuelo materno</t>
  </si>
  <si>
    <t>77.7</t>
  </si>
  <si>
    <t>26.6</t>
  </si>
  <si>
    <t>34.2</t>
  </si>
  <si>
    <t>25.7</t>
  </si>
  <si>
    <t>Tortilla/2 o 3 diarias</t>
  </si>
  <si>
    <t>Avena/2 veces por semana</t>
  </si>
  <si>
    <t>Arroz/1 vez por semana</t>
  </si>
  <si>
    <t>Aguacate/2 veces por semana</t>
  </si>
  <si>
    <t>2 veces al mes</t>
  </si>
  <si>
    <t>Chile jalapeño/1 por semana</t>
  </si>
  <si>
    <t>Elote/1 por semana</t>
  </si>
  <si>
    <t xml:space="preserve">Manzana  </t>
  </si>
  <si>
    <t>Agua de sabor</t>
  </si>
  <si>
    <t xml:space="preserve">Refresco  </t>
  </si>
  <si>
    <t>Gatorade/electrolit</t>
  </si>
  <si>
    <t xml:space="preserve">Sal  </t>
  </si>
  <si>
    <t>Galletas/1 vez por semana</t>
  </si>
  <si>
    <t>Cacahuates</t>
  </si>
  <si>
    <t>Chicles</t>
  </si>
  <si>
    <t>3 o 2</t>
  </si>
  <si>
    <t>PG377</t>
  </si>
  <si>
    <t>Secretraria</t>
  </si>
  <si>
    <t>Hacienda Real</t>
  </si>
  <si>
    <t>21 años</t>
  </si>
  <si>
    <t>SI/colesterol y trigliceridos</t>
  </si>
  <si>
    <t>SI/21 años/4 cervezas</t>
  </si>
  <si>
    <t>88.7</t>
  </si>
  <si>
    <t>50.1</t>
  </si>
  <si>
    <t>21.7</t>
  </si>
  <si>
    <t>33.8</t>
  </si>
  <si>
    <t>dieta cetogenica</t>
  </si>
  <si>
    <t>Aceite de coco</t>
  </si>
  <si>
    <t>Aceite de oliva</t>
  </si>
  <si>
    <t>1 por dia</t>
  </si>
  <si>
    <t>5 por semana</t>
  </si>
  <si>
    <t>Verduras verdes</t>
  </si>
  <si>
    <t>Fresas</t>
  </si>
  <si>
    <t>Arandano</t>
  </si>
  <si>
    <t>Agua/2 litros</t>
  </si>
  <si>
    <t>Té/1 taza</t>
  </si>
  <si>
    <t>Café/1 taza</t>
  </si>
  <si>
    <t>Sal himalaya</t>
  </si>
  <si>
    <t>Sal/ajo</t>
  </si>
  <si>
    <t>Helado/1 al mes</t>
  </si>
  <si>
    <t>PG378</t>
  </si>
  <si>
    <t>Bombero paramédico</t>
  </si>
  <si>
    <t>Lomas Residencial</t>
  </si>
  <si>
    <t>SI/9 años/Losartan</t>
  </si>
  <si>
    <t>SI/radiografía hace 2 años</t>
  </si>
  <si>
    <t>Dolor de garganta, gastrits, deformidad pelvica, epifisiolistesis femoral derecho</t>
  </si>
  <si>
    <t>Omeprazol, Melox</t>
  </si>
  <si>
    <t>MADRE/Guanajuato, PADRE/ México</t>
  </si>
  <si>
    <t>SI/Hermano y tios</t>
  </si>
  <si>
    <t>SI/Padres y ebuelas</t>
  </si>
  <si>
    <t>SI/Tio</t>
  </si>
  <si>
    <t>SI/hermano problema de valvula, abuelo paterno peritonitis</t>
  </si>
  <si>
    <t>129.7</t>
  </si>
  <si>
    <t>28.9</t>
  </si>
  <si>
    <t>37.9</t>
  </si>
  <si>
    <t>Arroz/2 veces por semana</t>
  </si>
  <si>
    <t>Aguacate/2 veces al mes</t>
  </si>
  <si>
    <t>1 o 2 por semana</t>
  </si>
  <si>
    <t>SI/cada 3 dias</t>
  </si>
  <si>
    <t>Leche diario</t>
  </si>
  <si>
    <t>Elote/2 por semana</t>
  </si>
  <si>
    <t>Sandía/Diario</t>
  </si>
  <si>
    <t>Refresco/1 vez por semana</t>
  </si>
  <si>
    <t>Sal en cada comida</t>
  </si>
  <si>
    <t>Pan dulce/2-3 veces por semana</t>
  </si>
  <si>
    <t>Frituras/1 vez cada 15 dias</t>
  </si>
  <si>
    <t>Solo desayuno y cena</t>
  </si>
  <si>
    <t>Alamo</t>
  </si>
  <si>
    <t>75/83</t>
  </si>
  <si>
    <t>56/62</t>
  </si>
  <si>
    <t xml:space="preserve">Avena  </t>
  </si>
  <si>
    <t>Amaranto</t>
  </si>
  <si>
    <t>Manteca</t>
  </si>
  <si>
    <t xml:space="preserve">Mantequilla  </t>
  </si>
  <si>
    <t>Melón</t>
  </si>
  <si>
    <t>Churritos</t>
  </si>
  <si>
    <t>Pizza</t>
  </si>
  <si>
    <t>PG380</t>
  </si>
  <si>
    <t>Administrativo</t>
  </si>
  <si>
    <t>Santa Mónica</t>
  </si>
  <si>
    <t>14 años</t>
  </si>
  <si>
    <t>SI/8 meses/metformina</t>
  </si>
  <si>
    <t>SI/madre y padre</t>
  </si>
  <si>
    <t>87.4</t>
  </si>
  <si>
    <t>41.6</t>
  </si>
  <si>
    <t>24.4</t>
  </si>
  <si>
    <t>31.3</t>
  </si>
  <si>
    <t>PG381</t>
  </si>
  <si>
    <t>56 años</t>
  </si>
  <si>
    <t>27 años</t>
  </si>
  <si>
    <t>SI/tipo 2/7meses/metformina</t>
  </si>
  <si>
    <t>SI/7 meses/losartan, amlodepino</t>
  </si>
  <si>
    <t>SI/25 años/4</t>
  </si>
  <si>
    <t>Artoplastia total rodilla bilateral</t>
  </si>
  <si>
    <t>ketorolaco sublingual/clonazepam</t>
  </si>
  <si>
    <t>EPOC/PADRE</t>
  </si>
  <si>
    <t>81.2</t>
  </si>
  <si>
    <t>44.3</t>
  </si>
  <si>
    <t>24.2</t>
  </si>
  <si>
    <t>1  tasa semanal</t>
  </si>
  <si>
    <t>diario/bistek y pollo</t>
  </si>
  <si>
    <t>mango</t>
  </si>
  <si>
    <t>guayaba</t>
  </si>
  <si>
    <t>PG382</t>
  </si>
  <si>
    <t xml:space="preserve">Loma bonita </t>
  </si>
  <si>
    <t>9 años</t>
  </si>
  <si>
    <t>SI/MADRE Y PADRE</t>
  </si>
  <si>
    <t>29.3</t>
  </si>
  <si>
    <t>1 tasa cereal caja</t>
  </si>
  <si>
    <t>papa/3 veces por semana</t>
  </si>
  <si>
    <t>3/semana</t>
  </si>
  <si>
    <t>4 /semana</t>
  </si>
  <si>
    <t>2/semana</t>
  </si>
  <si>
    <t>1/Semana</t>
  </si>
  <si>
    <t>zanahoria/3 veces a la semana</t>
  </si>
  <si>
    <t>calabaza/ veces por semana</t>
  </si>
  <si>
    <t>refresco/3 veces a la semana</t>
  </si>
  <si>
    <t>poco/Semana</t>
  </si>
  <si>
    <t>PG383</t>
  </si>
  <si>
    <t>Profesor</t>
  </si>
  <si>
    <t>Horizantos</t>
  </si>
  <si>
    <t>SI/14 años/ 8 diarios</t>
  </si>
  <si>
    <t>SI/14 años/ 1 copa al mes</t>
  </si>
  <si>
    <t>SI/Reinstalación intestinal</t>
  </si>
  <si>
    <t>SI/PADRE Y ABUELOS</t>
  </si>
  <si>
    <t>92.1</t>
  </si>
  <si>
    <t>38.3</t>
  </si>
  <si>
    <t>31.9</t>
  </si>
  <si>
    <t>1/2 kg diario</t>
  </si>
  <si>
    <t>8 por semana</t>
  </si>
  <si>
    <t>SI/semana</t>
  </si>
  <si>
    <t>1 tasa por semana</t>
  </si>
  <si>
    <t>1 tasa diaria</t>
  </si>
  <si>
    <t>1 tasa semanal</t>
  </si>
  <si>
    <t>5 o 7</t>
  </si>
  <si>
    <t>1 hora diaria /5 dias por semana</t>
  </si>
  <si>
    <t>PG384</t>
  </si>
  <si>
    <t>Resla Cruz</t>
  </si>
  <si>
    <t>Histerectomia</t>
  </si>
  <si>
    <t>74.3</t>
  </si>
  <si>
    <t>35.1</t>
  </si>
  <si>
    <t>28.8</t>
  </si>
  <si>
    <t>27.4</t>
  </si>
  <si>
    <t>4 tortilla</t>
  </si>
  <si>
    <t>3 cucharadas avena</t>
  </si>
  <si>
    <t>1/2 tasa frijol</t>
  </si>
  <si>
    <t>1 FILETE</t>
  </si>
  <si>
    <t>1 vaso</t>
  </si>
  <si>
    <t>SI/FILETE, CAMARONES, CEVICHE/3 veces</t>
  </si>
  <si>
    <t>AGUA FRESCA FRUTAS</t>
  </si>
  <si>
    <t>PG385</t>
  </si>
  <si>
    <t>Asalariada</t>
  </si>
  <si>
    <t>Monumental</t>
  </si>
  <si>
    <t>SI/a los 20 años</t>
  </si>
  <si>
    <t xml:space="preserve">SI/a los 17 años/1 copa al mes </t>
  </si>
  <si>
    <t>Hace 14 años</t>
  </si>
  <si>
    <t>SI/20 años</t>
  </si>
  <si>
    <t>SI/ABUELO materno (próstata)</t>
  </si>
  <si>
    <t>58.2</t>
  </si>
  <si>
    <t>36.6</t>
  </si>
  <si>
    <t>21.9</t>
  </si>
  <si>
    <t>SALVADO/1 vez por semana</t>
  </si>
  <si>
    <t>Trigo/1 vez por semana</t>
  </si>
  <si>
    <t>Amaranto/1 vez por semana</t>
  </si>
  <si>
    <t>Cacahuates/Semanal</t>
  </si>
  <si>
    <t>Crema/diario</t>
  </si>
  <si>
    <t>Almendras/2 veces a la semana</t>
  </si>
  <si>
    <t>1 rebanada/mes</t>
  </si>
  <si>
    <t>80 g/2 veces por semana</t>
  </si>
  <si>
    <t>1 vaso diario</t>
  </si>
  <si>
    <t>250 g /1 vez al mes</t>
  </si>
  <si>
    <t>Calabaza /1 semana</t>
  </si>
  <si>
    <t>Chayote/1 semana</t>
  </si>
  <si>
    <t>50 g/ensalada campesina/2 veces por mes</t>
  </si>
  <si>
    <t>DURAZNOS/1 vez por mes</t>
  </si>
  <si>
    <t>Coca-cola/1 vaso diario</t>
  </si>
  <si>
    <t>Jugo/1 vez por semana</t>
  </si>
  <si>
    <t>Papas sabritas</t>
  </si>
  <si>
    <t>PG386</t>
  </si>
  <si>
    <t>Pinar de la Calma</t>
  </si>
  <si>
    <t>SI/LOSARTAN</t>
  </si>
  <si>
    <t>SI/A los 18 años/1 copa al mes</t>
  </si>
  <si>
    <t>Estado de México</t>
  </si>
  <si>
    <t>SI/Paterno</t>
  </si>
  <si>
    <t>SI/Materno</t>
  </si>
  <si>
    <t>103.2</t>
  </si>
  <si>
    <t>33.5</t>
  </si>
  <si>
    <t>29.5</t>
  </si>
  <si>
    <t>32.2</t>
  </si>
  <si>
    <t>Tortilla/2 por semana</t>
  </si>
  <si>
    <t>Papa/1 semana</t>
  </si>
  <si>
    <t>Mayonesa/Diario</t>
  </si>
  <si>
    <t>Queso/2 por semana</t>
  </si>
  <si>
    <t>Nata/1 mes</t>
  </si>
  <si>
    <t>Semanal/1 vez</t>
  </si>
  <si>
    <t>Semanal/2 veces</t>
  </si>
  <si>
    <t>1/semana</t>
  </si>
  <si>
    <t>1/diario</t>
  </si>
  <si>
    <t>1/mes</t>
  </si>
  <si>
    <t>Zanahoria/1 semana</t>
  </si>
  <si>
    <t>Manzana/3 semana</t>
  </si>
  <si>
    <t>Pera/3 semana</t>
  </si>
  <si>
    <t>Plátano/2 semana</t>
  </si>
  <si>
    <t>Café/Diario</t>
  </si>
  <si>
    <t>Refresco/1 semana</t>
  </si>
  <si>
    <t>Mostaza/2 semana</t>
  </si>
  <si>
    <t>Tacos/ 1 semana</t>
  </si>
  <si>
    <t>Lonches/2 semana</t>
  </si>
  <si>
    <t>Solo Desayuno</t>
  </si>
  <si>
    <t>PG387</t>
  </si>
  <si>
    <t>Operativo</t>
  </si>
  <si>
    <t>SI/Tipo 2/2 años/Metformina</t>
  </si>
  <si>
    <t>SI/1 año/Losartán</t>
  </si>
  <si>
    <t>Cloro</t>
  </si>
  <si>
    <t>SI/Matriz</t>
  </si>
  <si>
    <t>Quistes de ovario y matriz</t>
  </si>
  <si>
    <t xml:space="preserve">SI/Padre  </t>
  </si>
  <si>
    <t xml:space="preserve">SI/Padre </t>
  </si>
  <si>
    <t>ECV/Padre, Riñon</t>
  </si>
  <si>
    <t>51.8</t>
  </si>
  <si>
    <t>21.6</t>
  </si>
  <si>
    <t>43.8</t>
  </si>
  <si>
    <t>Arroz/3-4</t>
  </si>
  <si>
    <t>Frijol/3-4</t>
  </si>
  <si>
    <t>Bolillo/3</t>
  </si>
  <si>
    <t>Aguacate/1 semana</t>
  </si>
  <si>
    <t xml:space="preserve">Manzana </t>
  </si>
  <si>
    <t>Pepino</t>
  </si>
  <si>
    <t xml:space="preserve">Jugo  </t>
  </si>
  <si>
    <t>PG388</t>
  </si>
  <si>
    <t>Balcones de Santa María</t>
  </si>
  <si>
    <t>SI/Abuela</t>
  </si>
  <si>
    <t>47.6</t>
  </si>
  <si>
    <t>22.9</t>
  </si>
  <si>
    <t>32.5</t>
  </si>
  <si>
    <t>CeREAL CAJA/Diario</t>
  </si>
  <si>
    <t>Manteca/1 vez a la semana</t>
  </si>
  <si>
    <t>Chicharrón/ 2 veces a la semana</t>
  </si>
  <si>
    <t>Solo la clara</t>
  </si>
  <si>
    <t>Jamón/diario</t>
  </si>
  <si>
    <t>Diario/Oaxaca,Chedar</t>
  </si>
  <si>
    <t>Crema/Casi diario</t>
  </si>
  <si>
    <t>Calabaza/1 vez por semana</t>
  </si>
  <si>
    <t>Ejotes/casi diario</t>
  </si>
  <si>
    <t>Verdura mixta</t>
  </si>
  <si>
    <t>Jícama/1 vez por semana</t>
  </si>
  <si>
    <t>Limón/diario</t>
  </si>
  <si>
    <t>cacahuates</t>
  </si>
  <si>
    <t>pastel</t>
  </si>
  <si>
    <t>PG389</t>
  </si>
  <si>
    <t>Maestra</t>
  </si>
  <si>
    <t>Miraflores</t>
  </si>
  <si>
    <t>Hace 13 años</t>
  </si>
  <si>
    <t>Metroprolol/Taquicardia</t>
  </si>
  <si>
    <t>Metoprolol</t>
  </si>
  <si>
    <t>SI/Padre y abuela materna</t>
  </si>
  <si>
    <t>SI/Padre (prostata)</t>
  </si>
  <si>
    <t>Riesgo a talasemia</t>
  </si>
  <si>
    <t>49.6</t>
  </si>
  <si>
    <t>22.2</t>
  </si>
  <si>
    <t>34.4</t>
  </si>
  <si>
    <t>Pan/1 diario</t>
  </si>
  <si>
    <t>Tortilla/2 diario</t>
  </si>
  <si>
    <t>Arroz/1 semana</t>
  </si>
  <si>
    <t>Mantequilla/2 semana</t>
  </si>
  <si>
    <t>Aguacate/2 mes</t>
  </si>
  <si>
    <t>1 Diario</t>
  </si>
  <si>
    <t>1 Semana</t>
  </si>
  <si>
    <t>Mixta/2 semana</t>
  </si>
  <si>
    <t>Naranja/2 semana</t>
  </si>
  <si>
    <t>Papaya/1 semana</t>
  </si>
  <si>
    <t>De temporada/ 1 diario</t>
  </si>
  <si>
    <t>Cerveza/2 mes</t>
  </si>
  <si>
    <t>Vino tinto/2 anual</t>
  </si>
  <si>
    <t>Refresco/1 mes</t>
  </si>
  <si>
    <t>Frituras/1 semana</t>
  </si>
  <si>
    <t>Botana/1 semana</t>
  </si>
  <si>
    <t>PG390</t>
  </si>
  <si>
    <t>Jardinez  de la Cruz</t>
  </si>
  <si>
    <t>48-50 años</t>
  </si>
  <si>
    <t>SI/tipo 2/10 años/metformina</t>
  </si>
  <si>
    <t>SI/2 años/con tratamiento</t>
  </si>
  <si>
    <t>NO/2 cesareas</t>
  </si>
  <si>
    <t>Cloruro de Magnesio</t>
  </si>
  <si>
    <t>SI/Madre y abuela materna</t>
  </si>
  <si>
    <t xml:space="preserve">Anemia de falconi </t>
  </si>
  <si>
    <t>92.8</t>
  </si>
  <si>
    <t>20.6</t>
  </si>
  <si>
    <t>38.1</t>
  </si>
  <si>
    <t>Pan /4-5 semana</t>
  </si>
  <si>
    <t>Mayonesa/2 mes</t>
  </si>
  <si>
    <t>Manteca/diario</t>
  </si>
  <si>
    <t xml:space="preserve">Diario  </t>
  </si>
  <si>
    <t>5/semana</t>
  </si>
  <si>
    <t>3/Semana</t>
  </si>
  <si>
    <t>Yogurt/2 mes</t>
  </si>
  <si>
    <t>2 al mes</t>
  </si>
  <si>
    <t>Zanahoria/4 semana</t>
  </si>
  <si>
    <t>Chayote/4 semana</t>
  </si>
  <si>
    <t>Calabaza/4 semana</t>
  </si>
  <si>
    <t>6/semana</t>
  </si>
  <si>
    <t>Tomillo</t>
  </si>
  <si>
    <t>clavos</t>
  </si>
  <si>
    <t>Papas fritas/1 semana</t>
  </si>
  <si>
    <t>Pan dulce</t>
  </si>
  <si>
    <t>PG391</t>
  </si>
  <si>
    <t>Miravalle</t>
  </si>
  <si>
    <t>Hace 8 años</t>
  </si>
  <si>
    <t>SI/4 años/sin tratamiento</t>
  </si>
  <si>
    <t>SI/1 año/sin tratamiento</t>
  </si>
  <si>
    <t>NO/Cesarea</t>
  </si>
  <si>
    <t>76.1</t>
  </si>
  <si>
    <t>46.1</t>
  </si>
  <si>
    <t>22.8</t>
  </si>
  <si>
    <t>29.7</t>
  </si>
  <si>
    <t>Tortilla/2 semana</t>
  </si>
  <si>
    <t>Bolillo/3 semana</t>
  </si>
  <si>
    <t>Frijol/2 semana</t>
  </si>
  <si>
    <t>Aceite/3 semana</t>
  </si>
  <si>
    <t>Manteca/2 semana</t>
  </si>
  <si>
    <t>Jamón/3 por semana</t>
  </si>
  <si>
    <t>Jicama</t>
  </si>
  <si>
    <t>Refresco/3 por semana</t>
  </si>
  <si>
    <t>Papas/1 semana</t>
  </si>
  <si>
    <t>SI/zumba/Diario</t>
  </si>
  <si>
    <t>87.3</t>
  </si>
  <si>
    <t>0.74</t>
  </si>
  <si>
    <t>4.10</t>
  </si>
  <si>
    <t>80.8</t>
  </si>
  <si>
    <t>68.40</t>
  </si>
  <si>
    <t>PG392</t>
  </si>
  <si>
    <t>A los 21 años</t>
  </si>
  <si>
    <t>Anemia</t>
  </si>
  <si>
    <t>Vitamina B</t>
  </si>
  <si>
    <t xml:space="preserve">Anemia  </t>
  </si>
  <si>
    <t>58.5</t>
  </si>
  <si>
    <t>37.8</t>
  </si>
  <si>
    <t>24.3</t>
  </si>
  <si>
    <t>Arroz/2-3 veces por semana</t>
  </si>
  <si>
    <t>Frijol/2-3 veces por semana</t>
  </si>
  <si>
    <t>Mantequilla/poco frecuente</t>
  </si>
  <si>
    <t>Pollo y puerco/cada 3 dias</t>
  </si>
  <si>
    <t>Chorizo, salchicha/1 vez por semana</t>
  </si>
  <si>
    <t>leche/diario, yogur/1 vez por semana</t>
  </si>
  <si>
    <t>Calabaza/cada 3 dia</t>
  </si>
  <si>
    <t>Jitomate/cada 3 dia</t>
  </si>
  <si>
    <t>Ajo/2-3 veces por semana</t>
  </si>
  <si>
    <t>Pimienta/2-3 veces por semana</t>
  </si>
  <si>
    <t>Consomé/2-3 veces por semana</t>
  </si>
  <si>
    <t>Papas/3 veces por semana</t>
  </si>
  <si>
    <t>Duritos/2-3 veces por semana</t>
  </si>
  <si>
    <t>Solo comida y desayuno</t>
  </si>
  <si>
    <t>PG393</t>
  </si>
  <si>
    <t>Nutrióloga</t>
  </si>
  <si>
    <t>Pinol</t>
  </si>
  <si>
    <t>Mamografía</t>
  </si>
  <si>
    <t>SI/Abuela materna</t>
  </si>
  <si>
    <t>SI/Abuelo materno</t>
  </si>
  <si>
    <t>Renal/Padre</t>
  </si>
  <si>
    <t>64.9</t>
  </si>
  <si>
    <t>91.5</t>
  </si>
  <si>
    <t>42.4</t>
  </si>
  <si>
    <t>26.3</t>
  </si>
  <si>
    <t>Avena/Diaria</t>
  </si>
  <si>
    <t>Maiíz/diario</t>
  </si>
  <si>
    <t>Arroz/Diario</t>
  </si>
  <si>
    <t>Aceite de olivo/diario</t>
  </si>
  <si>
    <t>Aceite de aguacate/Diario</t>
  </si>
  <si>
    <t>Aguacate/Diario</t>
  </si>
  <si>
    <t>Roja/1 vez al mes</t>
  </si>
  <si>
    <t>Panela/todos los días</t>
  </si>
  <si>
    <t>Yogurt,requeson/diario</t>
  </si>
  <si>
    <t>2-3 por semana</t>
  </si>
  <si>
    <t>Nopales</t>
  </si>
  <si>
    <t>Ejotes</t>
  </si>
  <si>
    <t>Tomates</t>
  </si>
  <si>
    <t>Sandía</t>
  </si>
  <si>
    <t>Comino</t>
  </si>
  <si>
    <t>76.4</t>
  </si>
  <si>
    <t>0.54</t>
  </si>
  <si>
    <t>16.80</t>
  </si>
  <si>
    <t>3.09</t>
  </si>
  <si>
    <t>PG394</t>
  </si>
  <si>
    <t>3/1 aborto</t>
  </si>
  <si>
    <t>SI/2018/Bezafibrato</t>
  </si>
  <si>
    <t>Matriz</t>
  </si>
  <si>
    <t xml:space="preserve">Quistes  </t>
  </si>
  <si>
    <t>Herbolario</t>
  </si>
  <si>
    <t>SI/hija</t>
  </si>
  <si>
    <t>Tiroides/hija, Prediabetes/nieto</t>
  </si>
  <si>
    <t>69.4</t>
  </si>
  <si>
    <t>26.8</t>
  </si>
  <si>
    <t>2 tortillas/diario</t>
  </si>
  <si>
    <t>Bolillo/1 semana</t>
  </si>
  <si>
    <t>Aceite/casi diario</t>
  </si>
  <si>
    <t>Nuez/Diario</t>
  </si>
  <si>
    <t>Pollo/Diario</t>
  </si>
  <si>
    <t xml:space="preserve">Calabaza  </t>
  </si>
  <si>
    <t xml:space="preserve">Zanahoria  </t>
  </si>
  <si>
    <t>Agua de limón sin azúcar</t>
  </si>
  <si>
    <t>72.5</t>
  </si>
  <si>
    <t>0.88</t>
  </si>
  <si>
    <t>4.94</t>
  </si>
  <si>
    <t>57.5</t>
  </si>
  <si>
    <t>41.50</t>
  </si>
  <si>
    <t>PG395</t>
  </si>
  <si>
    <t>Auxiliar administrativo</t>
  </si>
  <si>
    <t>42/histerectomia</t>
  </si>
  <si>
    <t>SI/Tipo 2/14 años/insulina y metformina</t>
  </si>
  <si>
    <t>Mamografía/cada año</t>
  </si>
  <si>
    <t>Osteoporosis</t>
  </si>
  <si>
    <t>SI/Padre y madre</t>
  </si>
  <si>
    <t>IRC/Padre</t>
  </si>
  <si>
    <t>79.9</t>
  </si>
  <si>
    <t>49.9</t>
  </si>
  <si>
    <t>36.5</t>
  </si>
  <si>
    <t>MAngo</t>
  </si>
  <si>
    <t>Fresa</t>
  </si>
  <si>
    <t>Knor Suiza</t>
  </si>
  <si>
    <t>185.3</t>
  </si>
  <si>
    <t>0.41</t>
  </si>
  <si>
    <t>31.20</t>
  </si>
  <si>
    <t>3.59</t>
  </si>
  <si>
    <t>75.3</t>
  </si>
  <si>
    <t>130.50</t>
  </si>
  <si>
    <t>PG396</t>
  </si>
  <si>
    <t>Olivos</t>
  </si>
  <si>
    <t>SI/18años/102 por semana</t>
  </si>
  <si>
    <t>SI/20años/1 copa a la semana</t>
  </si>
  <si>
    <t>Vitamina E, Omega 3,6,y 9</t>
  </si>
  <si>
    <t>69.3</t>
  </si>
  <si>
    <t>41.9</t>
  </si>
  <si>
    <t>24.8</t>
  </si>
  <si>
    <t>28.1</t>
  </si>
  <si>
    <t>Cereal de caja</t>
  </si>
  <si>
    <t>Nuez/diaria</t>
  </si>
  <si>
    <t>3/Semanal</t>
  </si>
  <si>
    <t>2/Semanal</t>
  </si>
  <si>
    <t>1/semanal</t>
  </si>
  <si>
    <t>3/mes</t>
  </si>
  <si>
    <t>Ensalada/2 semana</t>
  </si>
  <si>
    <t xml:space="preserve">Papaya  </t>
  </si>
  <si>
    <t>Agua sabor/diario</t>
  </si>
  <si>
    <t>Cerveza/3 por semana</t>
  </si>
  <si>
    <t>AJO/DIARIO</t>
  </si>
  <si>
    <t>CONSOME/DIARIO</t>
  </si>
  <si>
    <t>PAPAS FRITAS/SEMANAL</t>
  </si>
  <si>
    <t>PG397</t>
  </si>
  <si>
    <t xml:space="preserve">OPERADOR  </t>
  </si>
  <si>
    <t>SI/TIAS, ABUELO PATERNO</t>
  </si>
  <si>
    <t>87.8</t>
  </si>
  <si>
    <t>98.5</t>
  </si>
  <si>
    <t>34.8</t>
  </si>
  <si>
    <t>27.7</t>
  </si>
  <si>
    <t>3/SEMANA</t>
  </si>
  <si>
    <t>ACEITE/7 VECES POR SEMANA</t>
  </si>
  <si>
    <t>CACAHUATES/3-4 SEMANA</t>
  </si>
  <si>
    <t>1/SEMANA</t>
  </si>
  <si>
    <t>1/MES</t>
  </si>
  <si>
    <t>ZANAHORIA/2 SEMANA</t>
  </si>
  <si>
    <t>CALABAZA/2 SEMANA</t>
  </si>
  <si>
    <t>PLATANO/DIARIO</t>
  </si>
  <si>
    <t>MANZANA/2 VECES SEMANA</t>
  </si>
  <si>
    <t>MELON/2 VECES POR SEMANA</t>
  </si>
  <si>
    <t>CAFÉ/3 TAZAS DIARIO</t>
  </si>
  <si>
    <t>REFRESCO/1 DIA</t>
  </si>
  <si>
    <t>ATUN/1 SEMANA</t>
  </si>
  <si>
    <t>GALLETAS/DIARIO</t>
  </si>
  <si>
    <t>76.8</t>
  </si>
  <si>
    <t>1.01</t>
  </si>
  <si>
    <t>27.40</t>
  </si>
  <si>
    <t>7.28</t>
  </si>
  <si>
    <t>62.60</t>
  </si>
  <si>
    <t>PG398</t>
  </si>
  <si>
    <t>LACA</t>
  </si>
  <si>
    <t>HIPERPLASIA PROSTÁTICA</t>
  </si>
  <si>
    <t>FINASTERIDA</t>
  </si>
  <si>
    <t>HOMEOPATIA/SOPALMETUM/DAMIANA/PROPOLIO/AJO</t>
  </si>
  <si>
    <t>SI/MADRE Y HERMANO</t>
  </si>
  <si>
    <t>ENFERMEDAD RENAL/HERMANO</t>
  </si>
  <si>
    <t>84.9</t>
  </si>
  <si>
    <t>28.2</t>
  </si>
  <si>
    <t>31.7</t>
  </si>
  <si>
    <t>28.7</t>
  </si>
  <si>
    <t>ACEITE DE AGUACATE</t>
  </si>
  <si>
    <t>CADA 3 MESES</t>
  </si>
  <si>
    <t>REQUESON/POCO FRECUENTE</t>
  </si>
  <si>
    <t>OTRAS</t>
  </si>
  <si>
    <t xml:space="preserve">PLATANO  </t>
  </si>
  <si>
    <t xml:space="preserve">AGUA NATURAL  </t>
  </si>
  <si>
    <t>AGUA FRUTA SIN AZUCAR</t>
  </si>
  <si>
    <t xml:space="preserve">CERVEZA  </t>
  </si>
  <si>
    <t>COMINO/MES</t>
  </si>
  <si>
    <t>PIMIENTA/MES</t>
  </si>
  <si>
    <t>TOTOPOS</t>
  </si>
  <si>
    <t>TOSTADAS</t>
  </si>
  <si>
    <t>0.92</t>
  </si>
  <si>
    <t>15.20</t>
  </si>
  <si>
    <t>4.13</t>
  </si>
  <si>
    <t>64.30</t>
  </si>
  <si>
    <t>PG399</t>
  </si>
  <si>
    <t>NINGUNO</t>
  </si>
  <si>
    <t>Insecticidas/pinol</t>
  </si>
  <si>
    <t>SI/20 VECES APROXIMADAMENTE</t>
  </si>
  <si>
    <t>SI/1 TRANS/1993</t>
  </si>
  <si>
    <t>COLITIS, GASTRITI Y DOLOR DE PECHO</t>
  </si>
  <si>
    <t>COLAGENO,VITAMINA E, HOMEOPATIA, MORINGA, ORTIGA</t>
  </si>
  <si>
    <t>SI/PADRE,TIOS</t>
  </si>
  <si>
    <t>SI/MADRE,TIOS</t>
  </si>
  <si>
    <t>DAÑO EN VESICULA, RIÑON Y APENDICE/TIOS, PRIMOS</t>
  </si>
  <si>
    <t>57.6</t>
  </si>
  <si>
    <t>AmarantO</t>
  </si>
  <si>
    <t>ACEITE DE OLIVA /CADA 3 DIAS</t>
  </si>
  <si>
    <t>OMEGA 3/DIARIO</t>
  </si>
  <si>
    <t>NUECES/4 VECES POR SEMANA</t>
  </si>
  <si>
    <t>RES/2 VECES POR SEMANA</t>
  </si>
  <si>
    <t>2 O 1 POR SEMANA</t>
  </si>
  <si>
    <t>YOGURT/3 VECES POR SEMANA</t>
  </si>
  <si>
    <t>1 O 2 VECES POR SEMANA</t>
  </si>
  <si>
    <t>MEZCLA CAMPESINA</t>
  </si>
  <si>
    <t>PIÑA EN ALMÍBAR</t>
  </si>
  <si>
    <t>DURAZNO EN ALMÍBAR</t>
  </si>
  <si>
    <t>ARANDAROS</t>
  </si>
  <si>
    <t>3 VECES POR SEMANA/CAMINATA DIARIO</t>
  </si>
  <si>
    <t>65.8</t>
  </si>
  <si>
    <t>0.58</t>
  </si>
  <si>
    <t>22.20</t>
  </si>
  <si>
    <t>3.11</t>
  </si>
  <si>
    <t>39.3</t>
  </si>
  <si>
    <t>78.50</t>
  </si>
  <si>
    <t>PG400</t>
  </si>
  <si>
    <t>3/2 Y UN ABORTO</t>
  </si>
  <si>
    <t>SI/1 COPA AL MES O MENOS</t>
  </si>
  <si>
    <t>ALERGIAS</t>
  </si>
  <si>
    <t>HOMEOPATIA/VACUNA AL AÑO</t>
  </si>
  <si>
    <t>SI/ABUELA MATERNA Y PATERNA</t>
  </si>
  <si>
    <t>PARKINSON/ABUELO PATERNO</t>
  </si>
  <si>
    <t>66.4</t>
  </si>
  <si>
    <t>37.6</t>
  </si>
  <si>
    <t>25.6</t>
  </si>
  <si>
    <t>23.8</t>
  </si>
  <si>
    <t xml:space="preserve">Cereal </t>
  </si>
  <si>
    <t>Sopa</t>
  </si>
  <si>
    <t>Arroz/PAPA</t>
  </si>
  <si>
    <t>Aceite de Oliva</t>
  </si>
  <si>
    <t>Mayonesa/Crema</t>
  </si>
  <si>
    <t>Al mes/jamon de pierna o pollo</t>
  </si>
  <si>
    <t xml:space="preserve">BROCOLI  </t>
  </si>
  <si>
    <t xml:space="preserve">ZANAHORIA  </t>
  </si>
  <si>
    <t xml:space="preserve">CHAYOTE  </t>
  </si>
  <si>
    <t>ROMPOPE</t>
  </si>
  <si>
    <t>SAL DE AJO</t>
  </si>
  <si>
    <t>0.71</t>
  </si>
  <si>
    <t>3.06</t>
  </si>
  <si>
    <t>55.6</t>
  </si>
  <si>
    <t>63.40</t>
  </si>
  <si>
    <t>PG401</t>
  </si>
  <si>
    <t>HORIZONTES TLAQ</t>
  </si>
  <si>
    <t>SI/GESTACIONAL/HACE 12 AÑOS</t>
  </si>
  <si>
    <t>SI/A LOS 30 AÑOS/ESPORÁDICO</t>
  </si>
  <si>
    <t>SI/INSECTICIDA(RAID), PINOL</t>
  </si>
  <si>
    <t>DI/RADIOGRAFIA</t>
  </si>
  <si>
    <t>CLARITOMICINA,CISAPRIDA,OMEPRASOL,METAMISOL</t>
  </si>
  <si>
    <t>SI/PADRE,MADRE, ABUELOS</t>
  </si>
  <si>
    <t>40.3</t>
  </si>
  <si>
    <t>26.2</t>
  </si>
  <si>
    <t>28.5</t>
  </si>
  <si>
    <t>TOSTADAS DESHIDRATADAS/6 SEMANAL</t>
  </si>
  <si>
    <t>CEREAL NATURAL/2 SEMANAL</t>
  </si>
  <si>
    <t>PAN BLANCO/5 SEMANAL</t>
  </si>
  <si>
    <t>MAYONESA/5 SEMANAL</t>
  </si>
  <si>
    <t>AGUACATE/5 SEMANAL</t>
  </si>
  <si>
    <t>VERDURAS/2-3 VECES SEMANA</t>
  </si>
  <si>
    <t>PAPAYA/DIARIO</t>
  </si>
  <si>
    <t>PLATANO/2 VECES POR SEMANA</t>
  </si>
  <si>
    <t>MANZANA/2 VECES POR SEMANA</t>
  </si>
  <si>
    <t>CAFÉ/DIARIO</t>
  </si>
  <si>
    <t>REFRESCO/1 VEZ A LA SEMANA</t>
  </si>
  <si>
    <t>PAPITAS/1 A 2 VECES AL MES</t>
  </si>
  <si>
    <t>DUROS/1 VEZ AL MES</t>
  </si>
  <si>
    <t>DULCES/4 VECES POR SEMANA</t>
  </si>
  <si>
    <t>82.9</t>
  </si>
  <si>
    <t>0.59</t>
  </si>
  <si>
    <t>5.19</t>
  </si>
  <si>
    <t>45.2</t>
  </si>
  <si>
    <t>70.8</t>
  </si>
  <si>
    <t>PG402</t>
  </si>
  <si>
    <t>hogar</t>
  </si>
  <si>
    <t>SI/S LOS 15 AÑOS</t>
  </si>
  <si>
    <t>SI/TOMOGRAFIA</t>
  </si>
  <si>
    <t>A LOS 18 AÑOS/APENDICE/2 CESAREAS</t>
  </si>
  <si>
    <t xml:space="preserve">KETOROLACO SUBLINGUAL  </t>
  </si>
  <si>
    <t>SI/PADRE,MADRE,ABUELOS,HERMANOS</t>
  </si>
  <si>
    <t>56.8</t>
  </si>
  <si>
    <t>23.3</t>
  </si>
  <si>
    <t>TORTILLA/DIARIO</t>
  </si>
  <si>
    <t>PAN CASERO/3 VECES POR SEMANA</t>
  </si>
  <si>
    <t>ARROZ/3 VECES POR SEMANA</t>
  </si>
  <si>
    <t>ACEITE/DIARIO</t>
  </si>
  <si>
    <t>MAYONESA/3 VECES POR SEMANA</t>
  </si>
  <si>
    <t>MANTEQUILLA/1 VEZ POR SEMANA</t>
  </si>
  <si>
    <t>4 POR SEMANA</t>
  </si>
  <si>
    <t>5 POR SEMANA</t>
  </si>
  <si>
    <t>JITOMATE/1 DIARIO</t>
  </si>
  <si>
    <t>CEBOLLA/1 DIARIO</t>
  </si>
  <si>
    <t>PEPINO/5 POR SEMANA</t>
  </si>
  <si>
    <t>CHICHAROS/1 MES</t>
  </si>
  <si>
    <t>CHAMPIÑONES/1 MES</t>
  </si>
  <si>
    <t>DE TEMPORADA</t>
  </si>
  <si>
    <t>PIÑA/2 AL AÑO</t>
  </si>
  <si>
    <t>DURAZNO/2 AL AÑO</t>
  </si>
  <si>
    <t>REFRESCO/6 POR SEMANA</t>
  </si>
  <si>
    <t>AGUA DE SABOR/2 POR SEMANA</t>
  </si>
  <si>
    <t>KNOR SUIZA/DIARIO</t>
  </si>
  <si>
    <t>PIMIENTA/2 POR SEMANA</t>
  </si>
  <si>
    <t>DURITOS/3 POR SEMANA</t>
  </si>
  <si>
    <t>PAPAS/1 VEZ A LA SEMANA</t>
  </si>
  <si>
    <t>CHOCOLATE/1 VEZ A LA SEMANA</t>
  </si>
  <si>
    <t>68.2</t>
  </si>
  <si>
    <t>0.25</t>
  </si>
  <si>
    <t>33.40</t>
  </si>
  <si>
    <t>4.02</t>
  </si>
  <si>
    <t>33.6</t>
  </si>
  <si>
    <t>PG403</t>
  </si>
  <si>
    <t>MAESTRO UNIVERSITARIO</t>
  </si>
  <si>
    <t>SEATTLE</t>
  </si>
  <si>
    <t>SI/1 COPA DIARIA</t>
  </si>
  <si>
    <t>HERNIA/1974</t>
  </si>
  <si>
    <t>63.7</t>
  </si>
  <si>
    <t>19.2</t>
  </si>
  <si>
    <t>34.6</t>
  </si>
  <si>
    <t>TORTILLA/2 AL DIA</t>
  </si>
  <si>
    <t xml:space="preserve">CACAHUATES  </t>
  </si>
  <si>
    <t>YOGURT/3 POR SEMANA</t>
  </si>
  <si>
    <t>A VECES</t>
  </si>
  <si>
    <t>3 A LA SEMANA</t>
  </si>
  <si>
    <t>AGUA FRESCA Y NATURAL</t>
  </si>
  <si>
    <t>TÉ</t>
  </si>
  <si>
    <t>85.6</t>
  </si>
  <si>
    <t>1.18</t>
  </si>
  <si>
    <t>25.80</t>
  </si>
  <si>
    <t>6.82</t>
  </si>
  <si>
    <t>60.6</t>
  </si>
  <si>
    <t>112.60</t>
  </si>
  <si>
    <t>PG404</t>
  </si>
  <si>
    <t>SANTA ISABEL</t>
  </si>
  <si>
    <t>SI/A LOS 25 AÑOS/CADA MES</t>
  </si>
  <si>
    <t>SI/A LOS 25 AÑOS/2-3 VECES POR AÑO</t>
  </si>
  <si>
    <t>PARACETAMOL,BUSCAPNA,DICLOFENACO</t>
  </si>
  <si>
    <t>SI/MADRE,PADRE</t>
  </si>
  <si>
    <t>PAN INTEGRAL/2 POR SEMANA</t>
  </si>
  <si>
    <t>CEREAL/2 VECES POR SEMANA</t>
  </si>
  <si>
    <t>COCIDAS/1 VEZ A LA SEMANA</t>
  </si>
  <si>
    <t>MANZANA/1 DIARIO O SEMANAL</t>
  </si>
  <si>
    <t>PERA/1 SEMANA</t>
  </si>
  <si>
    <t>REFRESCO/1 DIARIO</t>
  </si>
  <si>
    <t>CHURROS/1 VEZ POR SEMANA</t>
  </si>
  <si>
    <t>PAPAS/2 VECES POR SEMANA</t>
  </si>
  <si>
    <t>95.5</t>
  </si>
  <si>
    <t>0.83</t>
  </si>
  <si>
    <t>44.20</t>
  </si>
  <si>
    <t>8.28</t>
  </si>
  <si>
    <t>40.7</t>
  </si>
  <si>
    <t>56.10</t>
  </si>
  <si>
    <t>PG405</t>
  </si>
  <si>
    <t xml:space="preserve">HORIZONTES  </t>
  </si>
  <si>
    <t>11 AÑOS</t>
  </si>
  <si>
    <t>SI/TIPO 2/5 AÑOS/METFORMINA,COMPLEJO B</t>
  </si>
  <si>
    <t>SI/20 AÑOS/4 O 5 AL DIA</t>
  </si>
  <si>
    <t>SI/RADIOLITO,PLAQUITA</t>
  </si>
  <si>
    <t>SI/MASTOGRAFIA Y RADIOGRAFIAS</t>
  </si>
  <si>
    <t>SI/MADRE,PADRE,ABUELOS MATERNOS, ABUELA PATERNA</t>
  </si>
  <si>
    <t>74.5</t>
  </si>
  <si>
    <t>44.2</t>
  </si>
  <si>
    <t>30.2</t>
  </si>
  <si>
    <t>TORTILLA/DIARIA</t>
  </si>
  <si>
    <t>FRIJOL/DIARIO</t>
  </si>
  <si>
    <t>ARROZ/2 VECES POR SEMANA</t>
  </si>
  <si>
    <t>MANTEQUILLA/SEMANAL</t>
  </si>
  <si>
    <t>MANTECA/2 VECES AL MES</t>
  </si>
  <si>
    <t>LECHUGA/2 VECES POR SEMANA</t>
  </si>
  <si>
    <t>CHAYOTE/1 VEZ POR SEMANA</t>
  </si>
  <si>
    <t>JITOMATE/5 VECES POR SEMANA</t>
  </si>
  <si>
    <t>DURAZNO/2 VECES AL AÑO</t>
  </si>
  <si>
    <t>PIÑA/2 VECES AL AÑO</t>
  </si>
  <si>
    <t>REFRESCO/2 VECES POR SEMANA</t>
  </si>
  <si>
    <t>CHURRITOS/2 VECES POR SEMANA</t>
  </si>
  <si>
    <t>PAPAS/1 VEZ POR SEMANA</t>
  </si>
  <si>
    <t>CHOCOLATE/1 VEZ POR SEMANA</t>
  </si>
  <si>
    <t>123.1</t>
  </si>
  <si>
    <t>0.61</t>
  </si>
  <si>
    <t>3.63</t>
  </si>
  <si>
    <t>54.8</t>
  </si>
  <si>
    <t>104.40</t>
  </si>
  <si>
    <t>PG406</t>
  </si>
  <si>
    <t>UDG</t>
  </si>
  <si>
    <t>PUERTAS DE TULE</t>
  </si>
  <si>
    <t>EUTIROX</t>
  </si>
  <si>
    <t>MICHOACAN/JALISCO</t>
  </si>
  <si>
    <t>JALISCO/JALISCO</t>
  </si>
  <si>
    <t>SI/PAPÁ,ABUELA,TIS,ABUELO</t>
  </si>
  <si>
    <t>24.5</t>
  </si>
  <si>
    <t>23.7</t>
  </si>
  <si>
    <t>ARROZ/dIARIO</t>
  </si>
  <si>
    <t>PUERCO Y RES</t>
  </si>
  <si>
    <t xml:space="preserve">CALABAZA  </t>
  </si>
  <si>
    <t xml:space="preserve">CAFÉ </t>
  </si>
  <si>
    <t>3/2 COLACIONES</t>
  </si>
  <si>
    <t>73.7</t>
  </si>
  <si>
    <t>0.81</t>
  </si>
  <si>
    <t>7.80</t>
  </si>
  <si>
    <t>2.80</t>
  </si>
  <si>
    <t>62.9</t>
  </si>
  <si>
    <t>46.10</t>
  </si>
  <si>
    <t>PG407</t>
  </si>
  <si>
    <t>PROFESOR</t>
  </si>
  <si>
    <t>EL DEAN</t>
  </si>
  <si>
    <t>si/prediabetes</t>
  </si>
  <si>
    <t>si/desde2017 no toma nada</t>
  </si>
  <si>
    <t>si/ no toma nada actualmente</t>
  </si>
  <si>
    <t>1 al año</t>
  </si>
  <si>
    <t>INFLAMACIÓN NERVIO CIATICO, ESCLEROMA RESPIRATORIO</t>
  </si>
  <si>
    <t>ALALGESICO</t>
  </si>
  <si>
    <t>PAPAS, TIOS</t>
  </si>
  <si>
    <t>TORTILLA 12 DARIAS</t>
  </si>
  <si>
    <t>SEMILLAS 20 UNINADES</t>
  </si>
  <si>
    <t>2 DIARIA</t>
  </si>
  <si>
    <t>NARANJA 3 PZAS DIARIAS</t>
  </si>
  <si>
    <t>PLATANO 2 PIEZAS SEMANA</t>
  </si>
  <si>
    <t>PIÑA 4 PORCIONES SEMANAL</t>
  </si>
  <si>
    <t>AGUA SABOR DIARIO 3</t>
  </si>
  <si>
    <t>AGUA NATUAL DIARIO</t>
  </si>
  <si>
    <t>AGUA MINERAL</t>
  </si>
  <si>
    <t>COMINOS</t>
  </si>
  <si>
    <t>CAMINAR 2KM</t>
  </si>
  <si>
    <t>PG408</t>
  </si>
  <si>
    <t>PG409</t>
  </si>
  <si>
    <t>LOPEZ DE LEGASPI</t>
  </si>
  <si>
    <t>TIA COLON(PA)</t>
  </si>
  <si>
    <t>ANERISMA PAPA</t>
  </si>
  <si>
    <t>frijol 2 semana</t>
  </si>
  <si>
    <t>FIN DE SEMANA</t>
  </si>
  <si>
    <t>RARO</t>
  </si>
  <si>
    <t>ATUN Y SARDINAS ENLATADAS</t>
  </si>
  <si>
    <t>DE TODAS LAS VERDURAS DIARIO</t>
  </si>
  <si>
    <t>LECHUGA , PIMIENTOS</t>
  </si>
  <si>
    <t>FRUTOS ROJOS</t>
  </si>
  <si>
    <t>PAPAya, manzana</t>
  </si>
  <si>
    <t>agua fresca</t>
  </si>
  <si>
    <t>agua NATURAL</t>
  </si>
  <si>
    <t>ICUADOS DE ACUERDO A LO QUE TENGA EN CASA</t>
  </si>
  <si>
    <t>CALDO DE POLLO</t>
  </si>
  <si>
    <t>SAL, AJO</t>
  </si>
  <si>
    <t>SUBE ESCALERAS</t>
  </si>
  <si>
    <t>PG410</t>
  </si>
  <si>
    <t>ATLAS</t>
  </si>
  <si>
    <t>51 31 DE ENERO DEL PRESENTE</t>
  </si>
  <si>
    <t>SI 6 MESES, MET</t>
  </si>
  <si>
    <t>SI LOSARTAN 9 MESES</t>
  </si>
  <si>
    <t>TIOS MA Y PA</t>
  </si>
  <si>
    <t>PRIMA PATERNA (CA)</t>
  </si>
  <si>
    <t>TORTILLA3 DIARIAS</t>
  </si>
  <si>
    <t>ARROZ 1 DIARIA</t>
  </si>
  <si>
    <t>FRIJOL 3SEMANAL</t>
  </si>
  <si>
    <t>ACEITE 1 DIARIO</t>
  </si>
  <si>
    <t>JITOMATE 4 SEMANAL</t>
  </si>
  <si>
    <t>CALABAZA 5 SEMANAL</t>
  </si>
  <si>
    <t>ZANAHORIA 5 SEMANAL</t>
  </si>
  <si>
    <t>SANDIA 3 DIARIO</t>
  </si>
  <si>
    <t>PAPAYA 2 DIARIO</t>
  </si>
  <si>
    <t>NARANJA 2 DIARIO</t>
  </si>
  <si>
    <t>AGUA 3 DIARIO</t>
  </si>
  <si>
    <t>CAFÉ 1 DIARIO</t>
  </si>
  <si>
    <t>SAL 2 DARIO</t>
  </si>
  <si>
    <t>PIMIENTA 2 DIARIO</t>
  </si>
  <si>
    <t>CONSOME DE POLLO 3 DIARIO</t>
  </si>
  <si>
    <t>GALLEAS 4 SEMANAL</t>
  </si>
  <si>
    <t>Miramar</t>
  </si>
  <si>
    <t>Dolor de muelas, miopía y astigmatismo</t>
  </si>
  <si>
    <t xml:space="preserve">SI/abuelos maternos   </t>
  </si>
  <si>
    <t>Trabajador</t>
  </si>
  <si>
    <t>SP413</t>
  </si>
  <si>
    <t>MEDICO</t>
  </si>
  <si>
    <t>HUENTITAN</t>
  </si>
  <si>
    <t>11  AÑOS</t>
  </si>
  <si>
    <t>SI/15 AÑOS/1 COPA A LA SEMANA</t>
  </si>
  <si>
    <t>DENGUE,FARINGOAMIGDALITIS</t>
  </si>
  <si>
    <t>CANNABIS</t>
  </si>
  <si>
    <t>SI/ABUELA MATERNA,PADRE,ABUELA PATERNA</t>
  </si>
  <si>
    <t>SI/ABUELA MATERNA,MADRE</t>
  </si>
  <si>
    <t>SI/TÍA MATERNA CA MAMA</t>
  </si>
  <si>
    <t>SI/ABUELO PATERNO</t>
  </si>
  <si>
    <t>ALZHEIMER/ABUELO PATERNO -IRC/TIA PATERNA,ABUELA PATERNA</t>
  </si>
  <si>
    <t>TRIGO</t>
  </si>
  <si>
    <t>1 VEZ A LA SEMANA</t>
  </si>
  <si>
    <t>7 VECES A LA SEMANA</t>
  </si>
  <si>
    <t>CATSUP</t>
  </si>
  <si>
    <t>SALSA INGLESA</t>
  </si>
  <si>
    <t>CHILE CHIPOTLE</t>
  </si>
  <si>
    <t>PIZZA 2 VECES AL MES</t>
  </si>
  <si>
    <t>DONAS 3 VECES AL MES</t>
  </si>
  <si>
    <t>PAPAS 2 VECES A LA SEMANA</t>
  </si>
  <si>
    <t>La Nogalera</t>
  </si>
  <si>
    <t>Jalisco/Michoacán</t>
  </si>
  <si>
    <t>SI/abuela materna y paterna</t>
  </si>
  <si>
    <t>SI/primas y cobrina</t>
  </si>
  <si>
    <t>SI/prima</t>
  </si>
  <si>
    <t>113/112</t>
  </si>
  <si>
    <t>71/68</t>
  </si>
  <si>
    <t>Cd México</t>
  </si>
  <si>
    <t>Albaterra</t>
  </si>
  <si>
    <t>/12/1979</t>
  </si>
  <si>
    <t>/06/2011</t>
  </si>
  <si>
    <t>Vitamina D y Ácido fólico/1 pastilla diaria/2 años y 13 años</t>
  </si>
  <si>
    <t>Puebla/México</t>
  </si>
  <si>
    <t>SI/abuelos maternos y madre</t>
  </si>
  <si>
    <t>SI/madre y hermano</t>
  </si>
  <si>
    <t>SI/prima materna</t>
  </si>
  <si>
    <t>124/121</t>
  </si>
  <si>
    <t>82/81</t>
  </si>
  <si>
    <t>Avena/ 6 veces por semana</t>
  </si>
  <si>
    <t>Frijol/5 veces por semana</t>
  </si>
  <si>
    <t>lentejas/1 vez por semana</t>
  </si>
  <si>
    <t>Crema/6 veces por semana</t>
  </si>
  <si>
    <t>Aceite/ 6 veces por semana</t>
  </si>
  <si>
    <t>Mantequilla/1 vez por quincena</t>
  </si>
  <si>
    <t>6 veces por semana</t>
  </si>
  <si>
    <t>Casi nunca</t>
  </si>
  <si>
    <t>Té/Diario</t>
  </si>
  <si>
    <t>3 o 2 (con 2 colaciones)</t>
  </si>
  <si>
    <t>39 años</t>
  </si>
  <si>
    <t>2 cesareas</t>
  </si>
  <si>
    <t>Hipotiroidismo, epilepsia</t>
  </si>
  <si>
    <t>Levotiroxinasod. 2 pastillas, carbamacepina 1 pastilla c/12hrs</t>
  </si>
  <si>
    <t>Colima</t>
  </si>
  <si>
    <t>Sí,abuelos</t>
  </si>
  <si>
    <t>Hipotiroidismo, tias paternas</t>
  </si>
  <si>
    <t>Ahuacotlan,Nayarit</t>
  </si>
  <si>
    <t>Obesidad tipo 1</t>
  </si>
  <si>
    <t>Sí, tios</t>
  </si>
  <si>
    <t>Sí, primos</t>
  </si>
  <si>
    <t>Sí, tio</t>
  </si>
  <si>
    <t>PG418</t>
  </si>
  <si>
    <t>29-NO-19</t>
  </si>
  <si>
    <t>SI/GESTACIONAL/2 MESES/METFORMINA E INSULINA</t>
  </si>
  <si>
    <t>SI/GESTIONAL/1 MES</t>
  </si>
  <si>
    <t>SI/22 AÑOS/1 COPA A LA SEMANA</t>
  </si>
  <si>
    <t>MOTELUKAST</t>
  </si>
  <si>
    <t>Contador</t>
  </si>
  <si>
    <t>SI/solo en el embarazo</t>
  </si>
  <si>
    <t>SI/alimentación sana</t>
  </si>
  <si>
    <t>SI/28 años/3 cigarros al mes</t>
  </si>
  <si>
    <t>SI/21 años/1 copa a la semana</t>
  </si>
  <si>
    <t>Lupus discoide</t>
  </si>
  <si>
    <t>133/127</t>
  </si>
  <si>
    <t>80/83</t>
  </si>
  <si>
    <t>Tortilla/7 a la semana</t>
  </si>
  <si>
    <t>Jamón72 veces al mes</t>
  </si>
  <si>
    <t>4 veces a la semana</t>
  </si>
  <si>
    <t>Betabel/Diario</t>
  </si>
  <si>
    <t>Espinacas/Diario</t>
  </si>
  <si>
    <t>Galletas/2 veces por semana</t>
  </si>
  <si>
    <t>SP420</t>
  </si>
  <si>
    <t>STA MARGARITA</t>
  </si>
  <si>
    <t>LARINGOFARINGITIS</t>
  </si>
  <si>
    <t>SI/ABUELA MATERNA Y ABUELO PATERNO</t>
  </si>
  <si>
    <t>35/08/82</t>
  </si>
  <si>
    <t>N</t>
  </si>
  <si>
    <t>94kg 36 años</t>
  </si>
  <si>
    <t>Centrum 1 dia 60 pastillas</t>
  </si>
  <si>
    <t>Si, abuela materna</t>
  </si>
  <si>
    <t>Si, abuela paterna</t>
  </si>
  <si>
    <t>Hojuelas/mensual</t>
  </si>
  <si>
    <t>9am, 2pm, 8pm</t>
  </si>
  <si>
    <t>Almacenista</t>
  </si>
  <si>
    <t>SI/desde 28 años/losartán y ácido acetilsalicílico</t>
  </si>
  <si>
    <t>Japón</t>
  </si>
  <si>
    <t>SP423</t>
  </si>
  <si>
    <t>SI/15 AÑOS/2</t>
  </si>
  <si>
    <t>44 años</t>
  </si>
  <si>
    <t>Sí, ( 1 copa al mes desde los 15 años)</t>
  </si>
  <si>
    <t>Homeopatia, 10 gotas cada 8hrs</t>
  </si>
  <si>
    <t>Valle de Guadalupe</t>
  </si>
  <si>
    <t>Avena 1 o 2 veces/mes</t>
  </si>
  <si>
    <t>2 o 3 veces/ semana</t>
  </si>
  <si>
    <t>3 veces/mes</t>
  </si>
  <si>
    <t>1-2 veces/mes</t>
  </si>
  <si>
    <t>1-3 veces/mes</t>
  </si>
  <si>
    <t>1-2 veces/semana</t>
  </si>
  <si>
    <t>Té/diario</t>
  </si>
  <si>
    <t>Refresco 1 vez/semana</t>
  </si>
  <si>
    <t>Pimienta 1 vez/mes</t>
  </si>
  <si>
    <t>Sal con ajo 1 vez/mes</t>
  </si>
  <si>
    <t>Tum</t>
  </si>
  <si>
    <t>San Rafa</t>
  </si>
  <si>
    <t>infarto cardiaco</t>
  </si>
  <si>
    <t>Baja California</t>
  </si>
  <si>
    <t>SP426</t>
  </si>
  <si>
    <t xml:space="preserve">Servidor publico </t>
  </si>
  <si>
    <t>No, 1 copa al mes o menos)</t>
  </si>
  <si>
    <t>Si, abuelos</t>
  </si>
  <si>
    <t>Pescado y pollo/diario</t>
  </si>
  <si>
    <t>panela, queso oaxaca/diario</t>
  </si>
  <si>
    <t>Leche/yogurth</t>
  </si>
  <si>
    <t>camaron</t>
  </si>
  <si>
    <t>Manzana /iario</t>
  </si>
  <si>
    <t>Sal/semanal</t>
  </si>
  <si>
    <t>SP428</t>
  </si>
  <si>
    <t>AUXILIAR ANALISTA</t>
  </si>
  <si>
    <t>SOBREPESO</t>
  </si>
  <si>
    <t>SI/ABUELOS PATERNOS</t>
  </si>
  <si>
    <t>SI/ABUELOS PATERNO</t>
  </si>
  <si>
    <t>SI/SOBRINA</t>
  </si>
  <si>
    <t>SI/HERMANA Y TIAS</t>
  </si>
  <si>
    <t>SI/HERMANA</t>
  </si>
  <si>
    <t>AGUA DE FRUTA</t>
  </si>
  <si>
    <t>SP429</t>
  </si>
  <si>
    <t>HUENTITAN EL BAJO</t>
  </si>
  <si>
    <t>CHICAROS SEMANAL</t>
  </si>
  <si>
    <t>º</t>
  </si>
  <si>
    <t>DURAZNOS MESES</t>
  </si>
  <si>
    <t>COCACOLA</t>
  </si>
  <si>
    <t>ADEREZOS</t>
  </si>
  <si>
    <t>51 años</t>
  </si>
  <si>
    <t>SI/sin tratamiento</t>
  </si>
  <si>
    <t>SI/25 años/5 por semana</t>
  </si>
  <si>
    <t>SI/Madre y hermana</t>
  </si>
  <si>
    <t>100/101</t>
  </si>
  <si>
    <t>67/63</t>
  </si>
  <si>
    <t>62 años</t>
  </si>
  <si>
    <t>18 de marzo</t>
  </si>
  <si>
    <t>Sí, desde los 25 años</t>
  </si>
  <si>
    <t>Oficial</t>
  </si>
  <si>
    <t>Si, desde los 17</t>
  </si>
  <si>
    <t>1 yodo radioactivo 100mcl (05/11/2018) 5.0 mcl (04/11/2019)</t>
  </si>
  <si>
    <t xml:space="preserve">Si, tirodectomia total en 2 partes febrero y abril 2018 CA tiroides. Inyeccion de acido hialuronico cuerda vocalizquierda. 1 cesarea. 1 rinoplastia. </t>
  </si>
  <si>
    <t>Hipotiroidismo, paratiroidismo y migraña</t>
  </si>
  <si>
    <t>Homeopatia, varias 2 semanas</t>
  </si>
  <si>
    <t>Manzanillo, Colima</t>
  </si>
  <si>
    <t>Si, Madre</t>
  </si>
  <si>
    <t>Si,yo y abuelo materno</t>
  </si>
  <si>
    <t>2/semanl</t>
  </si>
  <si>
    <t>2/semanal</t>
  </si>
  <si>
    <t>no consume desde hace 1 semana</t>
  </si>
  <si>
    <t>claras</t>
  </si>
  <si>
    <t>2 veces/mensuales</t>
  </si>
  <si>
    <t>actualmente no consueme</t>
  </si>
  <si>
    <t>3 veces a la semana</t>
  </si>
  <si>
    <t>2/diario</t>
  </si>
  <si>
    <t>Agua 2lt/diario</t>
  </si>
  <si>
    <t>1 taza de te</t>
  </si>
  <si>
    <t>a veces</t>
  </si>
  <si>
    <t>SI/Padre, abuela materna</t>
  </si>
  <si>
    <t>SP434</t>
  </si>
  <si>
    <t>INTENDENTE</t>
  </si>
  <si>
    <t>SI/TIPO 2</t>
  </si>
  <si>
    <t>SI/25 AÑOS/8</t>
  </si>
  <si>
    <t>MAMOGRAFÍA</t>
  </si>
  <si>
    <t>SI/CATARATA</t>
  </si>
  <si>
    <t>METFORMINA,PARACETAMOL</t>
  </si>
  <si>
    <t>GUAYABAS</t>
  </si>
  <si>
    <t>SI/Insulina</t>
  </si>
  <si>
    <t>36 años/histerectomía</t>
  </si>
  <si>
    <t>A los 40 años</t>
  </si>
  <si>
    <t>SI/6 años/con tratamiento</t>
  </si>
  <si>
    <t>SI/hermano</t>
  </si>
  <si>
    <t>SI/Familiar</t>
  </si>
  <si>
    <t>108/108</t>
  </si>
  <si>
    <t>70/78</t>
  </si>
  <si>
    <t>Tortillas/5 diario</t>
  </si>
  <si>
    <t>Pan/Diario</t>
  </si>
  <si>
    <t>Cereales/1 semanal</t>
  </si>
  <si>
    <t xml:space="preserve">Aceite    </t>
  </si>
  <si>
    <t>Calabaza/1 semana</t>
  </si>
  <si>
    <t>Naranja/Diario</t>
  </si>
  <si>
    <t>Papaya/Diario</t>
  </si>
  <si>
    <t>Agua/Diario 2 litros</t>
  </si>
  <si>
    <t>Cebolla/Diario</t>
  </si>
  <si>
    <t>Churros</t>
  </si>
  <si>
    <t>Chicharrones</t>
  </si>
  <si>
    <t>Tlaquepauqe, Jal.</t>
  </si>
  <si>
    <t>radiografia a los 5 años</t>
  </si>
  <si>
    <t>Cuautla, Jalisco</t>
  </si>
  <si>
    <t>Tlaquepaque, Jalisco</t>
  </si>
  <si>
    <t>Si, abuelos paterno/materno</t>
  </si>
  <si>
    <t>Tiroides, tia abuela paterna</t>
  </si>
  <si>
    <t>Manzana, naranja /diario</t>
  </si>
  <si>
    <t>sandia, uvas/diario</t>
  </si>
  <si>
    <t>Agua de sabor, fresca/diario</t>
  </si>
  <si>
    <t>Ajo/semanal</t>
  </si>
  <si>
    <t>Papas doradas, fritas/mensual</t>
  </si>
  <si>
    <t>Hamburguesas/mensual</t>
  </si>
  <si>
    <t>3 o 4</t>
  </si>
  <si>
    <t>130/114</t>
  </si>
  <si>
    <t>72/70</t>
  </si>
  <si>
    <t>Frijoles/mensual</t>
  </si>
  <si>
    <t>Chayote/mensual</t>
  </si>
  <si>
    <t>Calabaza/mensual</t>
  </si>
  <si>
    <t>Zanahoria/mensual</t>
  </si>
  <si>
    <t>Chiles/mensual</t>
  </si>
  <si>
    <t>Manzanas/mensual</t>
  </si>
  <si>
    <t>Naranjas/mensual</t>
  </si>
  <si>
    <t>Sandía/semanal</t>
  </si>
  <si>
    <t>Coca cola/Diario</t>
  </si>
  <si>
    <t>Agua de sabor/Diario</t>
  </si>
  <si>
    <t>Papas/Semanal</t>
  </si>
  <si>
    <t>SP439</t>
  </si>
  <si>
    <t>FRANCISCO SILVA ROMERO</t>
  </si>
  <si>
    <t>ABSESO HEPATICO,VESICULA BILIAR</t>
  </si>
  <si>
    <t>PASTELILLOS</t>
  </si>
  <si>
    <t>PANES</t>
  </si>
  <si>
    <t>La nogalera</t>
  </si>
  <si>
    <t>hace 3 1/2 años</t>
  </si>
  <si>
    <t>Si, preclamsia desde hace 9 años</t>
  </si>
  <si>
    <t>Si, trigliceridos hace 2 años</t>
  </si>
  <si>
    <t xml:space="preserve">No </t>
  </si>
  <si>
    <t>Infancia</t>
  </si>
  <si>
    <t>3 años</t>
  </si>
  <si>
    <t>Homeopatia, 2 meses</t>
  </si>
  <si>
    <t>Zapopan del rey, Jalisco</t>
  </si>
  <si>
    <t>Saguayo, Michoacan</t>
  </si>
  <si>
    <t>Tecualtitlan, Jalisco</t>
  </si>
  <si>
    <t>5/semanal</t>
  </si>
  <si>
    <t>Si, caminar</t>
  </si>
  <si>
    <t>23 años</t>
  </si>
  <si>
    <t>Del fresno</t>
  </si>
  <si>
    <t>Carne de puerco</t>
  </si>
  <si>
    <t>Chuletas</t>
  </si>
  <si>
    <t>Chorizo</t>
  </si>
  <si>
    <t>3 veces/dia</t>
  </si>
  <si>
    <t>Platanos/semanal</t>
  </si>
  <si>
    <t>Mandarinas/semanal</t>
  </si>
  <si>
    <t>Papas/diario</t>
  </si>
  <si>
    <t>Dulces/diario</t>
  </si>
  <si>
    <t>SP442</t>
  </si>
  <si>
    <t>29 años</t>
  </si>
  <si>
    <t>Sí, (1 copa a la semana desde los 14 años)</t>
  </si>
  <si>
    <t>Sí, abuela paterna</t>
  </si>
  <si>
    <t>Sí Abuela paterna</t>
  </si>
  <si>
    <t>Carne/diario</t>
  </si>
  <si>
    <t>Manzana 1 vez /semana</t>
  </si>
  <si>
    <t>Platano 1 vez/semana</t>
  </si>
  <si>
    <t>Refresco 1</t>
  </si>
  <si>
    <t>Agua 1</t>
  </si>
  <si>
    <t>Café 3</t>
  </si>
  <si>
    <t>Tacos 2 veces/semana</t>
  </si>
  <si>
    <t>Hamburguesas7 veces/semana</t>
  </si>
  <si>
    <t>Pan 4 veces/semana</t>
  </si>
  <si>
    <t>ocasional</t>
  </si>
  <si>
    <t xml:space="preserve">SI/Sobrepeso   </t>
  </si>
  <si>
    <t>Cesarea/hace 5 años</t>
  </si>
  <si>
    <t>Colitis y Gastritis</t>
  </si>
  <si>
    <t>'Flores de Bach''/3 al mes</t>
  </si>
  <si>
    <t>Tamaulipas/Jalisco</t>
  </si>
  <si>
    <t>SI/madre, tías maternas</t>
  </si>
  <si>
    <t>106/112</t>
  </si>
  <si>
    <t>2 tortillas/mensual</t>
  </si>
  <si>
    <t>Aceite de oliva/3 veces por semana</t>
  </si>
  <si>
    <t>Aguacate/1 vez por semana</t>
  </si>
  <si>
    <t>1 o 2 veces por semana/Res, pollo</t>
  </si>
  <si>
    <t>1 vez por mes</t>
  </si>
  <si>
    <t>Brocoli/Diario</t>
  </si>
  <si>
    <t>Coliflor/Diario</t>
  </si>
  <si>
    <t>Fresa/3 veces por semana</t>
  </si>
  <si>
    <t>Naranja/1 vez por semana</t>
  </si>
  <si>
    <t>Jícama/Diario</t>
  </si>
  <si>
    <t>Té de canela/3 veces por semana</t>
  </si>
  <si>
    <t>Café/3 veces por semana</t>
  </si>
  <si>
    <t>Pan/1 vez al mes</t>
  </si>
  <si>
    <t>Chocolate/1 vez al mes</t>
  </si>
  <si>
    <t>Casi siempre</t>
  </si>
  <si>
    <t>Ocasionalmente</t>
  </si>
  <si>
    <t>SI/24 años</t>
  </si>
  <si>
    <t>Metamizol cd/8 horas, Redoxon/cd 24 horas, Antibióticos/cd 12 horas</t>
  </si>
  <si>
    <t>SI/abuelos paternos y maternos</t>
  </si>
  <si>
    <t>SI/abuelomaterno</t>
  </si>
  <si>
    <t>88/79</t>
  </si>
  <si>
    <t>59/55</t>
  </si>
  <si>
    <t>Semilla de girasol</t>
  </si>
  <si>
    <t>5 veces por semana (res, pollo, puerco)</t>
  </si>
  <si>
    <t>Espinacas</t>
  </si>
  <si>
    <t>Café/3 tazas Diario</t>
  </si>
  <si>
    <t>Agua/2 litros diario</t>
  </si>
  <si>
    <t>Papas fritas/2 por semana</t>
  </si>
  <si>
    <t>Cacahuates/1 por semana</t>
  </si>
  <si>
    <t>42 años</t>
  </si>
  <si>
    <t>Terapeuta</t>
  </si>
  <si>
    <t>Nuevo mexico</t>
  </si>
  <si>
    <t>Sí, padre y madre</t>
  </si>
  <si>
    <t>SP447</t>
  </si>
  <si>
    <t>MUSICO</t>
  </si>
  <si>
    <t>SI/TRIGLICERIDOS/FENOFEBRATO</t>
  </si>
  <si>
    <t>RADIOGRAFIAS</t>
  </si>
  <si>
    <t>ANTIBIOTICO</t>
  </si>
  <si>
    <t>SI/ABUELOS MATERNOS</t>
  </si>
  <si>
    <t>MANTECA 3 VECES A LA SEMANA</t>
  </si>
  <si>
    <t>CHAYOYE</t>
  </si>
  <si>
    <t>DURANO</t>
  </si>
  <si>
    <t>AGUA 2 L</t>
  </si>
  <si>
    <t>JUGO 1 VEZ A LA SEMANA</t>
  </si>
  <si>
    <t>PAPAS FRITAS 1 VEZ POR SEMANA</t>
  </si>
  <si>
    <t>DULCES 1 VEZ POR SEMANA</t>
  </si>
  <si>
    <t>CECINA 1 VEZ POR SEMANA</t>
  </si>
  <si>
    <t>61 años</t>
  </si>
  <si>
    <t>Tinguindin, Michoacan</t>
  </si>
  <si>
    <t>a los 25 años</t>
  </si>
  <si>
    <t>Sí, (1 copa a la semana)</t>
  </si>
  <si>
    <t>Dolor del nervio trijemino y alergia</t>
  </si>
  <si>
    <t>Tinguidin, Michoacan</t>
  </si>
  <si>
    <t>Sí, padres y hermanas</t>
  </si>
  <si>
    <t>SP449</t>
  </si>
  <si>
    <t>COMBATIENTE FORESTAL</t>
  </si>
  <si>
    <t>INJERTO DE PIEL 2017</t>
  </si>
  <si>
    <t xml:space="preserve">ARROZ  </t>
  </si>
  <si>
    <t>PIMIETA</t>
  </si>
  <si>
    <t xml:space="preserve">PAPAS FRITAS </t>
  </si>
  <si>
    <t>PAPA, MAMA, HERMANOS</t>
  </si>
  <si>
    <t>AVENA ANUAL</t>
  </si>
  <si>
    <t>COTIDIANO</t>
  </si>
  <si>
    <t>RES, PUERCO POLLO</t>
  </si>
  <si>
    <t>PANELA COTAGE</t>
  </si>
  <si>
    <t>LECHE, REQUESON , JOCOQUE</t>
  </si>
  <si>
    <t>ZANAHORIA VERDOLAGAS</t>
  </si>
  <si>
    <t>MANZANA/ MANGO</t>
  </si>
  <si>
    <t>AGUA DE LIMON</t>
  </si>
  <si>
    <t>JARDINES DE A CRUZ</t>
  </si>
  <si>
    <t>SI/6MESES PRAVASTATINA</t>
  </si>
  <si>
    <t>LENTEJA SEMANA</t>
  </si>
  <si>
    <t>ZANAHORIA SEMANAL</t>
  </si>
  <si>
    <t>PERA DIARIO</t>
  </si>
  <si>
    <t>AGUA DAIRIO</t>
  </si>
  <si>
    <t>JUGO DIARIO</t>
  </si>
  <si>
    <t>PAPAS SEMANAL</t>
  </si>
  <si>
    <t>HOGAR Y ENFERMERA</t>
  </si>
  <si>
    <t>SI FRACTURA</t>
  </si>
  <si>
    <t>HOMEOPATIA HERBALIFE</t>
  </si>
  <si>
    <t>EL ROSARIO</t>
  </si>
  <si>
    <t>3 CESARIAS</t>
  </si>
  <si>
    <t>RELYJACION</t>
  </si>
  <si>
    <t>PAPA Y HERMANA</t>
  </si>
  <si>
    <t>PAN BIROTE</t>
  </si>
  <si>
    <t>YOGURT 1 SEMANA</t>
  </si>
  <si>
    <t>LAUREL</t>
  </si>
  <si>
    <t>JAMON</t>
  </si>
  <si>
    <t xml:space="preserve">APENDICE , OJOS </t>
  </si>
  <si>
    <t>COMPLEJO B DIARIO, VITAMINAS DIARIO HIERRO DIARIO</t>
  </si>
  <si>
    <t>CORAZON CRECIDO MAMA</t>
  </si>
  <si>
    <t>FRIJOL 2-1 SEMANA</t>
  </si>
  <si>
    <t>ARROZ 2-1 SEMANA</t>
  </si>
  <si>
    <t>DETEMPORADA</t>
  </si>
  <si>
    <t>PARA POSTRES</t>
  </si>
  <si>
    <t>PAPAS TIENDA 1-2 SEMANA</t>
  </si>
  <si>
    <t>PAN DULCE DE CAJA</t>
  </si>
  <si>
    <t>5,10</t>
  </si>
  <si>
    <t>40-60</t>
  </si>
  <si>
    <t>SI/10 AÑOS METFORMINA</t>
  </si>
  <si>
    <t xml:space="preserve">SI/ HOMEOPATIA </t>
  </si>
  <si>
    <t>SI/3 DIARIO</t>
  </si>
  <si>
    <t>SALPINGO, OFERECTOMIA HISTERECTOMIA</t>
  </si>
  <si>
    <t>HIPOTIROIDISMO Y ARTRITIS</t>
  </si>
  <si>
    <t>T4</t>
  </si>
  <si>
    <t>MAYORIA</t>
  </si>
  <si>
    <t>3 HERMANOS</t>
  </si>
  <si>
    <t>HERMANA, PADRES</t>
  </si>
  <si>
    <t>PERSONA</t>
  </si>
  <si>
    <t>LAZARO CARNEDAS</t>
  </si>
  <si>
    <t>SOSPECHALIQUIDA DE PEZON</t>
  </si>
  <si>
    <t>PADRES ABUELO</t>
  </si>
  <si>
    <t>CADA 8 DIAS</t>
  </si>
  <si>
    <t>REFRESCO CADA 4 DIAS</t>
  </si>
  <si>
    <t>AGUA SABOR 2 SEMANA</t>
  </si>
  <si>
    <t>60?</t>
  </si>
  <si>
    <t>SI/9AÑOS</t>
  </si>
  <si>
    <t>NO RECUERDA</t>
  </si>
  <si>
    <t>TORTILLA 3-5</t>
  </si>
  <si>
    <t>POLLO 2-3 SEMANA, RES 1-2 SEMANA</t>
  </si>
  <si>
    <t>2 SEMANA CAMARON , 1 SEMANA PESCADO</t>
  </si>
  <si>
    <t>CALABAZA, BROCOLI Y COLIFLOR DIARIO</t>
  </si>
  <si>
    <t>ENSALADA DE VERDURA 1 MES</t>
  </si>
  <si>
    <t>MANZANA, PAPAYA DIARIO</t>
  </si>
  <si>
    <t>MANGO, FRESA OCACIONAL</t>
  </si>
  <si>
    <t>AGUA FRESCA DIARIO JAMAICA, CHIA, LIMON</t>
  </si>
  <si>
    <t>AJO 1 SEMANA</t>
  </si>
  <si>
    <t>MEJORANA 1 SEMANA</t>
  </si>
  <si>
    <t>LAUREL 1 SEMANA SAL</t>
  </si>
  <si>
    <t>PPOLLO KKENTOCKY 1 MES</t>
  </si>
  <si>
    <t>TORTAS 1 SEMANA</t>
  </si>
  <si>
    <t>133?</t>
  </si>
  <si>
    <t>PATERNO</t>
  </si>
  <si>
    <t>NBAJA</t>
  </si>
  <si>
    <t>SI/BEZAFIBRATO</t>
  </si>
  <si>
    <t>EXTEROTOMIA, OMBLIGO, MATRIZ, LIPO</t>
  </si>
  <si>
    <t>ESTATINA, QUIMIGLUTINA,</t>
  </si>
  <si>
    <t>PAPA, HERMANO, ABUELOS (PA)</t>
  </si>
  <si>
    <t>HIJO TIROIDES</t>
  </si>
  <si>
    <t>ARROZ 4-5 SEMANA</t>
  </si>
  <si>
    <t>NUEZ ALMENDRA 4 SEMANA</t>
  </si>
  <si>
    <t>CALABAZA 4-5 SEMANA</t>
  </si>
  <si>
    <t>PAPAYA 4 SEMANA</t>
  </si>
  <si>
    <t>MANGO 2 SEMANA</t>
  </si>
  <si>
    <t>AGUA NATIRALY SABOR DIARIO</t>
  </si>
  <si>
    <t>JUGO NATURAL 1-2 SEMANA</t>
  </si>
  <si>
    <t>AOJO 4 SEMANA</t>
  </si>
  <si>
    <t>TACOS 2 SEMANA</t>
  </si>
  <si>
    <t>1 HORA</t>
  </si>
  <si>
    <t>64?</t>
  </si>
  <si>
    <t>JARDINES SAN JOSE</t>
  </si>
  <si>
    <t>SI/3 AÑOS</t>
  </si>
  <si>
    <t>SI/20 ASÑOS</t>
  </si>
  <si>
    <t>SI 40 AÑOS</t>
  </si>
  <si>
    <t>ANTICUAGULANTES</t>
  </si>
  <si>
    <t>AGUA DARIO</t>
  </si>
  <si>
    <t>PG471</t>
  </si>
  <si>
    <t>SP472</t>
  </si>
  <si>
    <t>LOS ANGELES DE NESTIPAC</t>
  </si>
  <si>
    <t>SI/16 AÑOS/CADA TERCER DIA</t>
  </si>
  <si>
    <t>SOBREPESO EN LA ADULTEZ</t>
  </si>
  <si>
    <t>COLECISTECTOMIA</t>
  </si>
  <si>
    <t>METAMIZOL Y DEXAMETASONA</t>
  </si>
  <si>
    <t>DESCONOZCO</t>
  </si>
  <si>
    <t xml:space="preserve">MANTEQUILLA  </t>
  </si>
  <si>
    <t>D</t>
  </si>
  <si>
    <t>QUINCENAL</t>
  </si>
  <si>
    <t xml:space="preserve">REFRESCO </t>
  </si>
  <si>
    <t>HAMBURGUESA</t>
  </si>
  <si>
    <t>SP473</t>
  </si>
  <si>
    <t>SI/23 AÑOS/1 COPA A LA SEMANA</t>
  </si>
  <si>
    <t>TAMAZULA</t>
  </si>
  <si>
    <t>SODIO NORMAL</t>
  </si>
  <si>
    <t>2 O 3</t>
  </si>
  <si>
    <t>SP474</t>
  </si>
  <si>
    <t>SI/17 AÑOS</t>
  </si>
  <si>
    <t>SI/17 AÑOS/1 COPA AL MES O MENOS</t>
  </si>
  <si>
    <t>SI/TIOS PATERNOS</t>
  </si>
  <si>
    <t>6 PORCIONES A LA SEMANA</t>
  </si>
  <si>
    <t>CAFÉ DOS TAZAS</t>
  </si>
  <si>
    <t>BAJA EN SODIO</t>
  </si>
  <si>
    <t>SP475</t>
  </si>
  <si>
    <t>FORESTAL</t>
  </si>
  <si>
    <t>SI/20 AÑOS/1 COPA A LA SEMANA</t>
  </si>
  <si>
    <t>1 PORCION POR SEMANA</t>
  </si>
  <si>
    <t>CAD QUINCE DIAS</t>
  </si>
  <si>
    <t>SP476</t>
  </si>
  <si>
    <t>RINITIS ESTACIONAL</t>
  </si>
  <si>
    <t>VITAMINA C/ UN SOBRE/DIEZ DIAS</t>
  </si>
  <si>
    <t>NI</t>
  </si>
  <si>
    <t>INSUFICIENCIA RENAL</t>
  </si>
  <si>
    <t>UNA PORCION</t>
  </si>
  <si>
    <t>SP477</t>
  </si>
  <si>
    <t>PIÑAR DE LAS PALOMAS</t>
  </si>
  <si>
    <t>SI/18 AÑOS/1 COPA AL MES O MENOS</t>
  </si>
  <si>
    <t>5 VECES POR SEMANA</t>
  </si>
  <si>
    <t>5 VECES POR MES</t>
  </si>
  <si>
    <t>5 VECES AL MES</t>
  </si>
  <si>
    <t>3 VECES AL AÑO</t>
  </si>
  <si>
    <t>1 VEZ AL AÑO</t>
  </si>
  <si>
    <t>SP478</t>
  </si>
  <si>
    <t>GIRASOLES</t>
  </si>
  <si>
    <t>SI/19 AÑOS/ 4 CIGARROS DIARIOS</t>
  </si>
  <si>
    <t>SI/20 AÑOS/1 COPA DIARIA</t>
  </si>
  <si>
    <t>EN LA ADULTEZ</t>
  </si>
  <si>
    <t>RAYOS X</t>
  </si>
  <si>
    <t>MANTECA SEMANA</t>
  </si>
  <si>
    <t>CHAYOTE 4 DIAS</t>
  </si>
  <si>
    <t>CALABAZA 3 DIAS</t>
  </si>
  <si>
    <t>JITOMATE 5 DIAS</t>
  </si>
  <si>
    <t>ESLOTE 2 DIAS</t>
  </si>
  <si>
    <t>CHICHARO 2 DIAS</t>
  </si>
  <si>
    <t>ZANAHORIA 2 DIAS</t>
  </si>
  <si>
    <t>CHICHAROS DOS DIAS</t>
  </si>
  <si>
    <t>ELOTE 2 DIAS</t>
  </si>
  <si>
    <t>ALCOHOL</t>
  </si>
  <si>
    <t>ALITAS</t>
  </si>
  <si>
    <t>3 O 2</t>
  </si>
  <si>
    <t>SP479</t>
  </si>
  <si>
    <t>SI/4 MESES/NO RECUERDA TRATAMIENTO</t>
  </si>
  <si>
    <t>2 VECEES POR SEMANA</t>
  </si>
  <si>
    <t>2 A 3</t>
  </si>
  <si>
    <t>SP480</t>
  </si>
  <si>
    <t>PARAMEDICO</t>
  </si>
  <si>
    <t>VICENTE GUERRERO</t>
  </si>
  <si>
    <t>METAMIZOL, SULFAMETOXAZOL Y TRIMETOPRIMA</t>
  </si>
  <si>
    <t>VEGETALES SEMANAL</t>
  </si>
  <si>
    <t>SATURADA</t>
  </si>
  <si>
    <t>DURAZNO MENSUAL</t>
  </si>
  <si>
    <t>PIÑA MENSUAL</t>
  </si>
  <si>
    <t>AGUAS FRESCAS</t>
  </si>
  <si>
    <t>SP 481</t>
  </si>
  <si>
    <t>ALAMO</t>
  </si>
  <si>
    <t>RINOSEPTUMPLASTIA</t>
  </si>
  <si>
    <t>OTITIS MEDIA</t>
  </si>
  <si>
    <t>MÉXICO</t>
  </si>
  <si>
    <t>SÍ/PADRE</t>
  </si>
  <si>
    <t>SÍ/ABUELO</t>
  </si>
  <si>
    <t>CEREALES AZUCARADOS SEMANAL</t>
  </si>
  <si>
    <t xml:space="preserve"> BRÓCOLI SEMANAL</t>
  </si>
  <si>
    <t>SANDÍA SEMANAL</t>
  </si>
  <si>
    <t>MANGO SEMANAL</t>
  </si>
  <si>
    <t>REFRESCOS DIARIO</t>
  </si>
  <si>
    <t>PALOMITAS SEMANAL</t>
  </si>
  <si>
    <t>SÍ</t>
  </si>
  <si>
    <t>SP482</t>
  </si>
  <si>
    <t>PARQUES</t>
  </si>
  <si>
    <t xml:space="preserve">NO </t>
  </si>
  <si>
    <t>SP483</t>
  </si>
  <si>
    <t>CONSTITUCION</t>
  </si>
  <si>
    <t>SI/25 AÑOS/1 COPA AL MES O MENOS</t>
  </si>
  <si>
    <t>IBUPROFENO</t>
  </si>
  <si>
    <t>COMIDA NORMAL DE SODIO</t>
  </si>
  <si>
    <t>SP484</t>
  </si>
  <si>
    <t>SI (CA. MAMA BILATERAL)</t>
  </si>
  <si>
    <t>METASTASIA A MATRIZ</t>
  </si>
  <si>
    <t>QUIMIO POR 9 SESIONES Y RADIO 28 SESIONES</t>
  </si>
  <si>
    <t>PASA</t>
  </si>
  <si>
    <t>SP485</t>
  </si>
  <si>
    <t>DESPUES DEL ULTIMO EMBARAZO</t>
  </si>
  <si>
    <t>ANESTESIAS</t>
  </si>
  <si>
    <t>CESAREA/SEPTIEMBRE 2009</t>
  </si>
  <si>
    <t>SI/2009</t>
  </si>
  <si>
    <t>SI/MATERNOS Y PATERNO</t>
  </si>
  <si>
    <t>3 VECES POR MES</t>
  </si>
  <si>
    <t>1 O 2 DIARIAS</t>
  </si>
  <si>
    <t>OCASIONALMENTE TÉ Y CAFÉ</t>
  </si>
  <si>
    <t>2 VECES POR MES</t>
  </si>
  <si>
    <t>SP486</t>
  </si>
  <si>
    <t>PARQUE REAL</t>
  </si>
  <si>
    <t>ASMA/HIPOTIROIDISMO</t>
  </si>
  <si>
    <t xml:space="preserve">SI/TIO </t>
  </si>
  <si>
    <t>4 VECES POR SEMAN</t>
  </si>
  <si>
    <t>SP487</t>
  </si>
  <si>
    <t>JARDINES DEL VALLE</t>
  </si>
  <si>
    <t>NOVIAL/1 DIARIA/OCHO MESES</t>
  </si>
  <si>
    <t>CIUDAD GUZMAN</t>
  </si>
  <si>
    <t>SI/TIO ABUELO</t>
  </si>
  <si>
    <t xml:space="preserve">SI </t>
  </si>
  <si>
    <t>COMIDA NORMAL</t>
  </si>
  <si>
    <t>SP488</t>
  </si>
  <si>
    <t>VENTAS</t>
  </si>
  <si>
    <t>SAN VICENTE</t>
  </si>
  <si>
    <t>DEL HOGAR</t>
  </si>
  <si>
    <t>MAMOGRAFO</t>
  </si>
  <si>
    <t>ANALGÉSICOS</t>
  </si>
  <si>
    <t>SI/PADRE Y MADRE</t>
  </si>
  <si>
    <t>TORTILLA 2 DIARIAS</t>
  </si>
  <si>
    <t>AVENA 1 VEZ POR SEMANA</t>
  </si>
  <si>
    <t>PAPA UNA VEZ POR SEMANA</t>
  </si>
  <si>
    <t>POLLO 1 VEZ POR SEMANA, BISTEC 2 VECES POR SEMANA</t>
  </si>
  <si>
    <t>1 VEZ POR SEMANA ATUN</t>
  </si>
  <si>
    <t>AGUA FRESCA/1 VEZ POR SEMANA</t>
  </si>
  <si>
    <t>TE HELADO/1 VEZ POR SEMANA</t>
  </si>
  <si>
    <t>OREGANO DIARIO</t>
  </si>
  <si>
    <t>3 Y 1 COLACIÓN</t>
  </si>
  <si>
    <t>SP489</t>
  </si>
  <si>
    <t>SI/18 AÑOS/ 1 COPA A LA SEMANA</t>
  </si>
  <si>
    <t>ARTOPLASTIA EN RODILLA IZQUIERDA</t>
  </si>
  <si>
    <t>SI/ABUELO MATERNO</t>
  </si>
  <si>
    <t xml:space="preserve">SI/TIA MATERNA  </t>
  </si>
  <si>
    <t>EN COMIDAS</t>
  </si>
  <si>
    <t>SP490</t>
  </si>
  <si>
    <t>SI/AÑO Y MEDIO</t>
  </si>
  <si>
    <t>PAN 2 DIARIOS</t>
  </si>
  <si>
    <t>AGUACATE 1 VEZ POR SEMANA</t>
  </si>
  <si>
    <t>1 VEZ CADA QUINCE DIAS</t>
  </si>
  <si>
    <t>CADA DOS MESES</t>
  </si>
  <si>
    <t>NARANJA 2 VECES POR SEMANA</t>
  </si>
  <si>
    <t>MANZANA/ 2 VECES POR SEMANA</t>
  </si>
  <si>
    <t>PLATANO/ 2 VECES POR SEMANA</t>
  </si>
  <si>
    <t xml:space="preserve">AGUA FRESCA  </t>
  </si>
  <si>
    <t>REFRESCO/3 VECES POR SEMANA</t>
  </si>
  <si>
    <t>PAPAS A LA FRANCESA/1 VEZ POR SEMANA</t>
  </si>
  <si>
    <t>GALLETAS/4 VECES POR SEMANA</t>
  </si>
  <si>
    <t>SP 491</t>
  </si>
  <si>
    <t>BOMBERO PSICÓLOGO</t>
  </si>
  <si>
    <t>SÍ/5 AÑOS/METFORMINA</t>
  </si>
  <si>
    <t>SÍ/6 AÑOS/LOZARTÁN</t>
  </si>
  <si>
    <t>SÍ/1 AÑO/DIETA</t>
  </si>
  <si>
    <t>SÍ/1 COPA A LA SEMANA</t>
  </si>
  <si>
    <t>INFLUENZA/ARRITMÍA CARDÍACA</t>
  </si>
  <si>
    <t>MICHOÁCAN</t>
  </si>
  <si>
    <t>MICHOÁCAN/OAXACA</t>
  </si>
  <si>
    <t>SÍ/PADRES,HERMANO</t>
  </si>
  <si>
    <t>CEREAL 3 VECES A LA SEMANA</t>
  </si>
  <si>
    <t>MAÍZ DIARIO</t>
  </si>
  <si>
    <t>TRIGO 3 VECES A LA SEMANA</t>
  </si>
  <si>
    <t>ANIMAL</t>
  </si>
  <si>
    <t>VEGETAL</t>
  </si>
  <si>
    <t>RES,POLLO,PUERCO</t>
  </si>
  <si>
    <t>ZANAHORIA 5 VECES A LA SEMANA</t>
  </si>
  <si>
    <t>BRÓCOLI</t>
  </si>
  <si>
    <t>SODA</t>
  </si>
  <si>
    <t>SP492</t>
  </si>
  <si>
    <t>MIRAMAR</t>
  </si>
  <si>
    <t>10 AÑOS</t>
  </si>
  <si>
    <t>SI/ABUELOS Y PADRE</t>
  </si>
  <si>
    <t>SI/ABUELOS Y MADRE</t>
  </si>
  <si>
    <t>SI/TIA ABUELA</t>
  </si>
  <si>
    <t>BIROTE/SEMANAL</t>
  </si>
  <si>
    <t>VERDURAS MIXTAS</t>
  </si>
  <si>
    <t>JUGO DE NARANJA/SEMANAL</t>
  </si>
  <si>
    <t>REFRESCO/SEMANAL</t>
  </si>
  <si>
    <t>SP493</t>
  </si>
  <si>
    <t>HACE 9 AÑOS</t>
  </si>
  <si>
    <t>SI/POLIPOS NASALES, VASECTOMIA</t>
  </si>
  <si>
    <t>ASMA BRONQUIAL</t>
  </si>
  <si>
    <t>GOTAS</t>
  </si>
  <si>
    <t>ACEITE DE CANOLA</t>
  </si>
  <si>
    <t>ADOBE</t>
  </si>
  <si>
    <t>GANSITOS</t>
  </si>
  <si>
    <t>SP494</t>
  </si>
  <si>
    <t>PARQUES TESISTAN</t>
  </si>
  <si>
    <t>SI/16 AÑOS/OCASIONAL</t>
  </si>
  <si>
    <t>SI/16 AÑOS/1 COPA AL MES O MENOS</t>
  </si>
  <si>
    <t>VASECTOMIA</t>
  </si>
  <si>
    <t>ARRITMIA CARDIACA</t>
  </si>
  <si>
    <t>SI/ASMA/MADRE</t>
  </si>
  <si>
    <t>SP495</t>
  </si>
  <si>
    <t>BOMBEROS</t>
  </si>
  <si>
    <t>SI/20 AÑOS/1 COPA AL MES O MENOS</t>
  </si>
  <si>
    <t>NAPROXENO</t>
  </si>
  <si>
    <t>SI/AMBOS PADRES</t>
  </si>
  <si>
    <t>CACAHUATES SEMANAL</t>
  </si>
  <si>
    <t>SP496</t>
  </si>
  <si>
    <t>CIRCUNSICION Y VASECTOMIA</t>
  </si>
  <si>
    <t>ARANDANO</t>
  </si>
  <si>
    <t>SP497</t>
  </si>
  <si>
    <t>SI/CAPTOPRIL.HIDROCLOROTACIDA</t>
  </si>
  <si>
    <t>SI/PAPA Y ABUELO</t>
  </si>
  <si>
    <t>SI/MADRE, PADRE Y HERMANOS</t>
  </si>
  <si>
    <t>PAN PULCE/DOS VECES POR SEMANA</t>
  </si>
  <si>
    <t xml:space="preserve">ELOTE  </t>
  </si>
  <si>
    <t>CAFÉ O TE</t>
  </si>
  <si>
    <t>PG498</t>
  </si>
  <si>
    <t>PG499</t>
  </si>
  <si>
    <t>31-09-75</t>
  </si>
  <si>
    <t>HOGAR Y COMERCIANTE</t>
  </si>
  <si>
    <t>JARDINES DE SAN JOSE</t>
  </si>
  <si>
    <t>ALERJIAS EN BRAZO Y PIES</t>
  </si>
  <si>
    <t>1/2 HERMANA RENAL</t>
  </si>
  <si>
    <t>PG506</t>
  </si>
  <si>
    <t>SI/18AÑOS-1MES</t>
  </si>
  <si>
    <t>ANTICONCEPTIVOS,NUVA RING</t>
  </si>
  <si>
    <t>ABUELA, TIA PA, TIO MA</t>
  </si>
  <si>
    <t>TIO PA COLON</t>
  </si>
  <si>
    <t>ABUELA PA</t>
  </si>
  <si>
    <t>TORTILLA 3-SEMAN</t>
  </si>
  <si>
    <t>AARROZ 3-SEMANA</t>
  </si>
  <si>
    <t>PASTA 3-SEMANA</t>
  </si>
  <si>
    <t>MANA</t>
  </si>
  <si>
    <t>MANTEQUILLA 3-SEMANA</t>
  </si>
  <si>
    <t>100G 3-SEMANA</t>
  </si>
  <si>
    <t>2 3-SEMANA</t>
  </si>
  <si>
    <t>2 REBANADAS X SEMANA</t>
  </si>
  <si>
    <t>100G DIARIO</t>
  </si>
  <si>
    <t>YOGURT 1-SEMANA</t>
  </si>
  <si>
    <t>espinacas</t>
  </si>
  <si>
    <t>tomate</t>
  </si>
  <si>
    <t>cebolla</t>
  </si>
  <si>
    <t>agua natural 1 1/2</t>
  </si>
  <si>
    <t>café 2 tazas diarias</t>
  </si>
  <si>
    <t>agua fresca 2-mes</t>
  </si>
  <si>
    <t>hiervas frescas</t>
  </si>
  <si>
    <t>galleta</t>
  </si>
  <si>
    <t>tacos de barbacoa</t>
  </si>
  <si>
    <t>si, yoga</t>
  </si>
  <si>
    <t>SI-18-1-DIARIO</t>
  </si>
  <si>
    <t>SI-18-FINDE SEMANA</t>
  </si>
  <si>
    <t>ABU MA</t>
  </si>
  <si>
    <t>AVENA 3-SEMANA</t>
  </si>
  <si>
    <t>queso filadelfia</t>
  </si>
  <si>
    <t>uno a la semana</t>
  </si>
  <si>
    <t>yogurt diario</t>
  </si>
  <si>
    <t>1-semana</t>
  </si>
  <si>
    <t>te diario</t>
  </si>
  <si>
    <t>refresco coca</t>
  </si>
  <si>
    <t>papas de marca 3-semana</t>
  </si>
  <si>
    <t>PG509</t>
  </si>
  <si>
    <t>PG510</t>
  </si>
  <si>
    <t>PG511</t>
  </si>
  <si>
    <t>PG512</t>
  </si>
  <si>
    <t>PG513</t>
  </si>
  <si>
    <t>PG514</t>
  </si>
  <si>
    <t>275/180</t>
  </si>
  <si>
    <t>PG515</t>
  </si>
  <si>
    <t>PG516</t>
  </si>
  <si>
    <t>PG517</t>
  </si>
  <si>
    <t>PG518</t>
  </si>
  <si>
    <t>PG519</t>
  </si>
  <si>
    <t>Mecanico</t>
  </si>
  <si>
    <t>El Mirador</t>
  </si>
  <si>
    <t>solventes e insecticidas</t>
  </si>
  <si>
    <t>si Cesarea, Matriz y abseso de grasa</t>
  </si>
  <si>
    <t>si marihuana y psicotropicos</t>
  </si>
  <si>
    <t>Antiinflamatorios</t>
  </si>
  <si>
    <t>Gdl</t>
  </si>
  <si>
    <t>tuxcacuecsa</t>
  </si>
  <si>
    <t>si mama</t>
  </si>
  <si>
    <t>PG521</t>
  </si>
  <si>
    <t>agente de viajes</t>
  </si>
  <si>
    <t>hepatitis A</t>
  </si>
  <si>
    <t>Marihuana</t>
  </si>
  <si>
    <t>mirtazapina</t>
  </si>
  <si>
    <t>union de tula</t>
  </si>
  <si>
    <t>guadalajara jal</t>
  </si>
  <si>
    <t>padre y hermana</t>
  </si>
  <si>
    <t xml:space="preserve">no </t>
  </si>
  <si>
    <t>padre, hermana</t>
  </si>
  <si>
    <t>PG522</t>
  </si>
  <si>
    <t>insecticidas</t>
  </si>
  <si>
    <t>radiografia a los 15 años</t>
  </si>
  <si>
    <t>gripe</t>
  </si>
  <si>
    <t>padre, madre y hermanos</t>
  </si>
  <si>
    <t>madre, tia, hijo, hermano, abuelo paterno</t>
  </si>
  <si>
    <t>padre y hermano</t>
  </si>
  <si>
    <t>108/189</t>
  </si>
  <si>
    <t>Esperanza, Guadalajara</t>
  </si>
  <si>
    <t>etapa adulta</t>
  </si>
  <si>
    <t>2 cesareas, lamparoscopia,vesicula</t>
  </si>
  <si>
    <t>Guerrero</t>
  </si>
  <si>
    <t>Hidalgo</t>
  </si>
  <si>
    <t>si papá</t>
  </si>
  <si>
    <t>si abuela materna</t>
  </si>
  <si>
    <t>pan salado/2 veces mes/</t>
  </si>
  <si>
    <t>pan dulce/4 veces mes</t>
  </si>
  <si>
    <t>mantequilla/semanal</t>
  </si>
  <si>
    <t>aceite/semanal</t>
  </si>
  <si>
    <t>Verduras verdes/semanal</t>
  </si>
  <si>
    <t>mango/semanal</t>
  </si>
  <si>
    <t>agua de frutas/semanal</t>
  </si>
  <si>
    <t>Salcon ajo/diario</t>
  </si>
  <si>
    <t>si etapa adulta</t>
  </si>
  <si>
    <t>inflamacion intestinal</t>
  </si>
  <si>
    <t>ac. Mefenamico</t>
  </si>
  <si>
    <t>si, padre abuelo y tios</t>
  </si>
  <si>
    <t>si hermano</t>
  </si>
  <si>
    <t>pan/mensual</t>
  </si>
  <si>
    <t>semnal</t>
  </si>
  <si>
    <t>PG525</t>
  </si>
  <si>
    <t>elaboracion de alimentos</t>
  </si>
  <si>
    <t>gripe y tos</t>
  </si>
  <si>
    <t>clorfemanima</t>
  </si>
  <si>
    <t>San Luis Potosí</t>
  </si>
  <si>
    <t>seg.privada</t>
  </si>
  <si>
    <t>el porvenir</t>
  </si>
  <si>
    <t>13/09/20090</t>
  </si>
  <si>
    <t>injerto de piel</t>
  </si>
  <si>
    <t>si tios maternos</t>
  </si>
  <si>
    <t>si abuela paterna</t>
  </si>
  <si>
    <t>si hijo</t>
  </si>
  <si>
    <t>frijol/diario</t>
  </si>
  <si>
    <t>Coliflor/diario</t>
  </si>
  <si>
    <t>pera/diario</t>
  </si>
  <si>
    <t>Jugos naturales/Diarios</t>
  </si>
  <si>
    <t>Mejorana/diario</t>
  </si>
  <si>
    <t xml:space="preserve">1 a 3 </t>
  </si>
  <si>
    <t xml:space="preserve">camina </t>
  </si>
  <si>
    <t>PG527</t>
  </si>
  <si>
    <t>15-ju-18</t>
  </si>
  <si>
    <t>radiagrafias hace 2 años</t>
  </si>
  <si>
    <t>retiro de matriz hace 3 años</t>
  </si>
  <si>
    <t>Guadalajara, Jal.</t>
  </si>
  <si>
    <t>guadalajara</t>
  </si>
  <si>
    <t>problema de riñon (padre, hermana hermano yo)</t>
  </si>
  <si>
    <t>SI/15AÑOS/</t>
  </si>
  <si>
    <t>Retiro de quiste adiposo</t>
  </si>
  <si>
    <t>Infección respiratoria</t>
  </si>
  <si>
    <t>Losartán, Bezafribrato, Pravastatina</t>
  </si>
  <si>
    <t>Si, Hermano</t>
  </si>
  <si>
    <t>Si, Padres/MATRIZ, PULMON</t>
  </si>
  <si>
    <t>Avena/Diario</t>
  </si>
  <si>
    <t>Tortilla 4 vec/Sem</t>
  </si>
  <si>
    <t>Manteca/Diario</t>
  </si>
  <si>
    <t>Lechuga 4 vec/sem</t>
  </si>
  <si>
    <t>Zanahoria 2 vec/sem</t>
  </si>
  <si>
    <t>Chícharo</t>
  </si>
  <si>
    <t>Refresco dieta/2 vec sem</t>
  </si>
  <si>
    <t>Tacos/ 2 vec sem</t>
  </si>
  <si>
    <t>Blanco y Cuellar</t>
  </si>
  <si>
    <t>Salbutamol</t>
  </si>
  <si>
    <t xml:space="preserve">Tío </t>
  </si>
  <si>
    <t>fam 2°</t>
  </si>
  <si>
    <t>Abuelo p.</t>
  </si>
  <si>
    <t>Abuela p.</t>
  </si>
  <si>
    <t>Asma/Madre, abuela</t>
  </si>
  <si>
    <t>Nuez/semanal</t>
  </si>
  <si>
    <t>Almendra/Mensual</t>
  </si>
  <si>
    <t>Brócoli</t>
  </si>
  <si>
    <t>Helado/semanal</t>
  </si>
  <si>
    <t>Dulces/semanal</t>
  </si>
  <si>
    <t>Jardínes de San José</t>
  </si>
  <si>
    <t>Mantequilla/Diario</t>
  </si>
  <si>
    <t>Brócoli/semanal</t>
  </si>
  <si>
    <t>Atún/Semanal</t>
  </si>
  <si>
    <t xml:space="preserve">Manzana/Diario </t>
  </si>
  <si>
    <t>Uvas/diario</t>
  </si>
  <si>
    <t>Fresas/Mensual</t>
  </si>
  <si>
    <t>Cereal/Semanal</t>
  </si>
  <si>
    <t>PG531</t>
  </si>
  <si>
    <t>asistente administrativo</t>
  </si>
  <si>
    <t>2 radiografias y 2 tomografias</t>
  </si>
  <si>
    <t>migraña</t>
  </si>
  <si>
    <t>ketorolaco</t>
  </si>
  <si>
    <t>hermano</t>
  </si>
  <si>
    <t>Hermanos</t>
  </si>
  <si>
    <t>20-0CT-1946</t>
  </si>
  <si>
    <t>PENSIONADO</t>
  </si>
  <si>
    <t>HERNIA</t>
  </si>
  <si>
    <t>PG533</t>
  </si>
  <si>
    <t>PG534</t>
  </si>
  <si>
    <t>PG535</t>
  </si>
  <si>
    <t>PG536</t>
  </si>
  <si>
    <t>HACE 10 AÑOS</t>
  </si>
  <si>
    <t>4 CESARIAS</t>
  </si>
  <si>
    <t>ALERJIAS EN LA MAÑANA</t>
  </si>
  <si>
    <t>SI HACE MUCHO TIEMPO</t>
  </si>
  <si>
    <t>TIO PA</t>
  </si>
  <si>
    <t>MAMA. ABUELA</t>
  </si>
  <si>
    <t>PG537</t>
  </si>
  <si>
    <t>ama de casa</t>
  </si>
  <si>
    <t>independencia</t>
  </si>
  <si>
    <t>acido muriatico</t>
  </si>
  <si>
    <t>hace 1 año</t>
  </si>
  <si>
    <t>ibuprofeno y tailenol</t>
  </si>
  <si>
    <t>omega 3</t>
  </si>
  <si>
    <t>Mexico</t>
  </si>
  <si>
    <t>PG538</t>
  </si>
  <si>
    <t>regular</t>
  </si>
  <si>
    <t>PG540</t>
  </si>
  <si>
    <t>ZONA INDUSTRIAL</t>
  </si>
  <si>
    <t>NARIZ</t>
  </si>
  <si>
    <t>BIOELECTRO</t>
  </si>
  <si>
    <t>PADRE Y ABUELOS PA</t>
  </si>
  <si>
    <t>INFARTO CEREBRAL ABUELOS PATERNOS</t>
  </si>
  <si>
    <t>PG541</t>
  </si>
  <si>
    <t>MADRE, PADRE, ABUELOS</t>
  </si>
  <si>
    <t>SP542</t>
  </si>
  <si>
    <t>SI/18 AÑOS/ 3 CIGARROS</t>
  </si>
  <si>
    <t>SEMANALES</t>
  </si>
  <si>
    <t xml:space="preserve">SODIO  </t>
  </si>
  <si>
    <t>SP543</t>
  </si>
  <si>
    <t>SP544</t>
  </si>
  <si>
    <t>SI/UNA COPA O MENOS</t>
  </si>
  <si>
    <t>SI DE LOS 30 EN ADELANTE</t>
  </si>
  <si>
    <t>SI/ 3-sep-11</t>
  </si>
  <si>
    <t>TORTILLAS 6 DIAS</t>
  </si>
  <si>
    <t>GALLETAS 2 DIAS</t>
  </si>
  <si>
    <t>AVENA 1 CUCHARADA</t>
  </si>
  <si>
    <t>2 VCECES AL MES</t>
  </si>
  <si>
    <t>REFRESCO UNA VEZ POR SEMANA</t>
  </si>
  <si>
    <t>1 DIARIA</t>
  </si>
  <si>
    <t>9:30AM-03:00PM- 09:30PM</t>
  </si>
  <si>
    <t>SP545</t>
  </si>
  <si>
    <t>SENDA DEL VALLE</t>
  </si>
  <si>
    <t>SI/GESTACIONAL/7 AÑOS DE EVOLUCION</t>
  </si>
  <si>
    <t>CLORO/PINOL</t>
  </si>
  <si>
    <t>NO/IBUPROFENO 22 DIAS</t>
  </si>
  <si>
    <t>SI/PAPA Y BISABUELO</t>
  </si>
  <si>
    <t>SI/ PAPÁ</t>
  </si>
  <si>
    <t>CEREAL SEMANAL</t>
  </si>
  <si>
    <t>AL MES</t>
  </si>
  <si>
    <t>CHAYOTES SEMANAL</t>
  </si>
  <si>
    <t>NARANJA DIARIA</t>
  </si>
  <si>
    <t>JICAMA/MANZANA SEMANAL</t>
  </si>
  <si>
    <t>CERVEZA MENSUAL</t>
  </si>
  <si>
    <t>KNORR SUIZA DIARIO</t>
  </si>
  <si>
    <t>10:00AM-04:00PM-09:00PM</t>
  </si>
  <si>
    <t>SP546</t>
  </si>
  <si>
    <t xml:space="preserve">BOMBERO </t>
  </si>
  <si>
    <t>SI/15 AÑOS/1 AL MES</t>
  </si>
  <si>
    <t>SI/19 AÑOS/1COPA A LA SEMANA</t>
  </si>
  <si>
    <t>SI A LOS 35</t>
  </si>
  <si>
    <t>CUBITO 2013</t>
  </si>
  <si>
    <t>SI/ABUELO PATERNO Y MATERNO</t>
  </si>
  <si>
    <t xml:space="preserve">AVENA </t>
  </si>
  <si>
    <t>PURE DE TOMATE SEMANAL</t>
  </si>
  <si>
    <t>CERVEZA SEMANAL</t>
  </si>
  <si>
    <t>JUGOS DIARIOS</t>
  </si>
  <si>
    <t>CHETOS</t>
  </si>
  <si>
    <t>07:00AM-03:00PM-07:00PM</t>
  </si>
  <si>
    <t>SP547</t>
  </si>
  <si>
    <t>SI/ABUELO PATERNO Y TIO PATERNO</t>
  </si>
  <si>
    <t>SI/ MADRE Y PADRE</t>
  </si>
  <si>
    <t>1 VEZ POR MES</t>
  </si>
  <si>
    <t>6 VECES POR SEMANA</t>
  </si>
  <si>
    <t>SP548</t>
  </si>
  <si>
    <t>TAXISTA</t>
  </si>
  <si>
    <t>COLINAS DEL REY</t>
  </si>
  <si>
    <t>SI/ABUELO Y TIOS MATERNOS</t>
  </si>
  <si>
    <t>SI/TIO MATERNO</t>
  </si>
  <si>
    <t>1 PIEZA</t>
  </si>
  <si>
    <t xml:space="preserve">NA </t>
  </si>
  <si>
    <t>2 DIARIAS</t>
  </si>
  <si>
    <t>1L AGUA DIARIA</t>
  </si>
  <si>
    <t>1L REFRESCO DIARIO</t>
  </si>
  <si>
    <t>3 TACOS</t>
  </si>
  <si>
    <t>SP549</t>
  </si>
  <si>
    <t>ALTA CALIFORNIA</t>
  </si>
  <si>
    <t>SI/20 AÑOS/3 CIGARROS POR SEMANA</t>
  </si>
  <si>
    <t>ENDOSCOPIA 2018</t>
  </si>
  <si>
    <t>BACTIVER</t>
  </si>
  <si>
    <t>BAJO CONSUMO</t>
  </si>
  <si>
    <t>SP550</t>
  </si>
  <si>
    <t>SI/28 AÑOS/ NO RECUERDA NOMBRE DE MEDICAMENTO</t>
  </si>
  <si>
    <t>CESAREA</t>
  </si>
  <si>
    <t>SI/PADRE Y TIA PATERNA</t>
  </si>
  <si>
    <t>2L AGUA DIARO</t>
  </si>
  <si>
    <t>SODIO SEMANAL</t>
  </si>
  <si>
    <t>SP551</t>
  </si>
  <si>
    <t>SAN FRANCISCO</t>
  </si>
  <si>
    <t>SI/1 AÑO/SUPLEMENTO</t>
  </si>
  <si>
    <t>SI/13 AÑOS/1 COPA A LA SEMANA</t>
  </si>
  <si>
    <t>SI/TIA MATERNA/CANCER DE PULMON</t>
  </si>
  <si>
    <t>SP552</t>
  </si>
  <si>
    <t>SI/20 AÑOS/2 CIGARROS AL DIA</t>
  </si>
  <si>
    <t>SI/30 AÑOS/1 COPA AL MES O MENOS</t>
  </si>
  <si>
    <t>MUY POCO</t>
  </si>
  <si>
    <t>SP553</t>
  </si>
  <si>
    <t>JARDINES</t>
  </si>
  <si>
    <t>SI/3 MESES</t>
  </si>
  <si>
    <t xml:space="preserve">SI/18 AÑOS </t>
  </si>
  <si>
    <t>DEDO</t>
  </si>
  <si>
    <t>SI/jun-17</t>
  </si>
  <si>
    <t>SI/BRONQUIOS</t>
  </si>
  <si>
    <t>PG554</t>
  </si>
  <si>
    <t>PG555</t>
  </si>
  <si>
    <t>PG556</t>
  </si>
  <si>
    <t>PG557</t>
  </si>
  <si>
    <t>PG558</t>
  </si>
  <si>
    <t>PG559</t>
  </si>
  <si>
    <t>adn</t>
  </si>
  <si>
    <t>PG560</t>
  </si>
  <si>
    <t>PG561</t>
  </si>
  <si>
    <t>PG562</t>
  </si>
  <si>
    <t>PG563</t>
  </si>
  <si>
    <t>PG564</t>
  </si>
  <si>
    <t>SP565</t>
  </si>
  <si>
    <t>EDUCADORA</t>
  </si>
  <si>
    <t>APENDICITIS</t>
  </si>
  <si>
    <t>SI/MADRE Y TIOS</t>
  </si>
  <si>
    <t>SI/TIOS MATERNOS</t>
  </si>
  <si>
    <t>SI/TIOS Y ABUELO MATERNO</t>
  </si>
  <si>
    <t>2 OM3 VECES POR SEMANA</t>
  </si>
  <si>
    <t>2 PIEZAS</t>
  </si>
  <si>
    <t>100gr</t>
  </si>
  <si>
    <t>500gr</t>
  </si>
  <si>
    <t>1 O 2 VECES</t>
  </si>
  <si>
    <t>1 O 2 PIEZAS DIARIAS</t>
  </si>
  <si>
    <t xml:space="preserve"> 2L AGUA DIARIA</t>
  </si>
  <si>
    <t>300ML DE SODA A LA SEMANA</t>
  </si>
  <si>
    <t>SP 566</t>
  </si>
  <si>
    <t>SP567</t>
  </si>
  <si>
    <t>LOMA BONITA</t>
  </si>
  <si>
    <t>SI/16-OCT-19</t>
  </si>
  <si>
    <t>ASPIRINA</t>
  </si>
  <si>
    <t>PAN 3 VECES POR SEMANA</t>
  </si>
  <si>
    <t xml:space="preserve">ACENTE DE CANOLA </t>
  </si>
  <si>
    <t>CONSERVADO DE CALDO</t>
  </si>
  <si>
    <t>COMIDA RAPIDA 1 VEZ POR SEMANA</t>
  </si>
  <si>
    <t>SP568</t>
  </si>
  <si>
    <t>STA. MARGARITA</t>
  </si>
  <si>
    <t>11-12 AÑOS</t>
  </si>
  <si>
    <t>43 AÑOS</t>
  </si>
  <si>
    <t>SI/COL-TRIG/5 AÑOS/PARASTATINA Y BENZAFIBRATO(1 AÑOS SIN TOMARLO)</t>
  </si>
  <si>
    <t xml:space="preserve">CLORO </t>
  </si>
  <si>
    <t>TRIGLICERIDOS</t>
  </si>
  <si>
    <t>SI/HERMANO</t>
  </si>
  <si>
    <t>10:00AM-05:00PM</t>
  </si>
  <si>
    <t>CM569</t>
  </si>
  <si>
    <t>BOSQUES DE ALBATERRA</t>
  </si>
  <si>
    <t>ANTECEDENTES DE CANCER</t>
  </si>
  <si>
    <t>CONTRA CANCER</t>
  </si>
  <si>
    <t>SI/PADRE Y HERMANA</t>
  </si>
  <si>
    <t>AJONJOLI</t>
  </si>
  <si>
    <t>ACEITE DE OLIVA DIARIO</t>
  </si>
  <si>
    <t xml:space="preserve"> SP570</t>
  </si>
  <si>
    <t>LOS MOLINOS</t>
  </si>
  <si>
    <t>SI/21 AÑOS/ 1 COPA AL MES O MENOS</t>
  </si>
  <si>
    <t>LEVE,HACE 15 AÑOS</t>
  </si>
  <si>
    <t>ASBESTO</t>
  </si>
  <si>
    <t>GLUCOSAMINA/ UNA SEMANA/ DIARIO</t>
  </si>
  <si>
    <t>YOGURT SEMANAL</t>
  </si>
  <si>
    <t xml:space="preserve">NARANJA </t>
  </si>
  <si>
    <t>AGUA DE SABOR SEMANAL</t>
  </si>
  <si>
    <t>REFRESCO  SEMANAL</t>
  </si>
  <si>
    <t>SP571</t>
  </si>
  <si>
    <t>VISTA HERMOSA</t>
  </si>
  <si>
    <t>SI/APENDICE</t>
  </si>
  <si>
    <t>SI/1980</t>
  </si>
  <si>
    <t>MANTECA DIARIA</t>
  </si>
  <si>
    <t>VARIADA</t>
  </si>
  <si>
    <t>GUAYABA 2 PIEZAS</t>
  </si>
  <si>
    <t>SP572</t>
  </si>
  <si>
    <t>SI/22 AÑOS/1 COPA AL MES O MENOS</t>
  </si>
  <si>
    <t>SI/OJO DERECHO</t>
  </si>
  <si>
    <t>GNC VITAMINAS/1 DIARIA</t>
  </si>
  <si>
    <t>FRIJOLES DIARIOS</t>
  </si>
  <si>
    <t>AGUA NATURAL DIARIA</t>
  </si>
  <si>
    <t>08:00AM-02:00PM-09:00PM</t>
  </si>
  <si>
    <t>SP573</t>
  </si>
  <si>
    <t>TESISTAN</t>
  </si>
  <si>
    <t>CESAREAS</t>
  </si>
  <si>
    <t>CEFALEA</t>
  </si>
  <si>
    <t xml:space="preserve">SI/MADRE  </t>
  </si>
  <si>
    <t>TIFOIDEA</t>
  </si>
  <si>
    <t>5 POR SEMSNS</t>
  </si>
  <si>
    <t>REFRESCO 3 VECES POR SEMANA</t>
  </si>
  <si>
    <t>MAÑANA Y TARDE</t>
  </si>
  <si>
    <t>SP574</t>
  </si>
  <si>
    <t>HACE 30 AÑOS</t>
  </si>
  <si>
    <t>HOMEOPATIA/ 10 GOTAS CADA DOS HORAS/ 1 MES</t>
  </si>
  <si>
    <t>POLLO 2 VECES POR SEMANA</t>
  </si>
  <si>
    <t>APIO</t>
  </si>
  <si>
    <t>ELLA LOS CONGELA</t>
  </si>
  <si>
    <t>CERVEZA ANUAL</t>
  </si>
  <si>
    <t>10:00AM-03:00PM-07:00PM</t>
  </si>
  <si>
    <t>SP575</t>
  </si>
  <si>
    <t>VILLASEÑOR</t>
  </si>
  <si>
    <t>SI/SECUNDARIA/1 AÑO/TELMISARTAN, AMINDIPINO,CLEOTIDANO</t>
  </si>
  <si>
    <t>SI/HIPERTRIGLICERIDEMIA/1 AÑO/ATOSVASTATINA</t>
  </si>
  <si>
    <t>SI/19 AÑOS/5 CIGARROS DIARIOS</t>
  </si>
  <si>
    <t>HERNIA DE DISCO</t>
  </si>
  <si>
    <t>COLECOXIB/MELOPURIDOL/PREVIBALINA</t>
  </si>
  <si>
    <t>SI/ABUELOS, MADRE Y TIOS</t>
  </si>
  <si>
    <t>SI/ABUELA PATERNA Y TIA MATERNA</t>
  </si>
  <si>
    <t>TORTILLAS SEMANAL</t>
  </si>
  <si>
    <t>MNTECA SEMANAL</t>
  </si>
  <si>
    <t>ACEITE DE CANOLA SEMANAL</t>
  </si>
  <si>
    <t>1 VEZ POER SEMANA</t>
  </si>
  <si>
    <t>5 VECES</t>
  </si>
  <si>
    <t>6 VECES</t>
  </si>
  <si>
    <t>CAFÉ 5 VECES POR SEMANA</t>
  </si>
  <si>
    <t>AGUA DE SABOR 3 VECES POR SEMANA</t>
  </si>
  <si>
    <t>CANELA</t>
  </si>
  <si>
    <t>PG576</t>
  </si>
  <si>
    <t>SP577</t>
  </si>
  <si>
    <t>SI/DOS MESES</t>
  </si>
  <si>
    <t>SI/20 AÑOS/ 1 COPA A LA SEMANA</t>
  </si>
  <si>
    <t>SI/ MADRE Y HERMANO</t>
  </si>
  <si>
    <t>SP578</t>
  </si>
  <si>
    <t>HOMEOPATIA/DIARIA/ 1 SEMANA</t>
  </si>
  <si>
    <t>INS/REN/ABUELO PATERNO</t>
  </si>
  <si>
    <t>SP579</t>
  </si>
  <si>
    <t>BCS</t>
  </si>
  <si>
    <t>MOEPRAZOL/PARACETAMOL/AGSIFEM/PANTOPRAZOL</t>
  </si>
  <si>
    <t>SI/ABUELOS Y PADRR</t>
  </si>
  <si>
    <t xml:space="preserve">SI/ABUELO  </t>
  </si>
  <si>
    <t>SP580</t>
  </si>
  <si>
    <t>COMANDANTE</t>
  </si>
  <si>
    <t>ANTIFLUES</t>
  </si>
  <si>
    <t>SP581</t>
  </si>
  <si>
    <t>LOS MAESTROS</t>
  </si>
  <si>
    <t>ADEROGIL</t>
  </si>
  <si>
    <t>SI/MADRE Y ABUELA</t>
  </si>
  <si>
    <t>TORTILLAS DIARIO</t>
  </si>
  <si>
    <t>AGUACATE/2 VECES POR SEMANA</t>
  </si>
  <si>
    <t>AJO 3 VECES POR SEMANA</t>
  </si>
  <si>
    <t>PIMIENTA 3 VECES POR SEMANA</t>
  </si>
  <si>
    <t>SP582</t>
  </si>
  <si>
    <t>OFICIAL</t>
  </si>
  <si>
    <t xml:space="preserve">SI/16 AÑOS  </t>
  </si>
  <si>
    <t>SOLVENTES/ PINTURA AUTOMOTRIZ</t>
  </si>
  <si>
    <t>DENGUE</t>
  </si>
  <si>
    <t>HOMEOPATIA/15 DIAS</t>
  </si>
  <si>
    <t>TRIGO DOS VECES POR SEMANA</t>
  </si>
  <si>
    <t>AVENA 2-3 VECES POR SEMANA</t>
  </si>
  <si>
    <t xml:space="preserve">PAPA  </t>
  </si>
  <si>
    <t>TEQUILA/CERVEZA SEMANAL</t>
  </si>
  <si>
    <t>SP583</t>
  </si>
  <si>
    <t>SI/14 AÑOS/1 COPA AL MES O MENOS</t>
  </si>
  <si>
    <t>IRC/MADRE</t>
  </si>
  <si>
    <t>INGESTA BAJA EN SODIO</t>
  </si>
  <si>
    <t>SP584</t>
  </si>
  <si>
    <t>SI/2012</t>
  </si>
  <si>
    <t>SI/MADRE T TIA MATERNA</t>
  </si>
  <si>
    <t>PG585</t>
  </si>
  <si>
    <t>SP586</t>
  </si>
  <si>
    <t xml:space="preserve">SI/15 AÑOS  </t>
  </si>
  <si>
    <t>DE TODO</t>
  </si>
  <si>
    <t>ALCOHOL/CERVEZA /CADA 15 DIAS</t>
  </si>
  <si>
    <t>DURITOS</t>
  </si>
  <si>
    <t>PG587</t>
  </si>
  <si>
    <t>PG588</t>
  </si>
  <si>
    <t>PG589</t>
  </si>
  <si>
    <t>PG590</t>
  </si>
  <si>
    <t>SP 591</t>
  </si>
  <si>
    <t>SÍ/ABUELA MATERNA</t>
  </si>
  <si>
    <t>SÍ/ABUELA PATERNA</t>
  </si>
  <si>
    <t>HIPOTIROIDISMO/MADRE,ABUELA PATERNA</t>
  </si>
  <si>
    <t>TORTILLA DE HARINA</t>
  </si>
  <si>
    <t>FIBRA</t>
  </si>
  <si>
    <t>CHAYOTE 3 VECES A LA SEMANA</t>
  </si>
  <si>
    <t>CALABAZA 3 VECES A LA SEMANA</t>
  </si>
  <si>
    <t>ZANAHORIA 3 VECES A LA SEMANA</t>
  </si>
  <si>
    <t>HIGOS</t>
  </si>
  <si>
    <t>ROMERO</t>
  </si>
  <si>
    <t>SP592</t>
  </si>
  <si>
    <t>SI/24 AÑOS/1 CIAGARRO AL DIA</t>
  </si>
  <si>
    <t>SI/21 AÑOS/ 1 COPA A LA SEMANA</t>
  </si>
  <si>
    <t>ARROZ 3 VECES POR SEMANA</t>
  </si>
  <si>
    <t>MATEQUILLA 3 VECES POR SEMANA</t>
  </si>
  <si>
    <t>MANTECA RARA VEZ</t>
  </si>
  <si>
    <t>QUINCENA</t>
  </si>
  <si>
    <t>PEPINO 3 VECES POR SEMANA</t>
  </si>
  <si>
    <t>AGUA DE FRUTA DIARIO</t>
  </si>
  <si>
    <t>REFRESCO 2 VECES POR SEMANA</t>
  </si>
  <si>
    <t>JUGOS OCASIONALES</t>
  </si>
  <si>
    <t xml:space="preserve">AJO  </t>
  </si>
  <si>
    <t xml:space="preserve">SAL  </t>
  </si>
  <si>
    <t>DUROS</t>
  </si>
  <si>
    <t>35-6</t>
  </si>
  <si>
    <t>SP593</t>
  </si>
  <si>
    <t>MUÑECA</t>
  </si>
  <si>
    <t>CEREALES AZUCARADOS</t>
  </si>
  <si>
    <t>GRASAS ANIMALES</t>
  </si>
  <si>
    <t>NN</t>
  </si>
  <si>
    <t>SP594</t>
  </si>
  <si>
    <t>SAN JUAN DE DIOS</t>
  </si>
  <si>
    <t>BAJA CALIFIRNIA</t>
  </si>
  <si>
    <t>SI/ABUELO PATERNO Y TIA PATERNA</t>
  </si>
  <si>
    <t>PADRE Y ABUELO PATERNO</t>
  </si>
  <si>
    <t>HOTDOG</t>
  </si>
  <si>
    <t>3 A 4</t>
  </si>
  <si>
    <t>SP595</t>
  </si>
  <si>
    <t>SAN ESTEBAN</t>
  </si>
  <si>
    <t>CESAREA 2004</t>
  </si>
  <si>
    <t>HIERRO ORAL/ACIDO FÓLICO/COMPLEJO B</t>
  </si>
  <si>
    <t>MANTEQUILLA MENSUAL</t>
  </si>
  <si>
    <t>AGUA FRECO</t>
  </si>
  <si>
    <t>PIMIENTA MENSUAL</t>
  </si>
  <si>
    <t>FRITURAS SEMANAL</t>
  </si>
  <si>
    <t>SP 596</t>
  </si>
  <si>
    <t>SANTA ELENA</t>
  </si>
  <si>
    <t>SÍ/18 AÑOS/1 COPA A LA SEMANA</t>
  </si>
  <si>
    <t>SÍ/RAYOS X</t>
  </si>
  <si>
    <t>CESAREA/LAPARATOMÍA EXPLORATIVA</t>
  </si>
  <si>
    <t>GRIPE/IBUPRUFENO</t>
  </si>
  <si>
    <t>JALISCO/HIDALGO</t>
  </si>
  <si>
    <t>SÍ/ABUELO MATERNO</t>
  </si>
  <si>
    <t>SÍ/PADRE,TÍA PATERNA</t>
  </si>
  <si>
    <t>SÍ/PADRE CA VEJIGA</t>
  </si>
  <si>
    <t>MAÍZ</t>
  </si>
  <si>
    <t>RES,POLLO,CERDO</t>
  </si>
  <si>
    <t>MELÓN</t>
  </si>
  <si>
    <t>JUGOS DE FRUTAS SEMANAL</t>
  </si>
  <si>
    <t>SP597</t>
  </si>
  <si>
    <t>GUSA</t>
  </si>
  <si>
    <t xml:space="preserve">JITOMATE </t>
  </si>
  <si>
    <t>PLATANP DIARIO</t>
  </si>
  <si>
    <t>SP598</t>
  </si>
  <si>
    <t>23-AGI-75</t>
  </si>
  <si>
    <t>ACTUALIDAD</t>
  </si>
  <si>
    <t>APENDICITIS,VASECTOMIA</t>
  </si>
  <si>
    <t>ZARZAMORA</t>
  </si>
  <si>
    <t>REGULAR</t>
  </si>
  <si>
    <t>02 de oct del 97</t>
  </si>
  <si>
    <t>STASE 4</t>
  </si>
  <si>
    <t>Fabuloso, cloro</t>
  </si>
  <si>
    <t>1 2008</t>
  </si>
  <si>
    <t>Incección respiratoria, vías urinarias</t>
  </si>
  <si>
    <t>Ibuprofeno, fenazopiridina</t>
  </si>
  <si>
    <t>Vitamina C</t>
  </si>
  <si>
    <t>Tia, prima</t>
  </si>
  <si>
    <t>Asma / Hermano</t>
  </si>
  <si>
    <t>Tomate/Diario</t>
  </si>
  <si>
    <t>Chile/Diario</t>
  </si>
  <si>
    <t>Brócoli/Semanal</t>
  </si>
  <si>
    <t>Ensalda de verduras/Semanal</t>
  </si>
  <si>
    <t>Plátano/Semanal</t>
  </si>
  <si>
    <t>Yogurth/Semanal</t>
  </si>
  <si>
    <t>Hamburguesa/Mensual</t>
  </si>
  <si>
    <t>Pizza/Mensual</t>
  </si>
  <si>
    <t>Mirador de San Isidro</t>
  </si>
  <si>
    <t>Calabaza/Mensual</t>
  </si>
  <si>
    <t>Chayote/Mensual</t>
  </si>
  <si>
    <t>Jitomate/mensual</t>
  </si>
  <si>
    <t>Atún/ Mensual</t>
  </si>
  <si>
    <t>PG601</t>
  </si>
  <si>
    <t>Dedo medio por hematoma</t>
  </si>
  <si>
    <t>Hipertensión, Pólipo en matriz</t>
  </si>
  <si>
    <t>Enalapril</t>
  </si>
  <si>
    <t>Abuelos y tíos maternos</t>
  </si>
  <si>
    <t>Abuela y tíos</t>
  </si>
  <si>
    <t>Tia y abuelo maternos</t>
  </si>
  <si>
    <t>Tía materna</t>
  </si>
  <si>
    <t>Arroz/Mensual</t>
  </si>
  <si>
    <t>Lentejas/Anual</t>
  </si>
  <si>
    <t>Acelgas/Diario</t>
  </si>
  <si>
    <t>Pepino/Diario</t>
  </si>
  <si>
    <t>Variado/Diario</t>
  </si>
  <si>
    <t>CocaCola/Semanal</t>
  </si>
  <si>
    <t>Café/2 vec sem</t>
  </si>
  <si>
    <t>Variada</t>
  </si>
  <si>
    <t>Artesanos Centro</t>
  </si>
  <si>
    <t>hace 6 meses</t>
  </si>
  <si>
    <t>Cloro, tinte de cabello, peróxido, desengrasante, amoniaco</t>
  </si>
  <si>
    <t>Mamografías y radiografías</t>
  </si>
  <si>
    <t>Anticonceptivos</t>
  </si>
  <si>
    <t>Homeopatía, cápsulas de cúrcuma, espirulina, vitamina E</t>
  </si>
  <si>
    <t>Maíz/Diario</t>
  </si>
  <si>
    <t>Aceite de oliva/Diario</t>
  </si>
  <si>
    <t>Res y puerco/Semanal</t>
  </si>
  <si>
    <t>Jitomate/Diario</t>
  </si>
  <si>
    <t>Ajo/Semanal</t>
  </si>
  <si>
    <t>Galletas/Diario</t>
  </si>
  <si>
    <t>Dulces/Diario</t>
  </si>
  <si>
    <t>Ladrón de Guevara</t>
  </si>
  <si>
    <t>Apendisectomía</t>
  </si>
  <si>
    <t>Inflamación estomacal, gastritis, hernia hiatal</t>
  </si>
  <si>
    <t>Abuelos y bisabuelos</t>
  </si>
  <si>
    <t>Padres</t>
  </si>
  <si>
    <t>Tíos</t>
  </si>
  <si>
    <t>Plaza Guadalupe</t>
  </si>
  <si>
    <t>Abuelo pat ymat</t>
  </si>
  <si>
    <t>Trigo/Semanal</t>
  </si>
  <si>
    <t>Nuez/Dario</t>
  </si>
  <si>
    <t>Aceit vegetal/Diario</t>
  </si>
  <si>
    <t>Cerveza</t>
  </si>
  <si>
    <t>Retención de líquidos, hígado</t>
  </si>
  <si>
    <t>1-3 Diario</t>
  </si>
  <si>
    <t xml:space="preserve">Baja California </t>
  </si>
  <si>
    <t>Padres y abuelos</t>
  </si>
  <si>
    <t>Popular Los Hornos</t>
  </si>
  <si>
    <t>Tamaulipas</t>
  </si>
  <si>
    <t>Tamalipas</t>
  </si>
  <si>
    <t>Avena/Semanal</t>
  </si>
  <si>
    <t>Aguacate/Semanal</t>
  </si>
  <si>
    <t>Pollo, pescado, puerco</t>
  </si>
  <si>
    <t>Atún, camarón</t>
  </si>
  <si>
    <t>Papa/mensaul</t>
  </si>
  <si>
    <t>Jicama/Semanal</t>
  </si>
  <si>
    <t>Sal/Semanal</t>
  </si>
  <si>
    <t>Galletas/Semanal</t>
  </si>
  <si>
    <t>Sosa cáustica, Gelish</t>
  </si>
  <si>
    <t>Resonancia magnética, rayos X</t>
  </si>
  <si>
    <t>Espondilitis anquilosante, gastritis, colitis</t>
  </si>
  <si>
    <t>Diclofenaco, Azulfidina</t>
  </si>
  <si>
    <t xml:space="preserve">Omeprazol, Riopan, </t>
  </si>
  <si>
    <t>Abuelos pat. Y abuela mat</t>
  </si>
  <si>
    <t>abuelo mat y padre</t>
  </si>
  <si>
    <t>abuelo pat y abuela mat</t>
  </si>
  <si>
    <t>abuelo mat</t>
  </si>
  <si>
    <t>abuela mat y madre</t>
  </si>
  <si>
    <t>Ixtlahhuacan de los Membrillos</t>
  </si>
  <si>
    <t>ervesidas y pesticidas</t>
  </si>
  <si>
    <t>radiografias</t>
  </si>
  <si>
    <t>Homeopatia, 10 gotas/ 8 hrs</t>
  </si>
  <si>
    <t>Si, Papá</t>
  </si>
  <si>
    <t>Maíz Diario</t>
  </si>
  <si>
    <t>Trigo Semanal</t>
  </si>
  <si>
    <t>Avena Diario</t>
  </si>
  <si>
    <t>Regular</t>
  </si>
  <si>
    <t>San Pedrito</t>
  </si>
  <si>
    <t>si Abuelo Paterno</t>
  </si>
  <si>
    <t xml:space="preserve">si Abuelo materno </t>
  </si>
  <si>
    <t xml:space="preserve">Si Abuelo Paterno </t>
  </si>
  <si>
    <t>Fribiomialgia Hermana</t>
  </si>
  <si>
    <t>San Jo´se Río Verde</t>
  </si>
  <si>
    <t>Tíos y primos</t>
  </si>
  <si>
    <t>Tía y sobrina</t>
  </si>
  <si>
    <t>Tío</t>
  </si>
  <si>
    <t>DiARIO</t>
  </si>
  <si>
    <t>Refresco/Mensual</t>
  </si>
  <si>
    <t>Loma bonita sur</t>
  </si>
  <si>
    <t>Queretaro</t>
  </si>
  <si>
    <t>SI,Madre</t>
  </si>
  <si>
    <t>si,abuelo materno</t>
  </si>
  <si>
    <t>Real Vallarta</t>
  </si>
  <si>
    <t>Abuelo materno</t>
  </si>
  <si>
    <t>Arroz/Mensaul</t>
  </si>
  <si>
    <t>Frijol/Mensaul</t>
  </si>
  <si>
    <t>Lechuga/Semanal</t>
  </si>
  <si>
    <t>Jalapeños</t>
  </si>
  <si>
    <t>Jugos/Diario</t>
  </si>
  <si>
    <t>Refresco/Mensaul</t>
  </si>
  <si>
    <t>Aderezo/Mensau</t>
  </si>
  <si>
    <t>Galletas/SEmanal</t>
  </si>
  <si>
    <t>Papas fritas/Semanal</t>
  </si>
  <si>
    <t>El Batán</t>
  </si>
  <si>
    <t>Abuela paterna</t>
  </si>
  <si>
    <t>Estilista</t>
  </si>
  <si>
    <t>Sector Libertad</t>
  </si>
  <si>
    <t>Peróxido, tinte, cloro, jabón</t>
  </si>
  <si>
    <t>Trombosis</t>
  </si>
  <si>
    <t>Anticoagulantes</t>
  </si>
  <si>
    <t>Maíz/diario</t>
  </si>
  <si>
    <t>Trigo/diario</t>
  </si>
  <si>
    <t>Almendras/Diario</t>
  </si>
  <si>
    <t>Acelga/Diario</t>
  </si>
  <si>
    <t>Brócoli/diario</t>
  </si>
  <si>
    <t>Knor Suiza/Semanal</t>
  </si>
  <si>
    <t>Tomografía</t>
  </si>
  <si>
    <t>Cálculo renal, cesárea</t>
  </si>
  <si>
    <t>Edo. De México</t>
  </si>
  <si>
    <t>Abuela materna</t>
  </si>
  <si>
    <t>Maíz/Semanal</t>
  </si>
  <si>
    <t>Margarina/Diario</t>
  </si>
  <si>
    <t>Diraio</t>
  </si>
  <si>
    <t>Brócoli/Diario</t>
  </si>
  <si>
    <t>Lechuga/Diario</t>
  </si>
  <si>
    <t>Uvas/Diario</t>
  </si>
  <si>
    <t>Frituras/Semanal</t>
  </si>
  <si>
    <t>Dulces/Semanal</t>
  </si>
  <si>
    <t>ANALISTA</t>
  </si>
  <si>
    <t>LIBERTAD</t>
  </si>
  <si>
    <t>QUISTE MAMARIO BENIGNO</t>
  </si>
  <si>
    <t>HIPOTIROI,ASMA, INSUFICIENCIA RENAL</t>
  </si>
  <si>
    <t>PARA TODO MENOS RIÑON</t>
  </si>
  <si>
    <t>Arroz/Semanal</t>
  </si>
  <si>
    <t>3  vec/sem</t>
  </si>
  <si>
    <t>Licuado/Diario</t>
  </si>
  <si>
    <t>Chile/Semanal</t>
  </si>
  <si>
    <t>Cacahuates/Mensual</t>
  </si>
  <si>
    <t>Papas/Mensual</t>
  </si>
  <si>
    <t>Nuevo Paraíso</t>
  </si>
  <si>
    <t xml:space="preserve">Colitis </t>
  </si>
  <si>
    <t>Buscapina</t>
  </si>
  <si>
    <t>Mesigina</t>
  </si>
  <si>
    <t>Cloro, fabuloso</t>
  </si>
  <si>
    <t>Tomografía y radiografía</t>
  </si>
  <si>
    <t>Paratiroidismo</t>
  </si>
  <si>
    <t>Nuevo León</t>
  </si>
  <si>
    <t xml:space="preserve">Padres  </t>
  </si>
  <si>
    <t>Hotdog/Mensual</t>
  </si>
  <si>
    <t>hace 13 años</t>
  </si>
  <si>
    <t>Histerectomía 2010</t>
  </si>
  <si>
    <t>Respiratorias</t>
  </si>
  <si>
    <t>6 y 1 aborto</t>
  </si>
  <si>
    <t>Funcionario</t>
  </si>
  <si>
    <t>Parque Regency</t>
  </si>
  <si>
    <t>Hace 15 años</t>
  </si>
  <si>
    <t>Pan tostado/ semanal</t>
  </si>
  <si>
    <t>Bolillo integral/Semanal</t>
  </si>
  <si>
    <t>Deslactosados</t>
  </si>
  <si>
    <t>Calabaza/semnaal</t>
  </si>
  <si>
    <t>Chicharo/Semanal</t>
  </si>
  <si>
    <t>Jamón/Mensual</t>
  </si>
  <si>
    <t>Salchicha/Mensaul</t>
  </si>
  <si>
    <t>Tocino/Mensaul</t>
  </si>
  <si>
    <t>Verduras/Semanal</t>
  </si>
  <si>
    <t>Chiles/Semanal</t>
  </si>
  <si>
    <t>Jícama/Semanal</t>
  </si>
  <si>
    <t>Papas/SEmanal</t>
  </si>
  <si>
    <t>La Loma</t>
  </si>
  <si>
    <t>Rodilla con tornillos y tabique</t>
  </si>
  <si>
    <t>Dolor de cabeza</t>
  </si>
  <si>
    <t>Ác. Acetilsalisílico y Enalapril</t>
  </si>
  <si>
    <t>CA, USA</t>
  </si>
  <si>
    <t>Abuelos, padre</t>
  </si>
  <si>
    <t>Primos paternos</t>
  </si>
  <si>
    <t>Cerel con yogurth/Semana</t>
  </si>
  <si>
    <t>Variada/Diario</t>
  </si>
  <si>
    <t>Cerveza/Semanal</t>
  </si>
  <si>
    <t>Paseos del Sol</t>
  </si>
  <si>
    <t>fabuloso, raid, axion, pinol</t>
  </si>
  <si>
    <t>Esclerosis múltiple</t>
  </si>
  <si>
    <t>Acetato de glatiramer</t>
  </si>
  <si>
    <t>Abuelo paterno</t>
  </si>
  <si>
    <t>Santa Elena</t>
  </si>
  <si>
    <t>Tibia y peroné hace 8 años</t>
  </si>
  <si>
    <t xml:space="preserve">Hipertensión  </t>
  </si>
  <si>
    <t>Losartán, benzafibrato, paracetamol</t>
  </si>
  <si>
    <t>Mdre</t>
  </si>
  <si>
    <t>Pan integral/anual</t>
  </si>
  <si>
    <t>Avena/anual</t>
  </si>
  <si>
    <t>Calabaza/Semanal</t>
  </si>
  <si>
    <t>Papap/semanal</t>
  </si>
  <si>
    <t>Jamón/semanal</t>
  </si>
  <si>
    <t>Salchicha/Semanal</t>
  </si>
  <si>
    <t>Sardinas/Semanal</t>
  </si>
  <si>
    <t>Jícama/Semnaal</t>
  </si>
  <si>
    <t>antes</t>
  </si>
  <si>
    <t>Ac muriático, insecticidas</t>
  </si>
  <si>
    <t>Rayos X. tomografía</t>
  </si>
  <si>
    <t>Fasciti plantar, dolor articular</t>
  </si>
  <si>
    <t>Diclofenaco, paracetamol, celebrex</t>
  </si>
  <si>
    <t>Cacahuate/Semanal</t>
  </si>
  <si>
    <t>chayote/Semanal</t>
  </si>
  <si>
    <t>Guayaba/Semanal</t>
  </si>
  <si>
    <t>Mostaza/Diario</t>
  </si>
  <si>
    <t>Donas/Diario</t>
  </si>
  <si>
    <t>Beatriz Hernández</t>
  </si>
  <si>
    <t>Vesícula, cesárea</t>
  </si>
  <si>
    <t>arroz/diario</t>
  </si>
  <si>
    <t>aceite de canola/diario</t>
  </si>
  <si>
    <t>brócoli/diario</t>
  </si>
  <si>
    <t>pepino/diario</t>
  </si>
  <si>
    <t>sandía/diario</t>
  </si>
  <si>
    <t>churros/semanal</t>
  </si>
  <si>
    <t xml:space="preserve">ventas </t>
  </si>
  <si>
    <t xml:space="preserve">Higuerillas </t>
  </si>
  <si>
    <t>1cp/diaria</t>
  </si>
  <si>
    <t xml:space="preserve">Hipertensión </t>
  </si>
  <si>
    <t xml:space="preserve">Lorsartan, metroprolol, Aspirina </t>
  </si>
  <si>
    <t xml:space="preserve">Homeopatía </t>
  </si>
  <si>
    <t xml:space="preserve">Tía </t>
  </si>
  <si>
    <t xml:space="preserve">Padre y madre </t>
  </si>
  <si>
    <t xml:space="preserve">Padre </t>
  </si>
  <si>
    <t>Secretara</t>
  </si>
  <si>
    <t>Los Olivos</t>
  </si>
  <si>
    <t>Artritis reumatoide</t>
  </si>
  <si>
    <t>Omega 3</t>
  </si>
  <si>
    <t>Abuela y madre</t>
  </si>
  <si>
    <t>139/128</t>
  </si>
  <si>
    <t>Quitasarro</t>
  </si>
  <si>
    <t>Radiografías y ultrasonidos</t>
  </si>
  <si>
    <t>Artritis, longitis crónica, insomnio</t>
  </si>
  <si>
    <t>Clonazepam</t>
  </si>
  <si>
    <t>Embolia y fallo renal, padre</t>
  </si>
  <si>
    <t>Coca Cola/Diario</t>
  </si>
  <si>
    <t>Chocolate/Mensual</t>
  </si>
  <si>
    <t>Nayarít</t>
  </si>
  <si>
    <t>tía paterna</t>
  </si>
  <si>
    <t xml:space="preserve">Maíz  </t>
  </si>
  <si>
    <t>3 vec sem</t>
  </si>
  <si>
    <t xml:space="preserve">Mango  </t>
  </si>
  <si>
    <t xml:space="preserve">Plátano </t>
  </si>
  <si>
    <t>papa/semanal</t>
  </si>
  <si>
    <t>Parques Auditorio</t>
  </si>
  <si>
    <t>Espinaca/Diario</t>
  </si>
  <si>
    <t>Vegetales</t>
  </si>
  <si>
    <t>Inflamación de garganta</t>
  </si>
  <si>
    <t>Gotas</t>
  </si>
  <si>
    <t>Apio/diario</t>
  </si>
  <si>
    <t>betabel/diario</t>
  </si>
  <si>
    <t>chipotle</t>
  </si>
  <si>
    <t xml:space="preserve">Urbi Tonala </t>
  </si>
  <si>
    <t>Padre y tía materna</t>
  </si>
  <si>
    <t>tía materna</t>
  </si>
  <si>
    <t>nuez/diario</t>
  </si>
  <si>
    <t>aceite vegetal/diario</t>
  </si>
  <si>
    <t>Todas/Semanal</t>
  </si>
  <si>
    <t>Todas/diario</t>
  </si>
  <si>
    <t>consomé/diario</t>
  </si>
  <si>
    <t>panecillo/anual</t>
  </si>
  <si>
    <t>Atemajac</t>
  </si>
  <si>
    <t>Primas hermanas</t>
  </si>
  <si>
    <t>pan</t>
  </si>
  <si>
    <t>semillas</t>
  </si>
  <si>
    <t>Federalismo</t>
  </si>
  <si>
    <t>Extracción de vesícula</t>
  </si>
  <si>
    <t>Ciática</t>
  </si>
  <si>
    <t>Diclofenaco, captopril</t>
  </si>
  <si>
    <t>28_02_1951</t>
  </si>
  <si>
    <t>Tonala</t>
  </si>
  <si>
    <t>NOSABE</t>
  </si>
  <si>
    <t>SI/1SEM</t>
  </si>
  <si>
    <t>Artroscopia Rodilla izquierda</t>
  </si>
  <si>
    <t>Alergia de vias respiratorias suepriores,imsomnio pasajero cronico</t>
  </si>
  <si>
    <t>Clonazepam,Homeopatia,polivilaminas,pantoprasol,Metroproclamida,salbutamol</t>
  </si>
  <si>
    <t>si,Hermano</t>
  </si>
  <si>
    <t>Si,Hermano</t>
  </si>
  <si>
    <t xml:space="preserve">Madre, Hermano </t>
  </si>
  <si>
    <t>Miomas en matriz, contractura en columna</t>
  </si>
  <si>
    <t>Naproxeno sólido, doloneurobion</t>
  </si>
  <si>
    <t>Colágeno</t>
  </si>
  <si>
    <t xml:space="preserve">Tratamiento de hipertensión, rodilla y columna homeopatía, </t>
  </si>
  <si>
    <t>abuela y madre</t>
  </si>
  <si>
    <t>Lentejas/diairo</t>
  </si>
  <si>
    <t>frijoles/diario</t>
  </si>
  <si>
    <t>chicharrón/diario</t>
  </si>
  <si>
    <t>Nopales/diairo</t>
  </si>
  <si>
    <t>elotes</t>
  </si>
  <si>
    <t>puré</t>
  </si>
  <si>
    <t>atún/semanal</t>
  </si>
  <si>
    <t>tomate/diario</t>
  </si>
  <si>
    <t>laurel/diario</t>
  </si>
  <si>
    <t>cominos/diairo</t>
  </si>
  <si>
    <t>granola/semanal</t>
  </si>
  <si>
    <t>tortillas/diario</t>
  </si>
  <si>
    <t>manteca/mensual</t>
  </si>
  <si>
    <t>champiñón/semanal</t>
  </si>
  <si>
    <t>ensalada de verduras/semanal</t>
  </si>
  <si>
    <t>jalapeños/mensual</t>
  </si>
  <si>
    <t>tuna/diario</t>
  </si>
  <si>
    <t>sal/semanal</t>
  </si>
  <si>
    <t>ajo/semanal</t>
  </si>
  <si>
    <t>chocolates/diario</t>
  </si>
  <si>
    <t>pan dulce/diario</t>
  </si>
  <si>
    <t>Si, Tipo II/8AÑOS</t>
  </si>
  <si>
    <t>Si/2 AÑOS</t>
  </si>
  <si>
    <t>METFORMINA, LOSARTAN</t>
  </si>
  <si>
    <t>Diclofenaco, Provastatina, Complejo B</t>
  </si>
  <si>
    <t>Si, Mama y Abuela materna</t>
  </si>
  <si>
    <t>Si, Padres</t>
  </si>
  <si>
    <t>Avena Semanal</t>
  </si>
  <si>
    <t>Aceite y Mantequilla Diario</t>
  </si>
  <si>
    <t>Si, Diario</t>
  </si>
  <si>
    <t>Si, Semanal</t>
  </si>
  <si>
    <t>Si, Mensual</t>
  </si>
  <si>
    <t>Lechuga, Jitomate, Apio y Nopales Semanal</t>
  </si>
  <si>
    <t>Naranja, Platano y Manzana Diario</t>
  </si>
  <si>
    <t>Aga Natural y Fresca Diario</t>
  </si>
  <si>
    <t>Ajo y Pimienta Diario</t>
  </si>
  <si>
    <t>PG649</t>
  </si>
  <si>
    <t>Prima hermana</t>
  </si>
  <si>
    <t>Insuf. Renal prima hermana</t>
  </si>
  <si>
    <t>avena/semanal</t>
  </si>
  <si>
    <t>maíz/semanal</t>
  </si>
  <si>
    <t xml:space="preserve">Lechuga  </t>
  </si>
  <si>
    <t xml:space="preserve">jitomate  </t>
  </si>
  <si>
    <t>chícharos</t>
  </si>
  <si>
    <t xml:space="preserve">uvas  </t>
  </si>
  <si>
    <t xml:space="preserve">sandía  </t>
  </si>
  <si>
    <t xml:space="preserve">ajo  </t>
  </si>
  <si>
    <t>panes</t>
  </si>
  <si>
    <t>oblatos</t>
  </si>
  <si>
    <t>Si, Mama</t>
  </si>
  <si>
    <t>Na</t>
  </si>
  <si>
    <t>Jardínes de la Primavera</t>
  </si>
  <si>
    <t>Lesión en rodilla</t>
  </si>
  <si>
    <t>Sonora</t>
  </si>
  <si>
    <t>aceite de aguacate/diario</t>
  </si>
  <si>
    <t>elotes/semanal</t>
  </si>
  <si>
    <t>melón/semanal</t>
  </si>
  <si>
    <t>papaya/semanal</t>
  </si>
  <si>
    <t>piña/semanal</t>
  </si>
  <si>
    <t>churro dorado/mensual</t>
  </si>
  <si>
    <t>manteca/diario</t>
  </si>
  <si>
    <t>calabaza/diario</t>
  </si>
  <si>
    <t>plátano/diario</t>
  </si>
  <si>
    <t>galletas/diario</t>
  </si>
  <si>
    <t>papas/diario</t>
  </si>
  <si>
    <t>Paseos del Prado</t>
  </si>
  <si>
    <t>semillas/semanal</t>
  </si>
  <si>
    <t>chayote/semanal</t>
  </si>
  <si>
    <t>chicharo/mensual</t>
  </si>
  <si>
    <t>guayaba/semanal</t>
  </si>
  <si>
    <t>Autocinema</t>
  </si>
  <si>
    <t>Fibromialgia, Migraña</t>
  </si>
  <si>
    <t>Paroxetina, Analgésicos, Diclofenaco</t>
  </si>
  <si>
    <t>Madre, Abuelo materno</t>
  </si>
  <si>
    <t>Fibromialgia, Migraña/ Madre, abuelo materno</t>
  </si>
  <si>
    <t>Si, Hermanos</t>
  </si>
  <si>
    <t>Apio</t>
  </si>
  <si>
    <t>15 hrs</t>
  </si>
  <si>
    <t>Zacatecas/Jalisco</t>
  </si>
  <si>
    <t>Tomografías</t>
  </si>
  <si>
    <t>Madre y hermana</t>
  </si>
  <si>
    <t>Renal hermana, tiroides sobrina</t>
  </si>
  <si>
    <t>Madre y abuela</t>
  </si>
  <si>
    <t>Abuela paterna y abuelo materno</t>
  </si>
  <si>
    <t>PG660</t>
  </si>
  <si>
    <t>PG661</t>
  </si>
  <si>
    <t>Nayarit, Nayarit</t>
  </si>
  <si>
    <t>analco</t>
  </si>
  <si>
    <t>glucosamina y espirulina</t>
  </si>
  <si>
    <t>Jala, Nayarit</t>
  </si>
  <si>
    <t>avena/diarioa</t>
  </si>
  <si>
    <t>maiz/diario</t>
  </si>
  <si>
    <t>ajonjoli/diario</t>
  </si>
  <si>
    <t>aguacate/diario</t>
  </si>
  <si>
    <t>nueces/diario</t>
  </si>
  <si>
    <t>pollo, res, cerdo</t>
  </si>
  <si>
    <t>piña/diario</t>
  </si>
  <si>
    <t>agua/semanal</t>
  </si>
  <si>
    <t>café/semanal</t>
  </si>
  <si>
    <t>PG663</t>
  </si>
  <si>
    <t>PENSIONADA</t>
  </si>
  <si>
    <t>Si/COLESTEROL 3AÑOS</t>
  </si>
  <si>
    <t>Si, Homeopatia</t>
  </si>
  <si>
    <t>Si, Hijo</t>
  </si>
  <si>
    <t>Arroz y Vena Semanal</t>
  </si>
  <si>
    <t>Si, Aceite y Mantequilla Diario</t>
  </si>
  <si>
    <t xml:space="preserve">Si, Semanal </t>
  </si>
  <si>
    <t>Si, Diario Calabaza, Chayote y papa</t>
  </si>
  <si>
    <t>Papaya, Platano y Manzana Diario</t>
  </si>
  <si>
    <t>Licuados y Aguas de Frutas Diario</t>
  </si>
  <si>
    <t>Tifoidea, gastritis y colitis, alergia</t>
  </si>
  <si>
    <t>Ciprofloxacino</t>
  </si>
  <si>
    <t>Bedoyecta</t>
  </si>
  <si>
    <t>Gastritis tíos y primos</t>
  </si>
  <si>
    <t>Papas/mensuales</t>
  </si>
  <si>
    <t>cebolla/diario</t>
  </si>
  <si>
    <t>PG666</t>
  </si>
  <si>
    <t>PG667</t>
  </si>
  <si>
    <t>El Tapatío</t>
  </si>
  <si>
    <t>REAL</t>
  </si>
  <si>
    <t>?</t>
  </si>
  <si>
    <t>SI/1DIARIA</t>
  </si>
  <si>
    <t>Hernia Umbilical</t>
  </si>
  <si>
    <t>Diclofenaco + complejo B, Isotretinoina, Diazepam</t>
  </si>
  <si>
    <t>Padre y abuelo</t>
  </si>
  <si>
    <t>Madre y abuelo</t>
  </si>
  <si>
    <t>arroz/mensual</t>
  </si>
  <si>
    <t>atún/mensual</t>
  </si>
  <si>
    <t>canela/mensual</t>
  </si>
  <si>
    <t>san felipe Oblatos</t>
  </si>
  <si>
    <t>si/social</t>
  </si>
  <si>
    <t>PROSTATa y RODILLAS</t>
  </si>
  <si>
    <t>ASPIRINA DIARIA</t>
  </si>
  <si>
    <t>SI/PAPA</t>
  </si>
  <si>
    <t>CEGUERA/PAPA</t>
  </si>
  <si>
    <t>PG672</t>
  </si>
  <si>
    <t>6-feb-</t>
  </si>
  <si>
    <t>Omega 3, lecitina</t>
  </si>
  <si>
    <t>Mezquitán</t>
  </si>
  <si>
    <t>Centrum</t>
  </si>
  <si>
    <t>SI/12AÑOS</t>
  </si>
  <si>
    <t>SI/102AL DIA</t>
  </si>
  <si>
    <t>SI/1AL MES</t>
  </si>
  <si>
    <t>LARINGITIS</t>
  </si>
  <si>
    <t>COMPLEJO b</t>
  </si>
  <si>
    <t>PG676</t>
  </si>
  <si>
    <t>PG677</t>
  </si>
  <si>
    <t>Zona Centro</t>
  </si>
  <si>
    <t>Metformina-glibenclamida</t>
  </si>
  <si>
    <t>Arritmia sinusal</t>
  </si>
  <si>
    <t>pan integral/diario</t>
  </si>
  <si>
    <t>jalapeño</t>
  </si>
  <si>
    <t>pu´re de tomate</t>
  </si>
  <si>
    <t>soya</t>
  </si>
  <si>
    <t>Infonavit Independencia</t>
  </si>
  <si>
    <t>Densitómetros, eco mamario y resonancia</t>
  </si>
  <si>
    <t>Parto sep 2000</t>
  </si>
  <si>
    <t>Osteoartritis</t>
  </si>
  <si>
    <t>Racoxifeno</t>
  </si>
  <si>
    <t>España</t>
  </si>
  <si>
    <t>Hermana y tio</t>
  </si>
  <si>
    <t>mantequilla/anual</t>
  </si>
  <si>
    <t>espincas/diario</t>
  </si>
  <si>
    <t>salmón/mensual</t>
  </si>
  <si>
    <t>sardina/semanal</t>
  </si>
  <si>
    <t>agua fresca/mensual</t>
  </si>
  <si>
    <t>dulces/mensual</t>
  </si>
  <si>
    <t>papas/mensaules</t>
  </si>
  <si>
    <t>TEC.ESP</t>
  </si>
  <si>
    <t>EL BRISEÑO</t>
  </si>
  <si>
    <t>16SEM DE EMBARAZO</t>
  </si>
  <si>
    <t>tías</t>
  </si>
  <si>
    <t>pepino/semanl</t>
  </si>
  <si>
    <t>jicama/semanal</t>
  </si>
  <si>
    <t>tacos/diario</t>
  </si>
  <si>
    <t>tortas/diario</t>
  </si>
  <si>
    <t>22AÑOS</t>
  </si>
  <si>
    <t>Si, Arroz, Avena y Maiz Semanal</t>
  </si>
  <si>
    <t>Aceite Semanal</t>
  </si>
  <si>
    <t>Si, Meses</t>
  </si>
  <si>
    <t>Chayote, Zanahoria y Calabaza Semanal</t>
  </si>
  <si>
    <t>Manzano, Platano y Fresa Semanal</t>
  </si>
  <si>
    <t>Si, Ajo Diario</t>
  </si>
  <si>
    <t xml:space="preserve">Pan </t>
  </si>
  <si>
    <t>TAPICERO</t>
  </si>
  <si>
    <t>SI/SEMANAL</t>
  </si>
  <si>
    <t>Yucatan</t>
  </si>
  <si>
    <t>Corn Flakes Semanal</t>
  </si>
  <si>
    <t>INTOLERANTE MUY POCO</t>
  </si>
  <si>
    <t>Guayaba y Manzana Diario</t>
  </si>
  <si>
    <t>Si, Coca Cola Diario</t>
  </si>
  <si>
    <t>Si, Anual</t>
  </si>
  <si>
    <t>SR</t>
  </si>
  <si>
    <t>TORTEA</t>
  </si>
  <si>
    <t>Analco</t>
  </si>
  <si>
    <t>Calculos Biliares y Osteoporosis</t>
  </si>
  <si>
    <t>Magnesio Hidrolizado</t>
  </si>
  <si>
    <t>Si, Chayote y Papa Diario</t>
  </si>
  <si>
    <t>Si, Papaya, Uvas y Melon Diario</t>
  </si>
  <si>
    <t>Agua Natural y Coca Cola Diario</t>
  </si>
  <si>
    <t>Rancho Blanco</t>
  </si>
  <si>
    <t>platano/diario</t>
  </si>
  <si>
    <t>agua de frutas/diario</t>
  </si>
  <si>
    <t>knorsuiza/diario</t>
  </si>
  <si>
    <t>tacos/mensual</t>
  </si>
  <si>
    <t>PG688</t>
  </si>
  <si>
    <t>Trombosis pulmonar</t>
  </si>
  <si>
    <t>Aspirna Protec</t>
  </si>
  <si>
    <t>várices abuela paterna</t>
  </si>
  <si>
    <t>zanahoria/semanl</t>
  </si>
  <si>
    <t>sandia/mensual</t>
  </si>
  <si>
    <t>melon/semanal</t>
  </si>
  <si>
    <t>fresa/mensual</t>
  </si>
  <si>
    <t>PG690</t>
  </si>
  <si>
    <t>PG691</t>
  </si>
  <si>
    <t>Antes</t>
  </si>
  <si>
    <t>s</t>
  </si>
  <si>
    <t xml:space="preserve">Ibuprofeno  </t>
  </si>
  <si>
    <t>Nuevo León y Michoacán</t>
  </si>
  <si>
    <t xml:space="preserve">abuela  </t>
  </si>
  <si>
    <t>PG693</t>
  </si>
  <si>
    <t>PG694</t>
  </si>
  <si>
    <t>TAXI</t>
  </si>
  <si>
    <t>TLAUQEPAQUE</t>
  </si>
  <si>
    <t>SI/15AÑOS</t>
  </si>
  <si>
    <t>Si, Tortilla y Papa</t>
  </si>
  <si>
    <t>Si, Mensu</t>
  </si>
  <si>
    <t>Mango y Manzana Diario</t>
  </si>
  <si>
    <t xml:space="preserve">Cerveza, Agua Natural y Refresco </t>
  </si>
  <si>
    <t>Tacos, Galletas y Cacahuate</t>
  </si>
  <si>
    <t>PG696</t>
  </si>
  <si>
    <t>PG697</t>
  </si>
  <si>
    <t>PG698</t>
  </si>
  <si>
    <t>PG699</t>
  </si>
  <si>
    <t>La Perla</t>
  </si>
  <si>
    <t>Maíz/Diario Harina/diario</t>
  </si>
  <si>
    <t>Aceite/diario/Aguacate/Diario</t>
  </si>
  <si>
    <t>Atún/ Semanal</t>
  </si>
  <si>
    <t>vegetales/chiles/semanal</t>
  </si>
  <si>
    <t>Manzana/Uva/Fres/Diario</t>
  </si>
  <si>
    <t>Guanabana/semanal</t>
  </si>
  <si>
    <t>Durazno/Mensual</t>
  </si>
  <si>
    <t>Bebidas en polvo/semanal</t>
  </si>
  <si>
    <t>Azúcar/Diario</t>
  </si>
  <si>
    <t>adolescencia</t>
  </si>
  <si>
    <t>limpiadores</t>
  </si>
  <si>
    <t>lagos de moreno, Jal.</t>
  </si>
  <si>
    <t>lagos de moreno, jal.</t>
  </si>
  <si>
    <t>Hipotensión madre</t>
  </si>
  <si>
    <t>salvado/diario</t>
  </si>
  <si>
    <t>chile/diario</t>
  </si>
  <si>
    <t>chiles/mensual</t>
  </si>
  <si>
    <t>ensalada de verduras/mensual</t>
  </si>
  <si>
    <t>fresas/diario</t>
  </si>
  <si>
    <t>jugo de caja/semanal</t>
  </si>
  <si>
    <t>pan dulce/semanal</t>
  </si>
  <si>
    <t>coronel</t>
  </si>
  <si>
    <t>si/tipo2</t>
  </si>
  <si>
    <t>nutrilaf</t>
  </si>
  <si>
    <t>San Luis Potosi</t>
  </si>
  <si>
    <t>si/medios hermanos</t>
  </si>
  <si>
    <t>cerdo</t>
  </si>
  <si>
    <t>verdura surtida</t>
  </si>
  <si>
    <t>chiles/semanal</t>
  </si>
  <si>
    <t>durazno/semanal</t>
  </si>
  <si>
    <t>agua de sabor</t>
  </si>
  <si>
    <t>nieve/semanal</t>
  </si>
  <si>
    <t>más de 1 copa diaria</t>
  </si>
  <si>
    <t>Guadalajara, Jal</t>
  </si>
  <si>
    <t>Guadalajara,Jal</t>
  </si>
  <si>
    <t>frituras/mensual</t>
  </si>
  <si>
    <t>Cuahutemoc</t>
  </si>
  <si>
    <t>52 años</t>
  </si>
  <si>
    <t>Limpiadores/Insecticidas</t>
  </si>
  <si>
    <t>Hace año y medio</t>
  </si>
  <si>
    <t>Aceite de cocina/Diario</t>
  </si>
  <si>
    <t>Manteca/2veces semana</t>
  </si>
  <si>
    <t>Aguacate/3veces semana</t>
  </si>
  <si>
    <t>Quincenal</t>
  </si>
  <si>
    <t>Calabaza/ semanal</t>
  </si>
  <si>
    <t>Zanahoria/ semanal</t>
  </si>
  <si>
    <t>Elote/2 veces mensual</t>
  </si>
  <si>
    <t>chicharos/2 veces mensual</t>
  </si>
  <si>
    <t>Licuado con leche</t>
  </si>
  <si>
    <t>Ajo/4 veces seman</t>
  </si>
  <si>
    <t>Churritos/Mensual</t>
  </si>
  <si>
    <t>Falta informacion</t>
  </si>
  <si>
    <t>San Andres</t>
  </si>
  <si>
    <t>Recto</t>
  </si>
  <si>
    <t>Antiacido</t>
  </si>
  <si>
    <t>Toluca</t>
  </si>
  <si>
    <t>Champiñon/3 veces semana</t>
  </si>
  <si>
    <t>Café soluble/Diario</t>
  </si>
  <si>
    <t>Adobo/Diario</t>
  </si>
  <si>
    <t>Galletas/ 1 paquete diario</t>
  </si>
  <si>
    <t>Pan/2 pzs Diario</t>
  </si>
  <si>
    <t>2 y 2 colaciones</t>
  </si>
  <si>
    <t>Trotar 30 min</t>
  </si>
  <si>
    <t>taquero</t>
  </si>
  <si>
    <t>1 copa a la semana</t>
  </si>
  <si>
    <t xml:space="preserve">gastritis </t>
  </si>
  <si>
    <t>omeprazol</t>
  </si>
  <si>
    <t>Ciudad de México</t>
  </si>
  <si>
    <t>abuelos maternos y paternos</t>
  </si>
  <si>
    <t>abuelos y tia</t>
  </si>
  <si>
    <t>res</t>
  </si>
  <si>
    <t>col/diario</t>
  </si>
  <si>
    <t>agua de sabor/diario</t>
  </si>
  <si>
    <t>salchichas/semanal</t>
  </si>
  <si>
    <t>obrero</t>
  </si>
  <si>
    <t>lomas del camichin</t>
  </si>
  <si>
    <t>si abuela</t>
  </si>
  <si>
    <t>si mamá</t>
  </si>
  <si>
    <t>lenteja/semanal</t>
  </si>
  <si>
    <t>aguacate/2veces semana</t>
  </si>
  <si>
    <t>lechuga/diario</t>
  </si>
  <si>
    <t>Frijol/Diariosascsrritos/4veces diario/Semanal</t>
  </si>
  <si>
    <t>platano/2-3 veces semana</t>
  </si>
  <si>
    <t>sandia/2-3 veces semana</t>
  </si>
  <si>
    <t>refresco/5veces semana</t>
  </si>
  <si>
    <t>cerveza/semanal</t>
  </si>
  <si>
    <t>agua natural/diario</t>
  </si>
  <si>
    <t>churritos/4veces semana</t>
  </si>
  <si>
    <t>correr dos horas</t>
  </si>
  <si>
    <t>preinfarto madre</t>
  </si>
  <si>
    <t xml:space="preserve">si riñon mama y ulceras varicosas </t>
  </si>
  <si>
    <t>lenteja/semanal/Frijol/4veces semana</t>
  </si>
  <si>
    <t>habas/semanal</t>
  </si>
  <si>
    <t>aceite/2-3 veces semana</t>
  </si>
  <si>
    <t>semillas/5pzs semana</t>
  </si>
  <si>
    <t xml:space="preserve">manzana/platano/guayaba/diario como colacion </t>
  </si>
  <si>
    <t>piña/mensual</t>
  </si>
  <si>
    <t>refresco/muy esporadico</t>
  </si>
  <si>
    <t>papas fritas/cada 5 meses</t>
  </si>
  <si>
    <t>pizza/muy esporadico 2 pzs</t>
  </si>
  <si>
    <t>3 y 1 colacion</t>
  </si>
  <si>
    <t>caminar 40 minutos de lunes-viernes</t>
  </si>
  <si>
    <t>sahuayo, michoacán</t>
  </si>
  <si>
    <t>Unidad modelo</t>
  </si>
  <si>
    <t>1 copa por semana</t>
  </si>
  <si>
    <t>resfriado</t>
  </si>
  <si>
    <t>Jiquilpan, Michoacán</t>
  </si>
  <si>
    <t>abuelo materno y abuela paterna</t>
  </si>
  <si>
    <t>pollo, res</t>
  </si>
  <si>
    <t>comino/semanal</t>
  </si>
  <si>
    <t>Tepic, Natarit</t>
  </si>
  <si>
    <t>insecticidas, limpiadores</t>
  </si>
  <si>
    <t>Epilepsia</t>
  </si>
  <si>
    <t>Carbamacepina, clonazepam, ácido valpróico</t>
  </si>
  <si>
    <t>manteca/semanal</t>
  </si>
  <si>
    <t>cacahuates/semanal</t>
  </si>
  <si>
    <t>res, cerdo</t>
  </si>
  <si>
    <t>chícharos/mensual</t>
  </si>
  <si>
    <t>elotes/mensual</t>
  </si>
  <si>
    <t>zanahorias/mensual</t>
  </si>
  <si>
    <t>durazno/mensual</t>
  </si>
  <si>
    <t>knorr suiza/diario</t>
  </si>
  <si>
    <t>hamburguesa/mensual</t>
  </si>
  <si>
    <t>1 copa/mensual</t>
  </si>
  <si>
    <t>Desde 14 años</t>
  </si>
  <si>
    <t>Insecticida</t>
  </si>
  <si>
    <t>Rayos X</t>
  </si>
  <si>
    <t>jardinero</t>
  </si>
  <si>
    <t>jardines del country</t>
  </si>
  <si>
    <t>plaguicidas</t>
  </si>
  <si>
    <t xml:space="preserve"> no</t>
  </si>
  <si>
    <t>Ciudad Mendoza, Veracruz</t>
  </si>
  <si>
    <t>1 copa/semanal</t>
  </si>
  <si>
    <t>TG y Colesterol alto</t>
  </si>
  <si>
    <t>Pravastatina, Aspirina Jr, Enalapril</t>
  </si>
  <si>
    <t>Abuela materna y madre</t>
  </si>
  <si>
    <t>Abuelas, abuelos y tíos</t>
  </si>
  <si>
    <t>Tías maternas</t>
  </si>
  <si>
    <t>amaranto/semanal</t>
  </si>
  <si>
    <t>cacahuate/mensual</t>
  </si>
  <si>
    <t>Habas/mensual</t>
  </si>
  <si>
    <t>pollo, cerdo</t>
  </si>
  <si>
    <t>brócoli/semanal</t>
  </si>
  <si>
    <t>Jerez/semanal</t>
  </si>
  <si>
    <t>Jugos naturales/diario</t>
  </si>
  <si>
    <t>Knorr Suiza/diario</t>
  </si>
  <si>
    <t>Tacos/mensual</t>
  </si>
  <si>
    <t>PG714</t>
  </si>
  <si>
    <t>24-08-</t>
  </si>
  <si>
    <t>Pintor</t>
  </si>
  <si>
    <t>Lomas de Centinela</t>
  </si>
  <si>
    <t xml:space="preserve">solventes </t>
  </si>
  <si>
    <t>Tabletas para dolor muscular</t>
  </si>
  <si>
    <t>Tapalpa, Jalisco</t>
  </si>
  <si>
    <t>Cocula, Jalisco</t>
  </si>
  <si>
    <t>maíz/diario</t>
  </si>
  <si>
    <t>huevo</t>
  </si>
  <si>
    <t>sandía/semanal</t>
  </si>
  <si>
    <t>García de Barragán, Jalisco</t>
  </si>
  <si>
    <t>Mamografías (más de 10)</t>
  </si>
  <si>
    <t>Columna</t>
  </si>
  <si>
    <t>García Barragán, Jalisco</t>
  </si>
  <si>
    <t>Epilepsia/hijo</t>
  </si>
  <si>
    <t>Nuevo Vergel</t>
  </si>
  <si>
    <t xml:space="preserve">Diario </t>
  </si>
  <si>
    <t>1 copa/ semanal</t>
  </si>
  <si>
    <t>Solventes</t>
  </si>
  <si>
    <t>Diarrea</t>
  </si>
  <si>
    <t>Cocaína</t>
  </si>
  <si>
    <t>Pepto Bismol, paracetamol</t>
  </si>
  <si>
    <t>Bisabuela</t>
  </si>
  <si>
    <t>chícharos/semanal</t>
  </si>
  <si>
    <t>jícama/semanal</t>
  </si>
  <si>
    <t>té frío/diario</t>
  </si>
  <si>
    <t>1 copa /mensual</t>
  </si>
  <si>
    <t xml:space="preserve">radiografía </t>
  </si>
  <si>
    <t>ibuprofeno,paracetamol,omeprazol</t>
  </si>
  <si>
    <t>frijol/semanala</t>
  </si>
  <si>
    <t>melón/diario</t>
  </si>
  <si>
    <t>agua de sabor/semanal</t>
  </si>
  <si>
    <t>hamburguesas/semanal</t>
  </si>
  <si>
    <t>pintor</t>
  </si>
  <si>
    <t>lomas de centinela</t>
  </si>
  <si>
    <t>solventes</t>
  </si>
  <si>
    <t>semillas de brasil</t>
  </si>
  <si>
    <t>brocolí/semanal</t>
  </si>
  <si>
    <t>San Gabriel, Jalisco</t>
  </si>
  <si>
    <t>Intendente</t>
  </si>
  <si>
    <t>17 años</t>
  </si>
  <si>
    <t>rayos x, mamografía</t>
  </si>
  <si>
    <t>San Gabriel, Jaliaco</t>
  </si>
  <si>
    <t>Tecomal, Colima</t>
  </si>
  <si>
    <t>maiz/mensual</t>
  </si>
  <si>
    <t>cacahuate/diario</t>
  </si>
  <si>
    <t>almendra/semanal</t>
  </si>
  <si>
    <t>res, pollo</t>
  </si>
  <si>
    <t>Agua Dulce ,Veracruz</t>
  </si>
  <si>
    <t>afanadora</t>
  </si>
  <si>
    <t xml:space="preserve">diario </t>
  </si>
  <si>
    <t>1 copa al mes o menos</t>
  </si>
  <si>
    <t>insecticidas y limpiadores</t>
  </si>
  <si>
    <t>mamografía</t>
  </si>
  <si>
    <t>colitis</t>
  </si>
  <si>
    <t>ranitidina</t>
  </si>
  <si>
    <t>León</t>
  </si>
  <si>
    <t>PG723</t>
  </si>
  <si>
    <t>SANTA LUCIA ZAPOPAN</t>
  </si>
  <si>
    <t>DIARREA GRIPE</t>
  </si>
  <si>
    <t>CLORFERAMINO, PARACETAMOL, PEPTO</t>
  </si>
  <si>
    <t>PG724</t>
  </si>
  <si>
    <t>Técnico dental</t>
  </si>
  <si>
    <t>Cuatro estaciones</t>
  </si>
  <si>
    <t xml:space="preserve">Radiografías </t>
  </si>
  <si>
    <t>Sevilla, España</t>
  </si>
  <si>
    <t>Autlán. Jalisco</t>
  </si>
  <si>
    <t>pastas/semanal</t>
  </si>
  <si>
    <t>avena/diaria</t>
  </si>
  <si>
    <t xml:space="preserve">pollo </t>
  </si>
  <si>
    <t>ciruela/diario</t>
  </si>
  <si>
    <t>knorr Suiza/semanal</t>
  </si>
  <si>
    <t>problemas con la tiroides</t>
  </si>
  <si>
    <t>Tiamazol</t>
  </si>
  <si>
    <t>insuficiencia renal/padre</t>
  </si>
  <si>
    <t>guayaba/diario</t>
  </si>
  <si>
    <t>agu de sabor/diario</t>
  </si>
  <si>
    <t>ajo/mensual</t>
  </si>
  <si>
    <t>pimienta/mensual</t>
  </si>
  <si>
    <t>.</t>
  </si>
  <si>
    <t>jubilado</t>
  </si>
  <si>
    <t>gripa, tos</t>
  </si>
  <si>
    <t>para la tos</t>
  </si>
  <si>
    <t xml:space="preserve">Nochistlán </t>
  </si>
  <si>
    <t>Yahualica</t>
  </si>
  <si>
    <t>manteca/anual</t>
  </si>
  <si>
    <t>jícama/mensual</t>
  </si>
  <si>
    <t>pepino/mensual</t>
  </si>
  <si>
    <t>manzana/mensual</t>
  </si>
  <si>
    <t>aguas de sabor/diario</t>
  </si>
  <si>
    <t>pan dulce/mensual</t>
  </si>
  <si>
    <t>rayos x</t>
  </si>
  <si>
    <t>alergias y problemas respiratorios</t>
  </si>
  <si>
    <t>cerdo y res</t>
  </si>
  <si>
    <t>Guadalajara,Jal.</t>
  </si>
  <si>
    <t>jardines alcalde</t>
  </si>
  <si>
    <t xml:space="preserve"> solventes </t>
  </si>
  <si>
    <t>sinusitis</t>
  </si>
  <si>
    <t>cocaína</t>
  </si>
  <si>
    <t>oximetazolina</t>
  </si>
  <si>
    <t>maiz/semanal</t>
  </si>
  <si>
    <t>trigo/diario</t>
  </si>
  <si>
    <t>narAnja/semanal</t>
  </si>
  <si>
    <t>sal/diaria</t>
  </si>
  <si>
    <t>19/07/20148</t>
  </si>
  <si>
    <t>Zacatecas, Zacatecas</t>
  </si>
  <si>
    <t>pensionado</t>
  </si>
  <si>
    <t>radiografía</t>
  </si>
  <si>
    <t>aceite/mensual</t>
  </si>
  <si>
    <t>res y cerdo</t>
  </si>
  <si>
    <t>zanahoria/diaria</t>
  </si>
  <si>
    <t>SANTA MARIA</t>
  </si>
  <si>
    <t>San luis</t>
  </si>
  <si>
    <t>Si, Hermana</t>
  </si>
  <si>
    <t>Si, Torilla, Frijol y Avena Diario</t>
  </si>
  <si>
    <t>Si, Apio, Chayote, Calabaza semanal</t>
  </si>
  <si>
    <t>Sandia, Manzabna, Platano Diario</t>
  </si>
  <si>
    <t>Si, Coca Cola, Café y Leche Diario</t>
  </si>
  <si>
    <t>Sal y Pimienta</t>
  </si>
  <si>
    <t>Fritos</t>
  </si>
  <si>
    <t>25AÑOS</t>
  </si>
  <si>
    <t>agente de ventas</t>
  </si>
  <si>
    <t>reforma</t>
  </si>
  <si>
    <t xml:space="preserve">1 copa semanal </t>
  </si>
  <si>
    <t>infarto y lumbalgía crónica</t>
  </si>
  <si>
    <t>curcuma, moringa, paracetamol y aspirina</t>
  </si>
  <si>
    <t>Ameca, Jalisco</t>
  </si>
  <si>
    <t>La barca, Jalisco</t>
  </si>
  <si>
    <t>madre y hermano</t>
  </si>
  <si>
    <t>abuela materna y madre</t>
  </si>
  <si>
    <t>glaucoma/madre</t>
  </si>
  <si>
    <t>intendente</t>
  </si>
  <si>
    <t>una copa al mes</t>
  </si>
  <si>
    <t>hace un año</t>
  </si>
  <si>
    <t xml:space="preserve">vesícula </t>
  </si>
  <si>
    <t>asma</t>
  </si>
  <si>
    <t>Lentejas, Habas, Granola, Avena Diaro</t>
  </si>
  <si>
    <t>Si, Diario Papayo, Platano y Pera</t>
  </si>
  <si>
    <t>Meses</t>
  </si>
  <si>
    <t>Taxistas</t>
  </si>
  <si>
    <t>San Gaspar</t>
  </si>
  <si>
    <t>Gastritis</t>
  </si>
  <si>
    <t>Paracetamol y Vitaminas</t>
  </si>
  <si>
    <t>Si, Tios y Primos</t>
  </si>
  <si>
    <t>Si, Tios y Padre</t>
  </si>
  <si>
    <t>Zucaritas, Avena y Granola Semanal</t>
  </si>
  <si>
    <t>Aceite Vegetal Diario</t>
  </si>
  <si>
    <t>Si,  Mensual</t>
  </si>
  <si>
    <t>Si, Chicharos y Elotes</t>
  </si>
  <si>
    <t>Si, Platano y GuayabaSemanal</t>
  </si>
  <si>
    <t>Agua atural Diario</t>
  </si>
  <si>
    <t>Pimienta y Ajo Diario</t>
  </si>
  <si>
    <t>Si, Papitas y Pastel Semanal</t>
  </si>
  <si>
    <t>Radiologo</t>
  </si>
  <si>
    <t>Si, Tipo II</t>
  </si>
  <si>
    <t>Mastectomia</t>
  </si>
  <si>
    <t>Metformina, Metopropolol, Glibenclamida</t>
  </si>
  <si>
    <t>Si, Hermanos y Padres</t>
  </si>
  <si>
    <t>Si, Padre</t>
  </si>
  <si>
    <t>Avena Diaria, Maiz Semanal, Granola Semanal</t>
  </si>
  <si>
    <t>Aceite de Oliva y Aguacate Diario</t>
  </si>
  <si>
    <t>2 Vec/Mes</t>
  </si>
  <si>
    <t>Manzana, Pera, Platano Diario</t>
  </si>
  <si>
    <t>Agua Natural, Café y Te Diario</t>
  </si>
  <si>
    <t>Ajo y Hierbas Secas Diario</t>
  </si>
  <si>
    <t>Papa Frita Semanal</t>
  </si>
  <si>
    <t>Atlas</t>
  </si>
  <si>
    <t>Si, Papas</t>
  </si>
  <si>
    <t>si, Abuelos Maternos</t>
  </si>
  <si>
    <t>Comachines</t>
  </si>
  <si>
    <t>Si, Esposa</t>
  </si>
  <si>
    <t>Si, Hija</t>
  </si>
  <si>
    <t>Si, Papa</t>
  </si>
  <si>
    <t>rayos X, tomografía</t>
  </si>
  <si>
    <t>Mano</t>
  </si>
  <si>
    <t>colima</t>
  </si>
  <si>
    <t>Torreón, Coahuila</t>
  </si>
  <si>
    <t>cocinera</t>
  </si>
  <si>
    <t>limpiadores, insecticidas</t>
  </si>
  <si>
    <t>padres y hermana</t>
  </si>
  <si>
    <t>res, cerdo y pollo</t>
  </si>
  <si>
    <t>manzana/diaria</t>
  </si>
  <si>
    <t>jugo comercial/mensual</t>
  </si>
  <si>
    <t>Mexicali</t>
  </si>
  <si>
    <t>madre y hermanos</t>
  </si>
  <si>
    <t>Balcones</t>
  </si>
  <si>
    <t>tío</t>
  </si>
  <si>
    <t>trigo/mensual</t>
  </si>
  <si>
    <t>hamburguesa/semanal</t>
  </si>
  <si>
    <t>3 mamografías</t>
  </si>
  <si>
    <t>Atotonilco, Jalisco</t>
  </si>
  <si>
    <t>tía</t>
  </si>
  <si>
    <t>nuez/semanal</t>
  </si>
  <si>
    <t>pollo, puerco, res</t>
  </si>
  <si>
    <t>pepino/semanal</t>
  </si>
  <si>
    <t>orégano/semanal</t>
  </si>
  <si>
    <t>chocolate/mensual</t>
  </si>
  <si>
    <t>Chapalita</t>
  </si>
  <si>
    <t>Infeccion de garganta, diarrea</t>
  </si>
  <si>
    <t>Dexametasona, Treda, Ceftriaxona</t>
  </si>
  <si>
    <t>San Miguel el Alto, Jal.</t>
  </si>
  <si>
    <t>Puebla y Jalisco</t>
  </si>
  <si>
    <t>Hermana, madre</t>
  </si>
  <si>
    <t>Si (gestacional)</t>
  </si>
  <si>
    <t>Resonancia magnética</t>
  </si>
  <si>
    <t>Infeccion de garganta, artritis reumatoide</t>
  </si>
  <si>
    <t>Amoxicilina, ácido clavulánico y naproxeno</t>
  </si>
  <si>
    <t>San Martín de Bolaños</t>
  </si>
  <si>
    <t>atlas</t>
  </si>
  <si>
    <t xml:space="preserve">rodilla   </t>
  </si>
  <si>
    <t>colitis y alergias</t>
  </si>
  <si>
    <t>omeprazol y buscapina</t>
  </si>
  <si>
    <t>té/diario</t>
  </si>
  <si>
    <t>santa maria</t>
  </si>
  <si>
    <t>prediabetes/2años</t>
  </si>
  <si>
    <t>si/2años</t>
  </si>
  <si>
    <t>si/trigliceridos estatinas</t>
  </si>
  <si>
    <t>1/2 pulmon</t>
  </si>
  <si>
    <t>Spirulina, Magnesio y Potasio</t>
  </si>
  <si>
    <t>Si Mama/pulmon</t>
  </si>
  <si>
    <t>Si, Abuelama</t>
  </si>
  <si>
    <t>Agucate y Nueces semanaal</t>
  </si>
  <si>
    <t>Si, Apio y Tomate Semanal</t>
  </si>
  <si>
    <t>Si, Tuna y Fruta de temporada</t>
  </si>
  <si>
    <t>Si, Refresco y agua natural Diario</t>
  </si>
  <si>
    <t>Sal y Pimientos</t>
  </si>
  <si>
    <t>PG751</t>
  </si>
  <si>
    <t>PG752</t>
  </si>
  <si>
    <t>PG753</t>
  </si>
  <si>
    <t>PG754</t>
  </si>
  <si>
    <t>PG755</t>
  </si>
  <si>
    <t>PG756</t>
  </si>
  <si>
    <t>PG757</t>
  </si>
  <si>
    <t>PG758</t>
  </si>
  <si>
    <t>PG759</t>
  </si>
  <si>
    <t>PG760</t>
  </si>
  <si>
    <t>PG761</t>
  </si>
  <si>
    <t>PG762</t>
  </si>
  <si>
    <t>PG763</t>
  </si>
  <si>
    <t>PG764</t>
  </si>
  <si>
    <t>PG765</t>
  </si>
  <si>
    <t>PG766</t>
  </si>
  <si>
    <t>PG767</t>
  </si>
  <si>
    <t>PG768</t>
  </si>
  <si>
    <t>PG769</t>
  </si>
  <si>
    <t>PG770</t>
  </si>
  <si>
    <t>PG771</t>
  </si>
  <si>
    <t>PG772</t>
  </si>
  <si>
    <t>PG773</t>
  </si>
  <si>
    <t>PG774</t>
  </si>
  <si>
    <t>PG775</t>
  </si>
  <si>
    <t>PG776</t>
  </si>
  <si>
    <t>PG777</t>
  </si>
  <si>
    <t>PG778</t>
  </si>
  <si>
    <t>PG779</t>
  </si>
  <si>
    <t>PG780</t>
  </si>
  <si>
    <t>PG781</t>
  </si>
  <si>
    <t>PG782</t>
  </si>
  <si>
    <t>PG783</t>
  </si>
  <si>
    <t>PG784</t>
  </si>
  <si>
    <t>PG785</t>
  </si>
  <si>
    <t>PG786</t>
  </si>
  <si>
    <t>PG787</t>
  </si>
  <si>
    <t>PG788</t>
  </si>
  <si>
    <t>PG789</t>
  </si>
  <si>
    <t>PG790</t>
  </si>
  <si>
    <t>PG791</t>
  </si>
  <si>
    <t>PG792</t>
  </si>
  <si>
    <t>PG793</t>
  </si>
  <si>
    <t>PG794</t>
  </si>
  <si>
    <t>PG795</t>
  </si>
  <si>
    <t>PG796</t>
  </si>
  <si>
    <t>PG797</t>
  </si>
  <si>
    <t>PG798</t>
  </si>
  <si>
    <t>PG799</t>
  </si>
  <si>
    <t>PG800</t>
  </si>
  <si>
    <t>INTEC 001</t>
  </si>
  <si>
    <t>SAN ANTONIO</t>
  </si>
  <si>
    <t>CESARIA Y OJOS</t>
  </si>
  <si>
    <t>ANTICONCEPTIVOS</t>
  </si>
  <si>
    <t>TIOS (AMBOS)</t>
  </si>
  <si>
    <t>ABUELO MA</t>
  </si>
  <si>
    <t>ABUELO (MA) TIOS</t>
  </si>
  <si>
    <t>150/145</t>
  </si>
  <si>
    <t>INTEC 002</t>
  </si>
  <si>
    <t>INSULINA/METFORMINA/TRESIBA</t>
  </si>
  <si>
    <t>MAMA Y PAPA</t>
  </si>
  <si>
    <t>ABUELOS PATERNOS</t>
  </si>
  <si>
    <t>INTEC 003</t>
  </si>
  <si>
    <t>INTEC 004</t>
  </si>
  <si>
    <t>INTEC 005</t>
  </si>
  <si>
    <t>INTEC 006</t>
  </si>
  <si>
    <t>1AÑO</t>
  </si>
  <si>
    <t>SI/15 AÑOS</t>
  </si>
  <si>
    <t>METFORMINA, INSULINA, PRAVASTATINA, DESAFIBRATOO</t>
  </si>
  <si>
    <t>JASLISCO</t>
  </si>
  <si>
    <t>ABUELA (MA) TIA MAMA, CERVIX</t>
  </si>
  <si>
    <t>TIROIDES TIA MATERNA</t>
  </si>
  <si>
    <t>FRIJOL 3 SEMANA</t>
  </si>
  <si>
    <t>2 PZAS 2 MES</t>
  </si>
  <si>
    <t>JAMON 1 SEMAN</t>
  </si>
  <si>
    <t>1 SEMAN</t>
  </si>
  <si>
    <t>CALABAZA 3 SEMANA</t>
  </si>
  <si>
    <t>PEPINOS 4 SEMANA</t>
  </si>
  <si>
    <t>PIÑA 2 AÑO</t>
  </si>
  <si>
    <t>FRITAS 2 MES</t>
  </si>
  <si>
    <t>INTEC 007</t>
  </si>
  <si>
    <t>2012 O 2/2</t>
  </si>
  <si>
    <t>ABUELO Y TIOS MATE</t>
  </si>
  <si>
    <t>INTEC 008</t>
  </si>
  <si>
    <t>COLITIS</t>
  </si>
  <si>
    <t>INTEC 009</t>
  </si>
  <si>
    <t>6.7/141</t>
  </si>
  <si>
    <t>INTEC 010</t>
  </si>
  <si>
    <t>si/losartan</t>
  </si>
  <si>
    <t>cancer melanoma maligno mams</t>
  </si>
  <si>
    <t>quimio</t>
  </si>
  <si>
    <t>INTEC 011</t>
  </si>
  <si>
    <t>55?</t>
  </si>
  <si>
    <t>INTEC 012</t>
  </si>
  <si>
    <t>INTEC 013</t>
  </si>
  <si>
    <t>INTEC 014</t>
  </si>
  <si>
    <t>INTEC 015</t>
  </si>
  <si>
    <t>201/194</t>
  </si>
  <si>
    <t>INTEC 016</t>
  </si>
  <si>
    <t>6.2/126</t>
  </si>
  <si>
    <t>INTEC 017</t>
  </si>
  <si>
    <t>INTEC 018</t>
  </si>
  <si>
    <t>INTEC 019</t>
  </si>
  <si>
    <t>INTEC 020</t>
  </si>
  <si>
    <t>INTEC 021</t>
  </si>
  <si>
    <t>INTEC 022</t>
  </si>
  <si>
    <t>INTEC 023</t>
  </si>
  <si>
    <t>129?</t>
  </si>
  <si>
    <t>INTEC 024</t>
  </si>
  <si>
    <t>ABOGADA</t>
  </si>
  <si>
    <t>AMENORREA POR IMPLANTE</t>
  </si>
  <si>
    <t>ESTETICA MAMARIO</t>
  </si>
  <si>
    <t>DIASEPAN</t>
  </si>
  <si>
    <t>JAISCO</t>
  </si>
  <si>
    <t>tortilla 2 semana</t>
  </si>
  <si>
    <t>papa 3 semana</t>
  </si>
  <si>
    <t>arros diario</t>
  </si>
  <si>
    <t>aceite coco 3 semana</t>
  </si>
  <si>
    <t>almendras 2 diario</t>
  </si>
  <si>
    <t>aguacate 3 semana</t>
  </si>
  <si>
    <t>3 semana</t>
  </si>
  <si>
    <t>2 semana</t>
  </si>
  <si>
    <t>3 mes</t>
  </si>
  <si>
    <t>crema 2 semana</t>
  </si>
  <si>
    <t>4 semana</t>
  </si>
  <si>
    <t>calabaza 4 semana</t>
  </si>
  <si>
    <t>zanahoria 4 semana</t>
  </si>
  <si>
    <t>vetabel 4 semana</t>
  </si>
  <si>
    <t>atn 3 semana</t>
  </si>
  <si>
    <t>verduras 2 semana</t>
  </si>
  <si>
    <t>manzana 2 semana</t>
  </si>
  <si>
    <t>melon 2 semana</t>
  </si>
  <si>
    <t>jicama 5 semana</t>
  </si>
  <si>
    <t>café 3 semana</t>
  </si>
  <si>
    <t>agua todo el tiempo</t>
  </si>
  <si>
    <t>te todo eltiempo de bolsita marca</t>
  </si>
  <si>
    <t>atun 3 semana</t>
  </si>
  <si>
    <t>tacos 2 mes</t>
  </si>
  <si>
    <t>papaitas 2 mes</t>
  </si>
  <si>
    <t>INTEC 025</t>
  </si>
  <si>
    <t>INTEC 026</t>
  </si>
  <si>
    <t>INTEC 027</t>
  </si>
  <si>
    <t>INTEC 028</t>
  </si>
  <si>
    <t>INTEC 029</t>
  </si>
  <si>
    <t>INTEC 030</t>
  </si>
  <si>
    <t>RESIDENCIAL VIRREYES</t>
  </si>
  <si>
    <t>SI/ANTIHISTAMINICOS(CETIRIZINA.LORATADINA)/ANTIINFLAMATORIOS/IBUPROFENO</t>
  </si>
  <si>
    <t>VITAMINAS/1 TABLETA POR SEMANA</t>
  </si>
  <si>
    <t>SI/ABUELA PATERNA Y TIOS</t>
  </si>
  <si>
    <t>SI/TIAS</t>
  </si>
  <si>
    <t>93.2</t>
  </si>
  <si>
    <t>PAN INTEGRAL/2-4 REBANADAS DIARIAS</t>
  </si>
  <si>
    <t>TORTILLAS/2-4 DIARIAS</t>
  </si>
  <si>
    <t>PAPAS,ARROZ/1-2 PORCIONES DIARIAS</t>
  </si>
  <si>
    <t>ACEITE DE OLIVA/2 CUCHARADAS DIARIAS</t>
  </si>
  <si>
    <t>AGUACATE/MEDIO DIARIO</t>
  </si>
  <si>
    <t>NUECES YALMENDRAS/30GR DIARIOS</t>
  </si>
  <si>
    <t>100-200GR/DIARIO</t>
  </si>
  <si>
    <t>4-8 PIEZAS A LA SEMANA</t>
  </si>
  <si>
    <t>CHORIZO,SALCHICHA/3-6 SEMANAL</t>
  </si>
  <si>
    <t>1-2 POR SEMANA</t>
  </si>
  <si>
    <t>LECHE CADA 1-2 DIAS/YOGURT DIARIO</t>
  </si>
  <si>
    <t>CADA 3-4 DIAS/SALMON,ATUN</t>
  </si>
  <si>
    <t>ZANAHORIA/1 PIEZA CADA 3 DIAS</t>
  </si>
  <si>
    <t>LECHUGA/1 PIEZA DIARIA</t>
  </si>
  <si>
    <t>CEBOLLA/1 PIEZA CADA 2-4 DIAS</t>
  </si>
  <si>
    <t>CHAMPIÑONES/1 LATA CADA 3-4 DIAS</t>
  </si>
  <si>
    <t>NARANJA/1 PIEZA DIARIA</t>
  </si>
  <si>
    <t>MANZANA/1 PIEZA CADA 3 DIAS</t>
  </si>
  <si>
    <t>TOMATE/1 PIEZA DIARIA</t>
  </si>
  <si>
    <t>PIÑA/AL AÑO</t>
  </si>
  <si>
    <t>AGUA NATURAL/1-2 LITROS DIARIO</t>
  </si>
  <si>
    <t>TÉ DE JAZMIN/1-2 LITROS DIARIO</t>
  </si>
  <si>
    <t>REFRESCO/500 ML CADA 2-9 DIAS</t>
  </si>
  <si>
    <t>SAL/DIARIO</t>
  </si>
  <si>
    <t>AJO/ CADA 3-5 DIAS</t>
  </si>
  <si>
    <t>PIMIRNTA/DIARIO</t>
  </si>
  <si>
    <t>DULCE DE TAMARINDO/1 CADA 4 DIAS</t>
  </si>
  <si>
    <t>GALLETAS/1 CADA 2 DIAS</t>
  </si>
  <si>
    <t>CACAHUATES/1 CADA 3 DIAS</t>
  </si>
  <si>
    <t>6 HORAS POR SEMANA</t>
  </si>
  <si>
    <t>80.6</t>
  </si>
  <si>
    <t>27.60</t>
  </si>
  <si>
    <t>4.98</t>
  </si>
  <si>
    <t>54.1</t>
  </si>
  <si>
    <t>88.30</t>
  </si>
  <si>
    <t>INTEC 031</t>
  </si>
  <si>
    <t>35.2</t>
  </si>
  <si>
    <t>24.6</t>
  </si>
  <si>
    <t>84.8</t>
  </si>
  <si>
    <t>0.79</t>
  </si>
  <si>
    <t>18.20</t>
  </si>
  <si>
    <t>4.45</t>
  </si>
  <si>
    <t>54.5</t>
  </si>
  <si>
    <t>63.30</t>
  </si>
  <si>
    <t>INTEC32</t>
  </si>
  <si>
    <t>INTEC33</t>
  </si>
  <si>
    <t>OPERADOR DE CABINA</t>
  </si>
  <si>
    <t>DURANTE EL EMBARAZO</t>
  </si>
  <si>
    <t>TOS,GRIPA</t>
  </si>
  <si>
    <t>SI/TIOS Y ABUELOS</t>
  </si>
  <si>
    <t>FRIJOL 3 VECES A LA SEMANA</t>
  </si>
  <si>
    <t>DURAZNO CADA 6 MESES</t>
  </si>
  <si>
    <t>PAPAS 4 VECES POR SEMANA</t>
  </si>
  <si>
    <t>INTEC 34</t>
  </si>
  <si>
    <t>59 años</t>
  </si>
  <si>
    <t>Cd. Madera, chihuahua</t>
  </si>
  <si>
    <t>Sí, 13 años</t>
  </si>
  <si>
    <t>7 años sin consumir</t>
  </si>
  <si>
    <t>Sobrepeso desde los 15</t>
  </si>
  <si>
    <t>Pinol-cloralex</t>
  </si>
  <si>
    <t>Tomografia hace 15 años</t>
  </si>
  <si>
    <t>octubre 2017 en esofago</t>
  </si>
  <si>
    <t xml:space="preserve">Sinusitis </t>
  </si>
  <si>
    <t>Homeopatia dura 1 mes</t>
  </si>
  <si>
    <t>Chihuahua madero</t>
  </si>
  <si>
    <t>Chihuahua</t>
  </si>
  <si>
    <t>Sí, abuela meterna</t>
  </si>
  <si>
    <t>Embolia, papa/deficiencia renal, mama</t>
  </si>
  <si>
    <t>Avena/temporadas</t>
  </si>
  <si>
    <t>Semillas/diario</t>
  </si>
  <si>
    <t>Mantequilla/poco</t>
  </si>
  <si>
    <t>Aguacate 2 veces/semana</t>
  </si>
  <si>
    <t>tiene 2 sem, sin consumir</t>
  </si>
  <si>
    <t>c/3meses</t>
  </si>
  <si>
    <t>c/2meses</t>
  </si>
  <si>
    <t>Higos/temporada</t>
  </si>
  <si>
    <t>Uvas/temporada</t>
  </si>
  <si>
    <t>Agua natural1.5lt</t>
  </si>
  <si>
    <t>Galletas marias</t>
  </si>
  <si>
    <t>Crakets</t>
  </si>
  <si>
    <t>Pan puerquito</t>
  </si>
  <si>
    <t>INTEC 035</t>
  </si>
  <si>
    <t>INTEC 36</t>
  </si>
  <si>
    <t>54 años</t>
  </si>
  <si>
    <t>Brigadista</t>
  </si>
  <si>
    <t>Sí, 1 copa al mes</t>
  </si>
  <si>
    <t>Sí en la tercera decada</t>
  </si>
  <si>
    <t>Humos y quimicos</t>
  </si>
  <si>
    <t>Atotonilca, Jalisco</t>
  </si>
  <si>
    <t>San Gabriel.</t>
  </si>
  <si>
    <t>Desconoce</t>
  </si>
  <si>
    <t>Sí, hermana</t>
  </si>
  <si>
    <t>Sí, tio abuelo</t>
  </si>
  <si>
    <t>Pan blanco/diario</t>
  </si>
  <si>
    <t>Canola/diario</t>
  </si>
  <si>
    <t>Mantequilla/mensualmente</t>
  </si>
  <si>
    <t>Diario 2 veces/semana</t>
  </si>
  <si>
    <t>2 veces/mes</t>
  </si>
  <si>
    <t>Lechuga 3 veces/semana</t>
  </si>
  <si>
    <t>Chile/mensual</t>
  </si>
  <si>
    <t>Manzanacada 2 dias</t>
  </si>
  <si>
    <t>Platano cada 2 dias</t>
  </si>
  <si>
    <t>Pera cada 2 dias</t>
  </si>
  <si>
    <t>Agua natural /diario</t>
  </si>
  <si>
    <t>Agua de sabor/diario</t>
  </si>
  <si>
    <t>Papas fritas 1 vez/semana</t>
  </si>
  <si>
    <t>Sí correr</t>
  </si>
  <si>
    <t>INTEC37</t>
  </si>
  <si>
    <t>OFICIAL OPERATIVO</t>
  </si>
  <si>
    <t>LOMA DORADA</t>
  </si>
  <si>
    <t>RESFRIADO/PARACETAMOL</t>
  </si>
  <si>
    <t>HOMEOPATIA,MULTIVITAMINICOS</t>
  </si>
  <si>
    <t>SI/PRIMO</t>
  </si>
  <si>
    <t>FRIJOLES SEMANAL</t>
  </si>
  <si>
    <t>CACAHUATES 2 VECES POR SEMANA</t>
  </si>
  <si>
    <t>AGUA FRESCA 1 VEZ POR SEMANA</t>
  </si>
  <si>
    <t>PAN 1 AL DIA</t>
  </si>
  <si>
    <t>INTEC38</t>
  </si>
  <si>
    <t>SI/5 AÑOS/ENALAPRIL</t>
  </si>
  <si>
    <t>ACTUALMENTE</t>
  </si>
  <si>
    <t>SI/PADRES,HERMANA,SOBRINA</t>
  </si>
  <si>
    <t>SI/MADRE,HERMANA</t>
  </si>
  <si>
    <t>INTEC39</t>
  </si>
  <si>
    <t>LOMAS CAMICHIN</t>
  </si>
  <si>
    <t>8 AÑOS</t>
  </si>
  <si>
    <t>AGINAS/CLOREFENAMINA COMPUESTA</t>
  </si>
  <si>
    <t>MANZANO</t>
  </si>
  <si>
    <t>SUERO</t>
  </si>
  <si>
    <t>CHEETOS</t>
  </si>
  <si>
    <t>MAZAPAN</t>
  </si>
  <si>
    <t>OBLEAS</t>
  </si>
  <si>
    <t>INTEC 040</t>
  </si>
  <si>
    <t>AERCOS DE GUADALUPE</t>
  </si>
  <si>
    <t>SI/15 AÑOS/REMITIDO</t>
  </si>
  <si>
    <t>SI/RINOPLASTIA(2019)</t>
  </si>
  <si>
    <t>ALPRAZOLAM, SERTRALINA (.5 MG/1 MES,50 MG/3 MESES)</t>
  </si>
  <si>
    <t>SI/PADRE, ABUELOS PATERNOS</t>
  </si>
  <si>
    <t>SI/ABUELOS PATERNOS,ABUELA MATERNA</t>
  </si>
  <si>
    <t>MIASTENIA GRAVIS/ABUELA MATERNA</t>
  </si>
  <si>
    <t>ACEITE DE AJONJOLI</t>
  </si>
  <si>
    <t>RES 3 VECES OIR SEMANA,POLLO 3 VECES POR SEMANA,CERDO 1 VEZ A LA SEMANA</t>
  </si>
  <si>
    <t>CADA 2 DIAS</t>
  </si>
  <si>
    <t>MORAS</t>
  </si>
  <si>
    <t>CITRICOS</t>
  </si>
  <si>
    <t>AGUACATES</t>
  </si>
  <si>
    <t>DOS VECES POR SEMANA</t>
  </si>
  <si>
    <t>INTEC 41</t>
  </si>
  <si>
    <t>28 años</t>
  </si>
  <si>
    <t>Tepic, nayarit</t>
  </si>
  <si>
    <t>Profesionista</t>
  </si>
  <si>
    <t>Sí, 1 copa a la semnada desde los 23 años</t>
  </si>
  <si>
    <t>Sí a los 24</t>
  </si>
  <si>
    <t>Tepic, Nayarit</t>
  </si>
  <si>
    <t>Tepic,Nayarit</t>
  </si>
  <si>
    <t>Sí, abuelo</t>
  </si>
  <si>
    <t>Tortilla 4/diario</t>
  </si>
  <si>
    <t>Pan 2/diario</t>
  </si>
  <si>
    <t>Arroz2/semanal</t>
  </si>
  <si>
    <t>10/anual</t>
  </si>
  <si>
    <t>Manzana1/diario</t>
  </si>
  <si>
    <t>Platano 2/semanal</t>
  </si>
  <si>
    <t>Atun 1 vez/ 3 meses</t>
  </si>
  <si>
    <t>INTEC 42</t>
  </si>
  <si>
    <t>INTEC 043</t>
  </si>
  <si>
    <t>SI/15 AÑOS/1 COPA O MENOS AL MES</t>
  </si>
  <si>
    <t>BUENOS AIRES</t>
  </si>
  <si>
    <t>OSTEOPOROSIS/MADRE</t>
  </si>
  <si>
    <t>INTEC 044</t>
  </si>
  <si>
    <t>PROFESIONISTA</t>
  </si>
  <si>
    <t>AMIGDALITIS</t>
  </si>
  <si>
    <t>ZACATES</t>
  </si>
  <si>
    <t>SI/PADRE,ABUELOS MATERNOS</t>
  </si>
  <si>
    <t>SI/ABUELOS MATERNOS Y PATERNO</t>
  </si>
  <si>
    <t>SI/ABUELOS MATERNO Y PATERNO</t>
  </si>
  <si>
    <t>2 PORCIONES DIARIAS</t>
  </si>
  <si>
    <t>SUERO SEGÚN SED</t>
  </si>
  <si>
    <t>INTEC 45</t>
  </si>
  <si>
    <t>Sí, abuela paterna y hermanos</t>
  </si>
  <si>
    <t>Sí, madre y hermanos</t>
  </si>
  <si>
    <t>INTEC 46</t>
  </si>
  <si>
    <t>Retiro</t>
  </si>
  <si>
    <t>Sí, desde los 19 años</t>
  </si>
  <si>
    <t>Sí desde los 18 años, una copa a la semana</t>
  </si>
  <si>
    <t>Tepatitlan</t>
  </si>
  <si>
    <t>Sí, mama</t>
  </si>
  <si>
    <t>Sí, tia</t>
  </si>
  <si>
    <t>Aguacae/semanal</t>
  </si>
  <si>
    <t>Mandarina/diario</t>
  </si>
  <si>
    <t>Naranja /diario</t>
  </si>
  <si>
    <t>Limones/diario</t>
  </si>
  <si>
    <t>Jamon</t>
  </si>
  <si>
    <t>Cerveza/diario</t>
  </si>
  <si>
    <t>Refrescos/diario</t>
  </si>
  <si>
    <t>Futbal</t>
  </si>
  <si>
    <t>INTEC 47</t>
  </si>
  <si>
    <t>La floresta</t>
  </si>
  <si>
    <t>Sí, 1 copa al mesdesde los 15 años</t>
  </si>
  <si>
    <t>No tan frecuente</t>
  </si>
  <si>
    <t>Sí, abuelos</t>
  </si>
  <si>
    <t>Frijoles/semanal</t>
  </si>
  <si>
    <t>Bolillo/mensual</t>
  </si>
  <si>
    <t>Almendras/mensual</t>
  </si>
  <si>
    <t>Pollo/diario, res/semanal</t>
  </si>
  <si>
    <t>atun/anual</t>
  </si>
  <si>
    <t>frijol/anual</t>
  </si>
  <si>
    <t>Platano/Diario</t>
  </si>
  <si>
    <t>INTEC48</t>
  </si>
  <si>
    <t>OFTALMICA</t>
  </si>
  <si>
    <t>INTEC 049</t>
  </si>
  <si>
    <t>AMIGDALITIS(PENICILINA,NAPROXENO Y PARACETAMOL)</t>
  </si>
  <si>
    <t>AGUAS CALIENTES</t>
  </si>
  <si>
    <t>HIPERTIROIDISMO/TIA PATERNA</t>
  </si>
  <si>
    <t>SOYA</t>
  </si>
  <si>
    <t>MANTEQUILLA/MANTECA</t>
  </si>
  <si>
    <t>DURAZNOS EN ALMIBAR</t>
  </si>
  <si>
    <t>COCA 3 VECES POR SEMANA</t>
  </si>
  <si>
    <t>JUGOS 1 VEZ A LA SEMANA</t>
  </si>
  <si>
    <t>INTEC 50</t>
  </si>
  <si>
    <t>64 años</t>
  </si>
  <si>
    <t>Jubilada</t>
  </si>
  <si>
    <t>Sí, toma losartan e hidrocortizida</t>
  </si>
  <si>
    <t>Sí desde hace 5 años</t>
  </si>
  <si>
    <t>Niñes petroleo</t>
  </si>
  <si>
    <t>Amigdelectomia 3ra decada, colesistectomia septisemia a los 40 años, vioplastia, rectoabdominoplastia hace 3 años</t>
  </si>
  <si>
    <t>Sí a los 23 años</t>
  </si>
  <si>
    <t>Colitis, Tiroides</t>
  </si>
  <si>
    <t>losartan, aspirina protec, pravastatina, levotiroxina, hidrocloritiazida, omeprazol</t>
  </si>
  <si>
    <t>Edo de Mexico</t>
  </si>
  <si>
    <t xml:space="preserve">Guanajuato  </t>
  </si>
  <si>
    <t>Sí madre</t>
  </si>
  <si>
    <t>INTEC 051</t>
  </si>
  <si>
    <t>EGRESADA</t>
  </si>
  <si>
    <t>PUERTAS DEL TULE</t>
  </si>
  <si>
    <t>SI/14 AÑOS</t>
  </si>
  <si>
    <t>SI/RINOPLASTIA</t>
  </si>
  <si>
    <t>33.4</t>
  </si>
  <si>
    <t>26.5</t>
  </si>
  <si>
    <t>21.5</t>
  </si>
  <si>
    <t>NINGUNA</t>
  </si>
  <si>
    <t>AGUA FRUTA/2 LITROS</t>
  </si>
  <si>
    <t>INTEC 052</t>
  </si>
  <si>
    <t>SI/INSULINA</t>
  </si>
  <si>
    <t>SI/PRIMA HERMANA</t>
  </si>
  <si>
    <t>INGESTA DIARIO</t>
  </si>
  <si>
    <t>INGESTA SEMANAL</t>
  </si>
  <si>
    <t>INGESTA DIARIA</t>
  </si>
  <si>
    <t>INGESTA DIARIA/REFRESCO</t>
  </si>
  <si>
    <t>SI/INGESTA DIARIA</t>
  </si>
  <si>
    <t>INTEC 053</t>
  </si>
  <si>
    <t>PARQUES DE T</t>
  </si>
  <si>
    <t>SI/16 AÑOS/3 AL DIA</t>
  </si>
  <si>
    <t>HIOSCINA,METAMIZOL IV</t>
  </si>
  <si>
    <t>68.7</t>
  </si>
  <si>
    <t>36.2</t>
  </si>
  <si>
    <t>INTEC 054</t>
  </si>
  <si>
    <t>TABACHINES</t>
  </si>
  <si>
    <t>SI/TIO PATERNO</t>
  </si>
  <si>
    <t>SI/MADRE, ABUELA MATERNA</t>
  </si>
  <si>
    <t>19.5</t>
  </si>
  <si>
    <t>39.2</t>
  </si>
  <si>
    <t>23.4</t>
  </si>
  <si>
    <t>2 DIAS</t>
  </si>
  <si>
    <t>1 DIA</t>
  </si>
  <si>
    <t>DIARIA/2 LTS</t>
  </si>
  <si>
    <t>INTEC 055</t>
  </si>
  <si>
    <t>BOMBERO FORESTAL</t>
  </si>
  <si>
    <t>PRIMAVERA</t>
  </si>
  <si>
    <t>NEGATIVO</t>
  </si>
  <si>
    <t>INTEC 056</t>
  </si>
  <si>
    <t>CESARIA/LEGRADO</t>
  </si>
  <si>
    <t>RESFRIADO COMÚN/AMANTADINA</t>
  </si>
  <si>
    <t>SI/PADRE,ABUELO PATERNO,HERMANO</t>
  </si>
  <si>
    <t>SI/PADRE,HERMNANO</t>
  </si>
  <si>
    <t>INGESTA DOS VECES POR SEMANA</t>
  </si>
  <si>
    <t>INGESTA UNA VEZ AL MES</t>
  </si>
  <si>
    <t>DOS VECES POR 18 DÍAS</t>
  </si>
  <si>
    <t>NO HAY INGESTA</t>
  </si>
  <si>
    <t>INGESTA UNA VEZ POR SEMANA</t>
  </si>
  <si>
    <t>GENATIVO</t>
  </si>
  <si>
    <t>INGESTA DE LIQUIDO HASTA 2 LITROS</t>
  </si>
  <si>
    <t>CONSUMO NORMAL DIARIO</t>
  </si>
  <si>
    <t>INTEC 057</t>
  </si>
  <si>
    <t>VALLE DE SAN ISIDRO</t>
  </si>
  <si>
    <t>MONTERREY</t>
  </si>
  <si>
    <t>SAN LUIS POTOSÍ</t>
  </si>
  <si>
    <t>INGESTA DE UNA AVENA POR SEMANA</t>
  </si>
  <si>
    <t>INGESTA 5 VECES POR SEMANA</t>
  </si>
  <si>
    <t>INGESTA 1 VEZ POR SEMANA</t>
  </si>
  <si>
    <t>UNGESTA 1 VEZ POR SEMANA</t>
  </si>
  <si>
    <t>INGESTA 2 VECES POR SEMANA</t>
  </si>
  <si>
    <t>INGESTA DIARIA DE AGUA SIMPLE/2 L</t>
  </si>
  <si>
    <t>INTEC 058</t>
  </si>
  <si>
    <t>SI/LOZARTAN</t>
  </si>
  <si>
    <t>SI/20 AÑOS/1 COPA AL MES</t>
  </si>
  <si>
    <t>1 VEZ AL DÍA</t>
  </si>
  <si>
    <t>MUY RARO</t>
  </si>
  <si>
    <t>INGESTA DE LÍQUIDO HASTA 1.5 L</t>
  </si>
  <si>
    <t>CONSUMO NORMAL</t>
  </si>
  <si>
    <t>INGESTA 1 VEZ POR MES</t>
  </si>
  <si>
    <t>INTEC 059</t>
  </si>
  <si>
    <t>MARTINICA</t>
  </si>
  <si>
    <t>SI/20 AÑOS/1 AL DÍA</t>
  </si>
  <si>
    <t>INGESTA 4 VECES POR SEMANA</t>
  </si>
  <si>
    <t>INGESTA DE AGUA EMBOTELLADA HASTA 2 L POR DÍA</t>
  </si>
  <si>
    <t>INTEC 060</t>
  </si>
  <si>
    <t>EMPRESA PERSONAL</t>
  </si>
  <si>
    <t>LOS TULES ZAPOPAN</t>
  </si>
  <si>
    <t>51 AÑOS</t>
  </si>
  <si>
    <t>SÍ/17 AÑOS/NO ACTUALMENTE/15 CIGARROS DIARIOS</t>
  </si>
  <si>
    <t>SÍ/17 AÑOS/1 COPA AL MES</t>
  </si>
  <si>
    <t>SÍ/DURANTES EMBARAZOS</t>
  </si>
  <si>
    <t>SI/TOMOGRAFÍA,MAMOGRAFÍA</t>
  </si>
  <si>
    <t>APENDICECTOMIA(1982)/COLECISTECTOMIA(2010)/HISTEROCTOMIA(2006)/RINOSEPTUMPLASTIA(2013)/CIRUGÍA DE COLUMNA(2010)/IMPLANTES DE MAMA(2009,2013)</t>
  </si>
  <si>
    <t>SÍ(2006)</t>
  </si>
  <si>
    <t>SÍ/MADRE</t>
  </si>
  <si>
    <t>SÍ/HERMANA/CA MAMA</t>
  </si>
  <si>
    <t>ARROZ 2 VECES POR SEMANA</t>
  </si>
  <si>
    <t>FRIJOLES 3 VECES POR SEMANA</t>
  </si>
  <si>
    <t>AGUACATE 3 VECES POR SEMANA</t>
  </si>
  <si>
    <t>ACEITE DE OLIVO DIARIO</t>
  </si>
  <si>
    <t>MANTEQUILLA 1 CDA DIARIO</t>
  </si>
  <si>
    <t>NOPALES DIARIO</t>
  </si>
  <si>
    <t>ESPINACAS DIARIO</t>
  </si>
  <si>
    <t>MANZANA 3-4 VECES POR SEMANA</t>
  </si>
  <si>
    <t>PAPAYA 3-4 VECES POR SEMANA</t>
  </si>
  <si>
    <t>PIÑA 3-4 VECES POR SEMANA</t>
  </si>
  <si>
    <t>AGUA CON TÉ/2 L DIARIO</t>
  </si>
  <si>
    <t>CAFÉ/2 TAZAS AL DÍA</t>
  </si>
  <si>
    <t>PAPAS,PALOMITAS/1 VEZ POR SEMANA</t>
  </si>
  <si>
    <t>INTEC 061</t>
  </si>
  <si>
    <t>SÍ/MAMÁ</t>
  </si>
  <si>
    <t>RES, POLLO, PESCADO</t>
  </si>
  <si>
    <t xml:space="preserve">TOMATE </t>
  </si>
  <si>
    <t>VERDURAS MIXTAS CADA QUINCENA</t>
  </si>
  <si>
    <t>REFRESCO LIGHT</t>
  </si>
  <si>
    <t>TÉ HELADO</t>
  </si>
  <si>
    <t>INTEC 062</t>
  </si>
  <si>
    <t>SAN ISIDRO</t>
  </si>
  <si>
    <t>SÍ/ABUELA</t>
  </si>
  <si>
    <t>INGESTA 3 VECES POR SEMANA</t>
  </si>
  <si>
    <t>INGESTA DIARIA DE AGUA SIMPLE/1.5 L</t>
  </si>
  <si>
    <t>INTEC 063</t>
  </si>
  <si>
    <t>SÍ/15 AÑOS/1 COPA A LA SEMANA</t>
  </si>
  <si>
    <t>SÍ/DE LOS 20 A LA FECHA</t>
  </si>
  <si>
    <t>DESCONOCIDO</t>
  </si>
  <si>
    <t>INGESTA DIARIA/1.5 L DE AGUA SIMPLE</t>
  </si>
  <si>
    <t>INTEC 064</t>
  </si>
  <si>
    <t>APENDICECTOMIA,CESAREA</t>
  </si>
  <si>
    <t>SÍ/TÍO PATERNO</t>
  </si>
  <si>
    <t>SÍ/MADRE,PADRE</t>
  </si>
  <si>
    <t>INGESTA ESPORADICA</t>
  </si>
  <si>
    <t>INTEC 065</t>
  </si>
  <si>
    <t xml:space="preserve"> JALISCO</t>
  </si>
  <si>
    <t>SÍ/17 AÑOS/1 COPA A LA SEMANA</t>
  </si>
  <si>
    <t>RINITIS ALÉRGICA/LORATADINA</t>
  </si>
  <si>
    <t>ÁCIDO FÓLICO,OMEGA 3,FACTOR DE TRANSFERENCIA</t>
  </si>
  <si>
    <t>SONALOA</t>
  </si>
  <si>
    <t>4 TORTILLAS DIARIAS</t>
  </si>
  <si>
    <t>1 PAN POR SEMANA</t>
  </si>
  <si>
    <t>TOMATE</t>
  </si>
  <si>
    <t>ENSALADA DE VERDURAS 1 VEZ POR MES</t>
  </si>
  <si>
    <t>AGUA NATURAL 1.5 L DIARIO</t>
  </si>
  <si>
    <t>CAFÉ 1 TAZA DIARIA</t>
  </si>
  <si>
    <t>1 VASO DE AGUA DE FRUTAS DIARIO</t>
  </si>
  <si>
    <t>CONCENTRADOS ARTIFICALES</t>
  </si>
  <si>
    <t>HOT-DOG 1 POR SEMANA</t>
  </si>
  <si>
    <t>INTEC 066</t>
  </si>
  <si>
    <t>SI/1 MES</t>
  </si>
  <si>
    <t>SÍ/ABUELO PATERNO</t>
  </si>
  <si>
    <t>INGESTA 1 VEZ CASA 15 DÍAS</t>
  </si>
  <si>
    <t>INGESTA DE AGUA HASTA 1.5 L</t>
  </si>
  <si>
    <t>INTEC 067</t>
  </si>
  <si>
    <t>COFRADIA TONALÁ</t>
  </si>
  <si>
    <t>SÍ/6 MESES/ENALAPRIL</t>
  </si>
  <si>
    <t>SÍ/6 MESES/ATORVASTATINA</t>
  </si>
  <si>
    <t>SI/RAYOS X,TOMOGRAFÍA</t>
  </si>
  <si>
    <t>RINOSEPTUMPLASTIA(HACE 20 AÑOS),ARTROSCOPIA RODILLA IZQUIERDA(HACE 25 AÑOS),HOMBRO DERECHO(HACE 10 AÑOS)</t>
  </si>
  <si>
    <t>OMEGA 3/2 DIARIAS/4 MESES</t>
  </si>
  <si>
    <t>MÉXICO/OAXACA</t>
  </si>
  <si>
    <t>SÍ/ABUELA MATERNA,MADRE</t>
  </si>
  <si>
    <t>MAÍZ DIARIAMENTE</t>
  </si>
  <si>
    <t>AVENA 2 VECES AL MES</t>
  </si>
  <si>
    <t>RES 2/CERDO 2/POLLO 2</t>
  </si>
  <si>
    <t>1 CADA 15 DÍAS</t>
  </si>
  <si>
    <t>LECHUGA 2-3</t>
  </si>
  <si>
    <t>ZANAHORIA 2-3</t>
  </si>
  <si>
    <t>PAPA 2-3</t>
  </si>
  <si>
    <t>SAZONADOR</t>
  </si>
  <si>
    <t>CACAHUATES 3</t>
  </si>
  <si>
    <t>3 Y UN SNACK</t>
  </si>
  <si>
    <t>INTEC 068</t>
  </si>
  <si>
    <t>PASEOS DE SANTIAGO</t>
  </si>
  <si>
    <t>SI/SOBREPESO ADULTEZ</t>
  </si>
  <si>
    <t>RINOSEPTUMPLASTIA/HACE 20 AÑOS</t>
  </si>
  <si>
    <t>ÁCIDO FÓLICO/1 DIARIA/1 MES</t>
  </si>
  <si>
    <t>SÍ/ABUELOS MATERNOS</t>
  </si>
  <si>
    <t>RES,POLLO</t>
  </si>
  <si>
    <t>1 POR SEMANA</t>
  </si>
  <si>
    <t>1 POR DÍA</t>
  </si>
  <si>
    <t>REFRESCO/3 SEMANAL</t>
  </si>
  <si>
    <t xml:space="preserve">PIMIENTA </t>
  </si>
  <si>
    <t>CHICHARRON DE CERDO</t>
  </si>
  <si>
    <t>INTEC 069</t>
  </si>
  <si>
    <t>OBRERA</t>
  </si>
  <si>
    <t>SÍ/10 AÑOS/ENALAPRIL</t>
  </si>
  <si>
    <t>SÍ/13 AÑOS/5 DIARIOS</t>
  </si>
  <si>
    <t>SÍ/17 AÑOS/1 COPA AL MES O MENOS</t>
  </si>
  <si>
    <t>SÍ/HACE 10 AÑOS</t>
  </si>
  <si>
    <t>SÍ/VENENO PARA RATAS</t>
  </si>
  <si>
    <t>SÍ/TOMOGRAFÍAS,MASTOGRAFÍAS</t>
  </si>
  <si>
    <t>3 CESAREAS,APENDICECTOMIA</t>
  </si>
  <si>
    <t>DENGUE/PARACETAMOL</t>
  </si>
  <si>
    <t>SÍ/ABUELA,TÍAS</t>
  </si>
  <si>
    <t>SÍ/3 TÍAS</t>
  </si>
  <si>
    <t>TORTILLAS 5</t>
  </si>
  <si>
    <t>ARROZ 1 TAZA</t>
  </si>
  <si>
    <t>FRIJOL 1 TAZA</t>
  </si>
  <si>
    <t>1 VEZ SEMANAL</t>
  </si>
  <si>
    <t>COCA-COLA</t>
  </si>
  <si>
    <t>ORÉGANO</t>
  </si>
  <si>
    <t>1 POR MES</t>
  </si>
  <si>
    <t>INTEC 070</t>
  </si>
  <si>
    <t>DISMENORREA/IBUPRUFENO,BUTILHIOSCINA</t>
  </si>
  <si>
    <t>DOXICICLINA/MEDIA TABLETA DIARIA/6 SEMANAS</t>
  </si>
  <si>
    <t>SÍ/ABUELO PATERNO,ABUELA MATERNA</t>
  </si>
  <si>
    <t>SÍ/ABUELA MATERBA Y PATERNA</t>
  </si>
  <si>
    <t>SÍ/TIA MATERNA CA MAMA,TÍO PATERNO CA PANCREAS</t>
  </si>
  <si>
    <t>AVENA 3 VECES POR SEMANA</t>
  </si>
  <si>
    <t>AGUACATE 2 VECES POR SEMANA</t>
  </si>
  <si>
    <t>PANELA 2 VECES POR SEMANA</t>
  </si>
  <si>
    <t>DESLACTOSADA 3 VECES POR SEMANA</t>
  </si>
  <si>
    <t>NOPAL</t>
  </si>
  <si>
    <t xml:space="preserve">PLATANO </t>
  </si>
  <si>
    <t>TÉ 3 TAZAS AL DÍA</t>
  </si>
  <si>
    <t>CLOROFILA 2 L AL DÍA</t>
  </si>
  <si>
    <t>CAFÉ 1 TAZA AL DÍA</t>
  </si>
  <si>
    <t>PALOMITAS 3 VECES AL MES</t>
  </si>
  <si>
    <t>PAPAS 3 VECES AL MES</t>
  </si>
  <si>
    <t>3 Y 2 COLACIONES</t>
  </si>
  <si>
    <t>INTEC 071</t>
  </si>
  <si>
    <t>TOS CON FLEMAS</t>
  </si>
  <si>
    <t>MICHOACÁN</t>
  </si>
  <si>
    <t>INTEC 072</t>
  </si>
  <si>
    <t>CESAREA/LEGRADO</t>
  </si>
  <si>
    <t>SÍ/PADRES</t>
  </si>
  <si>
    <t>SÍ/FAM PATERNA</t>
  </si>
  <si>
    <t>SÍ/AMBAS FAMILIAS</t>
  </si>
  <si>
    <t>INGESTA 1 VEZ CADA 15 DÍAS</t>
  </si>
  <si>
    <t>INGESTA 3 O 4 VECES POR SEMANA</t>
  </si>
  <si>
    <t>INGESTA DIARIA HASTA 2 L</t>
  </si>
  <si>
    <t>INGESTA NORMAL</t>
  </si>
  <si>
    <t>INTEC 073</t>
  </si>
  <si>
    <t>ZAPOPAN</t>
  </si>
  <si>
    <t>SÍ/1 1/2 AÑOS/SIN TRATAMIENTO</t>
  </si>
  <si>
    <t>SÍ/20 AÑOS/ESPORÁDICO</t>
  </si>
  <si>
    <t>DESDE LOS 12 AÑOS</t>
  </si>
  <si>
    <t>INFECCIÓN EN VÍAS ÁEREAS</t>
  </si>
  <si>
    <t>ARROZ 3-4 VECES POR SEMANA</t>
  </si>
  <si>
    <t>MAÍZ 3 VECES POR SEMANA</t>
  </si>
  <si>
    <t>ACEITE DE CANOLA DIARIO</t>
  </si>
  <si>
    <t>MANTECA DE CERDO SEMANAL</t>
  </si>
  <si>
    <t>ZANAHORIA 4 VECES POR SEMANA</t>
  </si>
  <si>
    <t>REFRESCO 4 VECES POR SEMANA</t>
  </si>
  <si>
    <t>AGUA FRUTA NATURAL/3 VECES POR MES</t>
  </si>
  <si>
    <t>CONSOMÉ DE POLLO DIARIO</t>
  </si>
  <si>
    <t>PAPAS FRITAS 3 VECES POR MES</t>
  </si>
  <si>
    <t>INTEC 074</t>
  </si>
  <si>
    <t>SÍ/ENALAPRIL</t>
  </si>
  <si>
    <t>SÍ/ACTUALMENTE</t>
  </si>
  <si>
    <t>ANEURISMA(2009)</t>
  </si>
  <si>
    <t>SÍ/2009</t>
  </si>
  <si>
    <t>SÍ/PRIMA HERMANA</t>
  </si>
  <si>
    <t>INGESTA 3 VECES A LA SEMANA</t>
  </si>
  <si>
    <t>INTEC 075</t>
  </si>
  <si>
    <t>INTEC 076</t>
  </si>
  <si>
    <t>SÍ/4 MESES/LOZARTÁN</t>
  </si>
  <si>
    <t>NEGADO</t>
  </si>
  <si>
    <t>SÍ/PADRES,HERMANA</t>
  </si>
  <si>
    <t>INTEC 077</t>
  </si>
  <si>
    <t>BOMERO</t>
  </si>
  <si>
    <t>JALISCO/GUANAJUATO</t>
  </si>
  <si>
    <t>INSUFICIENCIA VENOSA</t>
  </si>
  <si>
    <t>ARROZ 3 VECES A LA SEMANA</t>
  </si>
  <si>
    <t>AGUACATE 3 VECES A LA SEMANA</t>
  </si>
  <si>
    <t>MANTEQUILLA 3 VECES A LA SEMANA</t>
  </si>
  <si>
    <t>BRÓCOLI 4 SEMANA</t>
  </si>
  <si>
    <t>JITOMATE 4 SEMANA</t>
  </si>
  <si>
    <t xml:space="preserve"> GUAYABA</t>
  </si>
  <si>
    <t>INTEC 078</t>
  </si>
  <si>
    <t xml:space="preserve">MUJER </t>
  </si>
  <si>
    <t>COLITIS/BROMURO DE PINAVERIO</t>
  </si>
  <si>
    <t>INGESTA HASTA 1 L</t>
  </si>
  <si>
    <t>CONSUMO ALTO DE SODIO</t>
  </si>
  <si>
    <t>CONSUMO UNA VEZ POR SEMANA</t>
  </si>
  <si>
    <t>INTEC 079</t>
  </si>
  <si>
    <t>JARDINES DE MIRAFLORES</t>
  </si>
  <si>
    <t>SÍ/24 AÑOS/1 COPA A LA SEMANA</t>
  </si>
  <si>
    <t>HOMEOPATÍA/PARA GASTRITIS/HACE 3 MESES</t>
  </si>
  <si>
    <t>SÍ/ABUELA PATERNA,TÍOS,TÍOS MATERNOS</t>
  </si>
  <si>
    <t>SÍ/TÍA MATERNA</t>
  </si>
  <si>
    <t>SÍ/TÍA PATERNA</t>
  </si>
  <si>
    <t>FRIJOL 3 VECES POR SEMANA</t>
  </si>
  <si>
    <t>PAPA 2 VECES POR SEMANA</t>
  </si>
  <si>
    <t>MANTEQUILLA 1 VEZ POR SEMANA</t>
  </si>
  <si>
    <t>CHAYOTE 4 VECES POR SEMANA</t>
  </si>
  <si>
    <t>BRÓCOLI 4 VECES POR SEMANA</t>
  </si>
  <si>
    <t>MANZANA 6 DÍAS POR SEMANA</t>
  </si>
  <si>
    <t>NARANJA 6 DÍAS POR SEMANA</t>
  </si>
  <si>
    <t>PLÁTANO 2 VECES POR SEMANA</t>
  </si>
  <si>
    <t>AGUA NATUTAL</t>
  </si>
  <si>
    <t>HELADO</t>
  </si>
  <si>
    <t>3 A 5</t>
  </si>
  <si>
    <t>INTEC 080</t>
  </si>
  <si>
    <t>ESPAÑA</t>
  </si>
  <si>
    <t>PASEOS DEL SOL</t>
  </si>
  <si>
    <t>CEFALEA/KETOROLACO,TRAMADOL</t>
  </si>
  <si>
    <t>SÍ/ABUELOS PATERNOS</t>
  </si>
  <si>
    <t>NULA INGESTA</t>
  </si>
  <si>
    <t>INGESTA DIARIA DE LÍQUIDO HASTA 1.5 L</t>
  </si>
  <si>
    <t>INTEC 081</t>
  </si>
  <si>
    <t>CIMA SERENA EL SALTO</t>
  </si>
  <si>
    <t>SÍ/32 AÑOS/1 COPA A LA SEMANA</t>
  </si>
  <si>
    <t>SOBREPESO EN ADOLESCENCIA</t>
  </si>
  <si>
    <t>CALBAZA</t>
  </si>
  <si>
    <t>VERDURAS MIXTAS MENSUAL</t>
  </si>
  <si>
    <t>INTEC 082</t>
  </si>
  <si>
    <t>SÍ/20 AÑOS/1-2 AL DÍA</t>
  </si>
  <si>
    <t>SÍ/20 AÑOS/1 COPA A LA SEMANA</t>
  </si>
  <si>
    <t>GASTRITIS/OMEPRAZOL</t>
  </si>
  <si>
    <t>PUEBLA/JALISCO</t>
  </si>
  <si>
    <t>SÍ/TÍO MATERNO</t>
  </si>
  <si>
    <t>AVENA DIARIA</t>
  </si>
  <si>
    <t>MAÍZ SEMANAL</t>
  </si>
  <si>
    <t>ACEITE DE OLIVA SEMANAL</t>
  </si>
  <si>
    <t>ELOTE DIARIO</t>
  </si>
  <si>
    <t>SANDÍA</t>
  </si>
  <si>
    <t>SAL DIARIA</t>
  </si>
  <si>
    <t>PIMIENTA DIARIA</t>
  </si>
  <si>
    <t>AJO DIARIA</t>
  </si>
  <si>
    <t>CACAHUATES 3 VECES POR SEMANA</t>
  </si>
  <si>
    <t>INTEC 083</t>
  </si>
  <si>
    <t>SÍ//1 AÑO EVOLUCIÓN/DIETA,EJERCICIO</t>
  </si>
  <si>
    <t>SÍ/16 AÑOS/3 POR DÍA</t>
  </si>
  <si>
    <t>SÍ/16 AÑOS/1 COPA AL MES O MENOS</t>
  </si>
  <si>
    <t>INGESTA NORMAL DE SODIO</t>
  </si>
  <si>
    <t>INGESTA NULA</t>
  </si>
  <si>
    <t>INTEC 084</t>
  </si>
  <si>
    <t>SÍ/18 AÑOS</t>
  </si>
  <si>
    <t>APENDICECTOMIA</t>
  </si>
  <si>
    <t>CONSUMO ADECUADO DE SODIO</t>
  </si>
  <si>
    <t>INTEC 085</t>
  </si>
  <si>
    <t>SÍ/6 AÑOS/METFORMINA</t>
  </si>
  <si>
    <t>SÍ/4 AÑOS/LOZARTÁN</t>
  </si>
  <si>
    <t>RONOPLASTIA,ESPLENECTOMÍA</t>
  </si>
  <si>
    <t>10 UNIDADES/2017</t>
  </si>
  <si>
    <t>SÍ/ABUELO PATERNO CA DE HUESO</t>
  </si>
  <si>
    <t>INGESTA 2 VECES POR MES</t>
  </si>
  <si>
    <t>INGESTA DIARIA DE AGUA SIMPLE HASTA 2 L</t>
  </si>
  <si>
    <t>INTEC 086</t>
  </si>
  <si>
    <t>SAN GONZALO</t>
  </si>
  <si>
    <t>GRIPE/LORATADINA,IBUPROFENO</t>
  </si>
  <si>
    <t>COLAGENO/1 CDA/1 MES</t>
  </si>
  <si>
    <t>SÍ/HERMANO</t>
  </si>
  <si>
    <t>SÍ/HERMANA</t>
  </si>
  <si>
    <t>ACEITE DE SOYA</t>
  </si>
  <si>
    <t>ELOTE 1 VEZ AL MES</t>
  </si>
  <si>
    <t>AGUA DE FRUTAS DIARIO</t>
  </si>
  <si>
    <t>SODA 2 VECES POR SEMANA</t>
  </si>
  <si>
    <t>HIERBAS FINAS</t>
  </si>
  <si>
    <t>INTEC 087</t>
  </si>
  <si>
    <t>OBESIDAD TIPO 1</t>
  </si>
  <si>
    <t>SÍ/TIO MATERNO</t>
  </si>
  <si>
    <t>EN EL DESAYUNO</t>
  </si>
  <si>
    <t>SALCHICAS</t>
  </si>
  <si>
    <t>INTEC 088</t>
  </si>
  <si>
    <t>DEL FRESNO</t>
  </si>
  <si>
    <t>SÍ/ABUELO CA DE PROSTATA</t>
  </si>
  <si>
    <t>INGESTA DIARIA HASTA 3 L</t>
  </si>
  <si>
    <t>INTEC 089</t>
  </si>
  <si>
    <t>VESÍCULA</t>
  </si>
  <si>
    <t>INGESTA 6 VECES POR SEMANA</t>
  </si>
  <si>
    <t>INTEC 090</t>
  </si>
  <si>
    <t>SOLEDAD DE NEXTIPAC</t>
  </si>
  <si>
    <t>SÍ/3 AÑOS/LOZARTÁN</t>
  </si>
  <si>
    <t>INGESTA 2-3 DÍAS</t>
  </si>
  <si>
    <t>1 A LA SEMANA</t>
  </si>
  <si>
    <t>4 A LA SEMANA</t>
  </si>
  <si>
    <t>INTEC 091</t>
  </si>
  <si>
    <t>SÍ/16 AÑOS/1 COPA A LA SEMANA</t>
  </si>
  <si>
    <t>RINOPLASTIA/2015</t>
  </si>
  <si>
    <t>SÍ/ABUELA PATERNA.TÍA MATERNA</t>
  </si>
  <si>
    <t>CHOCOLATES</t>
  </si>
  <si>
    <t>INTEC 092</t>
  </si>
  <si>
    <t>MÉDICO BOMBERO</t>
  </si>
  <si>
    <t>SÍ/20 AÑOS/DE 1 A 3 A LA SEMANA</t>
  </si>
  <si>
    <t>SÍ/2 COPAS A LA SEMANA</t>
  </si>
  <si>
    <t>CARNE 2 VECES AL DÍA</t>
  </si>
  <si>
    <t>ESPECIAS</t>
  </si>
  <si>
    <t>INTEC 093</t>
  </si>
  <si>
    <t>SÍ/18 AÑOS/3 AL DÍA</t>
  </si>
  <si>
    <t>INTEC 094</t>
  </si>
  <si>
    <t>LOMAS SAN GONZALO</t>
  </si>
  <si>
    <t>OMEGA 3,VITAMINA B/1 CÁPSULA/1 MES</t>
  </si>
  <si>
    <t>SÍ/TÍO</t>
  </si>
  <si>
    <t>SÍ/TÍA</t>
  </si>
  <si>
    <t>FRAMBUESA</t>
  </si>
  <si>
    <t>INTEC 095</t>
  </si>
  <si>
    <t>SÍ/TRIGLICÉRIDOS/SIN TRATAMIENTO</t>
  </si>
  <si>
    <t>SÍ/19 AÑOS/1 COPA A LA SEMANA</t>
  </si>
  <si>
    <t>PERONÉ IZQ,FRACTURA CON PLACA HACE 2 AÑOS</t>
  </si>
  <si>
    <t>SÍ/TÍOS PATERNOS Y MATERNOS</t>
  </si>
  <si>
    <t>SÍ/TÍO PATERNO CA ESTÓMAGO</t>
  </si>
  <si>
    <t>SÍ/FAMILIA MATERNA</t>
  </si>
  <si>
    <t>MAÍZ DIARIA</t>
  </si>
  <si>
    <t>ARROZ CADA 4 DÍAS</t>
  </si>
  <si>
    <t>ACEITE DE OLVIDA CADA 3 DÍAS</t>
  </si>
  <si>
    <t>MANTEQUILLA 1 VEZ A LA SEMANA</t>
  </si>
  <si>
    <t>CADA 4 DÍAS</t>
  </si>
  <si>
    <t>CADA 3 DÍAS</t>
  </si>
  <si>
    <t>ZANAHORIA CADA 4 DÍAS</t>
  </si>
  <si>
    <t>PAPA CADA 4 DÍAS</t>
  </si>
  <si>
    <t>CHAYOTE CADA 4 DÍAS</t>
  </si>
  <si>
    <t>REFRESCO 5 VECES A LA SEMANA</t>
  </si>
  <si>
    <t>CERVEZA 1 A LA SEMANA</t>
  </si>
  <si>
    <t>INTEC 096</t>
  </si>
  <si>
    <t>LOMAS DE TABACHINES</t>
  </si>
  <si>
    <t>OSTEOSINTESIS</t>
  </si>
  <si>
    <t>INTEC 097</t>
  </si>
  <si>
    <t>Ciudad granja</t>
  </si>
  <si>
    <t>Si, desde los 15</t>
  </si>
  <si>
    <t>Si, desde los 18 1 copa al mes o menos</t>
  </si>
  <si>
    <t>Sobrepeso, toda la vida</t>
  </si>
  <si>
    <t>Antibioticos, AINES, vacunas para alergias a saliva de gato, cucarachas, acaros, polen</t>
  </si>
  <si>
    <t>San Francisco, Cal.</t>
  </si>
  <si>
    <t>Mezcala, Jal.</t>
  </si>
  <si>
    <t>Si, buelos paternos</t>
  </si>
  <si>
    <t>Si, abuela paterma y papa</t>
  </si>
  <si>
    <t>Si, papa de colon, abuelo paterno piel epidermoide y prostata , abuela meterna de mama</t>
  </si>
  <si>
    <t>Tortilla 3/dia</t>
  </si>
  <si>
    <t>Arroz 1/semana</t>
  </si>
  <si>
    <t>Harinas 1/dia</t>
  </si>
  <si>
    <t>1-2/semana</t>
  </si>
  <si>
    <t>4-5/semana</t>
  </si>
  <si>
    <t>2/dia</t>
  </si>
  <si>
    <t>1-2/2semanas</t>
  </si>
  <si>
    <t>Chiles 1 vez/semana</t>
  </si>
  <si>
    <t>Platano 1/3dias</t>
  </si>
  <si>
    <t>Manzana /3 dias</t>
  </si>
  <si>
    <t>uvas/2 semanas</t>
  </si>
  <si>
    <t>Agua natural 1.5lt/dia</t>
  </si>
  <si>
    <t>Leche 1/2lt/dia</t>
  </si>
  <si>
    <t>Jugos 255ml /semana</t>
  </si>
  <si>
    <t>INTEC 098</t>
  </si>
  <si>
    <t>BASE AÉREA</t>
  </si>
  <si>
    <t>SÍ/18 AÑOS/1 COPA DIARIA</t>
  </si>
  <si>
    <t>TRIGO 1 VEZ A LA SEMANA</t>
  </si>
  <si>
    <t>AVENA 4 VECES POR SEMANA</t>
  </si>
  <si>
    <t>ACEITE DE OLIVA 3 VECES POR SEMANA</t>
  </si>
  <si>
    <t>6 VECES A LA SEMANA</t>
  </si>
  <si>
    <t>ACELGA DIARIO</t>
  </si>
  <si>
    <t>ESPINACA DIARIO</t>
  </si>
  <si>
    <t>BRÓCOLI DIARIO</t>
  </si>
  <si>
    <t>AGUACATE 5 VECES POR SEMANA</t>
  </si>
  <si>
    <t>MANZANA 1 POR SEMANA</t>
  </si>
  <si>
    <t>AGUA FRASCA DIARIA</t>
  </si>
  <si>
    <t>AGUA AVENA DIARIA</t>
  </si>
  <si>
    <t>PAPAS FRITAS CADA 15 DÍAS</t>
  </si>
  <si>
    <t>GALLETAS 1 VEZ A LA SEMANA</t>
  </si>
  <si>
    <t>INTEC 099</t>
  </si>
  <si>
    <t>Jardines del country</t>
  </si>
  <si>
    <t>Si, desde los 18 1 copa a la semana</t>
  </si>
  <si>
    <t>Obesidad y sobrepeso en varias etapas de la vida</t>
  </si>
  <si>
    <t>De hombro ortoscopia</t>
  </si>
  <si>
    <t>Bruselosis, anemia</t>
  </si>
  <si>
    <t>Si, papa</t>
  </si>
  <si>
    <t>Si, abuelo materno</t>
  </si>
  <si>
    <t>Tortilla 2/diario</t>
  </si>
  <si>
    <t>Avena/3 semanal</t>
  </si>
  <si>
    <t>Aguacate3 /semanal</t>
  </si>
  <si>
    <t>Elote 1/semanal</t>
  </si>
  <si>
    <t>uvas 1 porcion</t>
  </si>
  <si>
    <t>Leche 1 vez/semana</t>
  </si>
  <si>
    <t xml:space="preserve">Chile </t>
  </si>
  <si>
    <t>INTEC100</t>
  </si>
  <si>
    <t>TECNICO</t>
  </si>
  <si>
    <t>SI/7 AÑOS/LOSARTAN</t>
  </si>
  <si>
    <t>SI/18 AÑOS/10 CIGARROS DIARIOS</t>
  </si>
  <si>
    <t>SI/FRACTURA DE TOBILLO</t>
  </si>
  <si>
    <t>1 VEZ</t>
  </si>
  <si>
    <t>VITAMINA B</t>
  </si>
  <si>
    <t>SI/PADRE Y HERMANO</t>
  </si>
  <si>
    <t>X</t>
  </si>
  <si>
    <t>G1</t>
  </si>
  <si>
    <t>SI/4 AÑOS ATRÁS/LESORTAN</t>
  </si>
  <si>
    <t>G2</t>
  </si>
  <si>
    <t>VILLA FONTANA</t>
  </si>
  <si>
    <t>SI/HACE 12 AÑOS</t>
  </si>
  <si>
    <t>SI PERO SE DESCONOCE</t>
  </si>
  <si>
    <t>CADA TERCER DIA</t>
  </si>
  <si>
    <t>G3</t>
  </si>
  <si>
    <t>SALUD PUBLICA</t>
  </si>
  <si>
    <t>BOSQUES DEL CENTINELA 2</t>
  </si>
  <si>
    <t>SI/IRC/MADRE</t>
  </si>
  <si>
    <t>TRES VECES</t>
  </si>
  <si>
    <t>CMG4</t>
  </si>
  <si>
    <t>PROVICENCIA</t>
  </si>
  <si>
    <t>SI/PRIMA MATERNA</t>
  </si>
  <si>
    <t>5 VECES AL DIA</t>
  </si>
  <si>
    <t>G5</t>
  </si>
  <si>
    <t>SI/25 AÑOS/OCASIONALMENTE</t>
  </si>
  <si>
    <t>SI, HACE UN AÑO</t>
  </si>
  <si>
    <t>CIRCUNSICION</t>
  </si>
  <si>
    <t>ACEITE CANOLA</t>
  </si>
  <si>
    <t xml:space="preserve">MANDARINA  </t>
  </si>
  <si>
    <t>SODA UNA VEZ POR SEMANA</t>
  </si>
  <si>
    <t>G6</t>
  </si>
  <si>
    <t>HACE 22 AÑOS</t>
  </si>
  <si>
    <t>SI/SEPTIEMBRE</t>
  </si>
  <si>
    <t>TIROIDES</t>
  </si>
  <si>
    <t>SI/MADRE, HERMANOS</t>
  </si>
  <si>
    <t>TORTILLA DE NOPAL</t>
  </si>
  <si>
    <t>TOSTADAS NOPAL</t>
  </si>
  <si>
    <t>MORA</t>
  </si>
  <si>
    <t>G7</t>
  </si>
  <si>
    <t>SI/12 AÑOS/METOPROLOL</t>
  </si>
  <si>
    <t>SI/PADRE Y TIOS</t>
  </si>
  <si>
    <t>SP197</t>
  </si>
  <si>
    <t>SI/18 AÑOS/ 1 COPA O MENOS AL MES</t>
  </si>
  <si>
    <t>SI, EN ALGUNAS ESTAPAS DE SU VIDA</t>
  </si>
  <si>
    <t>ORTOSCOPIA</t>
  </si>
  <si>
    <t>BRUSELOSIS, ANEMIA</t>
  </si>
  <si>
    <t>AGUACATE/3 VECES POR SEMANA</t>
  </si>
  <si>
    <t>LECHE UNA VEZ A LA SEMANA</t>
  </si>
  <si>
    <t xml:space="preserve">GALLETAS  </t>
  </si>
  <si>
    <t>SP175</t>
  </si>
  <si>
    <t>SP199</t>
  </si>
  <si>
    <t>CIUDAD GRANJA</t>
  </si>
  <si>
    <t>SI/15 AÑOS/10 CIGARROS POR AÑO</t>
  </si>
  <si>
    <t>SIEMPRE</t>
  </si>
  <si>
    <t>ANTIBIOTICOS, AINES</t>
  </si>
  <si>
    <t>VACUNAS PARA ALERGIAS</t>
  </si>
  <si>
    <t>CALIFORNIA</t>
  </si>
  <si>
    <t>SI/ABUELA PATERNA Y PADRE</t>
  </si>
  <si>
    <t>SI/PADRE, ABUELO PATERNO Y ABUELA MATERNA</t>
  </si>
  <si>
    <t>ARROZ 1 VEZ POR SEMANA</t>
  </si>
  <si>
    <t>HARINAS</t>
  </si>
  <si>
    <t>CHILES 1 VEZ POR SEMANA</t>
  </si>
  <si>
    <t xml:space="preserve">LECHE  </t>
  </si>
  <si>
    <t>JUGOS POR SEMANA</t>
  </si>
  <si>
    <t xml:space="preserve">PIMIENTA  </t>
  </si>
  <si>
    <t>ISS011</t>
  </si>
  <si>
    <t>ISS035</t>
  </si>
  <si>
    <t>ISS045</t>
  </si>
  <si>
    <t>C REPETIR</t>
  </si>
  <si>
    <t>ISS066</t>
  </si>
  <si>
    <t>ISS067</t>
  </si>
  <si>
    <t>SP022</t>
  </si>
  <si>
    <t>PAPA, VARIOS TIOS(PA)</t>
  </si>
  <si>
    <t>VEGETARIANA</t>
  </si>
  <si>
    <t>SP081</t>
  </si>
  <si>
    <t>SP069</t>
  </si>
  <si>
    <t>01,03</t>
  </si>
  <si>
    <t>ISS026</t>
  </si>
  <si>
    <t>ISS065</t>
  </si>
  <si>
    <t>SP085</t>
  </si>
  <si>
    <t>PREDIABETICO</t>
  </si>
  <si>
    <t>MAMA ESTOMAGO PAPA</t>
  </si>
  <si>
    <t>SP071</t>
  </si>
  <si>
    <t>ISS039</t>
  </si>
  <si>
    <t>SEGURIDAD PRIVADA</t>
  </si>
  <si>
    <t>CUACTEMO</t>
  </si>
  <si>
    <t>SI/2010 METFORMINA</t>
  </si>
  <si>
    <t>TORREON</t>
  </si>
  <si>
    <t>HERMANOS, SOBRINA</t>
  </si>
  <si>
    <t>ESPOSA</t>
  </si>
  <si>
    <t>ARROZ Y FRIJOLES</t>
  </si>
  <si>
    <t>ACEITE POCO</t>
  </si>
  <si>
    <t>POLLO 3-2 DIAS</t>
  </si>
  <si>
    <t>CALABAZITA Y BROCOLI</t>
  </si>
  <si>
    <t>PEPINO Y JICAMA</t>
  </si>
  <si>
    <t>SALCHIPULPOS 1 SEMANA</t>
  </si>
  <si>
    <t>CHINA</t>
  </si>
  <si>
    <t>ISS11</t>
  </si>
  <si>
    <t>ISS34</t>
  </si>
  <si>
    <t>ISS20</t>
  </si>
  <si>
    <t>guardia</t>
  </si>
  <si>
    <t>monte olimpo</t>
  </si>
  <si>
    <t>tos</t>
  </si>
  <si>
    <t>antibioticos/Jarbe</t>
  </si>
  <si>
    <t>zacualpan</t>
  </si>
  <si>
    <t>tio materno</t>
  </si>
  <si>
    <t>No Sangre</t>
  </si>
  <si>
    <t>No ADN</t>
  </si>
  <si>
    <t>san marcos</t>
  </si>
  <si>
    <t>huejuquilla</t>
  </si>
  <si>
    <t>tios y abuelos maternos</t>
  </si>
  <si>
    <t>madre tios maternos y abuelo paterno</t>
  </si>
  <si>
    <t>Chicharo/semanal</t>
  </si>
  <si>
    <t>duraznos/anual</t>
  </si>
  <si>
    <t>Cereza/anual</t>
  </si>
  <si>
    <t>Piña/anual</t>
  </si>
  <si>
    <t>Cerveza/semanal</t>
  </si>
  <si>
    <t>knorrsuiza/diario</t>
  </si>
  <si>
    <t>clavo/semanal</t>
  </si>
  <si>
    <t>maruchan/semanal</t>
  </si>
  <si>
    <t>Hogar/vidrio y aluminio</t>
  </si>
  <si>
    <t>cesarea</t>
  </si>
  <si>
    <t>zimapam</t>
  </si>
  <si>
    <t>ecatepec</t>
  </si>
  <si>
    <t>hijo y padres</t>
  </si>
  <si>
    <t>tepatitlan morelos</t>
  </si>
  <si>
    <t>lab.</t>
  </si>
  <si>
    <t>jardines</t>
  </si>
  <si>
    <t>marihuana</t>
  </si>
  <si>
    <t>puebla</t>
  </si>
  <si>
    <t>leon</t>
  </si>
  <si>
    <t>abuelos maternos y rimo</t>
  </si>
  <si>
    <t>Laurel/semanal</t>
  </si>
  <si>
    <t>reflujo estomacal</t>
  </si>
  <si>
    <t>Cacahuate/semanal</t>
  </si>
  <si>
    <t>agua de sabores/semanal</t>
  </si>
  <si>
    <t>Ajo molido/diario</t>
  </si>
  <si>
    <t>Galetas/semanal</t>
  </si>
  <si>
    <t>texcoco</t>
  </si>
  <si>
    <t>germinado de soja/diario</t>
  </si>
  <si>
    <t>Toronja/diario</t>
  </si>
  <si>
    <t>jugo de toronja/diario</t>
  </si>
  <si>
    <t>Sal de ajo/ diario</t>
  </si>
  <si>
    <t>calcio</t>
  </si>
  <si>
    <t>dislipidemia madre</t>
  </si>
  <si>
    <t>Edo. Mexico</t>
  </si>
  <si>
    <t>si, Mamá</t>
  </si>
  <si>
    <t>Queso philadelphia</t>
  </si>
  <si>
    <t>Masculino</t>
  </si>
  <si>
    <t>General Real</t>
  </si>
  <si>
    <t>, Clonazepam y Diazepam</t>
  </si>
  <si>
    <t>Si,Padre</t>
  </si>
  <si>
    <t>Femenimo</t>
  </si>
  <si>
    <t>Taxista</t>
  </si>
  <si>
    <t>Circunvalacion</t>
  </si>
  <si>
    <t>Metformina y Estatinas</t>
  </si>
  <si>
    <t>Si, Mama y Tios</t>
  </si>
  <si>
    <t>Si, Papa y Tios</t>
  </si>
  <si>
    <t>Frijol, Aroz y Pan Diario</t>
  </si>
  <si>
    <t>Si, Calabaza, Zanahoria y Chayoye Diario</t>
  </si>
  <si>
    <t>Si, Manzana, Platano Diario</t>
  </si>
  <si>
    <t xml:space="preserve">Aguas, Refrescos y Café </t>
  </si>
  <si>
    <t>Tacos, Galletas y Pan</t>
  </si>
  <si>
    <t>Fotografo</t>
  </si>
  <si>
    <t>parques Santa Maria</t>
  </si>
  <si>
    <t>Si, No indica quiene(s)</t>
  </si>
  <si>
    <t>Cereal Diario, Galletas y Pan Semanal</t>
  </si>
  <si>
    <t>Si, Platano y Manzana No indica frecuencia</t>
  </si>
  <si>
    <t>Si, Manzana Diario, Platano y Fresa Semanal</t>
  </si>
  <si>
    <t>Si, Coca cola Semanal, Agua Diario y Cerveza Mensual</t>
  </si>
  <si>
    <t>Si, Frijol Semanal</t>
  </si>
  <si>
    <t>Hamburguesas, Pizza Semanal</t>
  </si>
  <si>
    <t>Oficina</t>
  </si>
  <si>
    <t>Col. Centro</t>
  </si>
  <si>
    <t>Diclofenaco</t>
  </si>
  <si>
    <t xml:space="preserve">Guevara </t>
  </si>
  <si>
    <t>Si, Abuelos</t>
  </si>
  <si>
    <t>Hierro, Complejo B</t>
  </si>
  <si>
    <t>Fresno</t>
  </si>
  <si>
    <t>Ciprofloxacino, Homeopata</t>
  </si>
  <si>
    <t>Si, Almendra, Pasa y Nuez</t>
  </si>
  <si>
    <t>Si, Mantequilla y Aceite Diario</t>
  </si>
  <si>
    <t>Si, Brocoli, Papa y Zanahoria Diario</t>
  </si>
  <si>
    <t>Si Chicharos</t>
  </si>
  <si>
    <t>Si, Mango, Fresas y Papayo Semanal</t>
  </si>
  <si>
    <t xml:space="preserve">Si, Aguas de frutas y Refresco Diario </t>
  </si>
  <si>
    <t>Si, Ajo y Pimienta Diario</t>
  </si>
  <si>
    <t>Si,Papa Fritas, Hambuerguesa y Pizza Semanal</t>
  </si>
  <si>
    <t>Embarazada</t>
  </si>
  <si>
    <t xml:space="preserve">Si, arros y avena semanal </t>
  </si>
  <si>
    <t>monterrey</t>
  </si>
  <si>
    <t>centro</t>
  </si>
  <si>
    <t>a los 38 años</t>
  </si>
  <si>
    <t>infancia</t>
  </si>
  <si>
    <t>san luis potosi</t>
  </si>
  <si>
    <t xml:space="preserve">abuelos maternos y padres </t>
  </si>
  <si>
    <t>esposo</t>
  </si>
  <si>
    <t>medico</t>
  </si>
  <si>
    <t>frijol/3 veces x semana</t>
  </si>
  <si>
    <t>Arroz/3 veces x semana</t>
  </si>
  <si>
    <t>pasta/4 veces x semana</t>
  </si>
  <si>
    <t>mantequilla</t>
  </si>
  <si>
    <t>zanahoria/4 veces x semana</t>
  </si>
  <si>
    <t>agua fresca/5 x semana</t>
  </si>
  <si>
    <t>galletas/ 3xsemana</t>
  </si>
  <si>
    <t>pan dulce</t>
  </si>
  <si>
    <t>18 de mayo</t>
  </si>
  <si>
    <t>metformina</t>
  </si>
  <si>
    <t>SI/17 AÑOS- DIBENCLAMIDA, METFORMIN</t>
  </si>
  <si>
    <t>si/17 años -losartan, benzafibrato</t>
  </si>
  <si>
    <t>si/17 años- pravastatina</t>
  </si>
  <si>
    <t>mo</t>
  </si>
  <si>
    <t>noo</t>
  </si>
  <si>
    <t>MAMA, GHERMANA</t>
  </si>
  <si>
    <t>MAMAA</t>
  </si>
  <si>
    <t>ALHERIZMER HERMANA</t>
  </si>
  <si>
    <t>QUESO</t>
  </si>
  <si>
    <t>POLLO, PESCADO, RES , CERDO</t>
  </si>
  <si>
    <t>ASADERO</t>
  </si>
  <si>
    <t>TERAPIA FISICA</t>
  </si>
  <si>
    <t>INDEPENDENCIA ORIENTE</t>
  </si>
  <si>
    <t>MAMA, ABUELA, TIOS, TIAS</t>
  </si>
  <si>
    <t>TIOS TIAS</t>
  </si>
  <si>
    <t>ABUELA Y MAMA</t>
  </si>
  <si>
    <t>CHIQUILISTLAN</t>
  </si>
  <si>
    <t>colesterol alto</t>
  </si>
  <si>
    <t>culiacan</t>
  </si>
  <si>
    <t>ARROZ MES</t>
  </si>
  <si>
    <t>PUERCO MES</t>
  </si>
  <si>
    <t>CALABACITA</t>
  </si>
  <si>
    <t>ZANAHORIAS</t>
  </si>
  <si>
    <t>KIWI</t>
  </si>
  <si>
    <t>CEREZA</t>
  </si>
  <si>
    <t>4 DE 7</t>
  </si>
  <si>
    <t>VARICELA, NEUMONIA, HEPATITIS, MENENGITIS</t>
  </si>
  <si>
    <t>ABUELA Y TIOS</t>
  </si>
  <si>
    <t>ABUELOS PATERNO</t>
  </si>
  <si>
    <t>PARALISIS CEREBRAL ABUELA PATERNA</t>
  </si>
  <si>
    <t>ACEITES DIARIO</t>
  </si>
  <si>
    <t>MAYONESA SEMANAL</t>
  </si>
  <si>
    <t>PUERCO SEMANAL</t>
  </si>
  <si>
    <t>PESCADO MES</t>
  </si>
  <si>
    <t>AGUA FRESCA HECHA EN CASA DIARIO</t>
  </si>
  <si>
    <t>SABORISANTES ARTIFICIALES SEMANAL</t>
  </si>
  <si>
    <t>PAN DULCE SEMANAL</t>
  </si>
  <si>
    <t>GALLETAS SEMANAL</t>
  </si>
  <si>
    <t>CIUDAD DE MEXICO</t>
  </si>
  <si>
    <t>ENEMIA MAMA</t>
  </si>
  <si>
    <t>QUESO PHILADELFIA DIARIO</t>
  </si>
  <si>
    <t>ZANAHORIA SEMNAL</t>
  </si>
  <si>
    <t>DURASNO SEMANAL</t>
  </si>
  <si>
    <t>KIWI MENSUAL</t>
  </si>
  <si>
    <t>SAL SEMANAL</t>
  </si>
  <si>
    <t>AJO MENSUAL</t>
  </si>
  <si>
    <t>MARUCHAN CADA 5 MESES</t>
  </si>
  <si>
    <t>FLORIDA</t>
  </si>
  <si>
    <t>MELOXICAM, DICLOFENACO,COMPLEJO B</t>
  </si>
  <si>
    <t>HERMANO, PRIMA</t>
  </si>
  <si>
    <t>CACAHUATE MES</t>
  </si>
  <si>
    <t>2-3 HUEVOS CADA SEMANA</t>
  </si>
  <si>
    <t xml:space="preserve">CALABAZITA </t>
  </si>
  <si>
    <t>PEPINO SEMANAL</t>
  </si>
  <si>
    <t>DURAZNO MES</t>
  </si>
  <si>
    <t>AGUA FRESCA CASERA SEMANAL</t>
  </si>
  <si>
    <t>PAN SEMANAL</t>
  </si>
  <si>
    <t>VARICELA, ACICLOVIR Y PARACETAMOL</t>
  </si>
  <si>
    <t>SUPLEMENTO ALIMENTICIO</t>
  </si>
  <si>
    <t>ABUELOS Y TIOS</t>
  </si>
  <si>
    <t>4 CADA SEMANA</t>
  </si>
  <si>
    <t>PEZ MES</t>
  </si>
  <si>
    <t>SABORISANTES ARTIFICIALES</t>
  </si>
  <si>
    <t>NARIZ Y TIROIDES</t>
  </si>
  <si>
    <t>TIROIDES MAMA</t>
  </si>
  <si>
    <t>CREMA SEMANAL</t>
  </si>
  <si>
    <t>MANTECA MES</t>
  </si>
  <si>
    <t>1 TODOS LOS DESAYUNOS</t>
  </si>
  <si>
    <t>FRESAS MES</t>
  </si>
  <si>
    <t>MELON SEMANAL</t>
  </si>
  <si>
    <t>UVAS SEMANAL</t>
  </si>
  <si>
    <t>PIÑA MES</t>
  </si>
  <si>
    <t>AGUA CASERA DIARIO</t>
  </si>
  <si>
    <t>FRITURAS SEMNAL</t>
  </si>
  <si>
    <t>9 AÑOS ABORTO</t>
  </si>
  <si>
    <t>5, 2 ABORTOS</t>
  </si>
  <si>
    <t>SI 8 AÑOS LOZARTAN</t>
  </si>
  <si>
    <t>LIGERO RETRASO MENTAL, NEOMAS EN UTERO</t>
  </si>
  <si>
    <t>ASESOR DE VENTAS</t>
  </si>
  <si>
    <t>FRACC LAS TORRES</t>
  </si>
  <si>
    <t>2 AÑOS</t>
  </si>
  <si>
    <t xml:space="preserve">PAN INTEGRAL </t>
  </si>
  <si>
    <t>CARNE DIARIO</t>
  </si>
  <si>
    <t>SALCHICHA</t>
  </si>
  <si>
    <t>FRACCIONAMIENTO COLON</t>
  </si>
  <si>
    <t>HERNIA VENTRICULR</t>
  </si>
  <si>
    <t>SONDA POR VENAS, VARISES 3 MESES</t>
  </si>
  <si>
    <t>AMEPRAZOL</t>
  </si>
  <si>
    <t>SI/NO TRATAMIENTO</t>
  </si>
  <si>
    <t>TROMBOSIS</t>
  </si>
  <si>
    <t>CHAYOTE, CALABAZA, LECHUGA, CEBOLLA</t>
  </si>
  <si>
    <t>REFRESCO DE COLA</t>
  </si>
  <si>
    <t>PRODUCTOS EMPAQUETADOS</t>
  </si>
  <si>
    <t>CHAPULTEPEC COUNTRY</t>
  </si>
  <si>
    <t>HIDALGO/MEXICO</t>
  </si>
  <si>
    <t>GUERRERO/DURANGO</t>
  </si>
  <si>
    <t>PAPA MES</t>
  </si>
  <si>
    <t>MES VERDURA MIXTA</t>
  </si>
  <si>
    <t>TE HELADOVERDE</t>
  </si>
  <si>
    <t>AGUAS FRESCAS DE FRUTAS</t>
  </si>
  <si>
    <t>CARMEN MUNICIPIO SALTO</t>
  </si>
  <si>
    <t>HOMEOPAIA PA RODILLA</t>
  </si>
  <si>
    <t>HERMANAO</t>
  </si>
  <si>
    <t>HOTELEÑO</t>
  </si>
  <si>
    <t>H DEL S JOSE</t>
  </si>
  <si>
    <t>SI/1 DIARIO</t>
  </si>
  <si>
    <t>ESTADO DE MEXICO</t>
  </si>
  <si>
    <t>TERRAZAS</t>
  </si>
  <si>
    <t>PATRIA</t>
  </si>
  <si>
    <t>CIUDAD MEXICO</t>
  </si>
  <si>
    <t>MATERNA</t>
  </si>
  <si>
    <t>ZANAHORIA 3 SEMANA</t>
  </si>
  <si>
    <t>ABUELOS MAT</t>
  </si>
  <si>
    <t>SI- LOSARTAN</t>
  </si>
  <si>
    <t>HEMORROIDES APENDICE</t>
  </si>
  <si>
    <t xml:space="preserve">NATURISTA PARA VESICULA </t>
  </si>
  <si>
    <t>DIENTE DE LEON</t>
  </si>
  <si>
    <t>MAMA, PAPA, ABUELOS</t>
  </si>
  <si>
    <t>GRIPA</t>
  </si>
  <si>
    <t>FARMACO PARA VITILIGIO</t>
  </si>
  <si>
    <t>SANTA RITA</t>
  </si>
  <si>
    <t>ANALCO</t>
  </si>
  <si>
    <t>SI- ASPIRINA/30 AÑOS</t>
  </si>
  <si>
    <t>SI- METFORMINA- 5 AÑOS</t>
  </si>
  <si>
    <t>SI 2 MESES</t>
  </si>
  <si>
    <t>HARINA SEMANAL</t>
  </si>
  <si>
    <t>NUECES 3 SEMANA</t>
  </si>
  <si>
    <t>CACAHUATE DIARIO</t>
  </si>
  <si>
    <t>TOMATE DIARIO</t>
  </si>
  <si>
    <t>CHILES SEMANAL</t>
  </si>
  <si>
    <t>BERRIS SEMANAL</t>
  </si>
  <si>
    <t>CERVEZA DIARIO</t>
  </si>
  <si>
    <t>VALLE DE LOS MACANOS</t>
  </si>
  <si>
    <t>GRIPE CLORFENAMINA COMPUESTA</t>
  </si>
  <si>
    <t>BISABUELO</t>
  </si>
  <si>
    <t>HARINA DIARIO</t>
  </si>
  <si>
    <t>MANZANA 3 SEMANA</t>
  </si>
  <si>
    <t>PLATANO CADA 15 DIAS</t>
  </si>
  <si>
    <t>FRITURAS DIARIO</t>
  </si>
  <si>
    <t>PAPAS FRITAS DIARIAS</t>
  </si>
  <si>
    <t>HAMBURGUESAS SEMANAL</t>
  </si>
  <si>
    <t>1 AÑO ULCERA Y MATRIZ</t>
  </si>
  <si>
    <t>SI 1AÑO</t>
  </si>
  <si>
    <t>TONAYA</t>
  </si>
  <si>
    <t>sm</t>
  </si>
  <si>
    <t>AST IU/L</t>
  </si>
  <si>
    <t>BILIRRUBINA</t>
  </si>
  <si>
    <t>t/g</t>
  </si>
  <si>
    <t xml:space="preserve">suero </t>
  </si>
  <si>
    <t>JCM001</t>
  </si>
  <si>
    <t>JCM002</t>
  </si>
  <si>
    <t>JCM003</t>
  </si>
  <si>
    <t>JCM004</t>
  </si>
  <si>
    <t>JCM005</t>
  </si>
  <si>
    <t>JCM006</t>
  </si>
  <si>
    <t>JCM007</t>
  </si>
  <si>
    <t>JCM008</t>
  </si>
  <si>
    <t>JCM009</t>
  </si>
  <si>
    <t>JCM010</t>
  </si>
  <si>
    <t>JCM011</t>
  </si>
  <si>
    <t>JCM012</t>
  </si>
  <si>
    <t>JCM013</t>
  </si>
  <si>
    <t>JCM014</t>
  </si>
  <si>
    <t>JCM015</t>
  </si>
  <si>
    <t>JCM016</t>
  </si>
  <si>
    <t>JCM017</t>
  </si>
  <si>
    <t>JCM018</t>
  </si>
  <si>
    <t>JCM019</t>
  </si>
  <si>
    <t>JCM020</t>
  </si>
  <si>
    <t>JCM021</t>
  </si>
  <si>
    <t>JCM022</t>
  </si>
  <si>
    <t>JCM023</t>
  </si>
  <si>
    <t>JCM024</t>
  </si>
  <si>
    <t>JCM025</t>
  </si>
  <si>
    <t>JCM026</t>
  </si>
  <si>
    <t>JCM027</t>
  </si>
  <si>
    <t>JCM028</t>
  </si>
  <si>
    <t>JCM029</t>
  </si>
  <si>
    <t>JCM030</t>
  </si>
  <si>
    <t>JCM031</t>
  </si>
  <si>
    <t>JCM032</t>
  </si>
  <si>
    <t>JCM033</t>
  </si>
  <si>
    <t>JCM034</t>
  </si>
  <si>
    <t>JCM035</t>
  </si>
  <si>
    <t>JCM036</t>
  </si>
  <si>
    <t>JCM037</t>
  </si>
  <si>
    <t>JCM038</t>
  </si>
  <si>
    <t>JCM039</t>
  </si>
  <si>
    <t>JCM040</t>
  </si>
  <si>
    <t>JCM041</t>
  </si>
  <si>
    <t>JCM042</t>
  </si>
  <si>
    <t>JCM043</t>
  </si>
  <si>
    <t>JCM044</t>
  </si>
  <si>
    <t>JCM045</t>
  </si>
  <si>
    <t>JCM046</t>
  </si>
  <si>
    <t>JCM047</t>
  </si>
  <si>
    <t>JCM048-A</t>
  </si>
  <si>
    <t>JCM048</t>
  </si>
  <si>
    <t>JCM049-A</t>
  </si>
  <si>
    <t>JCM049</t>
  </si>
  <si>
    <t>JCM050-A</t>
  </si>
  <si>
    <t>JCM050</t>
  </si>
  <si>
    <t>JCM051</t>
  </si>
  <si>
    <t>JCM052</t>
  </si>
  <si>
    <t>JCM053-A</t>
  </si>
  <si>
    <t>JCM053</t>
  </si>
  <si>
    <t>55,7</t>
  </si>
  <si>
    <t>JCM054-A</t>
  </si>
  <si>
    <t>JCM054-B</t>
  </si>
  <si>
    <t>JCM054</t>
  </si>
  <si>
    <t>JCM055-A</t>
  </si>
  <si>
    <t>JCM055</t>
  </si>
  <si>
    <t>02--22</t>
  </si>
  <si>
    <t>JCM056</t>
  </si>
  <si>
    <t>JCM057</t>
  </si>
  <si>
    <t>JCM058</t>
  </si>
  <si>
    <t>JCM059-A</t>
  </si>
  <si>
    <t>JCM059</t>
  </si>
  <si>
    <t>JCM060</t>
  </si>
  <si>
    <t>JCM061-A</t>
  </si>
  <si>
    <t>JCM061</t>
  </si>
  <si>
    <t>JCM062</t>
  </si>
  <si>
    <t>JCM063</t>
  </si>
  <si>
    <t>JCM064</t>
  </si>
  <si>
    <t>JCM065</t>
  </si>
  <si>
    <t>JCM066</t>
  </si>
  <si>
    <t>JCM067</t>
  </si>
  <si>
    <t>JCM068</t>
  </si>
  <si>
    <t>JCM069</t>
  </si>
  <si>
    <t>JCM070</t>
  </si>
  <si>
    <t>JCM071</t>
  </si>
  <si>
    <t>JCM072</t>
  </si>
  <si>
    <t>JCM073</t>
  </si>
  <si>
    <t>JCM074</t>
  </si>
  <si>
    <t>JCM075</t>
  </si>
  <si>
    <t>JCM076</t>
  </si>
  <si>
    <t>JCM077</t>
  </si>
  <si>
    <t>JCM078</t>
  </si>
  <si>
    <t>JCM079</t>
  </si>
  <si>
    <t>JCM080</t>
  </si>
  <si>
    <t>JCM081</t>
  </si>
  <si>
    <t>JCM082</t>
  </si>
  <si>
    <t>JCM083</t>
  </si>
  <si>
    <t>JCM084</t>
  </si>
  <si>
    <t>JCM085</t>
  </si>
  <si>
    <t>JCM086</t>
  </si>
  <si>
    <t>JCM087</t>
  </si>
  <si>
    <t>JCM088</t>
  </si>
  <si>
    <t>JCM089</t>
  </si>
  <si>
    <t>JCM090</t>
  </si>
  <si>
    <t>JCM091</t>
  </si>
  <si>
    <t>JCM092</t>
  </si>
  <si>
    <t>JCM093</t>
  </si>
  <si>
    <t>JCM094</t>
  </si>
  <si>
    <t>JCM095</t>
  </si>
  <si>
    <t>JCM096</t>
  </si>
  <si>
    <t>JCM097</t>
  </si>
  <si>
    <t>JCM098</t>
  </si>
  <si>
    <t>JCM099</t>
  </si>
  <si>
    <t>JCM100</t>
  </si>
  <si>
    <t>JCM101</t>
  </si>
  <si>
    <t>JCM102</t>
  </si>
  <si>
    <t>JCM103</t>
  </si>
  <si>
    <t>JCM104</t>
  </si>
  <si>
    <t>10-n-22</t>
  </si>
  <si>
    <t>JCM105</t>
  </si>
  <si>
    <t>JCM106</t>
  </si>
  <si>
    <t>JCM107</t>
  </si>
  <si>
    <t>JCM108</t>
  </si>
  <si>
    <t>JCM109</t>
  </si>
  <si>
    <t>JCM110</t>
  </si>
  <si>
    <t>JCM111</t>
  </si>
  <si>
    <t>JCM112</t>
  </si>
  <si>
    <t>JCM113</t>
  </si>
  <si>
    <t>JCM114</t>
  </si>
  <si>
    <t>JCM115</t>
  </si>
  <si>
    <t>JCM116</t>
  </si>
  <si>
    <t>JCM117</t>
  </si>
  <si>
    <t>JCM118</t>
  </si>
  <si>
    <t>JCM119</t>
  </si>
  <si>
    <t>JCM120</t>
  </si>
  <si>
    <t>JCM121</t>
  </si>
  <si>
    <t>JCM122</t>
  </si>
  <si>
    <t>JCM123</t>
  </si>
  <si>
    <t>JCM124</t>
  </si>
  <si>
    <t>JCM125</t>
  </si>
  <si>
    <t>JCM126</t>
  </si>
  <si>
    <t>JCM127</t>
  </si>
  <si>
    <t>JCM128</t>
  </si>
  <si>
    <t>JCM129</t>
  </si>
  <si>
    <t>JCM130</t>
  </si>
  <si>
    <t>JCM131</t>
  </si>
  <si>
    <t>JCM132</t>
  </si>
  <si>
    <t>JCM133</t>
  </si>
  <si>
    <t>JCM134</t>
  </si>
  <si>
    <t>JCM135</t>
  </si>
  <si>
    <t>JCM136</t>
  </si>
  <si>
    <t>JCM137</t>
  </si>
  <si>
    <t>JCM138</t>
  </si>
  <si>
    <t>JCM139</t>
  </si>
  <si>
    <t>JCM140</t>
  </si>
  <si>
    <t>JCM141</t>
  </si>
  <si>
    <t>JCM142</t>
  </si>
  <si>
    <t>JCM143</t>
  </si>
  <si>
    <t>JCM144</t>
  </si>
  <si>
    <t>JCM145</t>
  </si>
  <si>
    <t>JCM146</t>
  </si>
  <si>
    <t>JCM147</t>
  </si>
  <si>
    <t>JCM148</t>
  </si>
  <si>
    <t>JCM149</t>
  </si>
  <si>
    <t>JCM150</t>
  </si>
  <si>
    <t>JCM151</t>
  </si>
  <si>
    <t>JCM152</t>
  </si>
  <si>
    <t>JCM153</t>
  </si>
  <si>
    <t>JCM154</t>
  </si>
  <si>
    <t>JCM155</t>
  </si>
  <si>
    <t>JCM156</t>
  </si>
  <si>
    <t>JCM157</t>
  </si>
  <si>
    <t>JCM158</t>
  </si>
  <si>
    <t>JCM159</t>
  </si>
  <si>
    <t>JCM160</t>
  </si>
  <si>
    <t>JCM161</t>
  </si>
  <si>
    <t>JCM162</t>
  </si>
  <si>
    <t>JCM163</t>
  </si>
  <si>
    <t>JCM164</t>
  </si>
  <si>
    <t>JCM165</t>
  </si>
  <si>
    <t>JCM166</t>
  </si>
  <si>
    <t>JCM167</t>
  </si>
  <si>
    <t>JCM168</t>
  </si>
  <si>
    <t>JCM169</t>
  </si>
  <si>
    <t>JCM170</t>
  </si>
  <si>
    <t>JCM171</t>
  </si>
  <si>
    <t>JCM172</t>
  </si>
  <si>
    <t>JCM173</t>
  </si>
  <si>
    <t>JCM174</t>
  </si>
  <si>
    <t>JCM175</t>
  </si>
  <si>
    <t>JCM176</t>
  </si>
  <si>
    <t>JCM177</t>
  </si>
  <si>
    <t>JCM178</t>
  </si>
  <si>
    <t>JCM179</t>
  </si>
  <si>
    <t>196..3</t>
  </si>
  <si>
    <t>JCM180</t>
  </si>
  <si>
    <t>JCM181</t>
  </si>
  <si>
    <t>JCM182</t>
  </si>
  <si>
    <t>JCM183</t>
  </si>
  <si>
    <t>JCM184</t>
  </si>
  <si>
    <t>JCM185</t>
  </si>
  <si>
    <t>JCM186</t>
  </si>
  <si>
    <t>JCM187</t>
  </si>
  <si>
    <t>JCM188</t>
  </si>
  <si>
    <t>JCM189</t>
  </si>
  <si>
    <t>JCM190</t>
  </si>
  <si>
    <t>JCM191</t>
  </si>
  <si>
    <t>JCM192</t>
  </si>
  <si>
    <t>JCM193</t>
  </si>
  <si>
    <t>JCM194</t>
  </si>
  <si>
    <t>JCM195</t>
  </si>
  <si>
    <t>JCM196</t>
  </si>
  <si>
    <t>JCM197</t>
  </si>
  <si>
    <t>JCM198</t>
  </si>
  <si>
    <t>JCM199</t>
  </si>
  <si>
    <t>JCM200</t>
  </si>
  <si>
    <t>JCM201</t>
  </si>
  <si>
    <t>JCM202</t>
  </si>
  <si>
    <t>JCM203</t>
  </si>
  <si>
    <t>JCM204</t>
  </si>
  <si>
    <t>JCM205</t>
  </si>
  <si>
    <t>JCM206</t>
  </si>
  <si>
    <t>JCM207</t>
  </si>
  <si>
    <t>JCM208</t>
  </si>
  <si>
    <t>JCM209</t>
  </si>
  <si>
    <t>JCM210</t>
  </si>
  <si>
    <t>JCM211</t>
  </si>
  <si>
    <t>JCM212</t>
  </si>
  <si>
    <t>JCM213</t>
  </si>
  <si>
    <t>JCM214</t>
  </si>
  <si>
    <t>JCM215</t>
  </si>
  <si>
    <t>JCM216</t>
  </si>
  <si>
    <t>JCM217</t>
  </si>
  <si>
    <t>JCM218</t>
  </si>
  <si>
    <t>JCM219</t>
  </si>
  <si>
    <t>JCM220</t>
  </si>
  <si>
    <t>JCM221</t>
  </si>
  <si>
    <t>JCM222</t>
  </si>
  <si>
    <t>JCM223</t>
  </si>
  <si>
    <t>JCM224</t>
  </si>
  <si>
    <t>JCM225</t>
  </si>
  <si>
    <t>JCM226</t>
  </si>
  <si>
    <t>JCM227</t>
  </si>
  <si>
    <t>JCM228</t>
  </si>
  <si>
    <t>JCM229</t>
  </si>
  <si>
    <t>JCM230</t>
  </si>
  <si>
    <t>JCM231</t>
  </si>
  <si>
    <t>JCM232</t>
  </si>
  <si>
    <t>JCM233</t>
  </si>
  <si>
    <t>JCM234</t>
  </si>
  <si>
    <t>JCM235</t>
  </si>
  <si>
    <t>JCM236</t>
  </si>
  <si>
    <t>JCM237</t>
  </si>
  <si>
    <t>JCM238</t>
  </si>
  <si>
    <t>JCM239</t>
  </si>
  <si>
    <t>JCM240</t>
  </si>
  <si>
    <t>JCM241</t>
  </si>
  <si>
    <t>JCM242</t>
  </si>
  <si>
    <t>JCM243</t>
  </si>
  <si>
    <t>JCM244</t>
  </si>
  <si>
    <t>JCM245</t>
  </si>
  <si>
    <t>JCM246</t>
  </si>
  <si>
    <t>JCM247</t>
  </si>
  <si>
    <t>JCM248</t>
  </si>
  <si>
    <t>JCM249</t>
  </si>
  <si>
    <t>JCM250</t>
  </si>
  <si>
    <t>JCM251</t>
  </si>
  <si>
    <t>JCM252</t>
  </si>
  <si>
    <t>JCM253</t>
  </si>
  <si>
    <t>JCM255</t>
  </si>
  <si>
    <t>JCM256</t>
  </si>
  <si>
    <t>JCM257</t>
  </si>
  <si>
    <t>JCM258</t>
  </si>
  <si>
    <t>JCM259</t>
  </si>
  <si>
    <t>JCM260</t>
  </si>
  <si>
    <t>JCM261</t>
  </si>
  <si>
    <t>JCM262</t>
  </si>
  <si>
    <t>JCM263</t>
  </si>
  <si>
    <t>JCM264</t>
  </si>
  <si>
    <t>JCM265</t>
  </si>
  <si>
    <t>JCM266</t>
  </si>
  <si>
    <t>JCM267</t>
  </si>
  <si>
    <t>JCM268</t>
  </si>
  <si>
    <t xml:space="preserve"> MUJER</t>
  </si>
  <si>
    <t>JCM269</t>
  </si>
  <si>
    <t>JCM270</t>
  </si>
  <si>
    <t>JCM271</t>
  </si>
  <si>
    <t>JCM272</t>
  </si>
  <si>
    <t>JCM273</t>
  </si>
  <si>
    <t>JCM274</t>
  </si>
  <si>
    <t>JCM275</t>
  </si>
  <si>
    <t>JCM276</t>
  </si>
  <si>
    <t>JCM277</t>
  </si>
  <si>
    <t>JCM278</t>
  </si>
  <si>
    <t>JCM279</t>
  </si>
  <si>
    <t>JCM280</t>
  </si>
  <si>
    <t>JCM281</t>
  </si>
  <si>
    <t>JCM282</t>
  </si>
  <si>
    <t>JCM283</t>
  </si>
  <si>
    <t>JCM284</t>
  </si>
  <si>
    <t>JCM285</t>
  </si>
  <si>
    <t>JCM286</t>
  </si>
  <si>
    <t>JCM287</t>
  </si>
  <si>
    <t>JCM288</t>
  </si>
  <si>
    <t>JCM289</t>
  </si>
  <si>
    <t>JCM290</t>
  </si>
  <si>
    <t>JCM291</t>
  </si>
  <si>
    <t>JCM292</t>
  </si>
  <si>
    <t>JCM293</t>
  </si>
  <si>
    <t>JCM294</t>
  </si>
  <si>
    <t>JCM295</t>
  </si>
  <si>
    <t>JCM296</t>
  </si>
  <si>
    <t>JCM297</t>
  </si>
  <si>
    <t>JCM298</t>
  </si>
  <si>
    <t>JCM299</t>
  </si>
  <si>
    <t>JCM300</t>
  </si>
  <si>
    <t>JCM301</t>
  </si>
  <si>
    <t>JCM302</t>
  </si>
  <si>
    <t>JCM303</t>
  </si>
  <si>
    <t>JCM304</t>
  </si>
  <si>
    <t>JCM305</t>
  </si>
  <si>
    <t>JCM306</t>
  </si>
  <si>
    <t>JCM307</t>
  </si>
  <si>
    <t>JCM308</t>
  </si>
  <si>
    <t>JCM309</t>
  </si>
  <si>
    <t>JCM310</t>
  </si>
  <si>
    <t>JCM311</t>
  </si>
  <si>
    <t>JCM312</t>
  </si>
  <si>
    <t>JCM313</t>
  </si>
  <si>
    <t>JCM314</t>
  </si>
  <si>
    <t>JCM315</t>
  </si>
  <si>
    <t>JCM316</t>
  </si>
  <si>
    <t>JCM317</t>
  </si>
  <si>
    <t>JCM318</t>
  </si>
  <si>
    <t>JCM319</t>
  </si>
  <si>
    <t>JCM320</t>
  </si>
  <si>
    <t>JCM321</t>
  </si>
  <si>
    <t>JCM322</t>
  </si>
  <si>
    <t>JCM323</t>
  </si>
  <si>
    <t>JCM324</t>
  </si>
  <si>
    <t>JCM325</t>
  </si>
  <si>
    <t>JCM326</t>
  </si>
  <si>
    <t>JCM327</t>
  </si>
  <si>
    <t>JCM328</t>
  </si>
  <si>
    <t>JCM329</t>
  </si>
  <si>
    <t>JCM330</t>
  </si>
  <si>
    <t>JCM331</t>
  </si>
  <si>
    <t>JCM332</t>
  </si>
  <si>
    <t>JCM333</t>
  </si>
  <si>
    <t>JCM334</t>
  </si>
  <si>
    <t>JCM335</t>
  </si>
  <si>
    <t>JCM336</t>
  </si>
  <si>
    <t>JCM337</t>
  </si>
  <si>
    <t>JCM338</t>
  </si>
  <si>
    <t>JCM339</t>
  </si>
  <si>
    <t>JCM340</t>
  </si>
  <si>
    <t>JCM341</t>
  </si>
  <si>
    <t>JCM342</t>
  </si>
  <si>
    <t>JCM343</t>
  </si>
  <si>
    <t>JCM344</t>
  </si>
  <si>
    <t>JCM345</t>
  </si>
  <si>
    <t>JCM346</t>
  </si>
  <si>
    <t>JCM347</t>
  </si>
  <si>
    <t>JCM348</t>
  </si>
  <si>
    <t>JCM349</t>
  </si>
  <si>
    <t>JCM350</t>
  </si>
  <si>
    <t>JCM351</t>
  </si>
  <si>
    <t>JCM352</t>
  </si>
  <si>
    <t>JCM353</t>
  </si>
  <si>
    <t>JCM354</t>
  </si>
  <si>
    <t>JCM355</t>
  </si>
  <si>
    <t>JCM356</t>
  </si>
  <si>
    <t>JCM357</t>
  </si>
  <si>
    <t>JCM358</t>
  </si>
  <si>
    <t>JCM359</t>
  </si>
  <si>
    <t>JCM360</t>
  </si>
  <si>
    <t>JCM361</t>
  </si>
  <si>
    <t>JCM362</t>
  </si>
  <si>
    <t>JCM363</t>
  </si>
  <si>
    <t>JCM364</t>
  </si>
  <si>
    <t>JCM365</t>
  </si>
  <si>
    <t>JCM366</t>
  </si>
  <si>
    <t>JCM367</t>
  </si>
  <si>
    <t>JCM368</t>
  </si>
  <si>
    <t>JCM369</t>
  </si>
  <si>
    <t>JCM370</t>
  </si>
  <si>
    <t>JCM371</t>
  </si>
  <si>
    <t>JCM372</t>
  </si>
  <si>
    <t>JCM373</t>
  </si>
  <si>
    <t>JCM374</t>
  </si>
  <si>
    <t>JCM375</t>
  </si>
  <si>
    <t>JCM376</t>
  </si>
  <si>
    <t>JCM377</t>
  </si>
  <si>
    <t>JCM378</t>
  </si>
  <si>
    <t>JCM379</t>
  </si>
  <si>
    <t>JCM380</t>
  </si>
  <si>
    <t>JCM381</t>
  </si>
  <si>
    <t>JCM382</t>
  </si>
  <si>
    <t>JCM383</t>
  </si>
  <si>
    <t>JCM384</t>
  </si>
  <si>
    <t>JCM385</t>
  </si>
  <si>
    <t>JCM386</t>
  </si>
  <si>
    <t>JCM387</t>
  </si>
  <si>
    <t>JCM388</t>
  </si>
  <si>
    <t>JCM389</t>
  </si>
  <si>
    <t>JCM390</t>
  </si>
  <si>
    <t>JCM391</t>
  </si>
  <si>
    <t>JCM392</t>
  </si>
  <si>
    <t>JCM393</t>
  </si>
  <si>
    <t>JCM394</t>
  </si>
  <si>
    <t>JCM395</t>
  </si>
  <si>
    <t>JCM396</t>
  </si>
  <si>
    <t>JCM397</t>
  </si>
  <si>
    <t>JCM398</t>
  </si>
  <si>
    <t>JCM399</t>
  </si>
  <si>
    <t>JCM400</t>
  </si>
  <si>
    <t>JCM401</t>
  </si>
  <si>
    <t>JCM402</t>
  </si>
  <si>
    <t>JCM403</t>
  </si>
  <si>
    <t>JCM404</t>
  </si>
  <si>
    <t>JCM405</t>
  </si>
  <si>
    <t>JCM406</t>
  </si>
  <si>
    <t>JCM407</t>
  </si>
  <si>
    <t>JCM408</t>
  </si>
  <si>
    <t>JCM409</t>
  </si>
  <si>
    <t>JCM410</t>
  </si>
  <si>
    <t>JCM411</t>
  </si>
  <si>
    <t>JCM412</t>
  </si>
  <si>
    <t>JCM413</t>
  </si>
  <si>
    <t>JCM414</t>
  </si>
  <si>
    <t>JCM415</t>
  </si>
  <si>
    <t>JCM416</t>
  </si>
  <si>
    <t>JCM417</t>
  </si>
  <si>
    <t>JCM418</t>
  </si>
  <si>
    <t>JCM419</t>
  </si>
  <si>
    <t>JCM420</t>
  </si>
  <si>
    <t>SMA310</t>
  </si>
  <si>
    <t>SMA316</t>
  </si>
  <si>
    <t>SMA323</t>
  </si>
  <si>
    <t>SMA326</t>
  </si>
  <si>
    <t>SMA267</t>
  </si>
  <si>
    <t>SMA429</t>
  </si>
  <si>
    <t>JCM432</t>
  </si>
  <si>
    <t>JCM480</t>
  </si>
  <si>
    <t>JCM520</t>
  </si>
  <si>
    <t>No. De participante</t>
  </si>
  <si>
    <t>Datos personales</t>
  </si>
  <si>
    <t>Datos antropométricos</t>
  </si>
  <si>
    <t>Datos clínicos</t>
  </si>
  <si>
    <t>Antecedentes familiares</t>
  </si>
  <si>
    <t>Antecedentes personales</t>
  </si>
  <si>
    <t>SP (control) ISC (ISSSTE control)</t>
  </si>
  <si>
    <t>Sexo</t>
  </si>
  <si>
    <t>FUM</t>
  </si>
  <si>
    <t>BMI</t>
  </si>
  <si>
    <t>Cintura</t>
  </si>
  <si>
    <t>Masa grasa (%)</t>
  </si>
  <si>
    <t>Masa muscular (%)</t>
  </si>
  <si>
    <t>Grasa visceral (%)</t>
  </si>
  <si>
    <t>Edad corporal</t>
  </si>
  <si>
    <t>RM</t>
  </si>
  <si>
    <t>Presión sanguinea (mm/Hg) sistólica</t>
  </si>
  <si>
    <t>Presión sanguinea (mm/Hg)2 diastólica</t>
  </si>
  <si>
    <t>glucosa capilar (mg/dL)</t>
  </si>
  <si>
    <t>Colesterol química</t>
  </si>
  <si>
    <t>Triglicéridos química</t>
  </si>
  <si>
    <t>Colesterol-HDL</t>
  </si>
  <si>
    <t>Colesterlol-LDL</t>
  </si>
  <si>
    <t>DMII</t>
  </si>
  <si>
    <t>artritis reumatoide</t>
  </si>
  <si>
    <t>lupus</t>
  </si>
  <si>
    <t>otros</t>
  </si>
  <si>
    <t>enfermedades recientes</t>
  </si>
  <si>
    <t>DMII2</t>
  </si>
  <si>
    <t>Tratamiento DMII</t>
  </si>
  <si>
    <t>tiempo evolución</t>
  </si>
  <si>
    <t>Hipertención</t>
  </si>
  <si>
    <t>tx. Hipertención</t>
  </si>
  <si>
    <t>evolución HT (años)</t>
  </si>
  <si>
    <t>dislipidemia</t>
  </si>
  <si>
    <t>TX. DSP</t>
  </si>
  <si>
    <t>Evolución DSP(años)</t>
  </si>
  <si>
    <t xml:space="preserve">Inicio de consumo(años) </t>
  </si>
  <si>
    <t>consumo</t>
  </si>
  <si>
    <t>Exposición a químicos</t>
  </si>
  <si>
    <t>Exposición a radiaciones</t>
  </si>
  <si>
    <t>OB o SPalguna etapa de la vida</t>
  </si>
  <si>
    <t>Actividad fisica</t>
  </si>
  <si>
    <t>frecuencia diaria</t>
  </si>
  <si>
    <t>otros familiares afectados</t>
  </si>
  <si>
    <t>ISC001</t>
  </si>
  <si>
    <t>F</t>
  </si>
  <si>
    <t>73.8</t>
  </si>
  <si>
    <t>35.6</t>
  </si>
  <si>
    <t>48.8</t>
  </si>
  <si>
    <t>58.9</t>
  </si>
  <si>
    <t>ISC002</t>
  </si>
  <si>
    <t>64.8</t>
  </si>
  <si>
    <t>43.4</t>
  </si>
  <si>
    <t>21.8</t>
  </si>
  <si>
    <t>ISC003</t>
  </si>
  <si>
    <t>ISC004</t>
  </si>
  <si>
    <t>85.4</t>
  </si>
  <si>
    <t>53.8</t>
  </si>
  <si>
    <t>19.6</t>
  </si>
  <si>
    <t>44.1</t>
  </si>
  <si>
    <t>ISC005</t>
  </si>
  <si>
    <t>29.8</t>
  </si>
  <si>
    <t>54.3</t>
  </si>
  <si>
    <t>ISC006</t>
  </si>
  <si>
    <t>58.4</t>
  </si>
  <si>
    <t>ISC007</t>
  </si>
  <si>
    <t>62.5</t>
  </si>
  <si>
    <t>45.8</t>
  </si>
  <si>
    <t>21.2</t>
  </si>
  <si>
    <t>71.5</t>
  </si>
  <si>
    <t>ISC008</t>
  </si>
  <si>
    <t>71.6</t>
  </si>
  <si>
    <t>40.6</t>
  </si>
  <si>
    <t>25.2</t>
  </si>
  <si>
    <t>57.2</t>
  </si>
  <si>
    <t>ISC009</t>
  </si>
  <si>
    <t>64.4</t>
  </si>
  <si>
    <t>ISC010</t>
  </si>
  <si>
    <t>68.1</t>
  </si>
  <si>
    <t>24.7</t>
  </si>
  <si>
    <t>37.7</t>
  </si>
  <si>
    <t>ISC011</t>
  </si>
  <si>
    <t>53.3</t>
  </si>
  <si>
    <t>20.8</t>
  </si>
  <si>
    <t>78.4</t>
  </si>
  <si>
    <t>ISC012</t>
  </si>
  <si>
    <t>60.9</t>
  </si>
  <si>
    <t>22.4</t>
  </si>
  <si>
    <t>27.2</t>
  </si>
  <si>
    <t>53.7</t>
  </si>
  <si>
    <t>ISC013</t>
  </si>
  <si>
    <t>43.9</t>
  </si>
  <si>
    <t>22.5</t>
  </si>
  <si>
    <t>46.5</t>
  </si>
  <si>
    <t>ISC014</t>
  </si>
  <si>
    <t>62.6</t>
  </si>
  <si>
    <t>40.2</t>
  </si>
  <si>
    <t>23.1</t>
  </si>
  <si>
    <t>ISC015</t>
  </si>
  <si>
    <t>57.3</t>
  </si>
  <si>
    <t>37.2</t>
  </si>
  <si>
    <t>45.5</t>
  </si>
  <si>
    <t>ISC016</t>
  </si>
  <si>
    <t>19.4</t>
  </si>
  <si>
    <t>ISC017</t>
  </si>
  <si>
    <t>36.1</t>
  </si>
  <si>
    <t>13.3</t>
  </si>
  <si>
    <t>ISC018</t>
  </si>
  <si>
    <t>103.8</t>
  </si>
  <si>
    <t>58.6</t>
  </si>
  <si>
    <t>49.5</t>
  </si>
  <si>
    <t>ISC019</t>
  </si>
  <si>
    <t>47.4</t>
  </si>
  <si>
    <t>55.7</t>
  </si>
  <si>
    <t>ISC020</t>
  </si>
  <si>
    <t>73.4</t>
  </si>
  <si>
    <t>30.9</t>
  </si>
  <si>
    <t>19.7</t>
  </si>
  <si>
    <t>ISC021</t>
  </si>
  <si>
    <t>52.1</t>
  </si>
  <si>
    <t>ISC022</t>
  </si>
  <si>
    <t>ISC023</t>
  </si>
  <si>
    <t>41.3</t>
  </si>
  <si>
    <t>ISC024</t>
  </si>
  <si>
    <t>58.8</t>
  </si>
  <si>
    <t>ISC025</t>
  </si>
  <si>
    <t>75.6</t>
  </si>
  <si>
    <t>ISC026</t>
  </si>
  <si>
    <t>33.3</t>
  </si>
  <si>
    <t>ISC027</t>
  </si>
  <si>
    <t>44.29</t>
  </si>
  <si>
    <t>49.1</t>
  </si>
  <si>
    <t>ISC028</t>
  </si>
  <si>
    <t>ISC029</t>
  </si>
  <si>
    <t>ISC030</t>
  </si>
  <si>
    <t>46.3</t>
  </si>
  <si>
    <t>ISC031</t>
  </si>
  <si>
    <t>25.3</t>
  </si>
  <si>
    <t>39.8</t>
  </si>
  <si>
    <t>50.6</t>
  </si>
  <si>
    <t>ISC032</t>
  </si>
  <si>
    <t>59.9</t>
  </si>
  <si>
    <t>ISC033</t>
  </si>
  <si>
    <t>27.5</t>
  </si>
  <si>
    <t>ISC034</t>
  </si>
  <si>
    <t>26.4</t>
  </si>
  <si>
    <t>42.5</t>
  </si>
  <si>
    <t>ISC035</t>
  </si>
  <si>
    <t>13.7</t>
  </si>
  <si>
    <t>68.6</t>
  </si>
  <si>
    <t>ISC036</t>
  </si>
  <si>
    <t>56.2</t>
  </si>
  <si>
    <t>ISC037</t>
  </si>
  <si>
    <t>64.5</t>
  </si>
  <si>
    <t>ISC038</t>
  </si>
  <si>
    <t>ISC039</t>
  </si>
  <si>
    <t>30.6</t>
  </si>
  <si>
    <t>47.2</t>
  </si>
  <si>
    <t>22.3</t>
  </si>
  <si>
    <t>36.7</t>
  </si>
  <si>
    <t>ISC040</t>
  </si>
  <si>
    <t>95.7</t>
  </si>
  <si>
    <t>33.9</t>
  </si>
  <si>
    <t>20.5</t>
  </si>
  <si>
    <t>46.4</t>
  </si>
  <si>
    <t>ISC041</t>
  </si>
  <si>
    <t>85.3</t>
  </si>
  <si>
    <t>36.9</t>
  </si>
  <si>
    <t>51.7</t>
  </si>
  <si>
    <t>21.3</t>
  </si>
  <si>
    <t>49.2</t>
  </si>
  <si>
    <t>ISC042</t>
  </si>
  <si>
    <t>58.1</t>
  </si>
  <si>
    <t>22.1</t>
  </si>
  <si>
    <t>8.4</t>
  </si>
  <si>
    <t>10.9</t>
  </si>
  <si>
    <t>ISC043</t>
  </si>
  <si>
    <t>60.4</t>
  </si>
  <si>
    <t>25.1</t>
  </si>
  <si>
    <t>77.5</t>
  </si>
  <si>
    <t>37.3</t>
  </si>
  <si>
    <t>ISC044</t>
  </si>
  <si>
    <t>41.2</t>
  </si>
  <si>
    <t>72.4</t>
  </si>
  <si>
    <t>ISC045</t>
  </si>
  <si>
    <t>47.3</t>
  </si>
  <si>
    <t>17.4</t>
  </si>
  <si>
    <t>56.1</t>
  </si>
  <si>
    <t>ISC046</t>
  </si>
  <si>
    <t>64.7</t>
  </si>
  <si>
    <t>45.6</t>
  </si>
  <si>
    <t>ISC047</t>
  </si>
  <si>
    <t>20.7</t>
  </si>
  <si>
    <t>22.6</t>
  </si>
  <si>
    <t>62.7</t>
  </si>
  <si>
    <t>ISC048</t>
  </si>
  <si>
    <t>73.1</t>
  </si>
  <si>
    <t>39.7</t>
  </si>
  <si>
    <t>78.7</t>
  </si>
  <si>
    <t>ISC049</t>
  </si>
  <si>
    <t>59.7</t>
  </si>
  <si>
    <t>51.9</t>
  </si>
  <si>
    <t>ISC050</t>
  </si>
  <si>
    <t>55.4</t>
  </si>
  <si>
    <t>40.4</t>
  </si>
  <si>
    <t>76.3</t>
  </si>
  <si>
    <t>ISC051</t>
  </si>
  <si>
    <t>25.9</t>
  </si>
  <si>
    <t>67.3</t>
  </si>
  <si>
    <t>ISC052</t>
  </si>
  <si>
    <t>I</t>
  </si>
  <si>
    <t>39.9</t>
  </si>
  <si>
    <t>ISC053</t>
  </si>
  <si>
    <t>74.8</t>
  </si>
  <si>
    <t>29.2</t>
  </si>
  <si>
    <t>46.6</t>
  </si>
  <si>
    <t>44.4</t>
  </si>
  <si>
    <t>ISC054</t>
  </si>
  <si>
    <t>69.7</t>
  </si>
  <si>
    <t>24.1</t>
  </si>
  <si>
    <t>ISC055</t>
  </si>
  <si>
    <t>75.4</t>
  </si>
  <si>
    <t>42.2</t>
  </si>
  <si>
    <t>ISC057</t>
  </si>
  <si>
    <t>39.6</t>
  </si>
  <si>
    <t>23.6</t>
  </si>
  <si>
    <t>42.8</t>
  </si>
  <si>
    <t>ISC058</t>
  </si>
  <si>
    <t>42.3</t>
  </si>
  <si>
    <t>ISC059</t>
  </si>
  <si>
    <t>55.9</t>
  </si>
  <si>
    <t>19.8</t>
  </si>
  <si>
    <t>31.1</t>
  </si>
  <si>
    <t>ISC060</t>
  </si>
  <si>
    <t>ISC061</t>
  </si>
  <si>
    <t>ISC062</t>
  </si>
  <si>
    <t>ISC063</t>
  </si>
  <si>
    <t>52.9</t>
  </si>
  <si>
    <t>30.8</t>
  </si>
  <si>
    <t>26.7</t>
  </si>
  <si>
    <t>ISC064</t>
  </si>
  <si>
    <t>91.3</t>
  </si>
  <si>
    <t>35.7</t>
  </si>
  <si>
    <t>53.2</t>
  </si>
  <si>
    <t>19.9</t>
  </si>
  <si>
    <t>51.4</t>
  </si>
  <si>
    <t>ISC065</t>
  </si>
  <si>
    <t>57.4</t>
  </si>
  <si>
    <t>18.9</t>
  </si>
  <si>
    <t>ISC066</t>
  </si>
  <si>
    <t>59.1</t>
  </si>
  <si>
    <t>38.2</t>
  </si>
  <si>
    <t>ISC067</t>
  </si>
  <si>
    <t>57.8</t>
  </si>
  <si>
    <t>30.3</t>
  </si>
  <si>
    <t>28.6</t>
  </si>
  <si>
    <t>41.7</t>
  </si>
  <si>
    <t>ISC068</t>
  </si>
  <si>
    <t>105.1</t>
  </si>
  <si>
    <t>41.1</t>
  </si>
  <si>
    <t>51.3</t>
  </si>
  <si>
    <t>38.5</t>
  </si>
  <si>
    <t>ISC069</t>
  </si>
  <si>
    <t>79.2</t>
  </si>
  <si>
    <t>43.6</t>
  </si>
  <si>
    <t>35.9</t>
  </si>
  <si>
    <t>ISC070</t>
  </si>
  <si>
    <t>82.7</t>
  </si>
  <si>
    <t>ISC071</t>
  </si>
  <si>
    <t>79.6</t>
  </si>
  <si>
    <t>42.6</t>
  </si>
  <si>
    <t>42.9</t>
  </si>
  <si>
    <t>ISC072</t>
  </si>
  <si>
    <t>81.5</t>
  </si>
  <si>
    <t>42.1</t>
  </si>
  <si>
    <t>SP013</t>
  </si>
  <si>
    <t>SP015</t>
  </si>
  <si>
    <t>SP018</t>
  </si>
  <si>
    <t>69.8</t>
  </si>
  <si>
    <t>52.2</t>
  </si>
  <si>
    <t>SP027</t>
  </si>
  <si>
    <t>47.5</t>
  </si>
  <si>
    <t>32.1</t>
  </si>
  <si>
    <t>SP028</t>
  </si>
  <si>
    <t>150.5</t>
  </si>
  <si>
    <t>61.6</t>
  </si>
  <si>
    <t>78.5</t>
  </si>
  <si>
    <t>SP029</t>
  </si>
  <si>
    <t>157.5</t>
  </si>
  <si>
    <t>57.9</t>
  </si>
  <si>
    <t>37.4</t>
  </si>
  <si>
    <t>24.9</t>
  </si>
  <si>
    <t>SP030</t>
  </si>
  <si>
    <t>62.3</t>
  </si>
  <si>
    <t>27.3</t>
  </si>
  <si>
    <t>SP031</t>
  </si>
  <si>
    <t>157.3</t>
  </si>
  <si>
    <t>63.3</t>
  </si>
  <si>
    <t>SP032</t>
  </si>
  <si>
    <t>159.8</t>
  </si>
  <si>
    <t>111.4</t>
  </si>
  <si>
    <t>43.5</t>
  </si>
  <si>
    <t>53.1</t>
  </si>
  <si>
    <t>SP033</t>
  </si>
  <si>
    <t>70.3</t>
  </si>
  <si>
    <t>SP034</t>
  </si>
  <si>
    <t>38.8</t>
  </si>
  <si>
    <t>SP035*</t>
  </si>
  <si>
    <t>SP039</t>
  </si>
  <si>
    <t>65.6</t>
  </si>
  <si>
    <t>SP040</t>
  </si>
  <si>
    <t>93/111</t>
  </si>
  <si>
    <t>SP041</t>
  </si>
  <si>
    <t>154.5</t>
  </si>
  <si>
    <t>44.6</t>
  </si>
  <si>
    <t>18.7</t>
  </si>
  <si>
    <t>62/84</t>
  </si>
  <si>
    <t>SP044</t>
  </si>
  <si>
    <t>96/103</t>
  </si>
  <si>
    <t>46.9</t>
  </si>
  <si>
    <t>SP045</t>
  </si>
  <si>
    <t>153.5</t>
  </si>
  <si>
    <t>43.3</t>
  </si>
  <si>
    <t>18.4</t>
  </si>
  <si>
    <t>76/86</t>
  </si>
  <si>
    <t>SP046</t>
  </si>
  <si>
    <t>102/118</t>
  </si>
  <si>
    <t>SP047</t>
  </si>
  <si>
    <t>104/114</t>
  </si>
  <si>
    <t>SP048</t>
  </si>
  <si>
    <t>90.4</t>
  </si>
  <si>
    <t>38.4</t>
  </si>
  <si>
    <t>SP049</t>
  </si>
  <si>
    <t>78.2</t>
  </si>
  <si>
    <t>33.75</t>
  </si>
  <si>
    <t>SP051</t>
  </si>
  <si>
    <t>61.4</t>
  </si>
  <si>
    <t>SP052</t>
  </si>
  <si>
    <t>66.2</t>
  </si>
  <si>
    <t>SP054</t>
  </si>
  <si>
    <t>SP055</t>
  </si>
  <si>
    <t>77.4</t>
  </si>
  <si>
    <t>SP056</t>
  </si>
  <si>
    <t>82.4</t>
  </si>
  <si>
    <t>SP057</t>
  </si>
  <si>
    <t>75.7</t>
  </si>
  <si>
    <t>SP058</t>
  </si>
  <si>
    <t>SP059</t>
  </si>
  <si>
    <t>65.4</t>
  </si>
  <si>
    <t>SP060</t>
  </si>
  <si>
    <t>97.7</t>
  </si>
  <si>
    <t>SP061</t>
  </si>
  <si>
    <t>63.4</t>
  </si>
  <si>
    <t>23.5</t>
  </si>
  <si>
    <t>SP063</t>
  </si>
  <si>
    <t>23.9</t>
  </si>
  <si>
    <t>SP064</t>
  </si>
  <si>
    <t>27.8</t>
  </si>
  <si>
    <t>SP065</t>
  </si>
  <si>
    <t>45.4</t>
  </si>
  <si>
    <t>SP066</t>
  </si>
  <si>
    <t>88.4</t>
  </si>
  <si>
    <t>SP067</t>
  </si>
  <si>
    <t>41.4</t>
  </si>
  <si>
    <t>16.8</t>
  </si>
  <si>
    <t>SP068</t>
  </si>
  <si>
    <t>78.8</t>
  </si>
  <si>
    <t>33.2</t>
  </si>
  <si>
    <t>105.3</t>
  </si>
  <si>
    <t>50.78</t>
  </si>
  <si>
    <t>52.6</t>
  </si>
  <si>
    <t>44.7</t>
  </si>
  <si>
    <t>SP070</t>
  </si>
  <si>
    <t>SP074</t>
  </si>
  <si>
    <t>164.5</t>
  </si>
  <si>
    <t>SP076</t>
  </si>
  <si>
    <t>25.5</t>
  </si>
  <si>
    <t>SP077</t>
  </si>
  <si>
    <t>0ct-2005</t>
  </si>
  <si>
    <t>80.2</t>
  </si>
  <si>
    <t>SP079</t>
  </si>
  <si>
    <t>SP080</t>
  </si>
  <si>
    <t>63.8</t>
  </si>
  <si>
    <t>24.31</t>
  </si>
  <si>
    <t>SP082</t>
  </si>
  <si>
    <t>29.9</t>
  </si>
  <si>
    <t>SP083</t>
  </si>
  <si>
    <t>SP084</t>
  </si>
  <si>
    <t>SP086</t>
  </si>
  <si>
    <t xml:space="preserve"> ND</t>
  </si>
  <si>
    <t>ND</t>
  </si>
  <si>
    <t>SP087</t>
  </si>
  <si>
    <t>Marca temporal</t>
  </si>
  <si>
    <t xml:space="preserve">Teléfono de contacto (con WhatsApp) </t>
  </si>
  <si>
    <t xml:space="preserve">Genero </t>
  </si>
  <si>
    <t>Estado de la República Mexicana donde nació?</t>
  </si>
  <si>
    <t>Estado de la República Mexicana donde nació su mamá?</t>
  </si>
  <si>
    <t>Estado de la República Mexicana donde nació su papá?</t>
  </si>
  <si>
    <t>Estado de la República Mexicana donde nacieron sus abuelos paternos?</t>
  </si>
  <si>
    <t>Estado de la República Mexicana donde nacieron sus abuelos maternos?</t>
  </si>
  <si>
    <t>signos y síntomas que estés presentando en la actualidad? (diarrea, estreñimiento, fiebre, gastritis, colitis, falta de apetito etc)</t>
  </si>
  <si>
    <t xml:space="preserve">Has salido positivo a Covid - 19? ( a lo largo de esta pandemia) </t>
  </si>
  <si>
    <t>Tiene diagnostico de alguna de las siguientes enfermedades?</t>
  </si>
  <si>
    <t>Toma algún medicamento para alguna de las siguientes enfermedades?</t>
  </si>
  <si>
    <t xml:space="preserve">Le han diagnosticado o padece de alguna enfermedad no antes mencionada </t>
  </si>
  <si>
    <t xml:space="preserve">Podría indicarnos todos los medicamentos, fármacos y suplementos u homeopatía que este tomando a continuación </t>
  </si>
  <si>
    <t>Cuantos embarazos ha tenido?</t>
  </si>
  <si>
    <t xml:space="preserve">Aun tiene su menstruación? </t>
  </si>
  <si>
    <t xml:space="preserve">Tiene algún familiar de parte de su mamá con alguna de las siguientes enfermedades </t>
  </si>
  <si>
    <t xml:space="preserve">Tiene algún familiar de parte de su papá con alguna de las siguientes enfermedades </t>
  </si>
  <si>
    <t>Desayuno 1</t>
  </si>
  <si>
    <t>Merienda 1</t>
  </si>
  <si>
    <t>Comida 1</t>
  </si>
  <si>
    <t>Cena 1</t>
  </si>
  <si>
    <t>Desayuno día 2</t>
  </si>
  <si>
    <t>Merienda día 2</t>
  </si>
  <si>
    <t>Comida día 2</t>
  </si>
  <si>
    <t>Cena día 2</t>
  </si>
  <si>
    <t xml:space="preserve">cuantas comidas al día realizas, contando meriendas? </t>
  </si>
  <si>
    <t xml:space="preserve">tienes horarios establecidos para tus comidas? </t>
  </si>
  <si>
    <t xml:space="preserve">Cuantas veces a la semana compras alguna de tus comidas en una fonda ? </t>
  </si>
  <si>
    <t xml:space="preserve">Cuantas veces a la semana compras alguna de tus comidas en un lugar de comida rápida ? </t>
  </si>
  <si>
    <t xml:space="preserve">Cuanto gastas por día en todas tus comidas? </t>
  </si>
  <si>
    <t>Realizas ejercicio</t>
  </si>
  <si>
    <t xml:space="preserve">cuantas veces a la semana realizas ejercicio </t>
  </si>
  <si>
    <t xml:space="preserve">Eres alérgico a algún alimento? </t>
  </si>
  <si>
    <t xml:space="preserve">Eres intolerante a algún alimento? </t>
  </si>
  <si>
    <t xml:space="preserve">Que alimentos no te agrada comer? </t>
  </si>
  <si>
    <t>Alergia, lumbalgia, gastritis</t>
  </si>
  <si>
    <t>Metformina, aluminio de magnesio, epinastina,fluxetina, omeprazol.</t>
  </si>
  <si>
    <t>Enfermedades cardiacas</t>
  </si>
  <si>
    <t>Quesadilla con arrachera y licuado de fresa</t>
  </si>
  <si>
    <t>Ninguna</t>
  </si>
  <si>
    <t>Carne devres con papas, zanahoria y frijoles</t>
  </si>
  <si>
    <t>Cereal con leche de almendras</t>
  </si>
  <si>
    <t>Huevo con jamon, frijoles y bolillo con licuado de manzana con chocolate</t>
  </si>
  <si>
    <t>Pasta, pollo con chile morron y cebolla,con tortilla</t>
  </si>
  <si>
    <t>Pan con leche de almendras</t>
  </si>
  <si>
    <t>$50.00  a $$70.00</t>
  </si>
  <si>
    <t>ningún día</t>
  </si>
  <si>
    <t>Ninguno</t>
  </si>
  <si>
    <t>Ninguna, solo soy donadora renal</t>
  </si>
  <si>
    <t>Diabetes, Hipertensión</t>
  </si>
  <si>
    <t>Diabetes, Hipertensión, Enfermedades de riñón</t>
  </si>
  <si>
    <t>Sandwich de Jamon</t>
  </si>
  <si>
    <t>Fruta</t>
  </si>
  <si>
    <t>Enmoladas, arroz y ensalada</t>
  </si>
  <si>
    <t>Chocolate</t>
  </si>
  <si>
    <t>Tacos de pastor</t>
  </si>
  <si>
    <t>Burrita de chilorio</t>
  </si>
  <si>
    <t>Pozole mini y 2 tacos de rajas</t>
  </si>
  <si>
    <t>$300</t>
  </si>
  <si>
    <t xml:space="preserve">Fisioterapeuta </t>
  </si>
  <si>
    <t xml:space="preserve">Ninguno </t>
  </si>
  <si>
    <t>Diabetes, Hipertensión, Obesidad</t>
  </si>
  <si>
    <t>Diabetes, Hipertensión, Enfermedades de riñón, Artritis, Obesidad</t>
  </si>
  <si>
    <t>Hot cakes y licuado</t>
  </si>
  <si>
    <t>Fruta y yogurt</t>
  </si>
  <si>
    <t xml:space="preserve">Hamburguesa y papas a la francesa </t>
  </si>
  <si>
    <t>Yakult y fruta</t>
  </si>
  <si>
    <t>Cereal y leche 1</t>
  </si>
  <si>
    <t>100-300</t>
  </si>
  <si>
    <t xml:space="preserve">Docente </t>
  </si>
  <si>
    <t xml:space="preserve">Jalisco </t>
  </si>
  <si>
    <t>Obesidad/sobrepeso</t>
  </si>
  <si>
    <t>Diabetes, Artritis, Obesidad/sobrepeso</t>
  </si>
  <si>
    <t>Diabetes, Hipertensión, Enfermedades de riñón, Obesidad/sobrepeso</t>
  </si>
  <si>
    <t xml:space="preserve">1 Sándwich y licuado de platano con chocolate </t>
  </si>
  <si>
    <t xml:space="preserve">Nada </t>
  </si>
  <si>
    <t xml:space="preserve">4 enchiladas y papas a la francesa </t>
  </si>
  <si>
    <t xml:space="preserve">Papas sabritas </t>
  </si>
  <si>
    <t>4 rebanadas de pizza</t>
  </si>
  <si>
    <t xml:space="preserve">3 quesadillas y licuado de frutas y chocolate </t>
  </si>
  <si>
    <t xml:space="preserve">4 tacos de barbacoa </t>
  </si>
  <si>
    <t xml:space="preserve">Fruta </t>
  </si>
  <si>
    <t xml:space="preserve">Cereal con leche </t>
  </si>
  <si>
    <t>Coima</t>
  </si>
  <si>
    <t>fruta</t>
  </si>
  <si>
    <t>ARROZ ENSALADA FILETE DE POLLO</t>
  </si>
  <si>
    <t>FRUTA</t>
  </si>
  <si>
    <t>ENSALADA</t>
  </si>
  <si>
    <t>cereal</t>
  </si>
  <si>
    <t>caldo de pollo</t>
  </si>
  <si>
    <t>pan tostado con mermelada</t>
  </si>
  <si>
    <t>ninguna</t>
  </si>
  <si>
    <t>menudo</t>
  </si>
  <si>
    <t xml:space="preserve">Estudiante y ama de casa </t>
  </si>
  <si>
    <t>Amatitan</t>
  </si>
  <si>
    <t xml:space="preserve">Amatitan </t>
  </si>
  <si>
    <t>Nimguna</t>
  </si>
  <si>
    <t>Enfermedades cardiacas, Cáncer, Obesidad/sobrepeso</t>
  </si>
  <si>
    <t>frijoles con huevo mexicano</t>
  </si>
  <si>
    <t>Gelatina de leche</t>
  </si>
  <si>
    <t>Tacos albapor</t>
  </si>
  <si>
    <t>Nieve de chocolate</t>
  </si>
  <si>
    <t>Galletas con leche</t>
  </si>
  <si>
    <t>Cereal con fruta</t>
  </si>
  <si>
    <t>Carne mexicana</t>
  </si>
  <si>
    <t>Biónico</t>
  </si>
  <si>
    <t>Licuado y pan</t>
  </si>
  <si>
    <t>1 o 2</t>
  </si>
  <si>
    <t xml:space="preserve">Nose bien </t>
  </si>
  <si>
    <t>Maestra y estudiante</t>
  </si>
  <si>
    <t>Artritis, Obesidad/sobrepeso</t>
  </si>
  <si>
    <t>Enfermedades de riñón, Artritis, Obesidad/sobrepeso</t>
  </si>
  <si>
    <t>A las 10:30 desayune 3 tacos de barbacoa</t>
  </si>
  <si>
    <t>A las 12 unas sabritas</t>
  </si>
  <si>
    <t>3:30 aguachile y una michelada</t>
  </si>
  <si>
    <t>8:30 1 michelada y alitas</t>
  </si>
  <si>
    <t>No cene</t>
  </si>
  <si>
    <t>8 desayune frijoles con poco queso</t>
  </si>
  <si>
    <t>10:30 un yogurt</t>
  </si>
  <si>
    <t xml:space="preserve">3:30 sopa de arroz </t>
  </si>
  <si>
    <t>Nada</t>
  </si>
  <si>
    <t>9:30 Un te de limon</t>
  </si>
  <si>
    <t>Depende si estoy en mi casa 100 si estoy en tequila 350</t>
  </si>
  <si>
    <t>La leche</t>
  </si>
  <si>
    <t xml:space="preserve">Leche, capsut, mayonesa, mostaza </t>
  </si>
  <si>
    <t xml:space="preserve">Ama de casa </t>
  </si>
  <si>
    <t xml:space="preserve">Sonora </t>
  </si>
  <si>
    <t xml:space="preserve">No se </t>
  </si>
  <si>
    <t xml:space="preserve">Ninguna </t>
  </si>
  <si>
    <t>2 huevos con 1/2 taza de jitomate y cebolla picado con una cucharadita de aceite y 2 piezas de tortilla</t>
  </si>
  <si>
    <t xml:space="preserve">1/2 taza de yogurt s/azúcar con 1/2 pieza de pera y 5 almendras </t>
  </si>
  <si>
    <t>1 pieza filete tilapia con 1 taza de champiñón, 1/4 de taza de arroz cocido y 2 piezas tortilla</t>
  </si>
  <si>
    <t xml:space="preserve">1 taza de leche, 1/2 taza de fresas congeladas 3 nueces </t>
  </si>
  <si>
    <t xml:space="preserve">60 grs de bistec, 1/3 taza de frijoles fritos 2 piezas de tortilla y 1/2 taza de chayote cocido </t>
  </si>
  <si>
    <t>60 grs de bistec con jitomate y cebolla, 1/2 taza de frijol de la olla, 2 piezas de tortilla</t>
  </si>
  <si>
    <t xml:space="preserve">2 piezas de galletas de arroz, 1 cucharada de crema de cacahuate y 1/2 plátano rebanado </t>
  </si>
  <si>
    <t xml:space="preserve">90 grs de pechuga de pollo a la plancha, 1 taza de calabacita cocida 2 piezas de tortilla </t>
  </si>
  <si>
    <t xml:space="preserve">1 taza de leche, 1 pieza de manzana roja 5 almendras </t>
  </si>
  <si>
    <t xml:space="preserve">1 huevo y 2 claras con 1 taza de espinacas y 1/3 de pieza de aguacate 1/2 taza de yogurt con fresas picadas </t>
  </si>
  <si>
    <t>$200</t>
  </si>
  <si>
    <t xml:space="preserve">Zanahoria cocida </t>
  </si>
  <si>
    <t>Operador de tractor</t>
  </si>
  <si>
    <t>Magdalena</t>
  </si>
  <si>
    <t>Hostotopaquillo</t>
  </si>
  <si>
    <t>Salvador</t>
  </si>
  <si>
    <t>No se</t>
  </si>
  <si>
    <t>No tomo nada</t>
  </si>
  <si>
    <t>Diabetes, Obesidad/sobrepeso</t>
  </si>
  <si>
    <t xml:space="preserve">10 am carne frita con nopales </t>
  </si>
  <si>
    <t xml:space="preserve">12 pm manzana y naranja </t>
  </si>
  <si>
    <t>4 pm arros  con filete</t>
  </si>
  <si>
    <t>10 pm un baso de leche con un platano</t>
  </si>
  <si>
    <t xml:space="preserve">10 am 2 huevos </t>
  </si>
  <si>
    <t>12pm una naranja</t>
  </si>
  <si>
    <t>4 pm Calabaza guisada</t>
  </si>
  <si>
    <t xml:space="preserve">5 pm una rebanada de melo </t>
  </si>
  <si>
    <t>1 ves</t>
  </si>
  <si>
    <t>A ninguno</t>
  </si>
  <si>
    <t>No soy intolerante</t>
  </si>
  <si>
    <t xml:space="preserve">Pescado en caldo </t>
  </si>
  <si>
    <t xml:space="preserve">trabajo y estudio </t>
  </si>
  <si>
    <t xml:space="preserve">magdalena jalisco </t>
  </si>
  <si>
    <t xml:space="preserve">Sinaloa </t>
  </si>
  <si>
    <t xml:space="preserve">sinaloa </t>
  </si>
  <si>
    <t xml:space="preserve">magdalena </t>
  </si>
  <si>
    <t>Diebetes, Ninguna</t>
  </si>
  <si>
    <t xml:space="preserve">solo para dolores remotos </t>
  </si>
  <si>
    <t xml:space="preserve">ninguno </t>
  </si>
  <si>
    <t xml:space="preserve">a las 6 de la mañana en mi trabajo pero solo un cafe con galletas marias </t>
  </si>
  <si>
    <t xml:space="preserve">almendras </t>
  </si>
  <si>
    <t xml:space="preserve">a las 11, desayuno ya bien huevo con salchicha y 3 tortillas </t>
  </si>
  <si>
    <t xml:space="preserve"> una manzana </t>
  </si>
  <si>
    <t xml:space="preserve">un licuado de avena con plátano </t>
  </si>
  <si>
    <t xml:space="preserve">a las 6 de la mañana en mi trabajo pero solo un café con pan integral con crema de cacahuate y plátano </t>
  </si>
  <si>
    <t xml:space="preserve">una pera </t>
  </si>
  <si>
    <t xml:space="preserve">un sándwich con un vaso de leche  </t>
  </si>
  <si>
    <t xml:space="preserve">un plátano con leche </t>
  </si>
  <si>
    <t xml:space="preserve">ninguna </t>
  </si>
  <si>
    <t xml:space="preserve">el fin de semana </t>
  </si>
  <si>
    <t xml:space="preserve">todo me gusta </t>
  </si>
  <si>
    <t xml:space="preserve">Estudiante </t>
  </si>
  <si>
    <t xml:space="preserve">Magdalena jalisco </t>
  </si>
  <si>
    <t xml:space="preserve">En tala </t>
  </si>
  <si>
    <t xml:space="preserve">Magdalena </t>
  </si>
  <si>
    <t xml:space="preserve">Guadalajara abuela y abuelo tala </t>
  </si>
  <si>
    <t>Diabetes, Hipertensión, Obesidad/sobrepeso</t>
  </si>
  <si>
    <t xml:space="preserve">1 lonche panela </t>
  </si>
  <si>
    <t xml:space="preserve">Carne c/nopales </t>
  </si>
  <si>
    <t xml:space="preserve">Jericalla </t>
  </si>
  <si>
    <t xml:space="preserve">Serial con leche </t>
  </si>
  <si>
    <t xml:space="preserve">Hot cakes de avena </t>
  </si>
  <si>
    <t xml:space="preserve">2 durazno </t>
  </si>
  <si>
    <t xml:space="preserve">Milanesas con arroz </t>
  </si>
  <si>
    <t xml:space="preserve">Agua de Jamaica, 1 pepino </t>
  </si>
  <si>
    <t xml:space="preserve">Sándwich </t>
  </si>
  <si>
    <t>Más de 6</t>
  </si>
  <si>
    <t xml:space="preserve">Calabazas </t>
  </si>
  <si>
    <t>Tec.Asistente..</t>
  </si>
  <si>
    <t>Guadalajara,Jalisco.</t>
  </si>
  <si>
    <t>Adoptada..</t>
  </si>
  <si>
    <t>Adoptado.</t>
  </si>
  <si>
    <t>Adoptada.</t>
  </si>
  <si>
    <t>Hipertensión, Colesterol elevado, Trigliceridos elevados, Artritis, Obesidad/sobrepeso, Enfermedad del corazón</t>
  </si>
  <si>
    <t>Hipertensión, Colesterol elevado, Enfermedad del corazón</t>
  </si>
  <si>
    <t>Alergias,asma.</t>
  </si>
  <si>
    <t xml:space="preserve">Epinastina, fluoxetina,riboxapan,(anticuagulante.), </t>
  </si>
  <si>
    <t>Un aborto.</t>
  </si>
  <si>
    <t>Café,empanadas.</t>
  </si>
  <si>
    <t xml:space="preserve">De lo que quede de la comida </t>
  </si>
  <si>
    <t>Bistec con nopal asado con queso ,y frijoles.</t>
  </si>
  <si>
    <t>Ninguna.</t>
  </si>
  <si>
    <t>Lacteos</t>
  </si>
  <si>
    <t>Chófer de Uber</t>
  </si>
  <si>
    <t>Hipertensión, Obesidad/sobrepeso, Enfermedad en los riñones</t>
  </si>
  <si>
    <t>Distonía Cervical</t>
  </si>
  <si>
    <t>Clonazepam, imipramina, Losartan, omeprazol</t>
  </si>
  <si>
    <t>Hipertensión, Cáncer, Obesidad/sobrepeso</t>
  </si>
  <si>
    <t>Atún. Sardinas, carne asada, nopales, frijoles , sandwich, refresco, pan dulce</t>
  </si>
  <si>
    <t>Atún, carne asada, pan dulce, refresco, sandwich de jamón, frijoles, quesadillas</t>
  </si>
  <si>
    <t>Leche de vaca</t>
  </si>
  <si>
    <t>Ningúna</t>
  </si>
  <si>
    <t>3 rebanadas de pan con chocolate y un yogurth de fresa de 300ml</t>
  </si>
  <si>
    <t>4 galletas de nuez grandes</t>
  </si>
  <si>
    <t>Lonche de chilaquiles</t>
  </si>
  <si>
    <t>No tuve merienda</t>
  </si>
  <si>
    <t>No tuve cena</t>
  </si>
  <si>
    <t>3 tacos y una agua de 300ml</t>
  </si>
  <si>
    <t>Dos panes con licuado de plátano</t>
  </si>
  <si>
    <t>Una papa con chorizo y queso, dos vasos de agua de piña</t>
  </si>
  <si>
    <t>Una tortilla con birria</t>
  </si>
  <si>
    <t>Quesadilla de birria</t>
  </si>
  <si>
    <t>70 pesos aproximadamente</t>
  </si>
  <si>
    <t>Chayote, aceitunas, pescado y camarón, queso cottage, panela, berenjena, requesón, garbanzo</t>
  </si>
  <si>
    <t>Optometrista</t>
  </si>
  <si>
    <t>Colitis</t>
  </si>
  <si>
    <t>Hipertensión, Cáncer</t>
  </si>
  <si>
    <t>Diabetes, Hipertensión, Cáncer, Obesidad/sobrepeso</t>
  </si>
  <si>
    <t>3 claras de huevo a la mexicana, ensalada y 2 tortillas</t>
  </si>
  <si>
    <t>Una taza de fresas y 10 almendras</t>
  </si>
  <si>
    <t>Media taza de arroz, media calabaza, medio chayote, 1 zanahoria y 90 gramos de carne</t>
  </si>
  <si>
    <t>2 quesadillas de panela, ensalada</t>
  </si>
  <si>
    <t xml:space="preserve">2 rebanadas de requesón, ensalada </t>
  </si>
  <si>
    <t>1 pera, 10 almendras</t>
  </si>
  <si>
    <t>Salpicón de pollo y verduras</t>
  </si>
  <si>
    <t>1 taza de fresas</t>
  </si>
  <si>
    <t>Sandwich de pechuga de pollo y ensalada</t>
  </si>
  <si>
    <t>Estudiante y Empleado</t>
  </si>
  <si>
    <t>Colitis y consumo de comida en exceso</t>
  </si>
  <si>
    <t>Diabetes, Hipertensión, Enfermedades cardiacas, Enfermedades de riñón, Obesidad/sobrepeso</t>
  </si>
  <si>
    <t>Diabetes, Hipertensión, Enfermedades cardiacas, Obesidad/sobrepeso</t>
  </si>
  <si>
    <t xml:space="preserve">Medio plato con frijoles y la otra mitad huevo frito y 750ml de café o Chocomilk </t>
  </si>
  <si>
    <t>500g de papas, una gelatina o un pan</t>
  </si>
  <si>
    <t xml:space="preserve">Un plato de caldo de pollo, un plato de caldo con 3 tortitas de papa, un bistec de res con frijoles y pico de gallo </t>
  </si>
  <si>
    <t>Una bolsa de palomitas, papás, pan o churros</t>
  </si>
  <si>
    <t>5 quesadillas, 4 tacos de frijoles, sopa de arroz etc.</t>
  </si>
  <si>
    <t xml:space="preserve">2 tamales con pan y 750ml de cafe con galletas </t>
  </si>
  <si>
    <t>Pan con Chocomilk o fruta picada con limón y chile</t>
  </si>
  <si>
    <t xml:space="preserve">Hot dog, pescado son sopa de arroz </t>
  </si>
  <si>
    <t xml:space="preserve">Gelatina </t>
  </si>
  <si>
    <t>Galletas con gelatina o quesadillas</t>
  </si>
  <si>
    <t>De $150 a $250</t>
  </si>
  <si>
    <t xml:space="preserve">A ninguno </t>
  </si>
  <si>
    <t>Enlatados y algunas veces carne de res, cerdo o pollo</t>
  </si>
  <si>
    <t xml:space="preserve">Ansiedad </t>
  </si>
  <si>
    <t>Trigliceridos elevados, Obesidad/sobrepeso</t>
  </si>
  <si>
    <t>METFORMINA DE 850 Mg una por la mañana y otra por la noche después de ingerir alimentos</t>
  </si>
  <si>
    <t>Un huevo frito con dos tortillas y una porción de frijoles. Y una taza de café</t>
  </si>
  <si>
    <t>Fruta picada (naranja, manzana, piña) Dulces 2</t>
  </si>
  <si>
    <t>Ensalada de atún con jitomate, cebolla, cilantro y dos tostadas.</t>
  </si>
  <si>
    <t>Gelatina sin azúcar y una naranja</t>
  </si>
  <si>
    <t>Cereal con leche</t>
  </si>
  <si>
    <t>Dos quesadillas y un café</t>
  </si>
  <si>
    <t>Fruta picada (naranja, manzana, piña)  3 galletas</t>
  </si>
  <si>
    <t>Calabazas con carne y frijoles. Dos tostadas</t>
  </si>
  <si>
    <t>Gelatina, 2  galletas y una naranja</t>
  </si>
  <si>
    <t>Cereal y otra gelatina</t>
  </si>
  <si>
    <t>ningúna</t>
  </si>
  <si>
    <t>Nuez,</t>
  </si>
  <si>
    <t>Todo me como</t>
  </si>
  <si>
    <t xml:space="preserve">Diarrea, estreñimiento </t>
  </si>
  <si>
    <t>Casa</t>
  </si>
  <si>
    <t xml:space="preserve">200 pesos </t>
  </si>
  <si>
    <t>Teocaltiche Jalisco</t>
  </si>
  <si>
    <t>Concepcion del bramador</t>
  </si>
  <si>
    <t>Colitis ,gastritis,</t>
  </si>
  <si>
    <t>Hipertensión, Colesterol elevado, Trigliceridos elevados, Obesidad/sobrepeso</t>
  </si>
  <si>
    <t>Hipertensión, Colesterol elevado, Trigliceridos elevados</t>
  </si>
  <si>
    <t>Losartan, Bezafibrato,clortalidona,</t>
  </si>
  <si>
    <t>2 claras de huevo 1 taza café  3 tortillas</t>
  </si>
  <si>
    <t>Taza melón taza de varias frutas</t>
  </si>
  <si>
    <t>Plato de sopa 3 a 4 tortillas 1vaso agua de frutas y aveces  taza de verduras</t>
  </si>
  <si>
    <t>Frutas con cereales mixtos almendras y semillas</t>
  </si>
  <si>
    <t>1 pan con leche o taza de avena con plátano</t>
  </si>
  <si>
    <t>taza de Frijoles 1 virote 1vaso de jugo verde</t>
  </si>
  <si>
    <t>2 rebanadas de fruta como melón o sandía piña</t>
  </si>
  <si>
    <t>4 tostadas de Soya 1plato de sopa y vaso grande de agua de frutas o jamaica</t>
  </si>
  <si>
    <t>Plátano o cualquier fruta o sobre de cereales mixtos</t>
  </si>
  <si>
    <t>3 Quesadillas 1taza de cafe o te me icas</t>
  </si>
  <si>
    <t>1 o 2 veces</t>
  </si>
  <si>
    <t>$150</t>
  </si>
  <si>
    <t>Carnitas y. Chicharron</t>
  </si>
  <si>
    <t xml:space="preserve">Zacatecas </t>
  </si>
  <si>
    <t>Michoacan y veracruz</t>
  </si>
  <si>
    <t>Gastritis y colitis estreñimiento esporadico</t>
  </si>
  <si>
    <t>Complejo b, indometacina, ibuprofeno</t>
  </si>
  <si>
    <t>Diabetes, Hipertensión, Artritis, Obesidad/sobrepeso</t>
  </si>
  <si>
    <t>2 huevos con 1 rebanada de jamon, 1 cucharada de frijol, 3 tortillas 1 cafe</t>
  </si>
  <si>
    <t>1 cucharada de arroz al vapor, 2 cucharadas de calabazas a la mexicana 2 vasos de agua de jamaica</t>
  </si>
  <si>
    <t>Manzana con tajin</t>
  </si>
  <si>
    <t xml:space="preserve">1 taza de café </t>
  </si>
  <si>
    <t xml:space="preserve">2 cucharadas de chilaquiles 1 cucharada de frijol frito 1 taza de café </t>
  </si>
  <si>
    <t>1 cucharada de costilla en Chile pasilla y 1 cucharada de frijol de olla 2 vasos de agua de jamaica</t>
  </si>
  <si>
    <t>1 naranja</t>
  </si>
  <si>
    <t>Yogurt con 1 manzana</t>
  </si>
  <si>
    <t>Aproximadamente 180 pesos</t>
  </si>
  <si>
    <t xml:space="preserve">Leche, habas, carne molida, </t>
  </si>
  <si>
    <t xml:space="preserve">Michoacán </t>
  </si>
  <si>
    <t xml:space="preserve">Estreñimiento </t>
  </si>
  <si>
    <t xml:space="preserve">Venlafaxina, clonazepam, ácido fólico, ciproterona/etinilestradiol, estrógenos conjugados, norelgestromina/etinilestradiol, espironolactona, tenofovir/emtricitabina </t>
  </si>
  <si>
    <t>Diabetes, Hipertensión, Enfermedades cardiacas</t>
  </si>
  <si>
    <t>4 panes con crema y 4 salchichas, 500 ml de sgua</t>
  </si>
  <si>
    <t>300 no agua</t>
  </si>
  <si>
    <t xml:space="preserve">500 ml agua </t>
  </si>
  <si>
    <t xml:space="preserve">Una galleta de avena </t>
  </si>
  <si>
    <t>Un pan, un vaso de leche</t>
  </si>
  <si>
    <t xml:space="preserve">Un par de huevos con 3 tortillas, un litro de agua </t>
  </si>
  <si>
    <t xml:space="preserve">300 grs de frijol con 6 tortillas </t>
  </si>
  <si>
    <t xml:space="preserve">Un pan con agua </t>
  </si>
  <si>
    <t xml:space="preserve">Jitomate crudo </t>
  </si>
  <si>
    <t>Administración de airbnb</t>
  </si>
  <si>
    <t>Estreñimiento, inflamación, obesidad</t>
  </si>
  <si>
    <t>Ansiedad generalizada</t>
  </si>
  <si>
    <t>2 huevos, una taza de frijoles, cuatro tortillas, una taza de café, 1 pieza de pan dulce</t>
  </si>
  <si>
    <t>1 pieza de chocolate, 1 fruta</t>
  </si>
  <si>
    <t>Carne, dos filetes, 1 taza de arroz, 1 taza de frijoles, 4 tortillas, 2 vasos de agua fresca, 1 verdura</t>
  </si>
  <si>
    <t>1 bolsa de papitas o 1 pan dulce</t>
  </si>
  <si>
    <t>1 plato de algún guisado con carne</t>
  </si>
  <si>
    <t>2 piezas de huevo, 1 vaso de leche, 2 tortillas</t>
  </si>
  <si>
    <t>1 pieza de fruta</t>
  </si>
  <si>
    <t>2 bosteces de carne, 1 taza de frijoles, 1 taza de ensalada</t>
  </si>
  <si>
    <t>1 pan dulce</t>
  </si>
  <si>
    <t>1 taza de leche, 1 pan dulce, 4 quesadillas</t>
  </si>
  <si>
    <t>$100</t>
  </si>
  <si>
    <t xml:space="preserve">Vendedor </t>
  </si>
  <si>
    <t xml:space="preserve">Orlistad </t>
  </si>
  <si>
    <t>Hipertensión, Enfermedades cardiacas, Obesidad/sobrepeso</t>
  </si>
  <si>
    <t xml:space="preserve">2 tacos, refresco </t>
  </si>
  <si>
    <t>Caldo de res,</t>
  </si>
  <si>
    <t>Cereal con leche light y deslactosada</t>
  </si>
  <si>
    <t xml:space="preserve">2 tacos </t>
  </si>
  <si>
    <t xml:space="preserve">Pollo asado, sopa de arroz y 2 tortilla </t>
  </si>
  <si>
    <t xml:space="preserve">Hígado y perejil </t>
  </si>
  <si>
    <t xml:space="preserve">Vendedora </t>
  </si>
  <si>
    <t>Terbinafina</t>
  </si>
  <si>
    <t>2 tacos, refresco</t>
  </si>
  <si>
    <t xml:space="preserve">Caldo de res, con tortillas </t>
  </si>
  <si>
    <t xml:space="preserve">1 lonche refresco </t>
  </si>
  <si>
    <t xml:space="preserve">Bisteck asado y sopa de agua </t>
  </si>
  <si>
    <t>Ninguna ningu</t>
  </si>
  <si>
    <t>Hígado, alubias, coco</t>
  </si>
  <si>
    <t xml:space="preserve">Diarrea, colitis, náuseas </t>
  </si>
  <si>
    <t>Diabetes, Hipertensión, Cáncer, Artritis</t>
  </si>
  <si>
    <t xml:space="preserve">3-4 tacos con doble tortilla y un refresco de 200 ml </t>
  </si>
  <si>
    <t xml:space="preserve">Proporción de carne más arroz o pasta y 4 tortillas </t>
  </si>
  <si>
    <t xml:space="preserve">4 tacos o quesadillas </t>
  </si>
  <si>
    <t xml:space="preserve">Huevo con salchicha y birote con vaso de chocomil de 250 ml </t>
  </si>
  <si>
    <t xml:space="preserve">3 rebanadas de pizza con un vaso de refresco de 250 ml </t>
  </si>
  <si>
    <t xml:space="preserve">Plato de cereal con leche </t>
  </si>
  <si>
    <t>4/7</t>
  </si>
  <si>
    <t>2/7</t>
  </si>
  <si>
    <t xml:space="preserve">Aprox 200 </t>
  </si>
  <si>
    <t xml:space="preserve">Betabel crudo </t>
  </si>
  <si>
    <t xml:space="preserve">Lácteos </t>
  </si>
  <si>
    <t xml:space="preserve">Huevo </t>
  </si>
  <si>
    <t>Sueño</t>
  </si>
  <si>
    <t xml:space="preserve">Ataques de pánico, ansiedad y distimia </t>
  </si>
  <si>
    <t>Fluoxetina, clonazepam, imipramina</t>
  </si>
  <si>
    <t>Diabetes, Cáncer, Obesidad/sobrepeso</t>
  </si>
  <si>
    <t>Cereal con una manzana y leche light dealactosada</t>
  </si>
  <si>
    <t>Ensalada de atún en agua con verduras, granos de elote y cuatro galletas integrales</t>
  </si>
  <si>
    <t>Una naranja</t>
  </si>
  <si>
    <t>Un vaso de yogurth light con una manzana y una cucharada de avena cruda o en su defecto 6 almendras</t>
  </si>
  <si>
    <t xml:space="preserve">Lo mismo que el día anterior </t>
  </si>
  <si>
    <t>Lo mismo que el día anterior</t>
  </si>
  <si>
    <t>$50</t>
  </si>
  <si>
    <t>Nel</t>
  </si>
  <si>
    <t>Nope</t>
  </si>
  <si>
    <t>Vísceras de animales (cerebro, ojos, sangre, intestinos, etc.), no me gusta el café, ni el alcohol, ni los dulces con chile, ni muy hipercaloricos</t>
  </si>
  <si>
    <t xml:space="preserve">Enfermera </t>
  </si>
  <si>
    <t xml:space="preserve">Guadalajara </t>
  </si>
  <si>
    <t xml:space="preserve">GUADALAJARA </t>
  </si>
  <si>
    <t>Diabetes, Enfermedades cardiacas, Enfermedades de riñón, Obesidad/sobrepeso, Ninguna</t>
  </si>
  <si>
    <t xml:space="preserve">2 huevos 3 tortillas </t>
  </si>
  <si>
    <t>3 tacos o aveces nada</t>
  </si>
  <si>
    <t xml:space="preserve">Carnes , huevo, pan </t>
  </si>
  <si>
    <t>Frijoles  1 birote</t>
  </si>
  <si>
    <t>Nads</t>
  </si>
  <si>
    <t>4-5</t>
  </si>
  <si>
    <t>1-2</t>
  </si>
  <si>
    <t>Metoclopramida</t>
  </si>
  <si>
    <t>Lactosa</t>
  </si>
  <si>
    <t>+529613346119</t>
  </si>
  <si>
    <t>Chiapas</t>
  </si>
  <si>
    <t>Diabetes, Hipertensión, Enfermedades de riñón, Cáncer</t>
  </si>
  <si>
    <t>Diabetes, Hipertensión, Cáncer</t>
  </si>
  <si>
    <t xml:space="preserve">Chilaquiles y licuado </t>
  </si>
  <si>
    <t xml:space="preserve">Una fruta  y nueces </t>
  </si>
  <si>
    <t xml:space="preserve">Carne y spagueti </t>
  </si>
  <si>
    <t xml:space="preserve">Almendras y una fruta </t>
  </si>
  <si>
    <t xml:space="preserve">Huevo y agua </t>
  </si>
  <si>
    <t xml:space="preserve">Huevo y licuado </t>
  </si>
  <si>
    <t xml:space="preserve">Fruta y almendras </t>
  </si>
  <si>
    <t xml:space="preserve">Carne y arroz </t>
  </si>
  <si>
    <t xml:space="preserve">Fruta y nueces </t>
  </si>
  <si>
    <t xml:space="preserve">Tacos de bistec </t>
  </si>
  <si>
    <t xml:space="preserve">Ningún día </t>
  </si>
  <si>
    <t xml:space="preserve">Mariscos </t>
  </si>
  <si>
    <t>Contador público</t>
  </si>
  <si>
    <t>Estreñimiento, dolor de cabeza</t>
  </si>
  <si>
    <t>Diebetes, Colesterol elevado, Trigliceridos elevados, Obesidad/sobrepeso</t>
  </si>
  <si>
    <t>Diebetes, Hipertensión, Colesterol elevado, Trigliceridos elevados</t>
  </si>
  <si>
    <t>Insulina, metformina</t>
  </si>
  <si>
    <t xml:space="preserve">Huevo con licuado de fruta </t>
  </si>
  <si>
    <t>Carne con arroz o frijol</t>
  </si>
  <si>
    <t xml:space="preserve">Tacos, pan </t>
  </si>
  <si>
    <t>No que yo sepa</t>
  </si>
  <si>
    <t xml:space="preserve">Sandía </t>
  </si>
  <si>
    <t>Jalisco y Zacatecas</t>
  </si>
  <si>
    <t>Diarrea, falta de apetito</t>
  </si>
  <si>
    <t>Pastillas anticonceptivas para sindrome premestrual</t>
  </si>
  <si>
    <t>Diabetes, Hipertensión, Enfermedades cardiacas, Enfermedades de riñón, Cáncer, Artritis, Obesidad/sobrepeso</t>
  </si>
  <si>
    <t>Cáncer, Obesidad/sobrepeso</t>
  </si>
  <si>
    <t>2 huevos</t>
  </si>
  <si>
    <t>No tengo</t>
  </si>
  <si>
    <t>200 gr de pollo, alguna verdura</t>
  </si>
  <si>
    <t>2 hot cakes</t>
  </si>
  <si>
    <t xml:space="preserve">3 Quesadillas </t>
  </si>
  <si>
    <t>$60</t>
  </si>
  <si>
    <t>Trimetroprim, sulfas y ampicilina</t>
  </si>
  <si>
    <t>Leche solo en algunos casos</t>
  </si>
  <si>
    <t>Cebo de las carnes</t>
  </si>
  <si>
    <t>Ninguno.</t>
  </si>
  <si>
    <t xml:space="preserve">1 plato de chilaquiles con frijoles y queso, y un vaso de agua natural con medio bolillo </t>
  </si>
  <si>
    <t xml:space="preserve">Una naranja </t>
  </si>
  <si>
    <t>Carne en su jugo con 4 tortillas y agua de limón</t>
  </si>
  <si>
    <t>Galletas con leche o cereal con leche</t>
  </si>
  <si>
    <t xml:space="preserve">Un huevo con salchicha y tres tortillas con agua natural </t>
  </si>
  <si>
    <t xml:space="preserve">Caldo de pollo con dos tortillas y agua natural </t>
  </si>
  <si>
    <t xml:space="preserve">Galletas con leche o cereal con leche </t>
  </si>
  <si>
    <t>Un día por semana</t>
  </si>
  <si>
    <t xml:space="preserve">Un día </t>
  </si>
  <si>
    <t xml:space="preserve">Sí, a la papa </t>
  </si>
  <si>
    <t xml:space="preserve">Alimentos muy grasosos </t>
  </si>
  <si>
    <t>Nació en Estados Unidos</t>
  </si>
  <si>
    <t>Distensión abdominal</t>
  </si>
  <si>
    <t>Hipertensión, Enfermedades cardiacas, Enfermedades de riñón</t>
  </si>
  <si>
    <t>2 huevos, 2 salchichas y 1 vaso con agua de mango</t>
  </si>
  <si>
    <t>Papas y jugo de manzana</t>
  </si>
  <si>
    <t>4 tacos pastor y bistec, 1 vaso de naranjada con maracuyá</t>
  </si>
  <si>
    <t>3 tiras de pollo del kfc, 1 lata de refresco</t>
  </si>
  <si>
    <t>Dulces (skittles)</t>
  </si>
  <si>
    <t>3 tacos campechanos, 1 refresco</t>
  </si>
  <si>
    <t xml:space="preserve">20 años </t>
  </si>
  <si>
    <t xml:space="preserve">Abuelo: Jalisco y Abuela: Baja California </t>
  </si>
  <si>
    <t>Diabetes, Hipertensión, Enfermedades cardiacas, Enfermedades de riñón, Artritis, Obesidad/sobrepeso</t>
  </si>
  <si>
    <t xml:space="preserve">8 am Casa. 2 panes franceses, una rebanada de tocino y un vaso de jugo de naranja </t>
  </si>
  <si>
    <t xml:space="preserve">1 taza de fresas con crema en casa a las 12pm </t>
  </si>
  <si>
    <t>1 hamburguesa y un te de manzanilla con mango en la escuela a las 4:40 pm</t>
  </si>
  <si>
    <t>Papas cocidas con sal y limón en la escuela a las 7 pm</t>
  </si>
  <si>
    <t>1 tamal de elote con un vaso de leche en casa a las 10 pm</t>
  </si>
  <si>
    <t xml:space="preserve">1 o menos </t>
  </si>
  <si>
    <t xml:space="preserve">Chayote </t>
  </si>
  <si>
    <t>Baja California Sur</t>
  </si>
  <si>
    <t>Fiebre, diarrea</t>
  </si>
  <si>
    <t>huevo con salchicha</t>
  </si>
  <si>
    <t>fruta, platanos fritos</t>
  </si>
  <si>
    <t>carne con verdura</t>
  </si>
  <si>
    <t>papitas, chucheria</t>
  </si>
  <si>
    <t>maruchan</t>
  </si>
  <si>
    <t>omelet de jamon con queso</t>
  </si>
  <si>
    <t>espaguetti con crema de champiñones</t>
  </si>
  <si>
    <t>papitas</t>
  </si>
  <si>
    <t>1 galleta</t>
  </si>
  <si>
    <t>2-3</t>
  </si>
  <si>
    <t>Puerco</t>
  </si>
  <si>
    <t>Guadalajara, Jalisco</t>
  </si>
  <si>
    <t>Distrito Federal</t>
  </si>
  <si>
    <t>Los altos de Jalisco, Guadalajara, Jalisco</t>
  </si>
  <si>
    <t>Lamotrigina 100 mg y Levitarecetam 1 gr en la mañana y en la tarde</t>
  </si>
  <si>
    <t>Diabetes, Enfermedades cardiacas, Artritis</t>
  </si>
  <si>
    <t>1 taza de cafe, 4 gordas de papá natural y manzana.</t>
  </si>
  <si>
    <t>Cafe y arandanos</t>
  </si>
  <si>
    <t>Pure de papá y salchica, con refresco</t>
  </si>
  <si>
    <t>nada</t>
  </si>
  <si>
    <t>Cereal y Cafe 1 taza</t>
  </si>
  <si>
    <t>Arandanos</t>
  </si>
  <si>
    <t>Chuletas con Papá natural</t>
  </si>
  <si>
    <t xml:space="preserve">Almendras y dulce </t>
  </si>
  <si>
    <t>cafe y pan dulce</t>
  </si>
  <si>
    <t>60 a 70</t>
  </si>
  <si>
    <t>A las frutas con Vitamina C y con esperas</t>
  </si>
  <si>
    <t>A leche entera</t>
  </si>
  <si>
    <t>Comidas olorosas</t>
  </si>
  <si>
    <t>Edo.MEX</t>
  </si>
  <si>
    <t>Estreñimiento, Fiebre, dolor de cabeza</t>
  </si>
  <si>
    <t>Calcio, Omega3</t>
  </si>
  <si>
    <t>Casi siempre nada, o un vaso de leche con un pan</t>
  </si>
  <si>
    <t>Casi siempre comida que compro en la cooperativa, suschi o sandwiches</t>
  </si>
  <si>
    <t>Nada o una maruchan</t>
  </si>
  <si>
    <t>Unas quesadillas</t>
  </si>
  <si>
    <t>Comida de la cooperativa</t>
  </si>
  <si>
    <t>unas galletas</t>
  </si>
  <si>
    <t>Casi todos los dias al menos dos veces al dia</t>
  </si>
  <si>
    <t>como 3 veces</t>
  </si>
  <si>
    <t>80-100</t>
  </si>
  <si>
    <t>1 huevo con una rebanada de jamón, dos panes integrales, licuado de manzana( 1 manzana, 4 nueces, tres cucharadas soperas de avena)</t>
  </si>
  <si>
    <t>4 tortitas de papa, 100 gramos de arroz, agua natural 300 ml</t>
  </si>
  <si>
    <t>250 gr de mango</t>
  </si>
  <si>
    <t>Tres sincronizadas( tortilla de harina, queso oaxaca, jamón)
Vaso de leche 200 ml</t>
  </si>
  <si>
    <t>Huevo con jamón y un vaso de chocomilk (200 ML de leche y una cucharada sopera de chocomilk)</t>
  </si>
  <si>
    <t>Palomitas naturales</t>
  </si>
  <si>
    <t>Crema de zanahoria, carne a la mexicana, un elote rebanado, agua natural</t>
  </si>
  <si>
    <t xml:space="preserve">Melón </t>
  </si>
  <si>
    <t xml:space="preserve">Frijoles con bolillo, un vaso de 200 ML de refresco </t>
  </si>
  <si>
    <t>Hígado, pescado en algunas preparaciones, mariscos</t>
  </si>
  <si>
    <t>Gastritis, falta de apetito, dolor de cabeza, dolor punzante en el pecho y dolor en la rodilla.</t>
  </si>
  <si>
    <t>Hipertensión, Artritis, Obesidad/sobrepeso</t>
  </si>
  <si>
    <t>Casa 11:00 pm. 1 sándwich de jamón, con pan integral, 2 rebanadas de jitomate y hoja pequeña de lechuga. Un vaso de agua.</t>
  </si>
  <si>
    <t>Escuela 4:40 pm. 1 sándwich de jamón, con pan integral, 2 rebanadas de jitomate y hoja pequeña de lechuga. 250 ml de refresco.</t>
  </si>
  <si>
    <t>Casa 10:30 pm. 150 gramos de arroz y una pieza de carne. 250 ml de refresco.</t>
  </si>
  <si>
    <t>Escuela 5:00 pm. 150 gramos de arroz, 100 gramos de carne y 100 ml de refresco.</t>
  </si>
  <si>
    <t>Casa 8:30 pm. 4 quesadillas con tortilla de maíz y una vaso de 250 ml de agua.</t>
  </si>
  <si>
    <t>0 veces</t>
  </si>
  <si>
    <t>$40 a $50</t>
  </si>
  <si>
    <t>Verdolagas</t>
  </si>
  <si>
    <t>Pensionada</t>
  </si>
  <si>
    <t>Dolor de pierna y brazo</t>
  </si>
  <si>
    <t>Hipertensión, Colesterol elevado, Obesidad/sobrepeso</t>
  </si>
  <si>
    <t>Hipertensión, Colesterol elevado</t>
  </si>
  <si>
    <t>Losartan , atorvastatina, Indometacina,Gabapentina, complejo B,Citracal D, Novovartalon.</t>
  </si>
  <si>
    <t>Lo que desayuno en casa ?</t>
  </si>
  <si>
    <t>Bistec y nopales</t>
  </si>
  <si>
    <t>Gelatina</t>
  </si>
  <si>
    <t>Quesadilla</t>
  </si>
  <si>
    <t xml:space="preserve">Moyete de frijoles </t>
  </si>
  <si>
    <t>Pollo con verduras</t>
  </si>
  <si>
    <t>Avena con pan</t>
  </si>
  <si>
    <t>Quizá 150</t>
  </si>
  <si>
    <t xml:space="preserve">Guadalajara, Jalisco </t>
  </si>
  <si>
    <t xml:space="preserve">Distrito Federal </t>
  </si>
  <si>
    <t>Guadalajara (mascota) y Guadalajara (los altos de Jalisco)</t>
  </si>
  <si>
    <t xml:space="preserve">Falta de apetito, estreñimiento </t>
  </si>
  <si>
    <t xml:space="preserve">Epilepsia </t>
  </si>
  <si>
    <t xml:space="preserve">Indometacina 
Lamotrigina 1 gr al dia
Levetiracetam 1 gr al dia </t>
  </si>
  <si>
    <t xml:space="preserve">Una fruta, café, yakult y un cereal </t>
  </si>
  <si>
    <t xml:space="preserve">Fruta picada </t>
  </si>
  <si>
    <t xml:space="preserve">Chayote con queso </t>
  </si>
  <si>
    <t xml:space="preserve">Tostadas de jamón con queso </t>
  </si>
  <si>
    <t>Cereal</t>
  </si>
  <si>
    <t xml:space="preserve">Fruta, sándwich </t>
  </si>
  <si>
    <t>Cafe</t>
  </si>
  <si>
    <t>Todos con vitamina C y esporas</t>
  </si>
  <si>
    <t>Fresa, naranja, guayaba, limon, luna, toronja</t>
  </si>
  <si>
    <t xml:space="preserve">Hígado encebollado </t>
  </si>
  <si>
    <t>Ibuprofeno</t>
  </si>
  <si>
    <t>5 tacos al vapor</t>
  </si>
  <si>
    <t>Gansito</t>
  </si>
  <si>
    <t>1 gansito</t>
  </si>
  <si>
    <t>3 tacos de barbacoa</t>
  </si>
  <si>
    <t>3 Pitallas 1 gansito</t>
  </si>
  <si>
    <t>5 tacos dorados con verdura</t>
  </si>
  <si>
    <t xml:space="preserve">Lactosa </t>
  </si>
  <si>
    <t>Mariscos, carne, pollo</t>
  </si>
  <si>
    <t xml:space="preserve">San Luis Potosí </t>
  </si>
  <si>
    <t xml:space="preserve">Ningún </t>
  </si>
  <si>
    <t>Np</t>
  </si>
  <si>
    <t xml:space="preserve">Huevo con salchicha </t>
  </si>
  <si>
    <t xml:space="preserve">Tomate </t>
  </si>
  <si>
    <t xml:space="preserve">Pollo con arroz </t>
  </si>
  <si>
    <t xml:space="preserve">Carne con chile </t>
  </si>
  <si>
    <t>Plstano</t>
  </si>
  <si>
    <t xml:space="preserve">Platano y tortillas </t>
  </si>
  <si>
    <t>60 años</t>
  </si>
  <si>
    <t>Empleada udg</t>
  </si>
  <si>
    <t>Guadalajara Jalisco</t>
  </si>
  <si>
    <t>Colima Colima</t>
  </si>
  <si>
    <t>Estreñimiento gastritis y colitis</t>
  </si>
  <si>
    <t>Hi</t>
  </si>
  <si>
    <t>Hipotiroidismo</t>
  </si>
  <si>
    <t>Hipertensión, Enfermedades cardiacas, Cáncer</t>
  </si>
  <si>
    <t>Carne, sopa, verduras y 3 tortillas</t>
  </si>
  <si>
    <t>Quesadillas o cereal con leche</t>
  </si>
  <si>
    <t>Lonche de jamón</t>
  </si>
  <si>
    <t xml:space="preserve">No sé por qué Varea </t>
  </si>
  <si>
    <t xml:space="preserve">administrativo </t>
  </si>
  <si>
    <t>colitis, falta de apetito</t>
  </si>
  <si>
    <t xml:space="preserve">Hipotiroidismo </t>
  </si>
  <si>
    <t xml:space="preserve">levotiroxina </t>
  </si>
  <si>
    <t>Diabetes, Cáncer, Artritis, Obesidad/sobrepeso</t>
  </si>
  <si>
    <t>11 am trabajo pan  1 cafe</t>
  </si>
  <si>
    <t xml:space="preserve">no aplica </t>
  </si>
  <si>
    <t xml:space="preserve">18:00 casa pizza refresco 2 vasos </t>
  </si>
  <si>
    <t xml:space="preserve">12:00  casa pan 1 cafe </t>
  </si>
  <si>
    <t xml:space="preserve">11:00  trabajo pan 1 cafe  </t>
  </si>
  <si>
    <t xml:space="preserve">18:00 casa bistec y guacamole 2b vasos de refresco  </t>
  </si>
  <si>
    <t>12:.00 casa pan 1 cafe</t>
  </si>
  <si>
    <t>cero</t>
  </si>
  <si>
    <t xml:space="preserve">pollo, huevo, higado, </t>
  </si>
  <si>
    <t xml:space="preserve"> Inflamación del abdomen, veces diarrea,colitis, piquetes , punzadas y veces dolor</t>
  </si>
  <si>
    <t>Colitis, e inflamación del esternón del lado izquierdo en el pecho</t>
  </si>
  <si>
    <t xml:space="preserve">Vitamina E , Colágeno, Extraño de Ajo, Aceite de kilo, Noruego estos suplementos los tomo alternados </t>
  </si>
  <si>
    <t>Diabetes, Hipertensión, Enfermedades de riñón, Artritis, Obesidad/sobrepeso</t>
  </si>
  <si>
    <t>Avena en agua, 2 platanos</t>
  </si>
  <si>
    <t>Yogurt, tostadas 3, Amaranto</t>
  </si>
  <si>
    <t>1 bistec de carne, arroz y 4 tortillas, gelatina y frutas y agua fresca</t>
  </si>
  <si>
    <t>Taza de avena</t>
  </si>
  <si>
    <t>Taza de avena, 2 platanos</t>
  </si>
  <si>
    <t>3 naranjas,1 manzana</t>
  </si>
  <si>
    <t>Verduras, 4 tortillas,fruta y gelatinas y agua fresca</t>
  </si>
  <si>
    <t>1 taza de avena en agua</t>
  </si>
  <si>
    <t>Fines de semana que salgo a restaurat</t>
  </si>
  <si>
    <t>Podrimos decir 5 veces pero al año</t>
  </si>
  <si>
    <t>Compro todo el fin de semana para yo cocinarlo al dia</t>
  </si>
  <si>
    <t xml:space="preserve">Muchas grasas no me gustan </t>
  </si>
  <si>
    <t>Comidas grasosas,refrescos, cervezas,vinos,harinas, embutidos,comidas comidas rápidas hotdog, hamburguesas, carnitas</t>
  </si>
  <si>
    <t xml:space="preserve">Empleada </t>
  </si>
  <si>
    <t xml:space="preserve">En ayo el chico </t>
  </si>
  <si>
    <t xml:space="preserve">La laguna larga </t>
  </si>
  <si>
    <t xml:space="preserve">No tomo ningún medicamento </t>
  </si>
  <si>
    <t>Enfermedades cardiacas, Obesidad/sobrepeso</t>
  </si>
  <si>
    <t>Diabetes, Cáncer</t>
  </si>
  <si>
    <t xml:space="preserve">3 tacos </t>
  </si>
  <si>
    <t xml:space="preserve">Pedazo de pan </t>
  </si>
  <si>
    <t xml:space="preserve">5vtortillas frijoles un pedazo de carne </t>
  </si>
  <si>
    <t xml:space="preserve">No hay </t>
  </si>
  <si>
    <t>No ceno</t>
  </si>
  <si>
    <t xml:space="preserve">Loncha de frijol con queso refresco 500 militares </t>
  </si>
  <si>
    <t xml:space="preserve">2 huevo frijol chile y 5 tortillas </t>
  </si>
  <si>
    <t xml:space="preserve">Vaso de chocolate con galletas </t>
  </si>
  <si>
    <t>Nunca</t>
  </si>
  <si>
    <t xml:space="preserve">Q yo sepa no </t>
  </si>
  <si>
    <t xml:space="preserve">Zanahoria </t>
  </si>
  <si>
    <t>Aux.Advo</t>
  </si>
  <si>
    <t xml:space="preserve">Artritis en remisión </t>
  </si>
  <si>
    <t>Cáncer, Artritis</t>
  </si>
  <si>
    <t>Picadillo</t>
  </si>
  <si>
    <t xml:space="preserve">Enchiladas </t>
  </si>
  <si>
    <t xml:space="preserve">1 vez al mes </t>
  </si>
  <si>
    <t xml:space="preserve">Pepino </t>
  </si>
  <si>
    <t>SOP, trastorno depresivo mayor y trastorno de ansiedad generalizada</t>
  </si>
  <si>
    <t>Anticonceptivos orales combinados, velanfaxina y clonazepam</t>
  </si>
  <si>
    <t xml:space="preserve">Un café </t>
  </si>
  <si>
    <t xml:space="preserve">Carne, pasta y agua natural </t>
  </si>
  <si>
    <t>Huevo y frijoles</t>
  </si>
  <si>
    <t>Hot cakes de avena con agua natural</t>
  </si>
  <si>
    <t xml:space="preserve">Colima </t>
  </si>
  <si>
    <t xml:space="preserve">Escitalopram </t>
  </si>
  <si>
    <t>Hipertensión, Obesidad/sobrepeso</t>
  </si>
  <si>
    <t>2 huevos 1 rebanada de jamón de pavo 2 tortillas de nopal</t>
  </si>
  <si>
    <t xml:space="preserve">1 durazno y un paquete de saladitas </t>
  </si>
  <si>
    <t xml:space="preserve">200 gramos de pollo 1 papa 1 calabacita 50 gramos de aguacate </t>
  </si>
  <si>
    <t xml:space="preserve">1 toma de proteína vegana </t>
  </si>
  <si>
    <t xml:space="preserve">1 huevo 100 gramos de claras media taza de avena medio plátano una cucharadita de miel </t>
  </si>
  <si>
    <t>—</t>
  </si>
  <si>
    <t xml:space="preserve">200 gramos de tilapia 3 tortillas de nopal 1 jitomate 50 gramos de aguacate </t>
  </si>
  <si>
    <t xml:space="preserve">1 toma de proteína y un paquete de saladitas </t>
  </si>
  <si>
    <t xml:space="preserve">Leche </t>
  </si>
  <si>
    <t>33 15 46 52 84</t>
  </si>
  <si>
    <t>a veces estreñimiento, a veces gastritis, falta de apetito poco</t>
  </si>
  <si>
    <t>losartán</t>
  </si>
  <si>
    <t>Hipertensión, Enfermedades cardiacas</t>
  </si>
  <si>
    <t>3 tacos</t>
  </si>
  <si>
    <t>café galletas</t>
  </si>
  <si>
    <t>guisados, frijoles, arroz, carne de res, carne de puerco, nopales</t>
  </si>
  <si>
    <t>cemillas de calabaza</t>
  </si>
  <si>
    <t>cereal y leche</t>
  </si>
  <si>
    <t>loches y jugos</t>
  </si>
  <si>
    <t>café, galletas</t>
  </si>
  <si>
    <t>caldos, pastas, verduras</t>
  </si>
  <si>
    <t>leche con platano</t>
  </si>
  <si>
    <t>1 vez al mes</t>
  </si>
  <si>
    <t>no se</t>
  </si>
  <si>
    <t>hasta ahorita ninguno</t>
  </si>
  <si>
    <t>no a ninguno</t>
  </si>
  <si>
    <t>verduras</t>
  </si>
  <si>
    <t>Profesor Investigador en la Universidad de Guadalajara</t>
  </si>
  <si>
    <t>dolor muscular y articular</t>
  </si>
  <si>
    <t xml:space="preserve">Losartan, Clortalidaona, Diclofenaco, aspirina, </t>
  </si>
  <si>
    <t>Diabetes, Hipertensión, Enfermedades cardiacas, Cáncer, Obesidad/sobrepeso</t>
  </si>
  <si>
    <t>Diabetes, Enfermedades de riñón, Artritis</t>
  </si>
  <si>
    <t>1 taza grande de Café sin o con poca azúcar y un bísquet</t>
  </si>
  <si>
    <t>1 Emparedado de jamón con mostaza y lechuga</t>
  </si>
  <si>
    <t>1 manzana</t>
  </si>
  <si>
    <t xml:space="preserve"> 1 bistec grande asado con frijoles, ensalada de verduras grande y agua mineral de sabor sin azúcar, 2 tortillas </t>
  </si>
  <si>
    <t>una taza de café sin azúcar</t>
  </si>
  <si>
    <t>1 emparedado de jamón con mostaza y lechuga y queso</t>
  </si>
  <si>
    <t>una manzana</t>
  </si>
  <si>
    <t xml:space="preserve">caldo de pollo o guisos, frijoles, tortillas, arroz , agua mineral de sabor sin azúcar, </t>
  </si>
  <si>
    <t>pan tostado con mermelada o queso</t>
  </si>
  <si>
    <t>Betabel, pepino,</t>
  </si>
  <si>
    <t xml:space="preserve">7 AÑOS </t>
  </si>
  <si>
    <t xml:space="preserve">ESTUDIAS </t>
  </si>
  <si>
    <t xml:space="preserve">1 HUEVO CON UNA REBANADA CON JAMON </t>
  </si>
  <si>
    <t xml:space="preserve">1 TAZA DE ELOTE COCIDO </t>
  </si>
  <si>
    <t xml:space="preserve">EMPANIZADO DE POLLO Y SOPA DE ARROZ </t>
  </si>
  <si>
    <t xml:space="preserve">PAN CON LECHE </t>
  </si>
  <si>
    <t xml:space="preserve">1 DIA </t>
  </si>
  <si>
    <t>200 PESOS</t>
  </si>
  <si>
    <t xml:space="preserve">Médico / Prof. Inv. Títular C </t>
  </si>
  <si>
    <t>Estreñimiento, colitis, falta de apetito, apatía, ansiedad o angustia</t>
  </si>
  <si>
    <t>Colesterol elevado, Trigliceridos elevados, Obesidad/sobrepeso</t>
  </si>
  <si>
    <t>Nop, pero con el resultado de ustedes de glucosa 160, pues creo y espero controlar la posible “Diabetes”.</t>
  </si>
  <si>
    <t>Metformina (5 días por el estreñimiento) melatonina y alprazolam, ocasional citalopram, DDR de duterra y aceites de esa marca.</t>
  </si>
  <si>
    <t>Uno</t>
  </si>
  <si>
    <t>Enfermedades de riñón, Obesidad/sobrepeso</t>
  </si>
  <si>
    <t>No desayuno frecuentemente.</t>
  </si>
  <si>
    <t>Por lo regular no.</t>
  </si>
  <si>
    <t xml:space="preserve">Sopas, pollo, pescado, algún taco o lonche, </t>
  </si>
  <si>
    <t>Entre comida y está es lo de la ·comida”</t>
  </si>
  <si>
    <t>Leche, yogurt o a veces ya nada por las dos anteriores.</t>
  </si>
  <si>
    <t>Igual o similar al anterior.</t>
  </si>
  <si>
    <t>Igual o similar al anterior</t>
  </si>
  <si>
    <t>2-3 veces</t>
  </si>
  <si>
    <t xml:space="preserve">Cuando lo hago 1 o 2 veces </t>
  </si>
  <si>
    <t>No se.</t>
  </si>
  <si>
    <t>Hasta hoy, no.</t>
  </si>
  <si>
    <t>No.</t>
  </si>
  <si>
    <t>No recuerdo por el momento.</t>
  </si>
  <si>
    <t xml:space="preserve">Secretaria </t>
  </si>
  <si>
    <t xml:space="preserve">Guadalajara Jalisco </t>
  </si>
  <si>
    <t>Diebetes, Colesterol elevado</t>
  </si>
  <si>
    <t>Diebetes</t>
  </si>
  <si>
    <t xml:space="preserve">Huevo con chile y un bolillo </t>
  </si>
  <si>
    <t xml:space="preserve">Frutas </t>
  </si>
  <si>
    <t xml:space="preserve">Frijoles un bistec </t>
  </si>
  <si>
    <t xml:space="preserve">Pan y leche </t>
  </si>
  <si>
    <t xml:space="preserve">Frijoles y bolillo </t>
  </si>
  <si>
    <t xml:space="preserve">Pan con leche </t>
  </si>
  <si>
    <t xml:space="preserve">1 ves </t>
  </si>
  <si>
    <t xml:space="preserve">Una vez </t>
  </si>
  <si>
    <t>Docente</t>
  </si>
  <si>
    <t>Subidas esporádicas de TA, Reflujo, cansancio</t>
  </si>
  <si>
    <t>Prediabetes / DX emitido por el IMSS aun en observacion</t>
  </si>
  <si>
    <t>Metformina, aspirina (solo cuando sube la TA), Omeoprazol.</t>
  </si>
  <si>
    <t xml:space="preserve">10:30 TRABAJO 3 tacos de filete de pescado con complemento de ensalada de zanahoria y col con mayonesa, agua de kalua (1 lt),  </t>
  </si>
  <si>
    <t>13:00 TRABAJO fruta mixta (1 lt)</t>
  </si>
  <si>
    <t>17:00 TRABAJO 1 torta de pierna en salsa. 1 litro de agua simple</t>
  </si>
  <si>
    <t>19:00 CASA 1 pieza de elote con sal y limón</t>
  </si>
  <si>
    <t>10:00 TRABAJO 2 tamales (1 de acelgas con panela y 1 de fresa con nueces) 355 ml de atole</t>
  </si>
  <si>
    <t>12:00 1 manzana</t>
  </si>
  <si>
    <t>16:00 4 tostadas de frijoles con lechuga</t>
  </si>
  <si>
    <t>19:00 1 1 Tisana (aprox 500ml)</t>
  </si>
  <si>
    <t>21:00 2 quesadillas y 1 vaso de leche aprox 355 ml</t>
  </si>
  <si>
    <t>5-7</t>
  </si>
  <si>
    <t>alimentos muy condimentados</t>
  </si>
  <si>
    <t>33 3159 7231</t>
  </si>
  <si>
    <t xml:space="preserve">Presión arterial elevada </t>
  </si>
  <si>
    <t xml:space="preserve">Homeopatía (barita carbonica) </t>
  </si>
  <si>
    <t xml:space="preserve">Clara de huevo con espinaca y pan, tomo te </t>
  </si>
  <si>
    <t xml:space="preserve">No realizó </t>
  </si>
  <si>
    <t xml:space="preserve">Bistec con frijoles </t>
  </si>
  <si>
    <t>No tealizo</t>
  </si>
  <si>
    <t xml:space="preserve">Yogurt con fruta </t>
  </si>
  <si>
    <t xml:space="preserve">1vez cada 15 días </t>
  </si>
  <si>
    <t>33 36 77 80 66</t>
  </si>
  <si>
    <t xml:space="preserve">Ciudad de Mexica </t>
  </si>
  <si>
    <t xml:space="preserve">Michuacán </t>
  </si>
  <si>
    <t xml:space="preserve">Estado de Mexica </t>
  </si>
  <si>
    <t>hipertensión</t>
  </si>
  <si>
    <t>Losartan 50mg y centrum silver</t>
  </si>
  <si>
    <t>Hora: 6.30 am  Lugar: Casa    2 Pan doble cero,  30 ml. licuado verde, 2 huevo con nopales, jitomate y cebolla, un vaso de leche 100ml.  con 150 ml. café de olla</t>
  </si>
  <si>
    <t xml:space="preserve"> NO realizo </t>
  </si>
  <si>
    <t>Hora: 15:00 a 16:00  Lugar: trabajo  200 gramos de bistec de pollo asado,  200 g. ensalada verde  un vaso de  agua de Jamaica.</t>
  </si>
  <si>
    <t xml:space="preserve">No realizo </t>
  </si>
  <si>
    <t>Horario: 21horas,  en casa: 2 rebanadas de Pan,  un vaso de leche 100ml.  con 150 ml. café de olla.</t>
  </si>
  <si>
    <t>Hora: 6.30 am  Lugar: Casa    2 Pan doble cero,  300g. frijoles fritos , un vaso de leche 100ml.  con 150 ml. café de olla</t>
  </si>
  <si>
    <t xml:space="preserve">Hora: 15:00 a 16:00  Lugar: trabajo  1 chile relleno capeado con huevo,   un vaso de  agua </t>
  </si>
  <si>
    <t>Hora: 21pm   Lugar: Casa    2 Pan doble cero,  1 marquesita de queso manchego y albahaca , un vaso de leche 100ml.  con 150 ml. café de olla</t>
  </si>
  <si>
    <t xml:space="preserve">Un ves </t>
  </si>
  <si>
    <t xml:space="preserve">50 pesos </t>
  </si>
  <si>
    <t>Minguan alimento me desagrada</t>
  </si>
  <si>
    <t>Ama de cass</t>
  </si>
  <si>
    <t>Estreñimiento ocasional.</t>
  </si>
  <si>
    <t>Fibromialgia, Dos hernias cervicales y coxartrosis bilateral.</t>
  </si>
  <si>
    <t>Losartan, paracetamol y sulindaco.</t>
  </si>
  <si>
    <t>Dos</t>
  </si>
  <si>
    <t>A las 11,30 hrs. Dos rebanadas de melón, 100grs. Queso cotage, Una taza de café con un sobre se svetia. 2 paquetes de galletas simples Kraker Bran. 28 grs por paquete.</t>
  </si>
  <si>
    <t>No meriendo.</t>
  </si>
  <si>
    <t>A las 3.00 1/2 taza de sopa de arroz, 1bidtec de pollo (120 grs) ensalada de lechuga, cebolla, aguacate, limón. Dos tortillas. 1/2 vaso de agua fresca de jamaica.</t>
  </si>
  <si>
    <t>A las 6.00 pm. Un vaso de leche deslactosada, 200 ml. 1 plátano.</t>
  </si>
  <si>
    <t>A las 11.00 un sándwich con pan integral, jamón, crema 1 rebanada pequeña de aguacate, 1/2 rebanada de melón, 3 fresas, 1 taza de café con un sobre de svetia, 1 sobre de galletas honey Bran. (28 gr)</t>
  </si>
  <si>
    <t>1/2 taza de sopa de arroz blanco. (Aceite de canola) 150 grs de camarones (ajo y mantequilla) 1/2 aguacate. 1/2 vaso de agua de horchata.</t>
  </si>
  <si>
    <t>Jícama y pepino con sal y limón. (1/2 jícama, 1; pepino)</t>
  </si>
  <si>
    <t xml:space="preserve">Un vaso de leche deslactosada 200 mililitros y 1/2 paquete de galletas. Craquets. </t>
  </si>
  <si>
    <t>No tengo idea. Normalmente todas las comidas las realizó en casa.</t>
  </si>
  <si>
    <t>Atole.Berenjena, hígado.</t>
  </si>
  <si>
    <t>MEDICO/ ADMISNITRATIVO UDEG</t>
  </si>
  <si>
    <t>HIPERTENSION, OBESIDAD</t>
  </si>
  <si>
    <t>LOSARTAN, REDOTEX, ANFEPRAMONA, ACXION, LOSE.</t>
  </si>
  <si>
    <t>ENTRE 9:30 Y 10:00 AM DESAYUNO CAFE YA SEA OMELLETTE, O 4 TACOS, O SANDWICH O LONCHE, 1 REFRESCO DE 600 O CAFE 400 ML</t>
  </si>
  <si>
    <t>NO HAY</t>
  </si>
  <si>
    <t>16:O 17 HRS, SOPA, GUISADO AGUA FRESCA VARIABLE</t>
  </si>
  <si>
    <t>NO HAY MERIENDA</t>
  </si>
  <si>
    <t>CAFE, QUESADILLAS</t>
  </si>
  <si>
    <t xml:space="preserve">IGUAL VARIADO </t>
  </si>
  <si>
    <t>VARIADO MISMA HORA</t>
  </si>
  <si>
    <t>NO HYA MERIENDA</t>
  </si>
  <si>
    <t>VARIADO MAS LIGERO</t>
  </si>
  <si>
    <t>DIARIO EN EL DESAYUNO</t>
  </si>
  <si>
    <t>2 DIAS EN FIN DE SEMANA</t>
  </si>
  <si>
    <t>ENTRE 100 Y 150 2 COMIDAS PROMEDIO</t>
  </si>
  <si>
    <t>DERIVADOS DE SOYA, ALGUNAS VERDURAS</t>
  </si>
  <si>
    <t xml:space="preserve">Colitis, estreñimiento </t>
  </si>
  <si>
    <t>1plato de yogurth  con fresa 5, zarzamora 6 y avena 4 cuch</t>
  </si>
  <si>
    <t xml:space="preserve">Pollo con verduras  y 1 vaso refresco con 3 o 4 tortillas </t>
  </si>
  <si>
    <t>4 tacos de frijoles con queso</t>
  </si>
  <si>
    <t xml:space="preserve">2 huevos con 1 rebanada de jamón  y 2 tortillas y vaso de café con leche </t>
  </si>
  <si>
    <t xml:space="preserve">Endalada de atún (de lata 1) con lechugas, jitomate, cebolla, mayonesa (3 o 4 cuch) y 4 tostadas deshidratadas </t>
  </si>
  <si>
    <t>Quesadillas 3 o 4</t>
  </si>
  <si>
    <t xml:space="preserve">Estimo aprox 200 no se realmente porque compramos par 4 (2 adultos y 2 menores y para toda la semana) </t>
  </si>
  <si>
    <t xml:space="preserve">Plátano, miel y leche entera </t>
  </si>
  <si>
    <t>Piña y guayaba</t>
  </si>
  <si>
    <t>Estreñimiento</t>
  </si>
  <si>
    <t>Diabetes, Enfermedades cardiacas</t>
  </si>
  <si>
    <t>Frijoles con 6 tortillas y un café con leche</t>
  </si>
  <si>
    <t>4 hotdogs un vaso de jugo de zanahoria</t>
  </si>
  <si>
    <t>Palomitas de maiz caseras</t>
  </si>
  <si>
    <t>3 Tacos de frijoles</t>
  </si>
  <si>
    <t>Enfrijoladas con café  4z</t>
  </si>
  <si>
    <t>Pepinos con Chile y limon</t>
  </si>
  <si>
    <t xml:space="preserve">hamburguesa y agua de Jamaica </t>
  </si>
  <si>
    <t xml:space="preserve">Palomitas caseras </t>
  </si>
  <si>
    <t>Una manzana y un vaso de leche</t>
  </si>
  <si>
    <t xml:space="preserve">Menos de 100 </t>
  </si>
  <si>
    <t>No l</t>
  </si>
  <si>
    <t>Los dulces</t>
  </si>
  <si>
    <t xml:space="preserve">Triglicéridos niveles altos, dolor en el hombro y en las muñecas, no puedo dormir. </t>
  </si>
  <si>
    <t>Trigliceridos elevados</t>
  </si>
  <si>
    <t>Desinflamatorios</t>
  </si>
  <si>
    <t>Diabetes, Hipertensión, Enfermedades cardiacas, Artritis</t>
  </si>
  <si>
    <t xml:space="preserve">8:00 huevo, nopales, 1 tortilla y tomo avena </t>
  </si>
  <si>
    <t xml:space="preserve">2:30 Albóndigas con tortilla y agua de frutas </t>
  </si>
  <si>
    <t xml:space="preserve">1 quesadilla </t>
  </si>
  <si>
    <t>f</t>
  </si>
  <si>
    <t>Cansancio, presión baja, nauseas</t>
  </si>
  <si>
    <t>Diebetes, Hipertensión</t>
  </si>
  <si>
    <t xml:space="preserve">Olvidé el nombre algo relacionado con mi macroprolactinoma hipofisiario. </t>
  </si>
  <si>
    <t>Levotiroxina, prednisona, enalapril, amlodipino, cabergolina, metformina.</t>
  </si>
  <si>
    <t>Trabajo Antes del desayuno 8:00 una taza de café negro sin azúcar.
Trabajo 9:30 3 tacos pequeños, vaso de agua fresca</t>
  </si>
  <si>
    <t xml:space="preserve">Trab 13:00 dos tazas de pepino c 2 tunas </t>
  </si>
  <si>
    <t>Casa 6: 1 pieza de pollo asada con salsa y 3 tortillas una coca sin azúcar dd 230 ml</t>
  </si>
  <si>
    <t>Casa 10:00 1taza leche con cereal sin azúcar y un poco de miel</t>
  </si>
  <si>
    <t xml:space="preserve">Trab 12:00 Pepino y medio con tres tunas
Trab 2:00 me dió mucha hambre y comí más frijoles con virote salado c café negro </t>
  </si>
  <si>
    <t>No quise comer, los frijoles me inflamaron mucho.</t>
  </si>
  <si>
    <t>Casa 20:00  nada me sentia muy inflamada</t>
  </si>
  <si>
    <t>Seguía inflamada y no cené nada</t>
  </si>
  <si>
    <t xml:space="preserve">Una vez al mes o cada dos meses </t>
  </si>
  <si>
    <t>60 AÑOS</t>
  </si>
  <si>
    <t>ACADEMICO</t>
  </si>
  <si>
    <t>GUADALAJARA, JALISCO</t>
  </si>
  <si>
    <t>PLATO MEDIANO DE CHILAQUILES ACOMPAÑADOS DE UNA CUCHARADA SOPERA DE FRIJOLES FRITOS</t>
  </si>
  <si>
    <t>UN PLATANO</t>
  </si>
  <si>
    <t>UN PLATO MEDIANO DE ESPAGUETI A LA BOLOÑESA (CARNE MOLIDA CON VERDURAS: ZANAHORIA, CALABAZA, PAPA Y APIO), 2 VASOS DE AGUA FRESCA DE 500 ML.</t>
  </si>
  <si>
    <t>10 NUECES DE LA INDIA</t>
  </si>
  <si>
    <t>UNA TAZA DE FRUTA CON YOGUR (MANZANA, PLÁTANO Y GUAYABA PICADA)</t>
  </si>
  <si>
    <t>UN HUEVO REVUELTO EN SALSA CON UNA CUCHARADA SOPERA DE FRIJOLES FRITOS</t>
  </si>
  <si>
    <t>UNA MANZANA, UNA GUAYABA</t>
  </si>
  <si>
    <t>UNA PIEZA DE POLLO ASADO ACOMPAÑADO DE SOPA DE ARROZ, 2 VASOS DE 500 ML DE AGUA FRESCA</t>
  </si>
  <si>
    <t>UN VASO DE 375 ML DE AGUA DE SABOR Y UN RACIMO PEQUEÑO DE UVAS.</t>
  </si>
  <si>
    <t>UN PLATO MEDIANO DE CEREAL CON 375 ML DE LECHE Y FRUTA PICADA</t>
  </si>
  <si>
    <t>NINGÚN DÍA</t>
  </si>
  <si>
    <t>70-100 PESOS</t>
  </si>
  <si>
    <t>NO HAY DESAGRADO</t>
  </si>
  <si>
    <t>Morelia Michoacan</t>
  </si>
  <si>
    <t xml:space="preserve">Mexico </t>
  </si>
  <si>
    <t>Diebetes, Obesidad/sobrepeso</t>
  </si>
  <si>
    <t>Diebetes, Ninguno</t>
  </si>
  <si>
    <t>Cafe galletas  a las 11 dos tacosde frijoles</t>
  </si>
  <si>
    <t>2 quesadillas o yogurt</t>
  </si>
  <si>
    <t xml:space="preserve">Pollo con ensalada </t>
  </si>
  <si>
    <t>Palomitas</t>
  </si>
  <si>
    <t>Yogurt con fruta</t>
  </si>
  <si>
    <t>Cafe galletas a las 11 2 quesadillas</t>
  </si>
  <si>
    <t>Bustech con papas 2 tortillas</t>
  </si>
  <si>
    <t>Costillas de cerdo con calabazas y elote</t>
  </si>
  <si>
    <t>Morelia michoacan</t>
  </si>
  <si>
    <t>Campeche</t>
  </si>
  <si>
    <t>México DF</t>
  </si>
  <si>
    <t xml:space="preserve">Ketorolaco </t>
  </si>
  <si>
    <t xml:space="preserve">3 huevos, una taza de espinaca, 1 taza de café, licuado con una taza de leche y 5 fresas </t>
  </si>
  <si>
    <t xml:space="preserve">15 mitades de nueces </t>
  </si>
  <si>
    <t>250 g de pollo, 2 tazas de verduras, 1/2 litro de agua</t>
  </si>
  <si>
    <t>No aplica</t>
  </si>
  <si>
    <t xml:space="preserve"> 3 rebanadas de jamón, 1 taza de verduras crudas, 1/2 taza de yogurth griego </t>
  </si>
  <si>
    <t>3 tostadas, 3 rebanadas de jamón, 1 taza de lechuga, 1 taza de café, licuado con 1 taza de leche y 5 fresas</t>
  </si>
  <si>
    <t>250 g de res, 2 tazas de verduras, 1/2 litro de agua</t>
  </si>
  <si>
    <t xml:space="preserve">No aplica </t>
  </si>
  <si>
    <t xml:space="preserve">2 huevos cocidos, 1 taza de verduras </t>
  </si>
  <si>
    <t xml:space="preserve">0 días </t>
  </si>
  <si>
    <t xml:space="preserve">1 vez a la semana </t>
  </si>
  <si>
    <t xml:space="preserve">Médico pasante del servicio social </t>
  </si>
  <si>
    <t>Fatiga</t>
  </si>
  <si>
    <t>Déficit de atención; ansiedad</t>
  </si>
  <si>
    <t>Metilfenidato LP 54mg + metilfenidato Liberación inmediata 10mg cada 24h y alprazolam 1mg cada 12h</t>
  </si>
  <si>
    <t>(6:30 am)Plato de huevo con 2 tortillas y un vaso de leche</t>
  </si>
  <si>
    <t xml:space="preserve">(11:00am) 1 litro licuado de yogur con fruta  y un sandwich de jamón </t>
  </si>
  <si>
    <t>2 hamburguesas con verdura</t>
  </si>
  <si>
    <t>Un pan con nutella</t>
  </si>
  <si>
    <t>Un paquete de galletas príncipe con un vaso de leche</t>
  </si>
  <si>
    <t>Plato de frijoles con 2 tortillas</t>
  </si>
  <si>
    <t>1 litro de licuado de yogur con fruta y un sandwich de huevo</t>
  </si>
  <si>
    <t xml:space="preserve">Milanesa de pollo a la plancha, ensalada y puré de plátano macho </t>
  </si>
  <si>
    <t>Un taco de frijoles</t>
  </si>
  <si>
    <t>2 quesadillas</t>
  </si>
  <si>
    <t>No sé, compramos despensa familiar y comemos todos en casa</t>
  </si>
  <si>
    <t>Cacahuates y soya</t>
  </si>
  <si>
    <t>Sandía, leche deslactosada/light, pastel, pepino</t>
  </si>
  <si>
    <t xml:space="preserve">Puente Grande Jalisco y San Marcos Jalisco </t>
  </si>
  <si>
    <t xml:space="preserve">Totatiche Jalisco Guadalajara Jalisco </t>
  </si>
  <si>
    <t xml:space="preserve">Nada de eso </t>
  </si>
  <si>
    <t>Diabetes, Ninguna</t>
  </si>
  <si>
    <t xml:space="preserve">Pan integral </t>
  </si>
  <si>
    <t xml:space="preserve">Lentejas </t>
  </si>
  <si>
    <t xml:space="preserve">Pan tostado </t>
  </si>
  <si>
    <t xml:space="preserve">Huevos </t>
  </si>
  <si>
    <t xml:space="preserve">Agua yogurt </t>
  </si>
  <si>
    <t xml:space="preserve">Yogur </t>
  </si>
  <si>
    <t>Profesora</t>
  </si>
  <si>
    <t>Extranjera(Colombia)</t>
  </si>
  <si>
    <t>Extranjera</t>
  </si>
  <si>
    <t>Extranjero</t>
  </si>
  <si>
    <t>Extranjeros</t>
  </si>
  <si>
    <t>Colesterol elevado, Trigliceridos elevados</t>
  </si>
  <si>
    <t xml:space="preserve">Omega 3; Centrum Performance </t>
  </si>
  <si>
    <t>Hipertensión, Enfermedades de riñón, Cáncer</t>
  </si>
  <si>
    <t>Licuado de guayaba con avena, quinoa, chia, amaranto, almendras y linaza (200 ml), chocolate caliente (200 ml), 1/4 queso Oaxaca, una pieza de pan.</t>
  </si>
  <si>
    <t>Café (200 ml), 1/2 pan, agua (250 ml)</t>
  </si>
  <si>
    <t>1 porción de arroz, un muslo de pollo, papá en cuadritos, 3 piezas de brócoli, 5 tomates Cherry, 1/4 de betabel, un vaso de agua (200 ml)</t>
  </si>
  <si>
    <t>Manzana verde, agua (250 ml)</t>
  </si>
  <si>
    <t>Un Sandwich con una mortadela, una rodaja de queso manchego, una cucharadita de mayonesa y mermelada de higo.
Agua (100 ml)</t>
  </si>
  <si>
    <t>Licuado de piña con avena, quinoa, linaza, amaranto, almendras y chia (200 ml)</t>
  </si>
  <si>
    <t>Pasta fusilli (1 taza pequeña), un muslo de pollo, 4 hojas de lechuga romana, aguacate, tomates cherry, un vaso de agua (200 ml)</t>
  </si>
  <si>
    <t>Agua 250 ml</t>
  </si>
  <si>
    <t>2 días (fines de semana)</t>
  </si>
  <si>
    <t>$ 200</t>
  </si>
  <si>
    <t>Chile jalapeño</t>
  </si>
  <si>
    <t>Tortillas, pasteles, bebidas con azúcar, refrescos, alimentos picantes, pescado, ni la carne de puerco, frutos secos</t>
  </si>
  <si>
    <t xml:space="preserve">Jubilada </t>
  </si>
  <si>
    <t xml:space="preserve">Pan y café </t>
  </si>
  <si>
    <t xml:space="preserve">Sopa de arroz y agua de sabor </t>
  </si>
  <si>
    <t xml:space="preserve">Fruta o galletas </t>
  </si>
  <si>
    <t xml:space="preserve">Café con leche </t>
  </si>
  <si>
    <t xml:space="preserve">Café y pan </t>
  </si>
  <si>
    <t xml:space="preserve">Milanesa de Rea y agua de sabor </t>
  </si>
  <si>
    <t xml:space="preserve">Galletas </t>
  </si>
  <si>
    <t xml:space="preserve">4 tacos </t>
  </si>
  <si>
    <t xml:space="preserve">Una </t>
  </si>
  <si>
    <t>Enfermero</t>
  </si>
  <si>
    <t>+523841009288</t>
  </si>
  <si>
    <t>10:30</t>
  </si>
  <si>
    <t>3:30</t>
  </si>
  <si>
    <t>11:00pm</t>
  </si>
  <si>
    <t>11:00</t>
  </si>
  <si>
    <t>No pi</t>
  </si>
  <si>
    <t>Pipian, mole dulce</t>
  </si>
  <si>
    <t xml:space="preserve">Estado de México </t>
  </si>
  <si>
    <t xml:space="preserve">Baja California Sur y Estado de México </t>
  </si>
  <si>
    <t xml:space="preserve">Jalisco y Jalisco </t>
  </si>
  <si>
    <t>Trigliceridos elevados, Anemia</t>
  </si>
  <si>
    <t>Ovario poli quístico y papiloma</t>
  </si>
  <si>
    <t xml:space="preserve">Diane, minerales, ovariton, vitamina E, antioxidantes </t>
  </si>
  <si>
    <t>1 plato de sopa y un licuado de frutas</t>
  </si>
  <si>
    <t xml:space="preserve">Papas </t>
  </si>
  <si>
    <t xml:space="preserve">1 platillo de algún restaurante </t>
  </si>
  <si>
    <t xml:space="preserve">Biónico </t>
  </si>
  <si>
    <t xml:space="preserve">1 sándwich con 1 café </t>
  </si>
  <si>
    <t>Maruchan</t>
  </si>
  <si>
    <t>Tostilocos</t>
  </si>
  <si>
    <t>No gasto</t>
  </si>
  <si>
    <t xml:space="preserve">Huevo y gran parte de mariscos </t>
  </si>
  <si>
    <t xml:space="preserve">Nayarit </t>
  </si>
  <si>
    <t xml:space="preserve">Sopa verdura </t>
  </si>
  <si>
    <t xml:space="preserve">Papaya </t>
  </si>
  <si>
    <t xml:space="preserve">Limpieza en casas </t>
  </si>
  <si>
    <t xml:space="preserve">Zacatecas Jalisco </t>
  </si>
  <si>
    <t xml:space="preserve"> Tala jalisco</t>
  </si>
  <si>
    <t>Tala Jalisco</t>
  </si>
  <si>
    <t xml:space="preserve">Diarrea,dolor de cabeza e inflamación en mi estómago </t>
  </si>
  <si>
    <t xml:space="preserve">Inpertension </t>
  </si>
  <si>
    <t>Lorsatan,pilamerio,metopresol, omeprazol y livial</t>
  </si>
  <si>
    <t xml:space="preserve">2 y un degradó </t>
  </si>
  <si>
    <t xml:space="preserve">Huevo con jamón y un café y tortillas </t>
  </si>
  <si>
    <t>Un pan o plátano o ya sea manzana</t>
  </si>
  <si>
    <t xml:space="preserve">Tacos de papas con chorizo con tortillas y coca </t>
  </si>
  <si>
    <t xml:space="preserve">Aveces no ceno y aveces pues ya sea cereal o lo que quedó de comida </t>
  </si>
  <si>
    <t xml:space="preserve">Un lonche de lomo y un jugo </t>
  </si>
  <si>
    <t xml:space="preserve">Carne en su jugo y un vaso de agua fresca </t>
  </si>
  <si>
    <t>Un elote con chayote</t>
  </si>
  <si>
    <t xml:space="preserve">Sincronizadas </t>
  </si>
  <si>
    <t>Muy raro una vez</t>
  </si>
  <si>
    <t>$120</t>
  </si>
  <si>
    <t>Estreńimiento</t>
  </si>
  <si>
    <t>Omega 3,6 y 9</t>
  </si>
  <si>
    <t>Enfermedades de riñón</t>
  </si>
  <si>
    <t>Dolor de Rodillas</t>
  </si>
  <si>
    <t>Diebetes, Hipertensión, Colesterol elevado, Obesidad/sobrepeso</t>
  </si>
  <si>
    <t>Diebetes, Hipertensión, Colesterol elevado</t>
  </si>
  <si>
    <t xml:space="preserve">Tratamiento para las rodillas </t>
  </si>
  <si>
    <t>Frijoles</t>
  </si>
  <si>
    <t>Manzanas</t>
  </si>
  <si>
    <t>Caldo de pollo</t>
  </si>
  <si>
    <t>Jicama tunas</t>
  </si>
  <si>
    <t>Avena con Pan</t>
  </si>
  <si>
    <t>Huevos Rancheros</t>
  </si>
  <si>
    <t>Pescado empanizado</t>
  </si>
  <si>
    <t>Granadas</t>
  </si>
  <si>
    <t>De vez en cuando</t>
  </si>
  <si>
    <t>OBRERO</t>
  </si>
  <si>
    <t>No estoy tomando nada</t>
  </si>
  <si>
    <t>Frijoles con leche</t>
  </si>
  <si>
    <t>Carne con chile y un vaso de refresco</t>
  </si>
  <si>
    <t>Pan con leche</t>
  </si>
  <si>
    <t>Frijoles con cafe</t>
  </si>
  <si>
    <t>Carne asada con frijoles</t>
  </si>
  <si>
    <t>Arroz con leche y pan</t>
  </si>
  <si>
    <t>Nopales y acelgas</t>
  </si>
  <si>
    <t xml:space="preserve">Gastritis </t>
  </si>
  <si>
    <t xml:space="preserve">Gastritis crónica </t>
  </si>
  <si>
    <t>Insulina glargina</t>
  </si>
  <si>
    <t>Cereal con yoghurt</t>
  </si>
  <si>
    <t>Quesadillas</t>
  </si>
  <si>
    <t>Cerezas</t>
  </si>
  <si>
    <t>Un cuerno con queso</t>
  </si>
  <si>
    <t xml:space="preserve">Café y galletas </t>
  </si>
  <si>
    <t xml:space="preserve">5 Tacos de pollo </t>
  </si>
  <si>
    <t xml:space="preserve">2 sandwich </t>
  </si>
  <si>
    <t xml:space="preserve">55 años </t>
  </si>
  <si>
    <t xml:space="preserve">Hogar </t>
  </si>
  <si>
    <t xml:space="preserve">Losartán tabletas de 50mg. Metformina </t>
  </si>
  <si>
    <t>Yogurt griego con arándanos y canela y vainilla y una cucharada de miel y una cucharada de granola y almendras 10</t>
  </si>
  <si>
    <t xml:space="preserve">Pescado con verduras y arroz </t>
  </si>
  <si>
    <t>Licuado de fresa con una rebanada de pan tostado</t>
  </si>
  <si>
    <t xml:space="preserve">Dos huevos con espinacas y jitomate y cebolla y chile y dos tortillas </t>
  </si>
  <si>
    <t xml:space="preserve">Un vistes de carne magra con 3/4de taza de frijoles de la olla y ensalada de jitomate y cebolla </t>
  </si>
  <si>
    <t xml:space="preserve">Pan francés </t>
  </si>
  <si>
    <t xml:space="preserve">No voy a fondas </t>
  </si>
  <si>
    <t xml:space="preserve">Una ves a la quincena pollo Pepe </t>
  </si>
  <si>
    <t>$400 por dia</t>
  </si>
  <si>
    <t xml:space="preserve">33 2204 0582 </t>
  </si>
  <si>
    <t xml:space="preserve">2 quesadillas con jamón y agua natural o avena </t>
  </si>
  <si>
    <t xml:space="preserve">Pollo a la plancha con ensalada de verduras y jugo o bebida azucarada </t>
  </si>
  <si>
    <t xml:space="preserve">Yogurt con fruta y cereales </t>
  </si>
  <si>
    <t>3 tacos de bistec y agua natural</t>
  </si>
  <si>
    <t>Cualquier cosa del refri jaja</t>
  </si>
  <si>
    <t xml:space="preserve">1 o 2 veces </t>
  </si>
  <si>
    <t>Pescado y aguacate</t>
  </si>
  <si>
    <t xml:space="preserve">Diarrea, estreñimiento, gastritis, inflación y dolor en el vientre, dolor de cabeza constante, cansancio </t>
  </si>
  <si>
    <t>Diabetes, Hipertensión, Enfermedades de riñón, Cáncer, Obesidad/sobrepeso</t>
  </si>
  <si>
    <t xml:space="preserve">Sin horario: varía entre 4 tacos, 2 huevos, avena, 1 litro agua natural, 1 taza de café </t>
  </si>
  <si>
    <t xml:space="preserve">Si horario: varía entre 6 rollos de sushi, un pan con leche </t>
  </si>
  <si>
    <t xml:space="preserve">8 o más </t>
  </si>
  <si>
    <t xml:space="preserve">Empleada doméstica </t>
  </si>
  <si>
    <t xml:space="preserve">Zacatecasmareos. </t>
  </si>
  <si>
    <t xml:space="preserve">Mareos y falta de apetito </t>
  </si>
  <si>
    <t>Diebetes, Hipertensión, Artritis, Enfermedad del corazón</t>
  </si>
  <si>
    <t xml:space="preserve">Migraña </t>
  </si>
  <si>
    <t>Topiramato</t>
  </si>
  <si>
    <t>Diabetes, Enfermedades cardiacas, Cáncer</t>
  </si>
  <si>
    <t xml:space="preserve">1 huevo  dos rebanadas de pan </t>
  </si>
  <si>
    <t xml:space="preserve">Una manzana </t>
  </si>
  <si>
    <t xml:space="preserve">Bistec con nopales </t>
  </si>
  <si>
    <t xml:space="preserve">Pepinos </t>
  </si>
  <si>
    <t xml:space="preserve">Pan tostado. Con queso </t>
  </si>
  <si>
    <t xml:space="preserve">Chilaquiles </t>
  </si>
  <si>
    <t xml:space="preserve">Naranjas </t>
  </si>
  <si>
    <t xml:space="preserve">Pechuga de pollo con arroz </t>
  </si>
  <si>
    <t xml:space="preserve">Jicama </t>
  </si>
  <si>
    <t>Quesadillas con leche</t>
  </si>
  <si>
    <t>Ninguna150</t>
  </si>
  <si>
    <t>Penicilina</t>
  </si>
  <si>
    <t xml:space="preserve">Pastas </t>
  </si>
  <si>
    <t xml:space="preserve">Intendencia </t>
  </si>
  <si>
    <t>+52 3311581901</t>
  </si>
  <si>
    <t xml:space="preserve">Reflujo y mareos </t>
  </si>
  <si>
    <t>Colesterol elevado, Trigliceridos elevados, Cáncer, Obesidad/sobrepeso</t>
  </si>
  <si>
    <t>Lonche jamon</t>
  </si>
  <si>
    <t xml:space="preserve">Frijoles </t>
  </si>
  <si>
    <t xml:space="preserve">Lonche de jamón </t>
  </si>
  <si>
    <t>Bistec con papas y sopa de arroz</t>
  </si>
  <si>
    <t>Cereal y leche</t>
  </si>
  <si>
    <t xml:space="preserve">2 veces por semana </t>
  </si>
  <si>
    <t xml:space="preserve">1 vez por semana </t>
  </si>
  <si>
    <t>Fluoexetina, levotiroxina, meteopolol e hidroclorotiazida</t>
  </si>
  <si>
    <t xml:space="preserve">En el trabajo dos rebanadas de oan tostado con una cucharada de crema de cacahuete con medio plátano y un café sin azúcar </t>
  </si>
  <si>
    <t>Melón, sandía o papaya</t>
  </si>
  <si>
    <t>En el trabajo 3 enchiladas verdes o carne de res y aguacate con tostadas, agua natural</t>
  </si>
  <si>
    <t>Una manzana</t>
  </si>
  <si>
    <t>Yogurt con melón o papaya o con plátano y amaranto inflado</t>
  </si>
  <si>
    <t>70 pesos</t>
  </si>
  <si>
    <t>Pescado, atún,  sardina, salmon</t>
  </si>
  <si>
    <t>Medico</t>
  </si>
  <si>
    <t xml:space="preserve">Na </t>
  </si>
  <si>
    <t>Lonche y agua</t>
  </si>
  <si>
    <t>Frijoles con carne</t>
  </si>
  <si>
    <t>2 o 3 veces al mes</t>
  </si>
  <si>
    <t>Pozole</t>
  </si>
  <si>
    <t>Del hogar</t>
  </si>
  <si>
    <t>Tequila Jalisco</t>
  </si>
  <si>
    <t xml:space="preserve"> Jalisco</t>
  </si>
  <si>
    <t>Cimicifuga y sertralina</t>
  </si>
  <si>
    <t>1 bolsillo con frijoles y un cafe</t>
  </si>
  <si>
    <t>Sopa y un guisado</t>
  </si>
  <si>
    <t>Mo</t>
  </si>
  <si>
    <t>Cereal y leche o una fruta y yogur</t>
  </si>
  <si>
    <t>Comida de otro dia</t>
  </si>
  <si>
    <t xml:space="preserve"> 4Tacos de asada</t>
  </si>
  <si>
    <t>Avena con galletas</t>
  </si>
  <si>
    <t>180 o 200 pero somos 3bpersonas</t>
  </si>
  <si>
    <t xml:space="preserve">Si la </t>
  </si>
  <si>
    <t>Pamcita</t>
  </si>
  <si>
    <t xml:space="preserve">Antes de nacimiento epilepsia </t>
  </si>
  <si>
    <t>3 huevitos</t>
  </si>
  <si>
    <t>Pollo y verduras</t>
  </si>
  <si>
    <t>Golocina</t>
  </si>
  <si>
    <t xml:space="preserve"> 3 Tacos</t>
  </si>
  <si>
    <t>Un lonche de panela</t>
  </si>
  <si>
    <t>Un bistec con sopa</t>
  </si>
  <si>
    <t>Fritangas</t>
  </si>
  <si>
    <t xml:space="preserve">Champiñón </t>
  </si>
  <si>
    <t>Ningúno</t>
  </si>
  <si>
    <t>Lozartan, atorvastatina, bezafibrato</t>
  </si>
  <si>
    <t xml:space="preserve">Huevo1, frijolitos, 1/2taza,3tortillas de maiz 1 taza de café con un chorro de leche </t>
  </si>
  <si>
    <t xml:space="preserve"> agua un vaso </t>
  </si>
  <si>
    <t xml:space="preserve">3 tortillas, un plato de verduras y 125 grs de carne un vaso de agua y una fruta </t>
  </si>
  <si>
    <t xml:space="preserve">3 tortillas un platito de frijoles, agua y una fruta </t>
  </si>
  <si>
    <t xml:space="preserve">Un plato de chilaquiles y un 1/4 de taza de frijoles, café con leche y frutas </t>
  </si>
  <si>
    <t xml:space="preserve">Agua un vaso </t>
  </si>
  <si>
    <t xml:space="preserve">Pollo 1/4 sopa de arroz 3 tortillas y una fruta </t>
  </si>
  <si>
    <t xml:space="preserve">Agua de frutas </t>
  </si>
  <si>
    <t xml:space="preserve">Frijolitos, con queso 3 tortillas y un vaso de agua </t>
  </si>
  <si>
    <t>100/120</t>
  </si>
  <si>
    <t>Si, trimetropin, ketorolaco</t>
  </si>
  <si>
    <t xml:space="preserve">Pozole, queso carnes pollo </t>
  </si>
  <si>
    <t>+13751306251</t>
  </si>
  <si>
    <t xml:space="preserve">1 taza café 1 bolillo </t>
  </si>
  <si>
    <t xml:space="preserve">1 galletas </t>
  </si>
  <si>
    <t xml:space="preserve">1 plato frijoles 2 tortillas </t>
  </si>
  <si>
    <t xml:space="preserve">1 vaso Agua </t>
  </si>
  <si>
    <t xml:space="preserve">1 taza café 1 pieza pan </t>
  </si>
  <si>
    <t xml:space="preserve">1 taza café </t>
  </si>
  <si>
    <t xml:space="preserve">1 mango  </t>
  </si>
  <si>
    <t xml:space="preserve">2 blanquillos 2 tortillas </t>
  </si>
  <si>
    <t xml:space="preserve">1 paquete galletas </t>
  </si>
  <si>
    <t xml:space="preserve">Ningun dia </t>
  </si>
  <si>
    <t xml:space="preserve">$50 </t>
  </si>
  <si>
    <t>Grasoso</t>
  </si>
  <si>
    <t xml:space="preserve">Carne </t>
  </si>
  <si>
    <t xml:space="preserve">Ama casa </t>
  </si>
  <si>
    <t xml:space="preserve">1 taza café  1 paquete galletas </t>
  </si>
  <si>
    <t xml:space="preserve">2 huevos 2 tortillas </t>
  </si>
  <si>
    <t xml:space="preserve">1 mango </t>
  </si>
  <si>
    <t xml:space="preserve">Carnes </t>
  </si>
  <si>
    <t>Diebetes, Trigliceridos elevados</t>
  </si>
  <si>
    <t>Metformina, glibenclamida</t>
  </si>
  <si>
    <t xml:space="preserve">3 tortillas y 1 huevo y café </t>
  </si>
  <si>
    <t xml:space="preserve">3 guayabas </t>
  </si>
  <si>
    <t xml:space="preserve">3 tortillas, carne y frijoles </t>
  </si>
  <si>
    <t xml:space="preserve">1 platano y pasas </t>
  </si>
  <si>
    <t xml:space="preserve">Yourg </t>
  </si>
  <si>
    <t xml:space="preserve">No gasto </t>
  </si>
  <si>
    <t>Tala</t>
  </si>
  <si>
    <t xml:space="preserve">Tala </t>
  </si>
  <si>
    <t>Colesterol elevado</t>
  </si>
  <si>
    <t xml:space="preserve">Paracetamol con cafeína </t>
  </si>
  <si>
    <t xml:space="preserve">Huevos,fijoles,tortilla </t>
  </si>
  <si>
    <t xml:space="preserve">Carne,arroz,pastas, pollo, pescado y tortillas </t>
  </si>
  <si>
    <t xml:space="preserve">Cereal,frijoles con tortilla </t>
  </si>
  <si>
    <t xml:space="preserve">Chilaquiles y frijoles </t>
  </si>
  <si>
    <t xml:space="preserve">Un muriel </t>
  </si>
  <si>
    <t xml:space="preserve">Carne y sopa </t>
  </si>
  <si>
    <t xml:space="preserve">Cereal,quesadillas </t>
  </si>
  <si>
    <t xml:space="preserve">Carne de chivo </t>
  </si>
  <si>
    <t xml:space="preserve">Community manager </t>
  </si>
  <si>
    <t>Complejo B</t>
  </si>
  <si>
    <t>Diabetes, Hipertensión, Enfermedades cardiacas, Enfermedades de riñón, Artritis</t>
  </si>
  <si>
    <t xml:space="preserve">3 huevos 
60 gr frijoles 
1 morron 
2 tortilla </t>
  </si>
  <si>
    <t xml:space="preserve">80 gr de papaya </t>
  </si>
  <si>
    <t xml:space="preserve">100 ges de pollo
1 jitomate 
1 cebolla 
1 tortilla </t>
  </si>
  <si>
    <t xml:space="preserve">1 manzana 
1 plátano 
1 taza de leche </t>
  </si>
  <si>
    <t xml:space="preserve">2 panes de caja 
120 ges pollo 
1 jitomate 
1 cebolla 
1 cucharadita de crema </t>
  </si>
  <si>
    <t>Miel</t>
  </si>
  <si>
    <t>Ama d casa</t>
  </si>
  <si>
    <t xml:space="preserve">Café </t>
  </si>
  <si>
    <t xml:space="preserve">Pescado </t>
  </si>
  <si>
    <t>Sandwich</t>
  </si>
  <si>
    <t xml:space="preserve">Pollo </t>
  </si>
  <si>
    <t xml:space="preserve">Quesadillas </t>
  </si>
  <si>
    <t>Leche entera</t>
  </si>
  <si>
    <t xml:space="preserve">Pensionada </t>
  </si>
  <si>
    <t xml:space="preserve">Dolor de cabeza </t>
  </si>
  <si>
    <t>Hipertensión, Trigliceridos elevados</t>
  </si>
  <si>
    <t xml:space="preserve">Clonazepan, lozartan atorvastatina, bezafibrato </t>
  </si>
  <si>
    <t xml:space="preserve">Casa frijoles y huevo </t>
  </si>
  <si>
    <t xml:space="preserve">Carne bistec verduras tortilla agua </t>
  </si>
  <si>
    <t xml:space="preserve">Frijoles y fruta </t>
  </si>
  <si>
    <t xml:space="preserve">Frijoles tortilla chilaquiles </t>
  </si>
  <si>
    <t xml:space="preserve">Caldo de res </t>
  </si>
  <si>
    <t>Lonche</t>
  </si>
  <si>
    <t xml:space="preserve">Hamburguesas </t>
  </si>
  <si>
    <t xml:space="preserve">Licuado </t>
  </si>
  <si>
    <t>Colitis, gastritis, hipertencion</t>
  </si>
  <si>
    <t>Diebetes, Hipertensión, Colesterol elevado, Trigliceridos elevados, Obesidad/sobrepeso, Enfermedad del corazón</t>
  </si>
  <si>
    <t>Diebetes, Hipertensión, Colesterol elevado, Trigliceridos elevados, Enfermedad del corazón</t>
  </si>
  <si>
    <t>Ya</t>
  </si>
  <si>
    <t>GASTRITIS</t>
  </si>
  <si>
    <t>Trigliceridos elevados, Enfermedad del corazón</t>
  </si>
  <si>
    <t>Diabetes, Hipertensión, Enfermedades cardiacas, Cáncer</t>
  </si>
  <si>
    <t xml:space="preserve"> REBANADA DE PAN,  HUEVO, AGUA  1 VASO</t>
  </si>
  <si>
    <t>1 MANZANA</t>
  </si>
  <si>
    <t>1 PLATO DE FRIJOLES, PAPAS, CALABAZA Y CHAYOTE, AGUA DE SABOR</t>
  </si>
  <si>
    <t>FRIJOLES,  1 HUEVO, AGUA</t>
  </si>
  <si>
    <t>CHILAQUILES, FRIJOLES, AGUA</t>
  </si>
  <si>
    <t>1 TUNA, MELON</t>
  </si>
  <si>
    <t>ALBONDIGAS, FRIJOLES, AGUA DE SABOR</t>
  </si>
  <si>
    <t>CARNE</t>
  </si>
  <si>
    <t>Tres</t>
  </si>
  <si>
    <t xml:space="preserve">Huevo con jamón y café </t>
  </si>
  <si>
    <t xml:space="preserve">Caldo de pollo y refresco </t>
  </si>
  <si>
    <t xml:space="preserve">Frijoles con queso y café </t>
  </si>
  <si>
    <t>Carne con frijoles y agua</t>
  </si>
  <si>
    <t>Dulce</t>
  </si>
  <si>
    <t>Café con galletas</t>
  </si>
  <si>
    <t>$250</t>
  </si>
  <si>
    <t>53 AÑOS</t>
  </si>
  <si>
    <t>TALPA DE ALLENDE</t>
  </si>
  <si>
    <t>GASTRITIS COLITIS</t>
  </si>
  <si>
    <t>LOSARTAN, ASPIRINA, HIDROCLOROTIAZIDA, HOMEOPATIA PARA BOCHORNOS PENTOXIFILINA</t>
  </si>
  <si>
    <t>BIROTE CON FRIJOLES CAFE</t>
  </si>
  <si>
    <t>GARBANZOS COCIDOS O FRUTA</t>
  </si>
  <si>
    <t>TRES TORTILLAS CARNE CON CHILE Y FRIJOLES</t>
  </si>
  <si>
    <t>NORMALMENTE NO</t>
  </si>
  <si>
    <t>DOS TORTILLAS Y FRIJOLES</t>
  </si>
  <si>
    <t>HUEVO A LA MEXICANA 1 BIROTE CAFE</t>
  </si>
  <si>
    <t>ARROZ CON VERDURAS</t>
  </si>
  <si>
    <t xml:space="preserve">NORMALMENTE NO </t>
  </si>
  <si>
    <t>UNA TAZA DE LECHE CON UNA PIEZA DE PAN DULCE</t>
  </si>
  <si>
    <t>NORMALMENTE COMPRO EL MANDADO POR SEMANA</t>
  </si>
  <si>
    <t>COSAS DULCES EN EL DESAYUNO</t>
  </si>
  <si>
    <t xml:space="preserve">auxiliar administrativo "D" </t>
  </si>
  <si>
    <t xml:space="preserve">jalisco </t>
  </si>
  <si>
    <t xml:space="preserve">bacaolina suplemento alimenticio </t>
  </si>
  <si>
    <t xml:space="preserve">8:00 trabajo aceite canoil 2 huevos con jamón  1 tortilla un baso de leche light con un plátano </t>
  </si>
  <si>
    <t xml:space="preserve">11:00 manzana  o pera agua en el trascurso de la mañana un litro o mas </t>
  </si>
  <si>
    <t xml:space="preserve">arroz verduras cosidas con pescado sin tortilla </t>
  </si>
  <si>
    <t xml:space="preserve">camote </t>
  </si>
  <si>
    <t xml:space="preserve">2 panes integrales con queso guajaca jamón lechuga y jitomate aguacate  </t>
  </si>
  <si>
    <t xml:space="preserve">2 huevos con espinacas y champiñones , un baso de licuado con un plátano </t>
  </si>
  <si>
    <t xml:space="preserve">2 naranjas pequeñas agua en el trascurso de día </t>
  </si>
  <si>
    <t xml:space="preserve">milanesa de pollo con arroz y ensalada de lechuga espinacas jitomate sin tortillas  </t>
  </si>
  <si>
    <t xml:space="preserve">manzana </t>
  </si>
  <si>
    <t xml:space="preserve">2 quesadillas tortilla de harina con lechuga y jitomate  </t>
  </si>
  <si>
    <t xml:space="preserve">la verdad no se cuanto </t>
  </si>
  <si>
    <t xml:space="preserve">gracias a Dios NO </t>
  </si>
  <si>
    <t xml:space="preserve">pozole, mole aunque No lo consumo </t>
  </si>
  <si>
    <t>Obrero</t>
  </si>
  <si>
    <t>3 tacos 1 refresco</t>
  </si>
  <si>
    <t>Un loncha un refresco</t>
  </si>
  <si>
    <t>5 tacos 1 refresco</t>
  </si>
  <si>
    <t>Un cereal y leche</t>
  </si>
  <si>
    <t xml:space="preserve">3 tacos y 1 refresco </t>
  </si>
  <si>
    <t>4 tacos y 1 agua</t>
  </si>
  <si>
    <t>Un loncha y 1 refresco</t>
  </si>
  <si>
    <t>2 tacos 1 rebanada de pizza</t>
  </si>
  <si>
    <t>3 dias por semana</t>
  </si>
  <si>
    <t>2 o 3 dias por semana</t>
  </si>
  <si>
    <t>200$</t>
  </si>
  <si>
    <t>33 3322 4764</t>
  </si>
  <si>
    <t xml:space="preserve">Estreñimiento no constante, gastritis no constante, colitis cuando surge el estrés, no tengo horario fijo de comida solo a la hora de comida. </t>
  </si>
  <si>
    <t>Diebetes, Hipertensión, Colesterol elevado, Trigliceridos elevados, Obesidad/sobrepeso</t>
  </si>
  <si>
    <t>Huevo con nopales, café con leche pan integral.</t>
  </si>
  <si>
    <t>Jicama picada</t>
  </si>
  <si>
    <t>Camarones con verdura cocida agua de jamaica</t>
  </si>
  <si>
    <t>Yogurth con fruta y granola</t>
  </si>
  <si>
    <t>Frijoles fritos con poca grasa, cafe en agua y medio bolillo</t>
  </si>
  <si>
    <t>Papaya picada</t>
  </si>
  <si>
    <t>Albondigas de res con verdura agua de fruta</t>
  </si>
  <si>
    <t>1/2 manzana</t>
  </si>
  <si>
    <t>Te de manzanilla, pan integral y queso fresco</t>
  </si>
  <si>
    <t>uno o dos</t>
  </si>
  <si>
    <t>Los que contienen grasa y muchos condimentos.</t>
  </si>
  <si>
    <t xml:space="preserve">Auxiliar operativo </t>
  </si>
  <si>
    <t xml:space="preserve">Guadalajara Guadalajara </t>
  </si>
  <si>
    <t>Obesidad/sobrepeso, Anemia</t>
  </si>
  <si>
    <t>Pantoprazol  y feramina</t>
  </si>
  <si>
    <t xml:space="preserve">Hueso con tres tortillas y le he de soya </t>
  </si>
  <si>
    <t xml:space="preserve">Cuatro  tunas </t>
  </si>
  <si>
    <t xml:space="preserve">Pollo  con arroz y aguacate </t>
  </si>
  <si>
    <t xml:space="preserve">Agua </t>
  </si>
  <si>
    <t xml:space="preserve">Dos quesadillas </t>
  </si>
  <si>
    <t xml:space="preserve">Frijoles  con huevo tres tortillas  </t>
  </si>
  <si>
    <t xml:space="preserve">Pescado  al vapor  con verduras y arroz 3 tortillas </t>
  </si>
  <si>
    <t>Cereal con plátano y leche de soya</t>
  </si>
  <si>
    <t xml:space="preserve">Casi nunca </t>
  </si>
  <si>
    <t xml:space="preserve">Muy rrara ves </t>
  </si>
  <si>
    <t xml:space="preserve">La tosa </t>
  </si>
  <si>
    <t xml:space="preserve">Sandía  mole enchiladas  birria </t>
  </si>
  <si>
    <t>Eutirox 50mg, escitalopram 10mg</t>
  </si>
  <si>
    <t xml:space="preserve">1 lonche o sandwich con 1 taza de café </t>
  </si>
  <si>
    <t xml:space="preserve">Una manzana o 1 plátano </t>
  </si>
  <si>
    <t xml:space="preserve">3 tortillas 1 vaso de agua fresca y 1 plato de comida ya sea caldo con verduras, o un bistek de pollo o carne res con frijoles o sopa o ensalada </t>
  </si>
  <si>
    <t>1 taza de leche con dos galletas o 1 licuado con avena y fruta</t>
  </si>
  <si>
    <t>Nopales, pescado</t>
  </si>
  <si>
    <t xml:space="preserve">Pancreatitis aguda, hígado graso </t>
  </si>
  <si>
    <t>Hipertensión, Artritis</t>
  </si>
  <si>
    <t xml:space="preserve">Huevo, licuado </t>
  </si>
  <si>
    <t xml:space="preserve">Filete d pollo, ensalada y agua de sabor </t>
  </si>
  <si>
    <t xml:space="preserve">6 Nueces y gelatina </t>
  </si>
  <si>
    <t xml:space="preserve">Pan francés con yogurt y fruta </t>
  </si>
  <si>
    <t>Enfrijolada y té</t>
  </si>
  <si>
    <t xml:space="preserve">Plato de fruta </t>
  </si>
  <si>
    <t xml:space="preserve">Espagueti con carne de res molida y agua de sabor </t>
  </si>
  <si>
    <t xml:space="preserve">Gelatina y chocolate amargo de cacao </t>
  </si>
  <si>
    <t xml:space="preserve">Yogur con fruta y cereal </t>
  </si>
  <si>
    <t xml:space="preserve">Alimentos dulces </t>
  </si>
  <si>
    <t>Mareos ,colitis ,gadtritis</t>
  </si>
  <si>
    <t>Diavetis inpertencion</t>
  </si>
  <si>
    <t>Meformina con glinbeclamida 
Lozartan aspirina</t>
  </si>
  <si>
    <t>Hipertensión, Enfermedades cardiacas, Enfermedades de riñón, Artritis, Obesidad/sobrepeso</t>
  </si>
  <si>
    <t>5 tacos y una coca</t>
  </si>
  <si>
    <t>Un churro</t>
  </si>
  <si>
    <t>Frijoles con un bistek</t>
  </si>
  <si>
    <t>Lonche con huebo y cafe</t>
  </si>
  <si>
    <t>Spollo con berduras</t>
  </si>
  <si>
    <t>Un cafe con pan🤭</t>
  </si>
  <si>
    <t>Leche con pan</t>
  </si>
  <si>
    <t>Una</t>
  </si>
  <si>
    <t>Guajes</t>
  </si>
  <si>
    <t>Enfermera</t>
  </si>
  <si>
    <t>Jalisxo</t>
  </si>
  <si>
    <t xml:space="preserve">Insuficiencia venosa periférica </t>
  </si>
  <si>
    <t>Creatina</t>
  </si>
  <si>
    <t xml:space="preserve">Ensalada 1 plato mediano agua natural o agua de sabor be light </t>
  </si>
  <si>
    <t xml:space="preserve">100g de cacahuate </t>
  </si>
  <si>
    <t xml:space="preserve">Soya adobada con frijoles un plato mediano con 1/4 de plato de soya y 3/4 de frijoles </t>
  </si>
  <si>
    <t>No meriendo</t>
  </si>
  <si>
    <t xml:space="preserve">2 Panes tostados con tofu </t>
  </si>
  <si>
    <t xml:space="preserve">Ensalada de lentejas un plato mediano </t>
  </si>
  <si>
    <t xml:space="preserve">Pudin de avena y chia </t>
  </si>
  <si>
    <t>3 tostadas de ceviche de quinoa</t>
  </si>
  <si>
    <t xml:space="preserve">Hago mandado semanal pero si no llevo desayuno 70 pesos </t>
  </si>
  <si>
    <t xml:space="preserve">Huevo, chocolate </t>
  </si>
  <si>
    <t>Empleda</t>
  </si>
  <si>
    <t>Estreñimiento, colitis, gastritis</t>
  </si>
  <si>
    <t xml:space="preserve">Cáncer de tiroides </t>
  </si>
  <si>
    <t>Levotiroxina, Clonazepam</t>
  </si>
  <si>
    <t>Sandwich de lomo, café</t>
  </si>
  <si>
    <t>Arroz blanco, filete de pollo 1 verdura, agua</t>
  </si>
  <si>
    <t>Yogurt natural con cereales y 1 fruta</t>
  </si>
  <si>
    <t>Lonche de lomo, cafe</t>
  </si>
  <si>
    <t>Papas con carne, 1 verdura 2 tortillas</t>
  </si>
  <si>
    <t xml:space="preserve">Sandwich de panela </t>
  </si>
  <si>
    <t>Medico general</t>
  </si>
  <si>
    <t>CEFALEA.,NICTURIA,CANSANCIO</t>
  </si>
  <si>
    <t>AUN NO</t>
  </si>
  <si>
    <t>NO APLICA</t>
  </si>
  <si>
    <t>4 TACOS UNA COCA LIGHT</t>
  </si>
  <si>
    <t>UNA BARRA DE PAN</t>
  </si>
  <si>
    <t>UN PLATO GARNDE DE POLLO CON SOPA Y 5 TORTILLAS</t>
  </si>
  <si>
    <t>3 TACOS DE FRIJOL UN CAFE</t>
  </si>
  <si>
    <t>3 TACOS DE BARBACOA UNA COCA LIGHT</t>
  </si>
  <si>
    <t>UN ELOTE COCODO</t>
  </si>
  <si>
    <t>SOPA DE ARROZ 2 PIEZAS DE POLLO</t>
  </si>
  <si>
    <t>2 PANES UN VASO DE LECHE</t>
  </si>
  <si>
    <t>HUEVO Y SOPAS DE FIDEOS</t>
  </si>
  <si>
    <t>2 HUEVOS, UN CAFE Y UN VASO DE AGUA DE SABOR</t>
  </si>
  <si>
    <t>UNA FRUTA</t>
  </si>
  <si>
    <t>CALDO DE POLLO CON 2 TORTILLAS  Y AGUA DE SABOR</t>
  </si>
  <si>
    <t>UN LICUADO</t>
  </si>
  <si>
    <t>BONADOXINA</t>
  </si>
  <si>
    <t>Licuado y cafe</t>
  </si>
  <si>
    <t>Un te</t>
  </si>
  <si>
    <t>Sopa guisado</t>
  </si>
  <si>
    <t>administrativo</t>
  </si>
  <si>
    <t>ninguno.</t>
  </si>
  <si>
    <t xml:space="preserve">1 huevo con 1 rebana de 30g de jamón 1 calabaza  con 1 café con 15g agua 350ml.  dos cd de azúcar y 2 cucharadas de sustituto de leche. </t>
  </si>
  <si>
    <t>2 chayotes</t>
  </si>
  <si>
    <t>120g. de bistec, 1 taza de arroz con 2 tortillas 1 calabaza y 350ml. de agua natural</t>
  </si>
  <si>
    <t>1 porción de fruta</t>
  </si>
  <si>
    <t>250ml de canela en agua. 2 quesadillas con tortilla de maíz.</t>
  </si>
  <si>
    <t xml:space="preserve">350g. de chilaquiles 1 calabaza  con 1 café con 15g agua 350ml.  dos cd de azúcar y 2 cucharadas de sustituto de leche. </t>
  </si>
  <si>
    <t>1 porción de gelatina.</t>
  </si>
  <si>
    <t>120g. de pollo, 1 taza de arroz con 2 tortillas 1 calabaza y 350ml. de agua natural</t>
  </si>
  <si>
    <t xml:space="preserve">1 porción de fruta </t>
  </si>
  <si>
    <t>1 vaso de leche deslactosada con 2 porciones de hotcake.</t>
  </si>
  <si>
    <t>DIARREA Y ESTREÑIMIENTO, COLITIS</t>
  </si>
  <si>
    <t>LOSATAN, AMOLODIPINO, HIDROCLORORIAZIDA, CALCITROL, RALOXIFENO, CARBONATO DE CALCIO, PRAVASTATINA, SENOSIDOS A-B</t>
  </si>
  <si>
    <t>OMELE QUESO Y JAMON 1/2 BOLILLO SIN MIGAJON, UNA TASA DE CAFE Y TE VERDE, AGUA</t>
  </si>
  <si>
    <t>ATUN , CON LECHUGA, MANZANA, ELOTE AMARILLO, MAYONESA, CREMA, GALLETAS SABROSAS, AGUA NATURAL</t>
  </si>
  <si>
    <t>LA MITAD DE UN BIROTE CON QUESO Y JAMON, JITOMATE CEBOLLA REFRESCO</t>
  </si>
  <si>
    <t>FRIJOLES, QUESO Y 1/2 BOLILLO SIN MIGAJO, CAFE  SALSA DE JITOMATE</t>
  </si>
  <si>
    <t>PAPA COCIDA, BISTEC DE RES, QUESO, SALSA 1/3 DE BOLILLO, 2 CDAS DE FRIJOLES, AGUA DE JAMAICA</t>
  </si>
  <si>
    <t>FRUTA Y SEMILLAS</t>
  </si>
  <si>
    <t>3 QUESADILLAS CON JITOMATES Y CEBOLLA</t>
  </si>
  <si>
    <t xml:space="preserve">50 A 80 PESOS </t>
  </si>
  <si>
    <t xml:space="preserve">A VECES A LA LECHE </t>
  </si>
  <si>
    <t>UNIVERSITARIO ACA/ ADMVO</t>
  </si>
  <si>
    <t>LOSARTAN, LEVOTIROXINA, METFORMINA COMPUESTA,  ATORVASTATINA</t>
  </si>
  <si>
    <t>YOGURT CASERO CON MANZANA Y GUAYABA, TÉ, PASTE DE JAMAON Y QUESO</t>
  </si>
  <si>
    <t>UNA MANZANA</t>
  </si>
  <si>
    <t>HAMBURGUESA CON PAPAS</t>
  </si>
  <si>
    <t>UN DURAZNO</t>
  </si>
  <si>
    <t>150.00</t>
  </si>
  <si>
    <t>Profesora investigadora</t>
  </si>
  <si>
    <t>Veracruz y San Luis Potosí</t>
  </si>
  <si>
    <t xml:space="preserve">Colitis, en ocasiones estreñimiento </t>
  </si>
  <si>
    <t xml:space="preserve">Trimebutina </t>
  </si>
  <si>
    <t xml:space="preserve">Licuado de avena con fresas y almendras, una taza de café y una manzana </t>
  </si>
  <si>
    <t>No hago</t>
  </si>
  <si>
    <t xml:space="preserve">Frijoles, carne, tortillas, algo de verduras y agua de sabor </t>
  </si>
  <si>
    <t xml:space="preserve">Cereal con leche y platano </t>
  </si>
  <si>
    <t xml:space="preserve">Licuado de avena con fresas y almendras, café y una fruta </t>
  </si>
  <si>
    <t xml:space="preserve">Guiso de carne y vegetales, 3 tortillas y agua de sabor </t>
  </si>
  <si>
    <t xml:space="preserve">Lactosa y trigo </t>
  </si>
  <si>
    <t xml:space="preserve">Grasosos </t>
  </si>
  <si>
    <t xml:space="preserve">Tec academico </t>
  </si>
  <si>
    <t xml:space="preserve">ninguno de los anteriores </t>
  </si>
  <si>
    <t xml:space="preserve">Tengo sospecha de hipertensión, estoy en seguimiento </t>
  </si>
  <si>
    <t xml:space="preserve">ningúno </t>
  </si>
  <si>
    <t>n/a</t>
  </si>
  <si>
    <t>licuado con betabel, fresas, jugo de toronja sandwuich de jamón coca sin azucar de 250 ml</t>
  </si>
  <si>
    <t>dos mandarinas</t>
  </si>
  <si>
    <t>Carne (pollo o res) 200 g y coca sin azucar de medio litro</t>
  </si>
  <si>
    <t>2 mandarinas</t>
  </si>
  <si>
    <t xml:space="preserve">dos quesadillas </t>
  </si>
  <si>
    <t>licuado con betabel, fresas, jugo de toronja lonche de jamón coca sin azucar de 250 ml</t>
  </si>
  <si>
    <t xml:space="preserve">Carne (pollo o res) 200 g y coca sin azucar de medio litro. Verduras cocidas </t>
  </si>
  <si>
    <t xml:space="preserve">no es frecuente </t>
  </si>
  <si>
    <t xml:space="preserve">cocino en casa, pero aproximdamente 100 en promedio </t>
  </si>
  <si>
    <t xml:space="preserve">lacteos </t>
  </si>
  <si>
    <t xml:space="preserve">Trabajadora </t>
  </si>
  <si>
    <t>Nunguno</t>
  </si>
  <si>
    <t xml:space="preserve">Nunguno </t>
  </si>
  <si>
    <t xml:space="preserve"> 1 sándwich de panela</t>
  </si>
  <si>
    <t>licuado de media manzana con 1/2 de soya Ades</t>
  </si>
  <si>
    <t xml:space="preserve">1 taza de arroz, 1 filete de carne asada y 3 tortillas, 1 vaso de agua de Jamaica </t>
  </si>
  <si>
    <t xml:space="preserve">- </t>
  </si>
  <si>
    <t xml:space="preserve">1 taza de yogurt natural con una cucharada de granola </t>
  </si>
  <si>
    <t>2 huevos con dos tortillas</t>
  </si>
  <si>
    <t xml:space="preserve">Licuado de una cucharada de avena con 1 vaso de leche y 1 plátano </t>
  </si>
  <si>
    <t>1 taza de spagueti con 3 tacos dorados de requeson</t>
  </si>
  <si>
    <t xml:space="preserve">1 vaso de leche con 1 taza de cereal con avena </t>
  </si>
  <si>
    <t>$55</t>
  </si>
  <si>
    <t xml:space="preserve">Nopales, habas y calabazas </t>
  </si>
  <si>
    <t>ALERGIA A LACTEOS Y CARNE DE PUERCO</t>
  </si>
  <si>
    <t>LORATADINA Y HOMEOPATIA</t>
  </si>
  <si>
    <t>HUEVO CON JAMON 2 TORTILLAS</t>
  </si>
  <si>
    <t>2 CHULETAS Y ARROZ</t>
  </si>
  <si>
    <t>1 PAN DULCE</t>
  </si>
  <si>
    <t>LONCHE JAMON</t>
  </si>
  <si>
    <t>1 HAMBURGUESA</t>
  </si>
  <si>
    <t>3 TACOS DE CARNE ASADA</t>
  </si>
  <si>
    <t>LACTEOS, CARNE DE PUERCO, BERRIES</t>
  </si>
  <si>
    <t>APIO, JITOMATE</t>
  </si>
  <si>
    <t xml:space="preserve">Administrativo </t>
  </si>
  <si>
    <t xml:space="preserve">colitis </t>
  </si>
  <si>
    <t>obesidad</t>
  </si>
  <si>
    <t xml:space="preserve">3 huevos 2 rebanadas de jamón revueltos  medio bolillo  </t>
  </si>
  <si>
    <t xml:space="preserve">1 fruta </t>
  </si>
  <si>
    <t xml:space="preserve">guisado 2 tortillas </t>
  </si>
  <si>
    <t xml:space="preserve">nada </t>
  </si>
  <si>
    <t xml:space="preserve">1 lonche de jamón </t>
  </si>
  <si>
    <t>1 fruta</t>
  </si>
  <si>
    <t xml:space="preserve">espagueti con pollo </t>
  </si>
  <si>
    <t xml:space="preserve">como de todo </t>
  </si>
  <si>
    <t>Pasante</t>
  </si>
  <si>
    <t>Yucatán y Jalisco</t>
  </si>
  <si>
    <t xml:space="preserve">24/10/22. 10:00 am 1 rollo de Sushi, 250 ml coca, papas fritas
</t>
  </si>
  <si>
    <t xml:space="preserve">24/10/22: 12:00  papas fritas 
</t>
  </si>
  <si>
    <t xml:space="preserve">24/10/22: 16:00 pollo cocido en salsa verde con arroz, 3 tortillas, 250 mil de coca
</t>
  </si>
  <si>
    <t xml:space="preserve">24/10/22: Nada 
</t>
  </si>
  <si>
    <t xml:space="preserve">24/10/22: 21:00 un vaso de elote con crema y limón, 250 ml de jugo de naranja (sello rojo)
</t>
  </si>
  <si>
    <t>23/10/22 12:00 am 1 tazon de menudo mediano, 250 ml de coca</t>
  </si>
  <si>
    <t>23/10/22: nada</t>
  </si>
  <si>
    <t xml:space="preserve">23/10/22: 15:30 un lonche de pierna con cebolla y lechuga y2 vasos de cocacola </t>
  </si>
  <si>
    <t xml:space="preserve">23/10/22: 17:00 2 tazas de café </t>
  </si>
  <si>
    <t>25/10/22:Nada</t>
  </si>
  <si>
    <t xml:space="preserve">Jitomate, chayote, calabaza, lácteos, pan dulce, cosas empanizadas, comidas demasiado dulces (postres, pastel), papaya </t>
  </si>
  <si>
    <t>Técnica administrativa</t>
  </si>
  <si>
    <t>Monterrey</t>
  </si>
  <si>
    <t xml:space="preserve">Multivitamínico </t>
  </si>
  <si>
    <t>Diabetes, Hipertensión, Enfermedades cardiacas, Cáncer, Artritis, Obesidad/sobrepeso</t>
  </si>
  <si>
    <t>Enfermedades cardiacas, Enfermedades de riñón, Cáncer, Artritis, Obesidad/sobrepeso</t>
  </si>
  <si>
    <t xml:space="preserve">11:30  trabajó  80g de tilapia asada 1/2 cda de mantequilla sin sal 100g arroz blanco al vapor sobre de te y agua caliente </t>
  </si>
  <si>
    <t>15:00 Trabajo 3 galletas de avena sabor miel de 200gr</t>
  </si>
  <si>
    <t xml:space="preserve">17:00 Casa 200gr de pollo en fajitas, 1/4 de cebolla 1/4 de jitomate 1 chile poblano 20ml de aceite extra virgen de oliva una olla mediana y una pizca de sal, agua fresca de jamaica 2 vasos de 250ml </t>
  </si>
  <si>
    <t xml:space="preserve">22:30 Casa 100gr de plátano 100gr papaya 100gr fresas 100gr de Yogurth 100gr de Granola y 1 tazón </t>
  </si>
  <si>
    <t>Niguna</t>
  </si>
  <si>
    <t>300$</t>
  </si>
  <si>
    <t>Picante</t>
  </si>
  <si>
    <t xml:space="preserve">Ingeniero en sistemas computacionales </t>
  </si>
  <si>
    <t xml:space="preserve"> veracruz</t>
  </si>
  <si>
    <t xml:space="preserve">Veracruz </t>
  </si>
  <si>
    <t xml:space="preserve">Gastritis y colitis </t>
  </si>
  <si>
    <t>Omeprazol y magaldrato dimeticona</t>
  </si>
  <si>
    <t>2 tortillas 2 huevos + jamon o salchicha</t>
  </si>
  <si>
    <t>Cafe con azucar 2 cdas</t>
  </si>
  <si>
    <t>3 tortillas verduras+proteina pescado o carne roja</t>
  </si>
  <si>
    <t>Pepino y/o jicama</t>
  </si>
  <si>
    <t>Licuado de fresa +proteína en polvo</t>
  </si>
  <si>
    <t>Igual</t>
  </si>
  <si>
    <t>Viernes</t>
  </si>
  <si>
    <t>Sabado o domingo</t>
  </si>
  <si>
    <t>$1000 por semana</t>
  </si>
  <si>
    <t xml:space="preserve">Huevo chilaquiles </t>
  </si>
  <si>
    <t>Panela asada</t>
  </si>
  <si>
    <t xml:space="preserve">Lentejas tacos de carne </t>
  </si>
  <si>
    <t>Yogurth</t>
  </si>
  <si>
    <t>Administradora</t>
  </si>
  <si>
    <t>Estreñimiento,gastritis, colitis</t>
  </si>
  <si>
    <t>Enfermedad del corazón</t>
  </si>
  <si>
    <t>Mioma en ovarios</t>
  </si>
  <si>
    <t xml:space="preserve">Ponstan 500, ketorolaco </t>
  </si>
  <si>
    <t>Huevo, aceite de oliva
Agua
Café
Verduras
Quesadilla</t>
  </si>
  <si>
    <t>Galletas 
Café
Fruta
Agua</t>
  </si>
  <si>
    <t xml:space="preserve">Agua
Pollo
Tostadas de atún
</t>
  </si>
  <si>
    <t xml:space="preserve">
</t>
  </si>
  <si>
    <t xml:space="preserve">Tacos de carne
Agua </t>
  </si>
  <si>
    <t>3 dias</t>
  </si>
  <si>
    <t>120 o 100</t>
  </si>
  <si>
    <t xml:space="preserve">A la lactosa </t>
  </si>
  <si>
    <t xml:space="preserve">Ojo, sesos, hígado </t>
  </si>
  <si>
    <t xml:space="preserve">AMA de casa </t>
  </si>
  <si>
    <t xml:space="preserve">Ninguno de los anteriores </t>
  </si>
  <si>
    <t>Fruta, huevito con espinacas</t>
  </si>
  <si>
    <t xml:space="preserve">10 almendras </t>
  </si>
  <si>
    <t>Carne en su jugo</t>
  </si>
  <si>
    <t>Chayote con huevo cocido</t>
  </si>
  <si>
    <t xml:space="preserve">Fruta papaya ,Huevo  con nopales y frijoles </t>
  </si>
  <si>
    <t>6 nueces</t>
  </si>
  <si>
    <t>Ensalada de lechuga con zanahoria y pechuga de pollo.</t>
  </si>
  <si>
    <t xml:space="preserve">1 manzana </t>
  </si>
  <si>
    <t xml:space="preserve">2 tacos de tortilla de maíz con queso panela </t>
  </si>
  <si>
    <t>Los sábados una ves al dia</t>
  </si>
  <si>
    <t xml:space="preserve">Comerciante </t>
  </si>
  <si>
    <t xml:space="preserve">Huevos jugos de naranja </t>
  </si>
  <si>
    <t xml:space="preserve">Un plato de carne con chile </t>
  </si>
  <si>
    <t>Mollete</t>
  </si>
  <si>
    <t xml:space="preserve">Un pescado </t>
  </si>
  <si>
    <t xml:space="preserve"> Ada</t>
  </si>
  <si>
    <t xml:space="preserve">Tres tacos o 4 </t>
  </si>
  <si>
    <t xml:space="preserve">Unos 500 </t>
  </si>
  <si>
    <t>Alga espirulina,arnica</t>
  </si>
  <si>
    <t xml:space="preserve">2 hotcakes,taza de café y lechera </t>
  </si>
  <si>
    <t>4 tostadas de salpicó de pollo y vaso de agua</t>
  </si>
  <si>
    <t xml:space="preserve">Un té </t>
  </si>
  <si>
    <t>2 huevos 2 rebanadas de jamón ,1 tortilla y cafe</t>
  </si>
  <si>
    <t>Milanesa de pollo asada, ensalada verde,un vaso de agua</t>
  </si>
  <si>
    <t>Sulfas</t>
  </si>
  <si>
    <t>Nopales ,comidas muy grasosas</t>
  </si>
  <si>
    <t>casa</t>
  </si>
  <si>
    <t>no lo se</t>
  </si>
  <si>
    <t xml:space="preserve">Guardia de seguridad privada </t>
  </si>
  <si>
    <t>Estreñimineyo</t>
  </si>
  <si>
    <t>Enfermedades cardiacas, Artritis</t>
  </si>
  <si>
    <t xml:space="preserve">Pan integral 2 rebanadas de jamano </t>
  </si>
  <si>
    <t>Queso en porciones</t>
  </si>
  <si>
    <t xml:space="preserve">Yogurt natural de fresa </t>
  </si>
  <si>
    <t xml:space="preserve">Fruta picada con un sandwuich </t>
  </si>
  <si>
    <t xml:space="preserve">Una mazana </t>
  </si>
  <si>
    <t xml:space="preserve">Pescado con ensalda </t>
  </si>
  <si>
    <t xml:space="preserve">Uvas </t>
  </si>
  <si>
    <t xml:space="preserve">Sopa </t>
  </si>
  <si>
    <t xml:space="preserve">1 ves al mes </t>
  </si>
  <si>
    <t>1 ves al mes</t>
  </si>
  <si>
    <t xml:space="preserve">Papas con chorizo y nopales con huevo </t>
  </si>
  <si>
    <t xml:space="preserve">Estrés </t>
  </si>
  <si>
    <t xml:space="preserve">Jugo y fruta </t>
  </si>
  <si>
    <t>Jugo y fruta</t>
  </si>
  <si>
    <t xml:space="preserve">Lasaña ensalada </t>
  </si>
  <si>
    <t xml:space="preserve">No
</t>
  </si>
  <si>
    <t xml:space="preserve">No sé </t>
  </si>
  <si>
    <t>Higado</t>
  </si>
  <si>
    <t>33 31 29 36 27</t>
  </si>
  <si>
    <t>JALISCO Y EDO DE MEXICO</t>
  </si>
  <si>
    <t>HASTA AHORITA NINGUNO :)=</t>
  </si>
  <si>
    <t>Hipertensión, Cáncer, Artritis</t>
  </si>
  <si>
    <t>1 PLATO CON CEREAL +150 ML DE LECHE DESLACTOSADA + 1 PLATANO Y 2 QUEZADILLAS SENCILLAS + AGUA NATURAL.</t>
  </si>
  <si>
    <t>AVECES ALGUNA FRUTA COMO MANDARINA, GUAYABA, ALGUNA GALLETA + AGUA NATURAL.</t>
  </si>
  <si>
    <t>ARROZ CON ZANAHORIA Y PAPA + 4 PZAS. DE POLLO ROSTIZADO + 4 TORTILLAS + 2 VASOS DE AGUA FRESCA DE FRUTA DE TEMPORADA.</t>
  </si>
  <si>
    <t>5 TOSTADAS CON FRIJOLES Y QUESO + CAFE CON LECHE</t>
  </si>
  <si>
    <t>1 PLATO CON CEREAL +150 ML DE LECHE DESLACTOSADA + 1 PLATANO Y 1 HOMELETTE CON 2 HUEVOS + FRIJOLES + 4 TORTILLA + AGUA NATURAL.</t>
  </si>
  <si>
    <t>SOPA AGUADA o ESPAGUETI CON CARNE MOLIDA + 2 VASOS DE AGUA FRESCA DE FRUTA DE TEMPORADA.</t>
  </si>
  <si>
    <t>1 PAN DULCE + 1 CAFE CON LECHE o 200 g DE YOGURT DE FRESA CON ALGUNA FRUTA + AGUA NATURAL.</t>
  </si>
  <si>
    <t>LECHE ENTERA</t>
  </si>
  <si>
    <t>Prifesionista</t>
  </si>
  <si>
    <t xml:space="preserve">México </t>
  </si>
  <si>
    <t>Colesterol elevado, Trigliceridos elevados, Anemia</t>
  </si>
  <si>
    <t xml:space="preserve">Levotiroxina </t>
  </si>
  <si>
    <t>Jugo verde, huevo, frijoles café fruta</t>
  </si>
  <si>
    <t>Arroz, tortillas, carne, postre</t>
  </si>
  <si>
    <t xml:space="preserve">Fruta, galletas </t>
  </si>
  <si>
    <t>Mismo</t>
  </si>
  <si>
    <t>Tal vez una, pero es raro</t>
  </si>
  <si>
    <t xml:space="preserve">Tal vez una, pero es raro </t>
  </si>
  <si>
    <t>No que Yo sepa</t>
  </si>
  <si>
    <t>Castaña de indias. Cloruro de magnesio. Alipotec</t>
  </si>
  <si>
    <t>Diabetes, Hipertensión, Enfermedades cardiacas, Enfermedades de riñón, Cáncer, Obesidad/sobrepeso</t>
  </si>
  <si>
    <t>Huevo. 3 tortillas. Café con azúcar y 5 galletas marias</t>
  </si>
  <si>
    <t>Lonche de pierna y refresco de 600 ml</t>
  </si>
  <si>
    <t>4 tacos de guiso</t>
  </si>
  <si>
    <t>Chilaquiles con frijoles 1/4 de kg. Café con azúcar y 5 galletas marias</t>
  </si>
  <si>
    <t>Bistec de pollo. 3 tortillas y arroz 1 cda. Y ensalada de lechuga</t>
  </si>
  <si>
    <t xml:space="preserve">3 o 4 tacos de guiso </t>
  </si>
  <si>
    <t>150.00 a 200</t>
  </si>
  <si>
    <t>No que sepa</t>
  </si>
  <si>
    <t>Como de todo. Me es igual</t>
  </si>
  <si>
    <t>Ciudad de Mexico</t>
  </si>
  <si>
    <t xml:space="preserve">Ciudad de México </t>
  </si>
  <si>
    <t xml:space="preserve">Pachuca hidalgo </t>
  </si>
  <si>
    <t>Pachuca Hidalgo</t>
  </si>
  <si>
    <t xml:space="preserve">Rinitis alérgica y fibromialgia </t>
  </si>
  <si>
    <t xml:space="preserve">Cetirizina, paracetamol, ibuprofeno y aspirina </t>
  </si>
  <si>
    <t xml:space="preserve">Dos </t>
  </si>
  <si>
    <t xml:space="preserve">Dos huevos y agua </t>
  </si>
  <si>
    <t xml:space="preserve">Plato grande de sopa y porción normal de carne tres vasos de agua </t>
  </si>
  <si>
    <t xml:space="preserve">Yogurt o ensalada o fruta </t>
  </si>
  <si>
    <t xml:space="preserve">1 Gorditas de frijol con un taco de carne </t>
  </si>
  <si>
    <t xml:space="preserve">Yogurt </t>
  </si>
  <si>
    <t>Sopa de arroz con un plato de salpicón tres vasos de agua</t>
  </si>
  <si>
    <t xml:space="preserve">A veces </t>
  </si>
  <si>
    <t xml:space="preserve">Entre semana </t>
  </si>
  <si>
    <t xml:space="preserve">350 o 400 </t>
  </si>
  <si>
    <t>Hígado pescado viseras</t>
  </si>
  <si>
    <t xml:space="preserve">Comercio </t>
  </si>
  <si>
    <t>Ningino</t>
  </si>
  <si>
    <t>Chilaquiles</t>
  </si>
  <si>
    <t>Yogurt</t>
  </si>
  <si>
    <t>75 años</t>
  </si>
  <si>
    <t xml:space="preserve">Coahuila de Zaragoza </t>
  </si>
  <si>
    <t>Mareos</t>
  </si>
  <si>
    <t>Losartan 2 al dia</t>
  </si>
  <si>
    <t>Sandwich de jamón, un café y galletas narias</t>
  </si>
  <si>
    <t xml:space="preserve">Chilaquiles, pollo y arroz </t>
  </si>
  <si>
    <t>Huevo y cafe</t>
  </si>
  <si>
    <t>Pollo asado</t>
  </si>
  <si>
    <t>Cero</t>
  </si>
  <si>
    <t>Me compran los insumos y hago la comida</t>
  </si>
  <si>
    <t xml:space="preserve">Las ensaladas </t>
  </si>
  <si>
    <t xml:space="preserve">Trayenta duo, losartan, vitamina c, complejo b, biotina, magnesio, potasio y melatonina </t>
  </si>
  <si>
    <t>Huevo con nopales, 1/4 de aguacate, una tortilla y una cruta</t>
  </si>
  <si>
    <t xml:space="preserve">100 grs de proteina animal, verduras, ensalada y una tortilla , 1/4 aguacate </t>
  </si>
  <si>
    <t xml:space="preserve">100 grs proteina animal, verduras. un vaso leche, rebanada de pan, 1/4 aguacate </t>
  </si>
  <si>
    <t>Huevo con pimientos morron, tortilla, 1/4 aguacate , una fruta</t>
  </si>
  <si>
    <t>Berenjenas</t>
  </si>
  <si>
    <t>Académica UdeG</t>
  </si>
  <si>
    <t>3321 5451 64</t>
  </si>
  <si>
    <t>2 rebanadas de pan integral, jitomate, centolla, jamón de pavo</t>
  </si>
  <si>
    <t>Leche descremada y cereal</t>
  </si>
  <si>
    <t xml:space="preserve">Ensalada </t>
  </si>
  <si>
    <t xml:space="preserve">Huevo, frijoles fritos, gelatina </t>
  </si>
  <si>
    <t xml:space="preserve">Carne a la mexicana </t>
  </si>
  <si>
    <t xml:space="preserve">Yogurt con manzana y te de manzanilla </t>
  </si>
  <si>
    <t xml:space="preserve">A lactosa </t>
  </si>
  <si>
    <t>Las calabazas, melón Cantalup</t>
  </si>
  <si>
    <t xml:space="preserve">Administración de condominios </t>
  </si>
  <si>
    <t xml:space="preserve">Falta de apetito, estrés y presión alta </t>
  </si>
  <si>
    <t>Presion arterial alta</t>
  </si>
  <si>
    <t>Losartan 50 mg</t>
  </si>
  <si>
    <t>Diabetes, Enfermedades de riñón</t>
  </si>
  <si>
    <t xml:space="preserve">Una fruta o tacos </t>
  </si>
  <si>
    <t xml:space="preserve">Pollo o carne </t>
  </si>
  <si>
    <t xml:space="preserve">Fruta o gelatina </t>
  </si>
  <si>
    <t xml:space="preserve">Algunas verduras leche </t>
  </si>
  <si>
    <t>cafe</t>
  </si>
  <si>
    <t>carne, pollo o pescado, verduras y arroz o frijol</t>
  </si>
  <si>
    <t>Cereal o fruta</t>
  </si>
  <si>
    <t xml:space="preserve">Carne y frijoles </t>
  </si>
  <si>
    <t xml:space="preserve">Sándwiches </t>
  </si>
  <si>
    <t>Pollo y ensalada</t>
  </si>
  <si>
    <t>Sandwiches</t>
  </si>
  <si>
    <t>Gastritis y colitis</t>
  </si>
  <si>
    <t>Colageno</t>
  </si>
  <si>
    <t>dos huevos, y taza de espinacas, jitomate y cebolla, 1 rebanada de pan integral 1 cucharada de aceite de oliva, 1 taza de café y te</t>
  </si>
  <si>
    <t>1 taza de papaya, o una taza de pepino, jícama y naranja</t>
  </si>
  <si>
    <t>Una raciona de pollo ya sea relleno de verduras o asado, 1 taza de ensalada verde, 2 tortillas, una taza de arroz blanco o rojo.</t>
  </si>
  <si>
    <t>no hago merienda</t>
  </si>
  <si>
    <t>un pan con un vaso de leche</t>
  </si>
  <si>
    <t>1 sandwich  de pechuga de pavo, lechuga jitomate, mayonesa, un bísquet, un café y un te.</t>
  </si>
  <si>
    <t>1 ración de carne en su jugo, una taza de frijoles, guacamole, 2 tostadas, una cola chica o un vaso de agua fresca de sabor</t>
  </si>
  <si>
    <t xml:space="preserve">una rebanada de pan tostado con requesón, una taza de te  </t>
  </si>
  <si>
    <t>150 pesos</t>
  </si>
  <si>
    <t>a la lactosa</t>
  </si>
  <si>
    <t>las habas, los cacahuates, caldo de pescado</t>
  </si>
  <si>
    <t>Atención a enfermos en casa geriátrica</t>
  </si>
  <si>
    <t>Gastritis, colitis</t>
  </si>
  <si>
    <t>Diebetes, Hipertensión, Cáncer, Artritis, Obesidad/sobrepeso, Enfermedad del corazón</t>
  </si>
  <si>
    <t>Ocasionalmente cafiaspirina para dolor de cabeza</t>
  </si>
  <si>
    <t>Plátano, té verde</t>
  </si>
  <si>
    <t>4 rebanadas de pan integral, 2 rebanadas de panela, germen de trigo, agua, café</t>
  </si>
  <si>
    <t xml:space="preserve">Caldo de pollo, verduras guisadas, agua de naranja </t>
  </si>
  <si>
    <t>1 tostada, rebanada de panela, germen de trigo</t>
  </si>
  <si>
    <t>Te verde</t>
  </si>
  <si>
    <t>Bolillo, frijoles, 2 rebanadas de queso, café, agua</t>
  </si>
  <si>
    <t>1/2 taza de arroz, 2 tostadas, quiso de verduras</t>
  </si>
  <si>
    <t>2 tostadas de jamón con germen de trigo</t>
  </si>
  <si>
    <t>Directamente casi no gasto</t>
  </si>
  <si>
    <t>Aguacate, sandía, pescado</t>
  </si>
  <si>
    <t>3 tacos tortilla grande, 2 tazas de cafe, 2 vasos de agua</t>
  </si>
  <si>
    <t>Bolsa de fruta, 1 vaso de agua</t>
  </si>
  <si>
    <t>2 huevos, porción de frijoles y 4 tortillas, 1 vaso de agua</t>
  </si>
  <si>
    <t>1 bistec, 200gr de frijoles y 2 vasos de agua</t>
  </si>
  <si>
    <t>3 tacos de birria, 2 tazas de cafe, 2 vasos de agua</t>
  </si>
  <si>
    <t>3 tunas y una manzana</t>
  </si>
  <si>
    <t xml:space="preserve">3 quesadillas de masa, 2 vasos de agua </t>
  </si>
  <si>
    <t>2 sopes de rajas y 2 vasos de agua</t>
  </si>
  <si>
    <t>80 pesos</t>
  </si>
  <si>
    <t>Entumecimiento de manos</t>
  </si>
  <si>
    <t>No tomo</t>
  </si>
  <si>
    <t>10:00 porción de comida casera un bisteck con frijoles y una coca de 660 ml</t>
  </si>
  <si>
    <t>Birria en tacos tres tacos de birria casera doble tortilla y refresco</t>
  </si>
  <si>
    <t>Un plato de frijoles con queso y refresco</t>
  </si>
  <si>
    <t xml:space="preserve">Sábados </t>
  </si>
  <si>
    <t>Todos me gustan</t>
  </si>
  <si>
    <t>Guardia</t>
  </si>
  <si>
    <t xml:space="preserve">Gastritis  y colitis </t>
  </si>
  <si>
    <t>Trigliceridos elevados, Obesidad/sobrepeso, Anemia, Enfermedad en los riñones</t>
  </si>
  <si>
    <t>Colesterolemia</t>
  </si>
  <si>
    <t xml:space="preserve">Café solo o 🍪 </t>
  </si>
  <si>
    <t xml:space="preserve">Arroz y huevo </t>
  </si>
  <si>
    <t>Tacos dos y agua de sabores  y de ves en cuando  una coca</t>
  </si>
  <si>
    <t>Pan y cafe</t>
  </si>
  <si>
    <t xml:space="preserve">Tacos </t>
  </si>
  <si>
    <t>Café y pan</t>
  </si>
  <si>
    <t>Arroz  y guisado</t>
  </si>
  <si>
    <t>Fruta y crepa</t>
  </si>
  <si>
    <t>Tres o Cuatro</t>
  </si>
  <si>
    <t>Tres o cuatro</t>
  </si>
  <si>
    <t>Ala láctosa</t>
  </si>
  <si>
    <t xml:space="preserve">Aceitunas </t>
  </si>
  <si>
    <t xml:space="preserve">40 años </t>
  </si>
  <si>
    <t xml:space="preserve">Guardia de seguridad </t>
  </si>
  <si>
    <t xml:space="preserve">Pedernales michoacan </t>
  </si>
  <si>
    <t xml:space="preserve">Gastritis y  colitis </t>
  </si>
  <si>
    <t>Colesterol elevado, Trigliceridos elevados, Obesidad/sobrepeso, Anemia, Enfermedad en los riñones</t>
  </si>
  <si>
    <t xml:space="preserve">No por el momento </t>
  </si>
  <si>
    <t>Complejo b</t>
  </si>
  <si>
    <t>Leche y pan</t>
  </si>
  <si>
    <t>Tacos y refresco</t>
  </si>
  <si>
    <t>Café o te</t>
  </si>
  <si>
    <t xml:space="preserve">Tacos refresco </t>
  </si>
  <si>
    <t xml:space="preserve">Tacos y refresco </t>
  </si>
  <si>
    <t>Tacos de Frijoles  café con leche</t>
  </si>
  <si>
    <t>Tacos</t>
  </si>
  <si>
    <t>Todas</t>
  </si>
  <si>
    <t xml:space="preserve">Todo el tiempo </t>
  </si>
  <si>
    <t>140 varea</t>
  </si>
  <si>
    <t>No queyo sepa</t>
  </si>
  <si>
    <t>Nome desagrada nada</t>
  </si>
  <si>
    <t>Contador Publico</t>
  </si>
  <si>
    <t>Atorvastatina, Propranolol, Tamsulosina</t>
  </si>
  <si>
    <t>Diabetes, Artritis</t>
  </si>
  <si>
    <t xml:space="preserve">Fruta, 3 quesadillas </t>
  </si>
  <si>
    <t>Sopa verduras,  carne de res o pollo</t>
  </si>
  <si>
    <t xml:space="preserve">Sándwich o quesadillas </t>
  </si>
  <si>
    <t>Igual día 1</t>
  </si>
  <si>
    <t>200 + o -</t>
  </si>
  <si>
    <t>Visceras</t>
  </si>
  <si>
    <t xml:space="preserve">3 tacos y taza de café y agua </t>
  </si>
  <si>
    <t xml:space="preserve">Ensalada, café y agua </t>
  </si>
  <si>
    <t>No suelo cenar</t>
  </si>
  <si>
    <t xml:space="preserve">Sandwich </t>
  </si>
  <si>
    <t xml:space="preserve">Caldo de pollo, agua </t>
  </si>
  <si>
    <t xml:space="preserve">No suelo cenar </t>
  </si>
  <si>
    <t xml:space="preserve">Pescado, atún </t>
  </si>
  <si>
    <t xml:space="preserve">36 años </t>
  </si>
  <si>
    <t xml:space="preserve">Administradora </t>
  </si>
  <si>
    <t xml:space="preserve">Ovario poli quístico </t>
  </si>
  <si>
    <t xml:space="preserve">Café con 1 pieza de pan </t>
  </si>
  <si>
    <t xml:space="preserve">Plátano 1kg ex </t>
  </si>
  <si>
    <t xml:space="preserve">1 plato de arroz, 6 tortillas, 1 vaso de agua </t>
  </si>
  <si>
    <t xml:space="preserve">Pepinos 3 piezas </t>
  </si>
  <si>
    <t xml:space="preserve">Medio plato de frijol, 3 tortillas, café o leche 1 taza </t>
  </si>
  <si>
    <t xml:space="preserve">1 Café o leche con 1 pieza de pan </t>
  </si>
  <si>
    <t xml:space="preserve">Manzana 1 pieza </t>
  </si>
  <si>
    <t>2 bistec de carne de res, 6 tortilllas, 1 vaso de agua</t>
  </si>
  <si>
    <t xml:space="preserve">1 plátano </t>
  </si>
  <si>
    <t>1 taza de Café con 2 quesadillas</t>
  </si>
  <si>
    <t xml:space="preserve">Leguminosas </t>
  </si>
  <si>
    <t>Abuela de San Luis Potosí y abuelo Coahuila</t>
  </si>
  <si>
    <t xml:space="preserve">No tomo medicamentos </t>
  </si>
  <si>
    <t xml:space="preserve">4 tacos de frijol de la olla 
1 taza de café 
1 bistec </t>
  </si>
  <si>
    <t xml:space="preserve">Agua natural </t>
  </si>
  <si>
    <t xml:space="preserve">2 tazas de espagueti con carne 
3 tortillas 
1 vaso de agua de piña </t>
  </si>
  <si>
    <t>1 paleta de hielo de piña</t>
  </si>
  <si>
    <t xml:space="preserve">2 tacos de espagueti 
1 vaso de agua natural </t>
  </si>
  <si>
    <t>Contadora</t>
  </si>
  <si>
    <t>estreñimiento, colitis, insomnio, pies inchados</t>
  </si>
  <si>
    <t>solo fibras y licuados naturales</t>
  </si>
  <si>
    <t>pan con huevo</t>
  </si>
  <si>
    <t>carnes y tortillas</t>
  </si>
  <si>
    <t>lonches</t>
  </si>
  <si>
    <t>caldo y tortillas</t>
  </si>
  <si>
    <t>pizza o tacos</t>
  </si>
  <si>
    <t>3 o 4 dias</t>
  </si>
  <si>
    <t xml:space="preserve">Falta de apetito </t>
  </si>
  <si>
    <t xml:space="preserve">No tomo ninguno </t>
  </si>
  <si>
    <t>2 huevos revueltos, con 1 porción de chilaquiles y una taza de café (1 cucharada de café, 2 cucharadas de azúcar)</t>
  </si>
  <si>
    <t>1 manzana picada</t>
  </si>
  <si>
    <t>Pollo y arroz (100 gr de pollo, con 2 cucharadas de arroz con elote amarillo y 2 tortilla, 2 vasos de agua pura)</t>
  </si>
  <si>
    <t xml:space="preserve">1 taza de gelatina </t>
  </si>
  <si>
    <t xml:space="preserve">3 hot cakes de avena (2 tazas de avena, 1/2 taza de Leche, 1 platano, 1 cucharada de esencia de vainilla, 1 huevo, 1 cucharada de linaza) </t>
  </si>
  <si>
    <t xml:space="preserve">2 zanahorias ralladas </t>
  </si>
  <si>
    <t>Enchiladas verdes de pollo ( 3 tortilla, 100 gr de pollo, 3 tomates, 2 chiles, 1 cucharada de sal, 100 gr de queso fresco)</t>
  </si>
  <si>
    <t>1 taza de gelatina</t>
  </si>
  <si>
    <t xml:space="preserve">Carne de res </t>
  </si>
  <si>
    <t xml:space="preserve">Alumno y trabajador (atención al cliente) </t>
  </si>
  <si>
    <t xml:space="preserve">No he sido diagnósticado </t>
  </si>
  <si>
    <t>2 Sandwich (pan blanco, jamón de pavo)</t>
  </si>
  <si>
    <t xml:space="preserve">3-4 galletas de chocolate </t>
  </si>
  <si>
    <t xml:space="preserve">Pasta con carne molida </t>
  </si>
  <si>
    <t xml:space="preserve">2 quesadillas </t>
  </si>
  <si>
    <t xml:space="preserve">Chilaquiles verdes (con queso fresco, crema, 2 rebanadas de pan blanco) y un vaso de agua de Jamaica </t>
  </si>
  <si>
    <t xml:space="preserve">Pollo rostizado, con ensalada de codito y puré de papa (con varias tortillas) </t>
  </si>
  <si>
    <t xml:space="preserve">2-3 tacos de pollo </t>
  </si>
  <si>
    <t xml:space="preserve">Entre cero y una vez por semana </t>
  </si>
  <si>
    <t xml:space="preserve">Cero </t>
  </si>
  <si>
    <t>Entre $200 y $300</t>
  </si>
  <si>
    <t xml:space="preserve">No que yo sepa </t>
  </si>
  <si>
    <t xml:space="preserve">Jalisco, Ciudad de México </t>
  </si>
  <si>
    <t>Ninguno, el diagnóstico fue de pequeño y ya no lo e presentado</t>
  </si>
  <si>
    <t>Hipertensión, Enfermedades de riñón</t>
  </si>
  <si>
    <t>2 sandwich de jamón, con pan integral, agua mineral de 600ml</t>
  </si>
  <si>
    <t xml:space="preserve">Dulces o gomas </t>
  </si>
  <si>
    <t xml:space="preserve">1 Lonche de bistec y un agua de 1 litro </t>
  </si>
  <si>
    <t xml:space="preserve">Bistec con papas, 4-5 tortillas, agua de sabor 1 litro y medio </t>
  </si>
  <si>
    <t>Recalentado, con dos panes integrales, un agua mineral de 600ml</t>
  </si>
  <si>
    <t xml:space="preserve">Dulces </t>
  </si>
  <si>
    <t>Baguette de pollo con porcion de papas, refresco de 500ml</t>
  </si>
  <si>
    <t>Huevo con chorizo con 4 tortillas, y dos vasos de agua de frutas</t>
  </si>
  <si>
    <t>7-8</t>
  </si>
  <si>
    <t xml:space="preserve">Estreñimiento, gastritis y colitis </t>
  </si>
  <si>
    <t>Diabetes, Hipertensión, Artritis</t>
  </si>
  <si>
    <t xml:space="preserve">1 sándwich </t>
  </si>
  <si>
    <t xml:space="preserve">3 tacos de barbacoa </t>
  </si>
  <si>
    <t xml:space="preserve">Galletas de chocolate </t>
  </si>
  <si>
    <t xml:space="preserve">3 tacos de bistec </t>
  </si>
  <si>
    <t xml:space="preserve">Cacahuates </t>
  </si>
  <si>
    <t xml:space="preserve">1 lonche de pierna </t>
  </si>
  <si>
    <t xml:space="preserve">1 pan </t>
  </si>
  <si>
    <t xml:space="preserve">Plato de cereal </t>
  </si>
  <si>
    <t xml:space="preserve">$70 </t>
  </si>
  <si>
    <t>Garnachas</t>
  </si>
  <si>
    <t xml:space="preserve">Campeche </t>
  </si>
  <si>
    <t xml:space="preserve">Oaxaca </t>
  </si>
  <si>
    <t xml:space="preserve">Oaxaca y Chiapas </t>
  </si>
  <si>
    <t xml:space="preserve">Oaxaca y Campeche </t>
  </si>
  <si>
    <t>Isotetrinoina en tratamiento de acné y Diane para SOP</t>
  </si>
  <si>
    <t xml:space="preserve">Taza de cereal de avena con media manzana y medio plátano, pan tostado doble cero integral con crema de cacahuate y medio plátano </t>
  </si>
  <si>
    <t>Sandía, jícama y una rebanada de mango</t>
  </si>
  <si>
    <t xml:space="preserve">2 tacos de fajitas de pollo con chile morron, 1/4 de aguacate, y un poco de calabacitas </t>
  </si>
  <si>
    <t xml:space="preserve">2 naranjas </t>
  </si>
  <si>
    <t>Hotcakes de avena con zanahoria con un licuado de piña con papaya</t>
  </si>
  <si>
    <t xml:space="preserve">Sándwich de Huevo con guacamole y queso panela </t>
  </si>
  <si>
    <t xml:space="preserve">Jícama, Sandía y un rebanada de mango </t>
  </si>
  <si>
    <t xml:space="preserve">2 tacos de pescado con morron y guacamole </t>
  </si>
  <si>
    <t xml:space="preserve">Hotcakes de avena con zanahoria y un licuado de papaya con piña </t>
  </si>
  <si>
    <t>75 pesos</t>
  </si>
  <si>
    <t xml:space="preserve">Amikazina </t>
  </si>
  <si>
    <t xml:space="preserve">Jalisco y Sonora </t>
  </si>
  <si>
    <t xml:space="preserve">Sin diagnóstico </t>
  </si>
  <si>
    <t xml:space="preserve">2 Sandwich y un jugo </t>
  </si>
  <si>
    <t xml:space="preserve">Porción mediana de carne, porción mediana de verduras y porción chica de leguminosas, con 1 vaso de jugo </t>
  </si>
  <si>
    <t xml:space="preserve">6 galletas y 1 vaso de leche </t>
  </si>
  <si>
    <t xml:space="preserve">2 Sandwich </t>
  </si>
  <si>
    <t xml:space="preserve">Porción de pasta, con una porción mediana de carne y una porción mediana de verduras, con agua de sabor </t>
  </si>
  <si>
    <t>Desayuno más o menos 80 pesos, de comidas para 6 personas unos 200 y de cena unos 50 pesos</t>
  </si>
  <si>
    <t xml:space="preserve">Comida con consistencia similar a la nata </t>
  </si>
  <si>
    <t xml:space="preserve">Estudiante universitario </t>
  </si>
  <si>
    <t xml:space="preserve">Hígado graso </t>
  </si>
  <si>
    <t>Venlafaxina 75mg</t>
  </si>
  <si>
    <t>Diabetes, Hipertensión, Enfermedades cardiacas, Enfermedades de riñón</t>
  </si>
  <si>
    <t>1 Huevo con espinacas, licuado de manzana y papaya</t>
  </si>
  <si>
    <t xml:space="preserve">Y pechuga, ensalada, arroz </t>
  </si>
  <si>
    <t>1 sandwich, licuado de manzana, papaya y espinacas</t>
  </si>
  <si>
    <t xml:space="preserve">Atún, verduras, </t>
  </si>
  <si>
    <t xml:space="preserve">Galletas sabrosas </t>
  </si>
  <si>
    <t xml:space="preserve">Manzana con yogurt </t>
  </si>
  <si>
    <t>Lactosa, verduras como calabaza, brócoli, coliflor me inflaman mucho</t>
  </si>
  <si>
    <t>Huevo estrellado</t>
  </si>
  <si>
    <t xml:space="preserve">Jalisco y Tototlán </t>
  </si>
  <si>
    <t>Un sándwich, una rebanada de jamón, una cucharada de crema, pan blanco. Y un café con leche, endulzado con Stevia</t>
  </si>
  <si>
    <t>Rollos de pollo rellenos de chile morrón con queso y dos tortillas. Agua de Jamaica y en ocasiones refresco.</t>
  </si>
  <si>
    <t xml:space="preserve">Pepino o jícama </t>
  </si>
  <si>
    <t>Dos quesadillas y un café con leche</t>
  </si>
  <si>
    <t>Tres quesadillas y un café con leche.</t>
  </si>
  <si>
    <t>Bistec a la mexicana con 2 tortillas.</t>
  </si>
  <si>
    <t xml:space="preserve">Una gelatina. </t>
  </si>
  <si>
    <t>Medio mollete de frijoles de la olla con queso y un café.</t>
  </si>
  <si>
    <t xml:space="preserve">Una vez a la semana. </t>
  </si>
  <si>
    <t xml:space="preserve">Ninguna. </t>
  </si>
  <si>
    <t xml:space="preserve">200 pesos aproximadamente </t>
  </si>
  <si>
    <t xml:space="preserve">Estreñimiento y falta de apetito </t>
  </si>
  <si>
    <t xml:space="preserve">No ninguna </t>
  </si>
  <si>
    <t xml:space="preserve">1 vaso de gelatina y 500 ml de café soluble </t>
  </si>
  <si>
    <t xml:space="preserve">1 galleta de chispas de chocolate </t>
  </si>
  <si>
    <t xml:space="preserve">Chuleta a la mexicana con frijoles,1 tortilla, 1 vaso de agua de Piña </t>
  </si>
  <si>
    <t xml:space="preserve">Una paleta de la Rosa </t>
  </si>
  <si>
    <t xml:space="preserve">Una gelatina </t>
  </si>
  <si>
    <t xml:space="preserve">Una Gelatina y 500 ml de café soluble </t>
  </si>
  <si>
    <t xml:space="preserve">Empanizado de pollo cok arroz, un vaso de agua de jamaica y 1 tortilla </t>
  </si>
  <si>
    <t xml:space="preserve">1 Gelatina </t>
  </si>
  <si>
    <t xml:space="preserve">100 pesos </t>
  </si>
  <si>
    <t xml:space="preserve">Las verduras a excepción de la papa y zanahorias cruda </t>
  </si>
  <si>
    <t>Hipertensión, Enfermedades cardiacas, Artritis, Obesidad/sobrepeso</t>
  </si>
  <si>
    <t xml:space="preserve">Un cereal </t>
  </si>
  <si>
    <t>Verduras y carne</t>
  </si>
  <si>
    <t xml:space="preserve">Hamburguesa </t>
  </si>
  <si>
    <t xml:space="preserve">2 huevos, 1 taza de frijoles, 2 tortillas </t>
  </si>
  <si>
    <t xml:space="preserve">1 taza de arroz, 100 gr de pollo, 2 tortillas </t>
  </si>
  <si>
    <t xml:space="preserve">No cene </t>
  </si>
  <si>
    <t xml:space="preserve">2 tazas de avena, 1 taza de Leche, 1 Platano, media manzana, 1 cucharada dr linaza, 1 cucharada de Chía </t>
  </si>
  <si>
    <t>Dos huevos con dos tortillas, 1/3 de taza de frijoles y una taza de café endulzada con stevia</t>
  </si>
  <si>
    <t>Cosillas de cerdo encacahuatadas con 1 taza de arroz y 2 tortillas</t>
  </si>
  <si>
    <t xml:space="preserve">Pan tostado con mermelada y café </t>
  </si>
  <si>
    <t>50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</si>
</sst>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"/>
    <numFmt numFmtId="165" formatCode="_-* #,##0.00\ &quot;$&quot;_-;\-* #,##0.00\ &quot;$&quot;_-;_-* &quot;-&quot;??\ &quot;$&quot;_-;_-@_-"/>
    <numFmt numFmtId="166" formatCode="m/d/yyyy\ h:mm:ss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0"/>
      <name val="Times New Roman"/>
      <family val="1"/>
    </font>
    <font>
      <sz val="10"/>
      <color theme="3" tint="0.24994659260841701"/>
      <name val="Calibri"/>
      <family val="2"/>
      <scheme val="minor"/>
    </font>
    <font>
      <sz val="12"/>
      <color theme="3" tint="0.2499465926084170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9900FF"/>
      <name val="Calibri"/>
      <family val="2"/>
      <scheme val="minor"/>
    </font>
    <font>
      <sz val="10"/>
      <color rgb="FFFF00FF"/>
      <name val="Calibri"/>
      <family val="2"/>
      <scheme val="minor"/>
    </font>
    <font>
      <sz val="10"/>
      <color rgb="FF0000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>
      <alignment vertical="center"/>
    </xf>
  </cellStyleXfs>
  <cellXfs count="25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1" xfId="0" applyNumberFormat="1" applyBorder="1"/>
    <xf numFmtId="0" fontId="4" fillId="0" borderId="1" xfId="0" applyFont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14" fontId="0" fillId="0" borderId="1" xfId="0" applyNumberFormat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/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5" fontId="0" fillId="5" borderId="0" xfId="0" applyNumberFormat="1" applyFill="1" applyAlignment="1">
      <alignment horizontal="center"/>
    </xf>
    <xf numFmtId="0" fontId="0" fillId="5" borderId="0" xfId="0" applyFill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0" xfId="0" applyFill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6" fontId="0" fillId="6" borderId="1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15" fontId="4" fillId="0" borderId="0" xfId="0" applyNumberFormat="1" applyFont="1" applyAlignment="1">
      <alignment horizontal="left" vertical="center"/>
    </xf>
    <xf numFmtId="1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16" fontId="0" fillId="0" borderId="0" xfId="0" applyNumberFormat="1"/>
    <xf numFmtId="1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17" fontId="0" fillId="0" borderId="0" xfId="0" applyNumberFormat="1"/>
    <xf numFmtId="0" fontId="4" fillId="5" borderId="0" xfId="0" applyFont="1" applyFill="1" applyAlignment="1">
      <alignment horizontal="center"/>
    </xf>
    <xf numFmtId="0" fontId="0" fillId="18" borderId="1" xfId="0" applyFill="1" applyBorder="1"/>
    <xf numFmtId="0" fontId="0" fillId="9" borderId="1" xfId="0" applyFill="1" applyBorder="1"/>
    <xf numFmtId="0" fontId="0" fillId="2" borderId="1" xfId="0" applyFill="1" applyBorder="1"/>
    <xf numFmtId="0" fontId="0" fillId="14" borderId="1" xfId="0" applyFill="1" applyBorder="1"/>
    <xf numFmtId="49" fontId="0" fillId="4" borderId="1" xfId="0" applyNumberFormat="1" applyFill="1" applyBorder="1"/>
    <xf numFmtId="0" fontId="2" fillId="0" borderId="1" xfId="0" applyFont="1" applyBorder="1"/>
    <xf numFmtId="14" fontId="0" fillId="0" borderId="1" xfId="0" applyNumberFormat="1" applyBorder="1"/>
    <xf numFmtId="0" fontId="4" fillId="3" borderId="1" xfId="0" applyFont="1" applyFill="1" applyBorder="1"/>
    <xf numFmtId="0" fontId="0" fillId="16" borderId="1" xfId="0" applyFill="1" applyBorder="1"/>
    <xf numFmtId="0" fontId="0" fillId="8" borderId="1" xfId="0" applyFill="1" applyBorder="1"/>
    <xf numFmtId="0" fontId="5" fillId="0" borderId="1" xfId="0" applyFont="1" applyBorder="1"/>
    <xf numFmtId="0" fontId="0" fillId="10" borderId="1" xfId="0" applyFill="1" applyBorder="1"/>
    <xf numFmtId="0" fontId="4" fillId="2" borderId="1" xfId="0" applyFont="1" applyFill="1" applyBorder="1"/>
    <xf numFmtId="49" fontId="4" fillId="7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20" borderId="1" xfId="0" applyFill="1" applyBorder="1"/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right"/>
    </xf>
    <xf numFmtId="15" fontId="7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9" borderId="1" xfId="0" applyFont="1" applyFill="1" applyBorder="1"/>
    <xf numFmtId="0" fontId="0" fillId="22" borderId="1" xfId="0" applyFill="1" applyBorder="1"/>
    <xf numFmtId="0" fontId="0" fillId="21" borderId="1" xfId="0" applyFill="1" applyBorder="1"/>
    <xf numFmtId="0" fontId="0" fillId="23" borderId="1" xfId="0" applyFill="1" applyBorder="1"/>
    <xf numFmtId="0" fontId="0" fillId="6" borderId="1" xfId="0" applyFill="1" applyBorder="1"/>
    <xf numFmtId="14" fontId="0" fillId="3" borderId="1" xfId="0" applyNumberFormat="1" applyFill="1" applyBorder="1" applyAlignment="1">
      <alignment horizontal="center"/>
    </xf>
    <xf numFmtId="0" fontId="8" fillId="0" borderId="1" xfId="0" applyFont="1" applyBorder="1"/>
    <xf numFmtId="15" fontId="0" fillId="4" borderId="1" xfId="0" applyNumberFormat="1" applyFill="1" applyBorder="1" applyAlignment="1">
      <alignment horizontal="center"/>
    </xf>
    <xf numFmtId="15" fontId="0" fillId="10" borderId="1" xfId="0" applyNumberFormat="1" applyFill="1" applyBorder="1" applyAlignment="1">
      <alignment horizontal="center"/>
    </xf>
    <xf numFmtId="0" fontId="0" fillId="3" borderId="0" xfId="0" applyFill="1"/>
    <xf numFmtId="16" fontId="0" fillId="4" borderId="1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0" xfId="0" applyFill="1" applyAlignment="1">
      <alignment horizontal="center"/>
    </xf>
    <xf numFmtId="15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4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19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4" fillId="9" borderId="0" xfId="0" applyFont="1" applyFill="1" applyAlignment="1">
      <alignment horizontal="center"/>
    </xf>
    <xf numFmtId="1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5" fontId="0" fillId="0" borderId="0" xfId="0" applyNumberFormat="1"/>
    <xf numFmtId="20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5" fontId="0" fillId="6" borderId="0" xfId="0" applyNumberFormat="1" applyFill="1" applyAlignment="1">
      <alignment horizontal="center"/>
    </xf>
    <xf numFmtId="0" fontId="0" fillId="6" borderId="0" xfId="0" applyFill="1"/>
    <xf numFmtId="0" fontId="0" fillId="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15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10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16" fontId="0" fillId="0" borderId="2" xfId="0" applyNumberFormat="1" applyBorder="1"/>
    <xf numFmtId="49" fontId="11" fillId="4" borderId="1" xfId="1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0" fontId="0" fillId="8" borderId="1" xfId="0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1" fontId="12" fillId="0" borderId="1" xfId="0" applyNumberFormat="1" applyFont="1" applyBorder="1" applyAlignment="1" applyProtection="1">
      <alignment horizontal="left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5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7" borderId="1" xfId="0" applyFill="1" applyBorder="1" applyAlignment="1" applyProtection="1">
      <alignment horizontal="center"/>
      <protection locked="0"/>
    </xf>
    <xf numFmtId="164" fontId="0" fillId="28" borderId="1" xfId="0" applyNumberForma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9" borderId="1" xfId="0" applyFill="1" applyBorder="1" applyAlignment="1" applyProtection="1">
      <alignment horizontal="center"/>
      <protection locked="0"/>
    </xf>
    <xf numFmtId="164" fontId="0" fillId="29" borderId="1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30" borderId="1" xfId="0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/>
      <protection locked="0"/>
    </xf>
    <xf numFmtId="0" fontId="0" fillId="31" borderId="1" xfId="0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30" borderId="1" xfId="0" applyFill="1" applyBorder="1" applyProtection="1">
      <protection locked="0"/>
    </xf>
    <xf numFmtId="164" fontId="0" fillId="30" borderId="1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Protection="1">
      <protection locked="0"/>
    </xf>
    <xf numFmtId="0" fontId="13" fillId="3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20" borderId="0" xfId="0" applyFont="1" applyFill="1" applyAlignment="1">
      <alignment horizontal="center" vertical="center" wrapText="1"/>
    </xf>
    <xf numFmtId="49" fontId="15" fillId="0" borderId="0" xfId="2" applyNumberFormat="1" applyFont="1" applyAlignment="1">
      <alignment horizontal="center" vertical="center" wrapText="1"/>
    </xf>
    <xf numFmtId="0" fontId="15" fillId="0" borderId="0" xfId="3" applyFont="1" applyAlignment="1">
      <alignment horizontal="center" vertical="center" wrapText="1"/>
    </xf>
    <xf numFmtId="14" fontId="15" fillId="0" borderId="0" xfId="3" applyNumberFormat="1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4" fillId="20" borderId="13" xfId="3" applyFill="1" applyBorder="1">
      <alignment vertical="center"/>
    </xf>
    <xf numFmtId="0" fontId="14" fillId="0" borderId="0" xfId="3">
      <alignment vertical="center"/>
    </xf>
    <xf numFmtId="17" fontId="14" fillId="0" borderId="0" xfId="3" applyNumberFormat="1">
      <alignment vertical="center"/>
    </xf>
    <xf numFmtId="0" fontId="14" fillId="0" borderId="0" xfId="3" applyAlignment="1">
      <alignment horizontal="left" vertical="center" indent="1"/>
    </xf>
    <xf numFmtId="15" fontId="14" fillId="0" borderId="0" xfId="3" applyNumberFormat="1">
      <alignment vertical="center"/>
    </xf>
    <xf numFmtId="0" fontId="16" fillId="0" borderId="0" xfId="0" applyFont="1"/>
    <xf numFmtId="166" fontId="16" fillId="0" borderId="0" xfId="0" applyNumberFormat="1" applyFont="1"/>
    <xf numFmtId="166" fontId="17" fillId="0" borderId="0" xfId="0" applyNumberFormat="1" applyFont="1"/>
    <xf numFmtId="0" fontId="17" fillId="0" borderId="0" xfId="0" applyFont="1"/>
    <xf numFmtId="0" fontId="16" fillId="0" borderId="0" xfId="0" quotePrefix="1" applyFont="1"/>
    <xf numFmtId="166" fontId="18" fillId="0" borderId="0" xfId="0" applyNumberFormat="1" applyFont="1"/>
    <xf numFmtId="0" fontId="18" fillId="0" borderId="0" xfId="0" applyFont="1"/>
    <xf numFmtId="166" fontId="19" fillId="0" borderId="0" xfId="0" applyNumberFormat="1" applyFont="1"/>
    <xf numFmtId="0" fontId="19" fillId="0" borderId="0" xfId="0" applyFont="1"/>
    <xf numFmtId="166" fontId="20" fillId="0" borderId="0" xfId="0" applyNumberFormat="1" applyFont="1"/>
    <xf numFmtId="0" fontId="20" fillId="0" borderId="0" xfId="0" applyFont="1"/>
    <xf numFmtId="0" fontId="3" fillId="0" borderId="1" xfId="0" applyFont="1" applyBorder="1" applyAlignment="1">
      <alignment horizontal="center"/>
    </xf>
    <xf numFmtId="0" fontId="13" fillId="32" borderId="10" xfId="0" applyFont="1" applyFill="1" applyBorder="1" applyAlignment="1">
      <alignment horizontal="center" vertical="center" wrapText="1"/>
    </xf>
    <xf numFmtId="0" fontId="13" fillId="32" borderId="11" xfId="0" applyFont="1" applyFill="1" applyBorder="1" applyAlignment="1">
      <alignment horizontal="center" vertical="center" wrapText="1"/>
    </xf>
    <xf numFmtId="0" fontId="13" fillId="32" borderId="0" xfId="0" applyFont="1" applyFill="1" applyAlignment="1">
      <alignment horizontal="center" vertical="center" wrapText="1"/>
    </xf>
    <xf numFmtId="0" fontId="13" fillId="21" borderId="12" xfId="0" applyFont="1" applyFill="1" applyBorder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</cellXfs>
  <cellStyles count="4">
    <cellStyle name="Moneda" xfId="1" builtinId="4"/>
    <cellStyle name="Moned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078"/>
  <sheetViews>
    <sheetView workbookViewId="0">
      <selection sqref="A1:XFD1"/>
    </sheetView>
  </sheetViews>
  <sheetFormatPr baseColWidth="10" defaultColWidth="11.5" defaultRowHeight="15" x14ac:dyDescent="0.2"/>
  <cols>
    <col min="1" max="1" width="10.33203125" style="9" customWidth="1"/>
    <col min="2" max="2" width="13.5" style="9" customWidth="1"/>
    <col min="3" max="3" width="11.5" style="9"/>
    <col min="4" max="4" width="8.83203125" style="9" customWidth="1"/>
    <col min="5" max="5" width="11.5" style="9"/>
    <col min="6" max="6" width="13.33203125" style="9" customWidth="1"/>
    <col min="7" max="7" width="11.5" style="9"/>
    <col min="8" max="8" width="22.6640625" style="9" customWidth="1"/>
    <col min="9" max="9" width="13.1640625" style="9" customWidth="1"/>
    <col min="10" max="24" width="11.5" style="9"/>
    <col min="25" max="25" width="22.83203125" style="9" customWidth="1"/>
    <col min="26" max="26" width="23" style="9" customWidth="1"/>
    <col min="27" max="100" width="11.5" style="9"/>
    <col min="101" max="101" width="13.6640625" style="9" customWidth="1"/>
    <col min="102" max="119" width="11.5" style="9"/>
    <col min="120" max="120" width="11.5" style="11"/>
    <col min="121" max="126" width="11.5" style="9"/>
    <col min="127" max="127" width="11.5" style="6"/>
    <col min="128" max="16384" width="11.5" style="9"/>
  </cols>
  <sheetData>
    <row r="1" spans="1:126" s="3" customFormat="1" x14ac:dyDescent="0.2">
      <c r="A1" s="3" t="s">
        <v>9</v>
      </c>
      <c r="B1" s="4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21</v>
      </c>
      <c r="AF1" s="3" t="s">
        <v>22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  <c r="AW1" s="3" t="s">
        <v>55</v>
      </c>
      <c r="AX1" s="3">
        <v>1</v>
      </c>
      <c r="AY1" s="3">
        <v>2</v>
      </c>
      <c r="AZ1" s="3">
        <v>3</v>
      </c>
      <c r="BA1" s="3" t="s">
        <v>56</v>
      </c>
      <c r="BB1" s="3">
        <v>1</v>
      </c>
      <c r="BC1" s="3">
        <v>2</v>
      </c>
      <c r="BD1" s="3">
        <v>3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>
        <v>1</v>
      </c>
      <c r="BO1" s="3">
        <v>2</v>
      </c>
      <c r="BP1" s="3">
        <v>3</v>
      </c>
      <c r="BQ1" s="3" t="s">
        <v>66</v>
      </c>
      <c r="BR1" s="3">
        <v>1</v>
      </c>
      <c r="BS1" s="3">
        <v>2</v>
      </c>
      <c r="BT1" s="3">
        <v>3</v>
      </c>
      <c r="BU1" s="3" t="s">
        <v>67</v>
      </c>
      <c r="BV1" s="3">
        <v>1</v>
      </c>
      <c r="BW1" s="3">
        <v>2</v>
      </c>
      <c r="BX1" s="3">
        <v>3</v>
      </c>
      <c r="BY1" s="3" t="s">
        <v>68</v>
      </c>
      <c r="BZ1" s="3">
        <v>1</v>
      </c>
      <c r="CA1" s="3">
        <v>2</v>
      </c>
      <c r="CB1" s="3">
        <v>3</v>
      </c>
      <c r="CC1" s="3" t="s">
        <v>66</v>
      </c>
      <c r="CD1" s="3">
        <v>1</v>
      </c>
      <c r="CE1" s="3">
        <v>2</v>
      </c>
      <c r="CF1" s="3">
        <v>3</v>
      </c>
      <c r="CG1" s="3" t="s">
        <v>67</v>
      </c>
      <c r="CH1" s="3">
        <v>1</v>
      </c>
      <c r="CI1" s="3">
        <v>2</v>
      </c>
      <c r="CJ1" s="3">
        <v>3</v>
      </c>
      <c r="CK1" s="3" t="s">
        <v>69</v>
      </c>
      <c r="CL1" s="3">
        <v>1</v>
      </c>
      <c r="CM1" s="3">
        <v>2</v>
      </c>
      <c r="CN1" s="3">
        <v>3</v>
      </c>
      <c r="CO1" s="3" t="s">
        <v>70</v>
      </c>
      <c r="CP1" s="3">
        <v>1</v>
      </c>
      <c r="CQ1" s="3">
        <v>2</v>
      </c>
      <c r="CR1" s="3">
        <v>3</v>
      </c>
      <c r="CS1" s="3" t="s">
        <v>71</v>
      </c>
      <c r="CT1" s="3">
        <v>1</v>
      </c>
      <c r="CU1" s="3">
        <v>2</v>
      </c>
      <c r="CV1" s="3">
        <v>3</v>
      </c>
      <c r="CW1" s="3" t="s">
        <v>72</v>
      </c>
      <c r="CX1" s="3" t="s">
        <v>73</v>
      </c>
      <c r="CY1" s="3" t="s">
        <v>74</v>
      </c>
      <c r="CZ1" s="4" t="s">
        <v>75</v>
      </c>
      <c r="DA1" s="3" t="s">
        <v>76</v>
      </c>
      <c r="DB1" s="3" t="s">
        <v>77</v>
      </c>
      <c r="DC1" s="3" t="s">
        <v>78</v>
      </c>
      <c r="DD1" s="3" t="s">
        <v>79</v>
      </c>
      <c r="DE1" s="3" t="s">
        <v>80</v>
      </c>
      <c r="DF1" s="3" t="s">
        <v>81</v>
      </c>
      <c r="DG1" s="3" t="s">
        <v>82</v>
      </c>
      <c r="DH1" s="3" t="s">
        <v>83</v>
      </c>
      <c r="DI1" s="3" t="s">
        <v>84</v>
      </c>
      <c r="DJ1" s="3" t="s">
        <v>85</v>
      </c>
      <c r="DK1" s="3" t="s">
        <v>86</v>
      </c>
      <c r="DL1" s="3" t="s">
        <v>87</v>
      </c>
      <c r="DM1" s="3" t="s">
        <v>88</v>
      </c>
      <c r="DN1" s="3" t="s">
        <v>89</v>
      </c>
      <c r="DO1" s="3" t="s">
        <v>90</v>
      </c>
      <c r="DP1" s="5">
        <v>150</v>
      </c>
      <c r="DQ1" s="3">
        <v>822</v>
      </c>
      <c r="DR1" s="3">
        <v>513</v>
      </c>
      <c r="DS1" s="3">
        <v>2019</v>
      </c>
      <c r="DT1" s="3" t="s">
        <v>91</v>
      </c>
      <c r="DU1" s="3" t="s">
        <v>92</v>
      </c>
      <c r="DV1" s="3" t="s">
        <v>93</v>
      </c>
    </row>
    <row r="2" spans="1:126" x14ac:dyDescent="0.2">
      <c r="A2" s="7" t="s">
        <v>94</v>
      </c>
      <c r="B2" s="8">
        <v>42208</v>
      </c>
      <c r="C2" s="9" t="s">
        <v>95</v>
      </c>
      <c r="D2" s="9">
        <v>23</v>
      </c>
      <c r="E2" s="9" t="s">
        <v>96</v>
      </c>
      <c r="F2" s="8"/>
      <c r="G2" s="9" t="s">
        <v>97</v>
      </c>
      <c r="H2" s="9" t="s">
        <v>98</v>
      </c>
      <c r="K2" s="8"/>
      <c r="L2" s="9">
        <v>0</v>
      </c>
      <c r="M2" s="9" t="s">
        <v>99</v>
      </c>
      <c r="N2" s="9" t="s">
        <v>99</v>
      </c>
      <c r="O2" s="9" t="s">
        <v>99</v>
      </c>
      <c r="P2" s="9" t="s">
        <v>99</v>
      </c>
      <c r="Q2" s="9" t="s">
        <v>99</v>
      </c>
      <c r="R2" s="7" t="s">
        <v>99</v>
      </c>
      <c r="U2" s="9" t="s">
        <v>99</v>
      </c>
      <c r="V2" s="9" t="s">
        <v>99</v>
      </c>
      <c r="X2" s="9" t="s">
        <v>99</v>
      </c>
      <c r="Y2" s="9" t="s">
        <v>99</v>
      </c>
      <c r="Z2" s="9" t="s">
        <v>99</v>
      </c>
      <c r="AA2" s="9" t="s">
        <v>100</v>
      </c>
      <c r="AB2" s="9" t="s">
        <v>100</v>
      </c>
      <c r="AC2" s="9" t="s">
        <v>96</v>
      </c>
      <c r="AD2" s="9" t="s">
        <v>96</v>
      </c>
      <c r="AE2" s="10" t="s">
        <v>101</v>
      </c>
      <c r="AF2" s="10" t="s">
        <v>102</v>
      </c>
      <c r="AG2" s="9" t="s">
        <v>99</v>
      </c>
      <c r="AH2" s="9" t="s">
        <v>99</v>
      </c>
      <c r="AI2" s="10" t="s">
        <v>103</v>
      </c>
      <c r="AJ2" s="10" t="s">
        <v>104</v>
      </c>
      <c r="AL2" s="9">
        <v>38</v>
      </c>
      <c r="AM2" s="9">
        <v>154</v>
      </c>
      <c r="AN2" s="9">
        <v>57</v>
      </c>
      <c r="AO2" s="9">
        <v>78</v>
      </c>
      <c r="AP2" s="9">
        <v>15.2</v>
      </c>
      <c r="AQ2" s="9">
        <v>1</v>
      </c>
      <c r="AR2" s="9">
        <v>30</v>
      </c>
      <c r="AS2" s="9">
        <v>18</v>
      </c>
      <c r="AT2" s="7">
        <v>16</v>
      </c>
      <c r="DC2" s="9">
        <v>73</v>
      </c>
      <c r="DD2" s="9">
        <v>0.74</v>
      </c>
      <c r="DE2" s="9">
        <v>138</v>
      </c>
      <c r="DF2" s="9">
        <v>53</v>
      </c>
      <c r="DG2" s="9">
        <f>LN(DF2*DC2)/2</f>
        <v>4.1303756773502567</v>
      </c>
      <c r="DH2" s="9">
        <v>17.600000000000001</v>
      </c>
      <c r="DI2" s="9">
        <v>3.65</v>
      </c>
      <c r="DL2" s="9">
        <v>85.9</v>
      </c>
      <c r="DQ2" s="6"/>
      <c r="DT2" s="9">
        <v>11</v>
      </c>
      <c r="DU2" s="9">
        <v>3</v>
      </c>
    </row>
    <row r="3" spans="1:126" x14ac:dyDescent="0.2">
      <c r="A3" s="14" t="s">
        <v>106</v>
      </c>
      <c r="B3" s="8"/>
      <c r="C3" s="6" t="s">
        <v>107</v>
      </c>
      <c r="D3" s="6">
        <v>53</v>
      </c>
      <c r="E3" s="9" t="s">
        <v>96</v>
      </c>
      <c r="F3" s="8"/>
      <c r="G3" s="9" t="s">
        <v>108</v>
      </c>
      <c r="H3" s="6" t="s">
        <v>109</v>
      </c>
      <c r="M3" s="6"/>
      <c r="N3" s="6"/>
      <c r="O3" s="6"/>
      <c r="P3" s="6"/>
      <c r="Q3" s="6"/>
      <c r="R3" s="6" t="s">
        <v>110</v>
      </c>
      <c r="Y3" s="6"/>
      <c r="AB3" s="6"/>
      <c r="AC3" s="6"/>
      <c r="AE3" s="6"/>
      <c r="AF3" s="6"/>
      <c r="AG3" s="6"/>
      <c r="AH3" s="6"/>
      <c r="AI3" s="6"/>
      <c r="AJ3" s="6"/>
      <c r="AK3" s="6"/>
      <c r="AL3" s="6">
        <v>78.900000000000006</v>
      </c>
      <c r="AN3" s="6"/>
      <c r="AO3" s="6"/>
      <c r="AP3" s="6"/>
      <c r="AQ3" s="6"/>
      <c r="AR3" s="6"/>
      <c r="AS3" s="6"/>
      <c r="AT3" s="6">
        <v>29.7</v>
      </c>
      <c r="AU3" s="15">
        <v>130</v>
      </c>
      <c r="AV3" s="15">
        <v>85</v>
      </c>
      <c r="DC3" s="15">
        <v>137.9</v>
      </c>
      <c r="DD3" s="6">
        <v>1</v>
      </c>
      <c r="DE3" s="15">
        <v>224</v>
      </c>
      <c r="DF3" s="15">
        <v>205</v>
      </c>
      <c r="DG3" s="9">
        <f t="shared" ref="DG3:DG66" si="0">LN(DF3*DC3)/2</f>
        <v>5.1247693819688322</v>
      </c>
      <c r="DH3" s="6">
        <v>41</v>
      </c>
      <c r="DI3" s="6">
        <v>5.31</v>
      </c>
      <c r="DJ3" s="6">
        <v>61.1</v>
      </c>
      <c r="DK3" s="6">
        <v>37.9</v>
      </c>
      <c r="DL3" s="6">
        <v>46.6</v>
      </c>
      <c r="DM3" s="6">
        <v>136.4</v>
      </c>
      <c r="DN3" s="6"/>
      <c r="DP3" s="11">
        <v>3</v>
      </c>
      <c r="DQ3" s="6" t="s">
        <v>111</v>
      </c>
      <c r="DR3" s="9">
        <v>3</v>
      </c>
      <c r="DT3" s="9">
        <v>2.62</v>
      </c>
      <c r="DU3" s="9">
        <v>11.5</v>
      </c>
    </row>
    <row r="4" spans="1:126" x14ac:dyDescent="0.2">
      <c r="A4" s="14" t="s">
        <v>113</v>
      </c>
      <c r="B4" s="8">
        <v>42191</v>
      </c>
      <c r="C4" s="6" t="s">
        <v>95</v>
      </c>
      <c r="D4" s="6">
        <v>52</v>
      </c>
      <c r="E4" s="6" t="s">
        <v>100</v>
      </c>
      <c r="F4" s="8"/>
      <c r="H4" s="6" t="s">
        <v>109</v>
      </c>
      <c r="M4" s="6" t="s">
        <v>114</v>
      </c>
      <c r="N4" s="6" t="s">
        <v>114</v>
      </c>
      <c r="O4" s="6" t="s">
        <v>114</v>
      </c>
      <c r="P4" s="6" t="s">
        <v>115</v>
      </c>
      <c r="Q4" s="6" t="s">
        <v>116</v>
      </c>
      <c r="R4" s="6" t="s">
        <v>110</v>
      </c>
      <c r="Y4" s="6" t="s">
        <v>116</v>
      </c>
      <c r="AA4" s="6" t="s">
        <v>100</v>
      </c>
      <c r="AB4" s="6" t="s">
        <v>100</v>
      </c>
      <c r="AC4" s="6" t="s">
        <v>100</v>
      </c>
      <c r="AD4" s="6" t="s">
        <v>100</v>
      </c>
      <c r="AE4" s="15" t="s">
        <v>117</v>
      </c>
      <c r="AF4" s="15" t="s">
        <v>118</v>
      </c>
      <c r="AG4" s="6" t="s">
        <v>119</v>
      </c>
      <c r="AH4" s="6" t="s">
        <v>115</v>
      </c>
      <c r="AI4" s="6" t="s">
        <v>116</v>
      </c>
      <c r="AJ4" s="6" t="s">
        <v>115</v>
      </c>
      <c r="AK4" s="6" t="s">
        <v>115</v>
      </c>
      <c r="AL4" s="6">
        <v>77.8</v>
      </c>
      <c r="AM4" s="9">
        <v>155</v>
      </c>
      <c r="AN4" s="15">
        <v>102</v>
      </c>
      <c r="AO4" s="6">
        <v>108</v>
      </c>
      <c r="AP4" s="6">
        <v>51.1</v>
      </c>
      <c r="AQ4" s="6">
        <v>11</v>
      </c>
      <c r="AR4" s="6">
        <v>20</v>
      </c>
      <c r="AS4" s="6">
        <v>52</v>
      </c>
      <c r="AT4" s="6">
        <v>32.4</v>
      </c>
      <c r="AU4" s="6">
        <v>118</v>
      </c>
      <c r="AV4" s="6">
        <v>73</v>
      </c>
      <c r="CZ4" s="9">
        <v>60</v>
      </c>
      <c r="DA4" s="9">
        <v>30</v>
      </c>
      <c r="DB4" s="9">
        <v>10</v>
      </c>
      <c r="DC4" s="15">
        <v>127</v>
      </c>
      <c r="DD4" s="6"/>
      <c r="DE4" s="6">
        <v>193</v>
      </c>
      <c r="DF4" s="15">
        <v>203</v>
      </c>
      <c r="DG4" s="9">
        <f t="shared" si="0"/>
        <v>5.0786965327501896</v>
      </c>
      <c r="DH4" s="6"/>
      <c r="DI4" s="6"/>
      <c r="DJ4" s="6"/>
      <c r="DK4" s="6"/>
      <c r="DL4" s="6"/>
      <c r="DM4" s="6"/>
      <c r="DN4" s="6"/>
      <c r="DP4" s="11">
        <v>3</v>
      </c>
      <c r="DQ4" s="6" t="s">
        <v>105</v>
      </c>
      <c r="DR4" s="9">
        <v>3</v>
      </c>
      <c r="DT4" s="9">
        <v>4.93</v>
      </c>
      <c r="DU4" s="9">
        <v>6.42</v>
      </c>
    </row>
    <row r="5" spans="1:126" x14ac:dyDescent="0.2">
      <c r="A5" s="9" t="s">
        <v>120</v>
      </c>
      <c r="B5" s="8">
        <v>42191</v>
      </c>
      <c r="C5" s="6" t="s">
        <v>95</v>
      </c>
      <c r="D5" s="6">
        <v>43</v>
      </c>
      <c r="E5" s="6" t="s">
        <v>100</v>
      </c>
      <c r="F5" s="8"/>
      <c r="H5" s="6" t="s">
        <v>109</v>
      </c>
      <c r="M5" s="15" t="s">
        <v>110</v>
      </c>
      <c r="N5" s="6" t="s">
        <v>116</v>
      </c>
      <c r="O5" s="6" t="s">
        <v>116</v>
      </c>
      <c r="P5" s="6" t="s">
        <v>116</v>
      </c>
      <c r="Q5" s="6" t="s">
        <v>116</v>
      </c>
      <c r="R5" s="6" t="s">
        <v>110</v>
      </c>
      <c r="Y5" s="15" t="s">
        <v>121</v>
      </c>
      <c r="AA5" s="6" t="s">
        <v>100</v>
      </c>
      <c r="AB5" s="6" t="s">
        <v>100</v>
      </c>
      <c r="AC5" s="6" t="s">
        <v>100</v>
      </c>
      <c r="AD5" s="6" t="s">
        <v>100</v>
      </c>
      <c r="AE5" s="15" t="s">
        <v>122</v>
      </c>
      <c r="AF5" s="15" t="s">
        <v>123</v>
      </c>
      <c r="AG5" s="15" t="s">
        <v>124</v>
      </c>
      <c r="AH5" s="15" t="s">
        <v>125</v>
      </c>
      <c r="AI5" s="15" t="s">
        <v>126</v>
      </c>
      <c r="AJ5" s="6" t="s">
        <v>116</v>
      </c>
      <c r="AK5" s="6" t="s">
        <v>116</v>
      </c>
      <c r="AL5" s="6">
        <v>114</v>
      </c>
      <c r="AN5" s="15">
        <v>110</v>
      </c>
      <c r="AO5" s="6">
        <v>120</v>
      </c>
      <c r="AP5" s="6">
        <v>45.1</v>
      </c>
      <c r="AQ5" s="6">
        <v>10</v>
      </c>
      <c r="AR5" s="6">
        <v>29.7</v>
      </c>
      <c r="AS5" s="6">
        <v>59</v>
      </c>
      <c r="AT5" s="6">
        <v>39.4</v>
      </c>
      <c r="AU5" s="6">
        <v>115</v>
      </c>
      <c r="AV5" s="6">
        <v>84</v>
      </c>
      <c r="DC5" s="15">
        <v>139</v>
      </c>
      <c r="DD5" s="6">
        <v>0.43</v>
      </c>
      <c r="DE5" s="15">
        <v>226</v>
      </c>
      <c r="DF5" s="6">
        <v>122</v>
      </c>
      <c r="DG5" s="9">
        <f t="shared" si="0"/>
        <v>4.8692474889319746</v>
      </c>
      <c r="DH5" s="6">
        <v>24.4</v>
      </c>
      <c r="DI5" s="6">
        <v>4.78</v>
      </c>
      <c r="DJ5" s="6">
        <v>17.3</v>
      </c>
      <c r="DK5" s="6">
        <v>49.2</v>
      </c>
      <c r="DL5" s="6"/>
      <c r="DM5" s="6"/>
      <c r="DN5" s="6"/>
      <c r="DP5" s="11">
        <v>3</v>
      </c>
      <c r="DQ5" s="6" t="s">
        <v>105</v>
      </c>
      <c r="DT5" s="9">
        <v>4.84</v>
      </c>
      <c r="DU5" s="9">
        <v>6.32</v>
      </c>
    </row>
    <row r="6" spans="1:126" x14ac:dyDescent="0.2">
      <c r="A6" s="14" t="s">
        <v>127</v>
      </c>
      <c r="B6" s="8">
        <v>42192</v>
      </c>
      <c r="C6" s="6" t="s">
        <v>95</v>
      </c>
      <c r="D6" s="6">
        <v>32</v>
      </c>
      <c r="E6" s="6" t="s">
        <v>100</v>
      </c>
      <c r="F6" s="8"/>
      <c r="H6" s="6" t="s">
        <v>109</v>
      </c>
      <c r="M6" s="6" t="s">
        <v>114</v>
      </c>
      <c r="N6" s="6" t="s">
        <v>114</v>
      </c>
      <c r="O6" s="6" t="s">
        <v>114</v>
      </c>
      <c r="P6" s="15" t="s">
        <v>128</v>
      </c>
      <c r="Q6" s="6" t="s">
        <v>116</v>
      </c>
      <c r="R6" s="6" t="s">
        <v>110</v>
      </c>
      <c r="Y6" s="6" t="s">
        <v>115</v>
      </c>
      <c r="AA6" s="6" t="s">
        <v>100</v>
      </c>
      <c r="AB6" s="6" t="s">
        <v>100</v>
      </c>
      <c r="AC6" s="6" t="s">
        <v>100</v>
      </c>
      <c r="AD6" s="6" t="s">
        <v>100</v>
      </c>
      <c r="AE6" s="15" t="s">
        <v>129</v>
      </c>
      <c r="AF6" s="15" t="s">
        <v>118</v>
      </c>
      <c r="AG6" s="15" t="s">
        <v>130</v>
      </c>
      <c r="AH6" s="6" t="s">
        <v>116</v>
      </c>
      <c r="AI6" s="15" t="s">
        <v>118</v>
      </c>
      <c r="AJ6" s="6" t="s">
        <v>115</v>
      </c>
      <c r="AK6" s="6" t="s">
        <v>119</v>
      </c>
      <c r="AL6" s="6">
        <v>82.4</v>
      </c>
      <c r="AN6" s="15">
        <v>102</v>
      </c>
      <c r="AO6" s="6">
        <v>103</v>
      </c>
      <c r="AP6" s="6">
        <v>47.6</v>
      </c>
      <c r="AQ6" s="6">
        <v>8</v>
      </c>
      <c r="AR6" s="6">
        <v>22.5</v>
      </c>
      <c r="AS6" s="6">
        <v>54</v>
      </c>
      <c r="AT6" s="6">
        <v>31</v>
      </c>
      <c r="AU6" s="6">
        <v>95</v>
      </c>
      <c r="AV6" s="6">
        <v>67</v>
      </c>
      <c r="DC6" s="16">
        <v>165</v>
      </c>
      <c r="DD6" s="6">
        <v>0.38</v>
      </c>
      <c r="DE6" s="15">
        <v>207</v>
      </c>
      <c r="DF6" s="15">
        <v>272</v>
      </c>
      <c r="DG6" s="9">
        <f t="shared" si="0"/>
        <v>5.355873770098289</v>
      </c>
      <c r="DH6" s="6"/>
      <c r="DI6" s="6">
        <v>4</v>
      </c>
      <c r="DJ6" s="6"/>
      <c r="DK6" s="6"/>
      <c r="DL6" s="6"/>
      <c r="DM6" s="6"/>
      <c r="DN6" s="6"/>
      <c r="DP6" s="11">
        <v>3</v>
      </c>
      <c r="DQ6" s="6" t="s">
        <v>105</v>
      </c>
      <c r="DT6" s="9">
        <v>3</v>
      </c>
    </row>
    <row r="7" spans="1:126" x14ac:dyDescent="0.2">
      <c r="A7" s="14" t="s">
        <v>131</v>
      </c>
      <c r="B7" s="8">
        <v>42193</v>
      </c>
      <c r="C7" s="6" t="s">
        <v>107</v>
      </c>
      <c r="D7" s="6">
        <v>53</v>
      </c>
      <c r="E7" s="6" t="s">
        <v>100</v>
      </c>
      <c r="F7" s="17"/>
      <c r="H7" s="6" t="s">
        <v>109</v>
      </c>
      <c r="M7" s="6" t="s">
        <v>114</v>
      </c>
      <c r="N7" s="15" t="s">
        <v>132</v>
      </c>
      <c r="O7" s="6" t="s">
        <v>114</v>
      </c>
      <c r="P7" s="15" t="s">
        <v>133</v>
      </c>
      <c r="Q7" s="6" t="s">
        <v>116</v>
      </c>
      <c r="R7" s="6" t="s">
        <v>110</v>
      </c>
      <c r="Y7" s="15" t="s">
        <v>134</v>
      </c>
      <c r="AA7" s="6" t="s">
        <v>100</v>
      </c>
      <c r="AB7" s="6" t="s">
        <v>100</v>
      </c>
      <c r="AC7" s="6" t="s">
        <v>100</v>
      </c>
      <c r="AD7" s="6" t="s">
        <v>100</v>
      </c>
      <c r="AE7" s="15" t="s">
        <v>135</v>
      </c>
      <c r="AF7" s="6"/>
      <c r="AG7" s="15" t="s">
        <v>135</v>
      </c>
      <c r="AH7" s="6" t="s">
        <v>119</v>
      </c>
      <c r="AI7" s="6" t="s">
        <v>115</v>
      </c>
      <c r="AJ7" s="6" t="s">
        <v>116</v>
      </c>
      <c r="AK7" s="6" t="s">
        <v>115</v>
      </c>
      <c r="AL7" s="6">
        <v>95</v>
      </c>
      <c r="AN7" s="15">
        <v>110</v>
      </c>
      <c r="AO7" s="6">
        <v>118</v>
      </c>
      <c r="AP7" s="6">
        <v>33.4</v>
      </c>
      <c r="AQ7" s="6">
        <v>16</v>
      </c>
      <c r="AR7" s="6">
        <v>29.7</v>
      </c>
      <c r="AS7" s="6">
        <v>69</v>
      </c>
      <c r="AT7" s="6">
        <v>30.7</v>
      </c>
      <c r="AU7" s="15">
        <v>149</v>
      </c>
      <c r="AV7" s="15">
        <v>97</v>
      </c>
      <c r="CZ7" s="9">
        <v>40</v>
      </c>
      <c r="DA7" s="9">
        <v>40</v>
      </c>
      <c r="DB7" s="9">
        <v>20</v>
      </c>
      <c r="DC7" s="15">
        <v>120</v>
      </c>
      <c r="DD7" s="6">
        <v>0.85</v>
      </c>
      <c r="DE7" s="6">
        <v>180</v>
      </c>
      <c r="DF7" s="15">
        <v>249</v>
      </c>
      <c r="DG7" s="9">
        <f t="shared" si="0"/>
        <v>5.152472319623377</v>
      </c>
      <c r="DH7" s="6"/>
      <c r="DI7" s="15">
        <v>6.97</v>
      </c>
      <c r="DJ7" s="6"/>
      <c r="DK7" s="6"/>
      <c r="DL7" s="6"/>
      <c r="DM7" s="6"/>
      <c r="DN7" s="6"/>
      <c r="DP7" s="11">
        <v>3</v>
      </c>
      <c r="DQ7" s="6" t="s">
        <v>111</v>
      </c>
      <c r="DT7" s="9">
        <v>4.28</v>
      </c>
      <c r="DU7" s="9">
        <v>9.1199999999999992</v>
      </c>
    </row>
    <row r="8" spans="1:126" x14ac:dyDescent="0.2">
      <c r="A8" s="14" t="s">
        <v>136</v>
      </c>
      <c r="B8" s="8">
        <v>42193</v>
      </c>
      <c r="C8" s="6" t="s">
        <v>95</v>
      </c>
      <c r="D8" s="6">
        <v>56</v>
      </c>
      <c r="E8" s="6" t="s">
        <v>100</v>
      </c>
      <c r="F8" s="8"/>
      <c r="H8" s="6" t="s">
        <v>109</v>
      </c>
      <c r="J8" s="10">
        <v>2013</v>
      </c>
      <c r="M8" s="6" t="s">
        <v>114</v>
      </c>
      <c r="N8" s="15" t="s">
        <v>137</v>
      </c>
      <c r="O8" s="6" t="s">
        <v>116</v>
      </c>
      <c r="P8" s="15" t="s">
        <v>110</v>
      </c>
      <c r="Q8" s="6" t="s">
        <v>116</v>
      </c>
      <c r="R8" s="6" t="s">
        <v>110</v>
      </c>
      <c r="Y8" s="15" t="s">
        <v>138</v>
      </c>
      <c r="AA8" s="6" t="s">
        <v>100</v>
      </c>
      <c r="AB8" s="6" t="s">
        <v>100</v>
      </c>
      <c r="AC8" s="6" t="s">
        <v>100</v>
      </c>
      <c r="AD8" s="6" t="s">
        <v>100</v>
      </c>
      <c r="AE8" s="15" t="s">
        <v>110</v>
      </c>
      <c r="AF8" s="15" t="s">
        <v>110</v>
      </c>
      <c r="AG8" s="15" t="s">
        <v>139</v>
      </c>
      <c r="AH8" s="6" t="s">
        <v>115</v>
      </c>
      <c r="AI8" s="15" t="s">
        <v>110</v>
      </c>
      <c r="AJ8" s="6" t="s">
        <v>115</v>
      </c>
      <c r="AK8" s="6" t="s">
        <v>116</v>
      </c>
      <c r="AL8" s="6">
        <v>84</v>
      </c>
      <c r="AN8" s="15">
        <v>94</v>
      </c>
      <c r="AO8" s="6">
        <v>102</v>
      </c>
      <c r="AP8" s="6">
        <v>43.6</v>
      </c>
      <c r="AQ8" s="6">
        <v>10</v>
      </c>
      <c r="AR8" s="6">
        <v>24.1</v>
      </c>
      <c r="AS8" s="6">
        <v>61</v>
      </c>
      <c r="AT8" s="6">
        <v>28.9</v>
      </c>
      <c r="AU8" s="6">
        <v>107</v>
      </c>
      <c r="AV8" s="6">
        <v>65</v>
      </c>
      <c r="DC8" s="15">
        <v>132</v>
      </c>
      <c r="DD8" s="6">
        <v>0.69</v>
      </c>
      <c r="DE8" s="15">
        <v>221</v>
      </c>
      <c r="DF8" s="15">
        <v>298</v>
      </c>
      <c r="DG8" s="9">
        <f t="shared" si="0"/>
        <v>5.289947704545888</v>
      </c>
      <c r="DH8" s="6"/>
      <c r="DI8" s="6">
        <v>7.31</v>
      </c>
      <c r="DJ8" s="6"/>
      <c r="DK8" s="6"/>
      <c r="DL8" s="6"/>
      <c r="DM8" s="6"/>
      <c r="DN8" s="6"/>
      <c r="DP8" s="11">
        <v>2</v>
      </c>
      <c r="DQ8" s="6" t="s">
        <v>111</v>
      </c>
      <c r="DT8" s="9">
        <v>8.16</v>
      </c>
      <c r="DU8" s="9">
        <v>6.42</v>
      </c>
    </row>
    <row r="9" spans="1:126" x14ac:dyDescent="0.2">
      <c r="A9" s="14" t="s">
        <v>140</v>
      </c>
      <c r="B9" s="8">
        <v>42193</v>
      </c>
      <c r="C9" s="6" t="s">
        <v>95</v>
      </c>
      <c r="D9" s="6">
        <v>53</v>
      </c>
      <c r="E9" s="6" t="s">
        <v>100</v>
      </c>
      <c r="F9" s="8"/>
      <c r="H9" s="6" t="s">
        <v>109</v>
      </c>
      <c r="M9" s="16" t="s">
        <v>141</v>
      </c>
      <c r="N9" s="6" t="s">
        <v>116</v>
      </c>
      <c r="O9" s="6" t="s">
        <v>116</v>
      </c>
      <c r="P9" s="15" t="s">
        <v>142</v>
      </c>
      <c r="Q9" s="6" t="s">
        <v>115</v>
      </c>
      <c r="R9" s="6" t="s">
        <v>110</v>
      </c>
      <c r="Y9" s="15" t="s">
        <v>143</v>
      </c>
      <c r="AB9" s="6" t="s">
        <v>100</v>
      </c>
      <c r="AC9" s="6" t="s">
        <v>116</v>
      </c>
      <c r="AE9" s="15" t="s">
        <v>144</v>
      </c>
      <c r="AF9" s="6" t="s">
        <v>114</v>
      </c>
      <c r="AG9" s="6" t="s">
        <v>114</v>
      </c>
      <c r="AH9" s="15" t="s">
        <v>110</v>
      </c>
      <c r="AI9" s="15" t="s">
        <v>110</v>
      </c>
      <c r="AJ9" s="6" t="s">
        <v>114</v>
      </c>
      <c r="AK9" s="6" t="s">
        <v>114</v>
      </c>
      <c r="AL9" s="6">
        <v>74.099999999999994</v>
      </c>
      <c r="AN9" s="15">
        <v>102</v>
      </c>
      <c r="AO9" s="6">
        <v>109</v>
      </c>
      <c r="AP9" s="6">
        <v>46.9</v>
      </c>
      <c r="AQ9" s="6">
        <v>9</v>
      </c>
      <c r="AR9" s="6">
        <v>20.7</v>
      </c>
      <c r="AS9" s="6">
        <v>58</v>
      </c>
      <c r="AT9" s="6">
        <v>27.9</v>
      </c>
      <c r="AU9" s="15">
        <v>131</v>
      </c>
      <c r="AV9" s="15">
        <v>98</v>
      </c>
      <c r="DC9" s="16">
        <v>232.2</v>
      </c>
      <c r="DD9" s="6">
        <v>0.47</v>
      </c>
      <c r="DE9" s="6">
        <v>208</v>
      </c>
      <c r="DF9" s="6">
        <v>134</v>
      </c>
      <c r="DG9" s="9">
        <f t="shared" si="0"/>
        <v>5.1727194346073508</v>
      </c>
      <c r="DH9" s="6">
        <v>26.8</v>
      </c>
      <c r="DI9" s="6">
        <v>3.12</v>
      </c>
      <c r="DJ9" s="6">
        <v>29.8</v>
      </c>
      <c r="DK9" s="6">
        <v>20.5</v>
      </c>
      <c r="DL9" s="6"/>
      <c r="DM9" s="6"/>
      <c r="DN9" s="6"/>
      <c r="DP9" s="11">
        <v>2</v>
      </c>
      <c r="DQ9" s="6" t="s">
        <v>111</v>
      </c>
      <c r="DT9" s="9">
        <v>7</v>
      </c>
      <c r="DU9" s="9">
        <v>3.27</v>
      </c>
    </row>
    <row r="10" spans="1:126" x14ac:dyDescent="0.2">
      <c r="A10" s="14" t="s">
        <v>145</v>
      </c>
      <c r="B10" s="8">
        <v>42273</v>
      </c>
      <c r="C10" s="6" t="s">
        <v>95</v>
      </c>
      <c r="D10" s="6">
        <v>44</v>
      </c>
      <c r="E10" s="6" t="s">
        <v>100</v>
      </c>
      <c r="F10" s="8">
        <v>26056</v>
      </c>
      <c r="H10" s="9" t="s">
        <v>146</v>
      </c>
      <c r="M10" s="6" t="s">
        <v>116</v>
      </c>
      <c r="N10" s="6" t="s">
        <v>116</v>
      </c>
      <c r="O10" s="15" t="s">
        <v>110</v>
      </c>
      <c r="P10" s="6" t="s">
        <v>114</v>
      </c>
      <c r="Q10" s="6" t="s">
        <v>114</v>
      </c>
      <c r="R10" s="6" t="s">
        <v>110</v>
      </c>
      <c r="S10" s="6" t="s">
        <v>147</v>
      </c>
      <c r="T10" s="6" t="s">
        <v>148</v>
      </c>
      <c r="Y10" s="15" t="s">
        <v>149</v>
      </c>
      <c r="AA10" s="6" t="s">
        <v>100</v>
      </c>
      <c r="AB10" s="16" t="s">
        <v>150</v>
      </c>
      <c r="AC10" s="6" t="s">
        <v>100</v>
      </c>
      <c r="AD10" s="14" t="s">
        <v>151</v>
      </c>
      <c r="AE10" s="15" t="s">
        <v>152</v>
      </c>
      <c r="AF10" s="6" t="s">
        <v>114</v>
      </c>
      <c r="AG10" s="6" t="s">
        <v>116</v>
      </c>
      <c r="AH10" s="6" t="s">
        <v>114</v>
      </c>
      <c r="AI10" s="15" t="s">
        <v>118</v>
      </c>
      <c r="AJ10" s="6" t="s">
        <v>116</v>
      </c>
      <c r="AK10" s="6" t="s">
        <v>153</v>
      </c>
      <c r="AL10" s="6">
        <v>76.400000000000006</v>
      </c>
      <c r="AM10" s="9">
        <v>155</v>
      </c>
      <c r="AN10" s="15">
        <v>106</v>
      </c>
      <c r="AO10" s="6"/>
      <c r="AP10" s="6">
        <v>41.3</v>
      </c>
      <c r="AQ10" s="6"/>
      <c r="AR10" s="6">
        <v>44.8</v>
      </c>
      <c r="AS10" s="6"/>
      <c r="AT10" s="6">
        <v>31.8</v>
      </c>
      <c r="AU10" s="6">
        <v>123</v>
      </c>
      <c r="AV10" s="6">
        <v>87</v>
      </c>
      <c r="DC10" s="15">
        <v>126.4</v>
      </c>
      <c r="DD10" s="6">
        <v>0.39</v>
      </c>
      <c r="DE10" s="6">
        <v>197</v>
      </c>
      <c r="DF10" s="15">
        <v>289</v>
      </c>
      <c r="DG10" s="9">
        <f t="shared" si="0"/>
        <v>5.2529390849125948</v>
      </c>
      <c r="DH10" s="6">
        <v>57.8</v>
      </c>
      <c r="DI10" s="6">
        <v>5.03</v>
      </c>
      <c r="DJ10" s="6">
        <v>20</v>
      </c>
      <c r="DK10" s="6">
        <v>14.4</v>
      </c>
      <c r="DL10" s="6">
        <v>67.900000000000006</v>
      </c>
      <c r="DM10" s="6">
        <v>85.3</v>
      </c>
      <c r="DN10" s="6"/>
      <c r="DP10" s="18">
        <v>1</v>
      </c>
      <c r="DQ10" s="6" t="s">
        <v>111</v>
      </c>
      <c r="DT10" s="9">
        <v>5.68</v>
      </c>
      <c r="DU10" s="9">
        <v>5.37</v>
      </c>
    </row>
    <row r="11" spans="1:126" x14ac:dyDescent="0.2">
      <c r="A11" s="14" t="s">
        <v>154</v>
      </c>
      <c r="B11" s="8"/>
      <c r="E11" s="9" t="s">
        <v>155</v>
      </c>
      <c r="F11" s="8"/>
      <c r="DC11" s="14">
        <v>131.69999999999999</v>
      </c>
      <c r="DD11" s="9">
        <v>1.07</v>
      </c>
      <c r="DE11" s="10">
        <v>203</v>
      </c>
      <c r="DF11" s="9">
        <v>100</v>
      </c>
      <c r="DG11" s="9">
        <f t="shared" si="0"/>
        <v>4.7428483973686637</v>
      </c>
      <c r="DH11" s="9">
        <v>20</v>
      </c>
      <c r="DI11" s="9">
        <v>5.96</v>
      </c>
      <c r="DT11" s="9">
        <v>10.5</v>
      </c>
      <c r="DU11" s="9">
        <v>3.84</v>
      </c>
    </row>
    <row r="12" spans="1:126" x14ac:dyDescent="0.2">
      <c r="A12" s="9" t="s">
        <v>156</v>
      </c>
      <c r="B12" s="8"/>
      <c r="E12" s="9" t="s">
        <v>155</v>
      </c>
      <c r="F12" s="8"/>
      <c r="DC12" s="9">
        <v>100.6</v>
      </c>
      <c r="DD12" s="9">
        <v>0.81</v>
      </c>
      <c r="DE12" s="9">
        <v>205</v>
      </c>
      <c r="DF12" s="9">
        <v>88</v>
      </c>
      <c r="DG12" s="9">
        <f t="shared" si="0"/>
        <v>4.5442445360719228</v>
      </c>
      <c r="DH12" s="9">
        <v>17.600000000000001</v>
      </c>
      <c r="DI12" s="9">
        <v>4.87</v>
      </c>
      <c r="DT12" s="9">
        <v>14.5</v>
      </c>
      <c r="DU12" s="9">
        <v>4.3</v>
      </c>
    </row>
    <row r="13" spans="1:126" x14ac:dyDescent="0.2">
      <c r="A13" s="9" t="s">
        <v>157</v>
      </c>
      <c r="B13" s="8"/>
      <c r="E13" s="9" t="s">
        <v>155</v>
      </c>
      <c r="F13" s="8"/>
      <c r="K13" s="8"/>
      <c r="DC13" s="9">
        <v>85.9</v>
      </c>
      <c r="DD13" s="9">
        <v>0.77</v>
      </c>
      <c r="DE13" s="9">
        <v>191</v>
      </c>
      <c r="DF13" s="9">
        <v>96</v>
      </c>
      <c r="DG13" s="9">
        <f t="shared" si="0"/>
        <v>4.5087660102290235</v>
      </c>
      <c r="DH13" s="9">
        <v>19.2</v>
      </c>
      <c r="DI13" s="9">
        <v>5.0599999999999996</v>
      </c>
      <c r="DT13" s="9">
        <v>12.4</v>
      </c>
      <c r="DU13" s="9">
        <v>2.36</v>
      </c>
    </row>
    <row r="14" spans="1:126" x14ac:dyDescent="0.2">
      <c r="A14" s="9" t="s">
        <v>158</v>
      </c>
      <c r="B14" s="8"/>
      <c r="F14" s="8"/>
      <c r="DG14" s="9" t="e">
        <f t="shared" si="0"/>
        <v>#NUM!</v>
      </c>
    </row>
    <row r="15" spans="1:126" x14ac:dyDescent="0.2">
      <c r="A15" s="9" t="s">
        <v>159</v>
      </c>
      <c r="B15" s="21" t="s">
        <v>160</v>
      </c>
      <c r="C15" s="20" t="s">
        <v>107</v>
      </c>
      <c r="D15" s="20">
        <v>12</v>
      </c>
      <c r="E15" s="20" t="s">
        <v>96</v>
      </c>
      <c r="F15" s="21">
        <v>39225</v>
      </c>
      <c r="G15" s="20" t="s">
        <v>97</v>
      </c>
      <c r="H15" s="20"/>
      <c r="I15" s="20"/>
      <c r="J15" s="20"/>
      <c r="K15" s="20"/>
      <c r="L15" s="20"/>
      <c r="M15" s="20" t="s">
        <v>161</v>
      </c>
      <c r="N15" s="20" t="s">
        <v>99</v>
      </c>
      <c r="O15" s="20" t="s">
        <v>99</v>
      </c>
      <c r="P15" s="20" t="s">
        <v>99</v>
      </c>
      <c r="Q15" s="20" t="s">
        <v>99</v>
      </c>
      <c r="R15" s="20" t="s">
        <v>110</v>
      </c>
      <c r="S15" s="20" t="s">
        <v>99</v>
      </c>
      <c r="T15" s="20" t="s">
        <v>110</v>
      </c>
      <c r="U15" s="22"/>
      <c r="V15" s="20" t="s">
        <v>162</v>
      </c>
      <c r="W15" s="20" t="s">
        <v>99</v>
      </c>
      <c r="X15" s="20"/>
      <c r="Y15" s="20"/>
      <c r="Z15" s="20"/>
      <c r="AA15" s="20" t="s">
        <v>163</v>
      </c>
      <c r="AB15" s="20" t="s">
        <v>100</v>
      </c>
      <c r="AC15" s="20" t="s">
        <v>164</v>
      </c>
      <c r="AD15" s="20" t="s">
        <v>162</v>
      </c>
      <c r="AE15" s="20" t="s">
        <v>165</v>
      </c>
      <c r="AF15" s="20" t="s">
        <v>99</v>
      </c>
      <c r="AG15" s="20" t="s">
        <v>99</v>
      </c>
      <c r="AH15" s="20" t="s">
        <v>99</v>
      </c>
      <c r="AI15" s="20" t="s">
        <v>99</v>
      </c>
      <c r="AJ15" s="20" t="s">
        <v>99</v>
      </c>
      <c r="AK15" s="20"/>
      <c r="AL15" s="20" t="s">
        <v>166</v>
      </c>
      <c r="AM15" s="20"/>
      <c r="AN15" s="20">
        <v>96</v>
      </c>
      <c r="AO15" s="20">
        <v>101</v>
      </c>
      <c r="AP15" s="20">
        <v>33</v>
      </c>
      <c r="AQ15" s="20"/>
      <c r="AR15" s="20"/>
      <c r="AS15" s="20"/>
      <c r="AT15" s="20" t="s">
        <v>167</v>
      </c>
      <c r="AU15" s="20">
        <v>118</v>
      </c>
      <c r="AV15" s="20">
        <v>83</v>
      </c>
      <c r="AW15" s="20"/>
      <c r="AX15" s="20" t="s">
        <v>168</v>
      </c>
      <c r="AY15" s="20" t="s">
        <v>169</v>
      </c>
      <c r="AZ15" s="20" t="s">
        <v>170</v>
      </c>
      <c r="BA15" s="20"/>
      <c r="BB15" s="20" t="s">
        <v>171</v>
      </c>
      <c r="BC15" s="20"/>
      <c r="BD15" s="20"/>
      <c r="BE15" s="20"/>
      <c r="BF15" s="20" t="s">
        <v>172</v>
      </c>
      <c r="BG15" s="20" t="s">
        <v>173</v>
      </c>
      <c r="BH15" s="20" t="s">
        <v>174</v>
      </c>
      <c r="BI15" s="20" t="s">
        <v>175</v>
      </c>
      <c r="BJ15" s="20" t="s">
        <v>176</v>
      </c>
      <c r="BK15" s="20" t="s">
        <v>99</v>
      </c>
      <c r="BL15" s="20"/>
      <c r="BM15" s="20" t="s">
        <v>177</v>
      </c>
      <c r="BN15" s="20" t="s">
        <v>178</v>
      </c>
      <c r="BO15" s="20" t="s">
        <v>179</v>
      </c>
      <c r="BP15" s="20" t="s">
        <v>180</v>
      </c>
      <c r="BQ15" s="20"/>
      <c r="BR15" s="20"/>
      <c r="BS15" s="20"/>
      <c r="BT15" s="20"/>
      <c r="BU15" s="20"/>
      <c r="BV15" s="20"/>
      <c r="BW15" s="20"/>
      <c r="BX15" s="20"/>
      <c r="BY15" s="20" t="s">
        <v>181</v>
      </c>
      <c r="BZ15" s="20" t="s">
        <v>182</v>
      </c>
      <c r="CA15" s="20" t="s">
        <v>183</v>
      </c>
      <c r="CB15" s="20" t="s">
        <v>184</v>
      </c>
      <c r="CC15" s="20"/>
      <c r="CD15" s="20"/>
      <c r="CE15" s="20"/>
      <c r="CF15" s="20"/>
      <c r="CG15" s="20"/>
      <c r="CH15" s="20"/>
      <c r="CI15" s="20"/>
      <c r="CJ15" s="20"/>
      <c r="CK15" s="20"/>
      <c r="CL15" s="20" t="s">
        <v>185</v>
      </c>
      <c r="CM15" s="20"/>
      <c r="CN15" s="20"/>
      <c r="CO15" s="20"/>
      <c r="CP15" s="20"/>
      <c r="CQ15" s="20"/>
      <c r="CR15" s="20"/>
      <c r="CS15" s="20" t="s">
        <v>175</v>
      </c>
      <c r="CT15" s="20" t="s">
        <v>186</v>
      </c>
      <c r="CU15" s="20" t="s">
        <v>187</v>
      </c>
      <c r="CV15" s="20"/>
      <c r="CW15" s="23" t="s">
        <v>188</v>
      </c>
      <c r="CX15" s="20" t="s">
        <v>99</v>
      </c>
      <c r="CY15" s="20" t="s">
        <v>99</v>
      </c>
      <c r="CZ15" s="20"/>
      <c r="DA15" s="20"/>
      <c r="DB15" s="20"/>
      <c r="DC15" s="20" t="s">
        <v>189</v>
      </c>
      <c r="DD15" s="20" t="s">
        <v>190</v>
      </c>
      <c r="DE15" s="20">
        <v>189</v>
      </c>
      <c r="DF15" s="20">
        <v>176</v>
      </c>
      <c r="DG15" s="9">
        <f t="shared" si="0"/>
        <v>4.7674278472366565</v>
      </c>
      <c r="DH15" s="20" t="s">
        <v>191</v>
      </c>
      <c r="DI15" s="20" t="s">
        <v>192</v>
      </c>
      <c r="DJ15" s="20"/>
      <c r="DK15" s="20"/>
      <c r="DL15" s="20" t="s">
        <v>193</v>
      </c>
      <c r="DM15" s="20" t="s">
        <v>194</v>
      </c>
      <c r="DN15" s="20"/>
      <c r="DP15" s="11">
        <v>2</v>
      </c>
      <c r="DR15" s="9">
        <v>2</v>
      </c>
    </row>
    <row r="16" spans="1:126" x14ac:dyDescent="0.2">
      <c r="A16" s="9" t="s">
        <v>195</v>
      </c>
      <c r="B16" s="21" t="s">
        <v>160</v>
      </c>
      <c r="C16" s="20" t="s">
        <v>196</v>
      </c>
      <c r="D16" s="20">
        <v>30</v>
      </c>
      <c r="E16" s="20" t="s">
        <v>96</v>
      </c>
      <c r="F16" s="21">
        <v>32615</v>
      </c>
      <c r="G16" s="20" t="s">
        <v>197</v>
      </c>
      <c r="H16" s="20"/>
      <c r="I16" s="20" t="s">
        <v>198</v>
      </c>
      <c r="J16" s="20"/>
      <c r="K16" s="20" t="s">
        <v>199</v>
      </c>
      <c r="L16" s="20">
        <v>2</v>
      </c>
      <c r="M16" s="20" t="s">
        <v>99</v>
      </c>
      <c r="N16" s="20" t="s">
        <v>99</v>
      </c>
      <c r="O16" s="24" t="s">
        <v>110</v>
      </c>
      <c r="P16" s="20" t="s">
        <v>99</v>
      </c>
      <c r="Q16" s="20" t="s">
        <v>99</v>
      </c>
      <c r="R16" s="22" t="s">
        <v>110</v>
      </c>
      <c r="S16" s="20" t="s">
        <v>200</v>
      </c>
      <c r="T16" s="20" t="s">
        <v>99</v>
      </c>
      <c r="U16" s="20" t="s">
        <v>99</v>
      </c>
      <c r="V16" s="20" t="s">
        <v>99</v>
      </c>
      <c r="W16" s="20" t="s">
        <v>201</v>
      </c>
      <c r="X16" s="20"/>
      <c r="Y16" s="20" t="s">
        <v>202</v>
      </c>
      <c r="Z16" s="20"/>
      <c r="AA16" s="20" t="s">
        <v>109</v>
      </c>
      <c r="AB16" s="20" t="s">
        <v>203</v>
      </c>
      <c r="AC16" s="20" t="s">
        <v>204</v>
      </c>
      <c r="AD16" s="20" t="s">
        <v>100</v>
      </c>
      <c r="AE16" s="20" t="s">
        <v>205</v>
      </c>
      <c r="AF16" s="20" t="s">
        <v>99</v>
      </c>
      <c r="AG16" s="20" t="s">
        <v>99</v>
      </c>
      <c r="AH16" s="20" t="s">
        <v>99</v>
      </c>
      <c r="AI16" s="20" t="s">
        <v>99</v>
      </c>
      <c r="AJ16" s="20" t="s">
        <v>99</v>
      </c>
      <c r="AK16" s="20" t="s">
        <v>206</v>
      </c>
      <c r="AL16" s="20" t="s">
        <v>207</v>
      </c>
      <c r="AM16" s="20">
        <v>168</v>
      </c>
      <c r="AN16" s="20">
        <v>110</v>
      </c>
      <c r="AO16" s="20">
        <v>112</v>
      </c>
      <c r="AP16" s="20">
        <v>51</v>
      </c>
      <c r="AQ16" s="20">
        <v>8</v>
      </c>
      <c r="AR16" s="20">
        <v>20</v>
      </c>
      <c r="AS16" s="20">
        <v>55</v>
      </c>
      <c r="AT16" s="20" t="s">
        <v>208</v>
      </c>
      <c r="AU16" s="20">
        <v>116</v>
      </c>
      <c r="AV16" s="20">
        <v>86</v>
      </c>
      <c r="AW16" s="20"/>
      <c r="AX16" s="20" t="s">
        <v>168</v>
      </c>
      <c r="AY16" s="20" t="s">
        <v>209</v>
      </c>
      <c r="AZ16" s="20" t="s">
        <v>210</v>
      </c>
      <c r="BA16" s="20"/>
      <c r="BB16" s="20" t="s">
        <v>211</v>
      </c>
      <c r="BC16" s="20"/>
      <c r="BD16" s="20"/>
      <c r="BE16" s="20"/>
      <c r="BF16" s="20" t="s">
        <v>212</v>
      </c>
      <c r="BG16" s="20" t="s">
        <v>212</v>
      </c>
      <c r="BH16" s="20" t="s">
        <v>213</v>
      </c>
      <c r="BI16" s="20" t="s">
        <v>214</v>
      </c>
      <c r="BJ16" s="20" t="s">
        <v>215</v>
      </c>
      <c r="BK16" s="20" t="s">
        <v>216</v>
      </c>
      <c r="BL16" s="20"/>
      <c r="BM16" s="20"/>
      <c r="BN16" s="20" t="s">
        <v>217</v>
      </c>
      <c r="BO16" s="20" t="s">
        <v>218</v>
      </c>
      <c r="BP16" s="20" t="s">
        <v>219</v>
      </c>
      <c r="BQ16" s="20"/>
      <c r="BR16" s="20"/>
      <c r="BS16" s="20"/>
      <c r="BT16" s="20"/>
      <c r="BU16" s="20"/>
      <c r="BV16" s="20" t="s">
        <v>220</v>
      </c>
      <c r="BW16" s="20"/>
      <c r="BX16" s="20"/>
      <c r="BY16" s="20"/>
      <c r="BZ16" s="20" t="s">
        <v>221</v>
      </c>
      <c r="CA16" s="20" t="s">
        <v>222</v>
      </c>
      <c r="CB16" s="20" t="s">
        <v>223</v>
      </c>
      <c r="CC16" s="20"/>
      <c r="CD16" s="20"/>
      <c r="CE16" s="20"/>
      <c r="CF16" s="20"/>
      <c r="CG16" s="20"/>
      <c r="CH16" s="20"/>
      <c r="CI16" s="20"/>
      <c r="CJ16" s="20"/>
      <c r="CK16" s="20"/>
      <c r="CL16" s="20" t="s">
        <v>185</v>
      </c>
      <c r="CM16" s="20" t="s">
        <v>224</v>
      </c>
      <c r="CN16" s="20" t="s">
        <v>225</v>
      </c>
      <c r="CO16" s="20"/>
      <c r="CP16" s="20"/>
      <c r="CQ16" s="20"/>
      <c r="CR16" s="20"/>
      <c r="CS16" s="20"/>
      <c r="CT16" s="20" t="s">
        <v>226</v>
      </c>
      <c r="CU16" s="20"/>
      <c r="CV16" s="20"/>
      <c r="CW16" s="20">
        <v>3</v>
      </c>
      <c r="CX16" s="20"/>
      <c r="CY16" s="20"/>
      <c r="CZ16" s="20">
        <v>60</v>
      </c>
      <c r="DA16" s="20">
        <v>15</v>
      </c>
      <c r="DB16" s="20">
        <v>25</v>
      </c>
      <c r="DC16" s="20" t="s">
        <v>227</v>
      </c>
      <c r="DD16" s="20" t="s">
        <v>228</v>
      </c>
      <c r="DE16" s="20">
        <v>146</v>
      </c>
      <c r="DF16" s="20">
        <v>219</v>
      </c>
      <c r="DG16" s="9">
        <f t="shared" si="0"/>
        <v>4.8966744867126009</v>
      </c>
      <c r="DH16" s="20" t="s">
        <v>229</v>
      </c>
      <c r="DI16" s="20" t="s">
        <v>230</v>
      </c>
      <c r="DJ16" s="20"/>
      <c r="DK16" s="20"/>
      <c r="DL16" s="20" t="s">
        <v>231</v>
      </c>
      <c r="DM16" s="20" t="s">
        <v>232</v>
      </c>
      <c r="DN16" s="20"/>
      <c r="DP16" s="11">
        <v>2</v>
      </c>
      <c r="DR16" s="9">
        <v>2</v>
      </c>
    </row>
    <row r="17" spans="1:138" x14ac:dyDescent="0.2">
      <c r="A17" s="9" t="s">
        <v>233</v>
      </c>
      <c r="B17" s="21" t="s">
        <v>160</v>
      </c>
      <c r="C17" s="20" t="s">
        <v>196</v>
      </c>
      <c r="D17" s="20">
        <v>55</v>
      </c>
      <c r="E17" s="20" t="s">
        <v>96</v>
      </c>
      <c r="F17" s="21">
        <v>23561</v>
      </c>
      <c r="G17" s="20" t="s">
        <v>234</v>
      </c>
      <c r="H17" s="20" t="s">
        <v>235</v>
      </c>
      <c r="I17" s="20" t="s">
        <v>236</v>
      </c>
      <c r="J17" s="20" t="s">
        <v>237</v>
      </c>
      <c r="K17" s="20" t="s">
        <v>238</v>
      </c>
      <c r="L17" s="20" t="s">
        <v>239</v>
      </c>
      <c r="M17" s="20" t="s">
        <v>99</v>
      </c>
      <c r="N17" s="20" t="s">
        <v>240</v>
      </c>
      <c r="O17" s="20" t="s">
        <v>241</v>
      </c>
      <c r="P17" s="20" t="s">
        <v>99</v>
      </c>
      <c r="Q17" s="20" t="s">
        <v>99</v>
      </c>
      <c r="R17" s="20"/>
      <c r="S17" s="20" t="s">
        <v>242</v>
      </c>
      <c r="T17" s="20" t="s">
        <v>243</v>
      </c>
      <c r="U17" s="20"/>
      <c r="V17" s="25"/>
      <c r="W17" s="20" t="s">
        <v>244</v>
      </c>
      <c r="X17" s="20" t="s">
        <v>99</v>
      </c>
      <c r="Y17" s="20"/>
      <c r="Z17" s="20" t="s">
        <v>245</v>
      </c>
      <c r="AA17" s="20" t="s">
        <v>100</v>
      </c>
      <c r="AB17" s="20" t="s">
        <v>100</v>
      </c>
      <c r="AC17" s="20" t="s">
        <v>100</v>
      </c>
      <c r="AD17" s="20" t="s">
        <v>100</v>
      </c>
      <c r="AE17" s="20" t="s">
        <v>99</v>
      </c>
      <c r="AF17" s="20" t="s">
        <v>246</v>
      </c>
      <c r="AG17" s="20" t="s">
        <v>99</v>
      </c>
      <c r="AH17" s="20" t="s">
        <v>99</v>
      </c>
      <c r="AI17" s="20" t="s">
        <v>246</v>
      </c>
      <c r="AJ17" s="20" t="s">
        <v>99</v>
      </c>
      <c r="AK17" s="20"/>
      <c r="AL17" s="20" t="s">
        <v>247</v>
      </c>
      <c r="AM17" s="20">
        <v>156</v>
      </c>
      <c r="AN17" s="20">
        <v>94</v>
      </c>
      <c r="AO17" s="20" t="s">
        <v>248</v>
      </c>
      <c r="AP17" s="20" t="s">
        <v>249</v>
      </c>
      <c r="AQ17" s="20">
        <v>10</v>
      </c>
      <c r="AR17" s="20" t="s">
        <v>250</v>
      </c>
      <c r="AS17" s="20">
        <v>64</v>
      </c>
      <c r="AT17" s="20" t="s">
        <v>251</v>
      </c>
      <c r="AU17" s="20">
        <v>112</v>
      </c>
      <c r="AV17" s="20">
        <v>77</v>
      </c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 t="s">
        <v>252</v>
      </c>
      <c r="DD17" s="20" t="s">
        <v>253</v>
      </c>
      <c r="DE17" s="20">
        <v>149</v>
      </c>
      <c r="DF17" s="20">
        <v>130</v>
      </c>
      <c r="DG17" s="9">
        <f t="shared" si="0"/>
        <v>4.6004479565740919</v>
      </c>
      <c r="DH17" s="20">
        <v>26</v>
      </c>
      <c r="DI17" s="20" t="s">
        <v>254</v>
      </c>
      <c r="DJ17" s="20"/>
      <c r="DK17" s="20"/>
      <c r="DL17" s="20" t="s">
        <v>255</v>
      </c>
      <c r="DM17" s="20" t="s">
        <v>256</v>
      </c>
      <c r="DN17" s="20"/>
      <c r="DP17" s="11">
        <v>3</v>
      </c>
    </row>
    <row r="18" spans="1:138" customFormat="1" x14ac:dyDescent="0.2">
      <c r="A18" t="s">
        <v>257</v>
      </c>
      <c r="B18" s="26">
        <v>43795</v>
      </c>
      <c r="C18" t="s">
        <v>258</v>
      </c>
      <c r="D18" t="s">
        <v>259</v>
      </c>
      <c r="E18" t="s">
        <v>260</v>
      </c>
      <c r="F18" s="26">
        <v>18078</v>
      </c>
      <c r="G18" t="s">
        <v>261</v>
      </c>
      <c r="H18" t="s">
        <v>262</v>
      </c>
      <c r="M18" t="s">
        <v>263</v>
      </c>
      <c r="N18" t="s">
        <v>263</v>
      </c>
      <c r="O18" t="s">
        <v>263</v>
      </c>
      <c r="P18" t="s">
        <v>263</v>
      </c>
      <c r="Q18" t="s">
        <v>264</v>
      </c>
      <c r="R18" t="s">
        <v>265</v>
      </c>
      <c r="U18" t="s">
        <v>266</v>
      </c>
      <c r="V18" t="s">
        <v>263</v>
      </c>
      <c r="AA18" t="s">
        <v>267</v>
      </c>
      <c r="AB18" t="s">
        <v>267</v>
      </c>
      <c r="AE18" t="s">
        <v>263</v>
      </c>
      <c r="AF18" t="s">
        <v>263</v>
      </c>
      <c r="AG18" t="s">
        <v>268</v>
      </c>
      <c r="AH18" t="s">
        <v>269</v>
      </c>
      <c r="AI18" t="s">
        <v>263</v>
      </c>
      <c r="AJ18" t="s">
        <v>263</v>
      </c>
      <c r="AK18" t="s">
        <v>263</v>
      </c>
      <c r="AL18">
        <v>72.3</v>
      </c>
      <c r="AM18">
        <v>1.72</v>
      </c>
      <c r="AN18">
        <v>94</v>
      </c>
      <c r="AO18">
        <v>99</v>
      </c>
      <c r="AP18">
        <v>23.8</v>
      </c>
      <c r="AQ18">
        <v>10</v>
      </c>
      <c r="AR18">
        <v>32.4</v>
      </c>
      <c r="AS18">
        <v>56</v>
      </c>
      <c r="AT18">
        <v>24.4</v>
      </c>
      <c r="AU18">
        <v>162</v>
      </c>
      <c r="AV18">
        <v>87</v>
      </c>
      <c r="AX18" t="s">
        <v>270</v>
      </c>
      <c r="BF18" t="s">
        <v>271</v>
      </c>
      <c r="BG18" t="s">
        <v>272</v>
      </c>
      <c r="BJ18" t="s">
        <v>273</v>
      </c>
      <c r="BK18" t="s">
        <v>274</v>
      </c>
      <c r="BN18" t="s">
        <v>275</v>
      </c>
      <c r="BR18" t="s">
        <v>276</v>
      </c>
      <c r="BV18" t="s">
        <v>276</v>
      </c>
      <c r="BZ18" t="s">
        <v>277</v>
      </c>
      <c r="CA18" t="s">
        <v>278</v>
      </c>
      <c r="CB18" t="s">
        <v>279</v>
      </c>
      <c r="CL18" t="s">
        <v>280</v>
      </c>
      <c r="CT18" t="s">
        <v>281</v>
      </c>
      <c r="CW18">
        <v>3</v>
      </c>
      <c r="CX18" t="s">
        <v>282</v>
      </c>
      <c r="CY18" t="s">
        <v>283</v>
      </c>
      <c r="DC18">
        <v>89.5</v>
      </c>
      <c r="DD18">
        <v>0.84</v>
      </c>
      <c r="DE18">
        <v>243</v>
      </c>
      <c r="DF18">
        <v>126</v>
      </c>
      <c r="DG18" s="9">
        <f t="shared" si="0"/>
        <v>4.6652602661161442</v>
      </c>
      <c r="DH18">
        <v>25.2</v>
      </c>
      <c r="DI18">
        <v>4.5999999999999996</v>
      </c>
      <c r="DL18">
        <v>43.3</v>
      </c>
      <c r="DM18">
        <v>174.5</v>
      </c>
      <c r="DP18" s="27">
        <v>2</v>
      </c>
      <c r="DR18">
        <v>2</v>
      </c>
    </row>
    <row r="19" spans="1:138" customFormat="1" x14ac:dyDescent="0.2">
      <c r="A19" t="s">
        <v>284</v>
      </c>
      <c r="B19" s="26">
        <v>43794</v>
      </c>
      <c r="C19" t="s">
        <v>258</v>
      </c>
      <c r="M19" t="s">
        <v>263</v>
      </c>
      <c r="N19" t="s">
        <v>285</v>
      </c>
      <c r="O19" t="s">
        <v>263</v>
      </c>
      <c r="P19" t="s">
        <v>263</v>
      </c>
      <c r="Q19" t="s">
        <v>286</v>
      </c>
      <c r="W19" t="s">
        <v>287</v>
      </c>
      <c r="Y19" t="s">
        <v>288</v>
      </c>
      <c r="AA19" t="s">
        <v>260</v>
      </c>
      <c r="AB19" t="s">
        <v>289</v>
      </c>
      <c r="AC19" t="s">
        <v>289</v>
      </c>
      <c r="AD19" t="s">
        <v>290</v>
      </c>
      <c r="AE19" t="s">
        <v>291</v>
      </c>
      <c r="AF19" t="s">
        <v>291</v>
      </c>
      <c r="AG19" t="s">
        <v>263</v>
      </c>
      <c r="AH19" t="s">
        <v>292</v>
      </c>
      <c r="AI19" t="s">
        <v>263</v>
      </c>
      <c r="AJ19" t="s">
        <v>263</v>
      </c>
      <c r="AK19" t="s">
        <v>263</v>
      </c>
      <c r="AL19">
        <v>90.8</v>
      </c>
      <c r="AM19">
        <v>1.75</v>
      </c>
      <c r="AN19">
        <v>111</v>
      </c>
      <c r="AO19">
        <v>110</v>
      </c>
      <c r="AP19">
        <v>27</v>
      </c>
      <c r="AQ19">
        <v>13</v>
      </c>
      <c r="AR19">
        <v>34.299999999999997</v>
      </c>
      <c r="AS19">
        <v>60</v>
      </c>
      <c r="AT19">
        <v>29.7</v>
      </c>
      <c r="AU19">
        <v>129</v>
      </c>
      <c r="AV19">
        <v>84</v>
      </c>
      <c r="AX19" t="s">
        <v>293</v>
      </c>
      <c r="AY19" t="s">
        <v>294</v>
      </c>
      <c r="BB19" t="s">
        <v>295</v>
      </c>
      <c r="BC19" t="s">
        <v>296</v>
      </c>
      <c r="BF19" t="s">
        <v>297</v>
      </c>
      <c r="BG19" t="s">
        <v>298</v>
      </c>
      <c r="BH19" t="s">
        <v>299</v>
      </c>
      <c r="BI19" t="s">
        <v>300</v>
      </c>
      <c r="BJ19" t="s">
        <v>300</v>
      </c>
      <c r="BK19" t="s">
        <v>274</v>
      </c>
      <c r="BN19" t="s">
        <v>301</v>
      </c>
      <c r="BO19" t="s">
        <v>302</v>
      </c>
      <c r="BP19" t="s">
        <v>303</v>
      </c>
      <c r="BZ19" t="s">
        <v>277</v>
      </c>
      <c r="CA19" t="s">
        <v>304</v>
      </c>
      <c r="CB19" t="s">
        <v>305</v>
      </c>
      <c r="CL19" t="s">
        <v>306</v>
      </c>
      <c r="CM19" t="s">
        <v>307</v>
      </c>
      <c r="CN19" t="s">
        <v>308</v>
      </c>
      <c r="CP19" t="s">
        <v>309</v>
      </c>
      <c r="CT19" t="s">
        <v>310</v>
      </c>
      <c r="CW19">
        <v>2</v>
      </c>
      <c r="CY19" t="s">
        <v>285</v>
      </c>
      <c r="DC19">
        <v>73.5</v>
      </c>
      <c r="DD19">
        <v>3</v>
      </c>
      <c r="DE19" s="28">
        <v>196</v>
      </c>
      <c r="DF19" s="28">
        <v>135</v>
      </c>
      <c r="DG19" s="9">
        <f t="shared" si="0"/>
        <v>4.6012800923286106</v>
      </c>
      <c r="DH19">
        <v>27</v>
      </c>
      <c r="DI19">
        <v>9.9</v>
      </c>
      <c r="DL19">
        <v>44</v>
      </c>
      <c r="DM19">
        <v>125</v>
      </c>
      <c r="DR19">
        <v>2</v>
      </c>
    </row>
    <row r="20" spans="1:138" customFormat="1" x14ac:dyDescent="0.2">
      <c r="A20" t="s">
        <v>311</v>
      </c>
      <c r="B20" s="26">
        <v>43795</v>
      </c>
      <c r="C20" t="s">
        <v>258</v>
      </c>
      <c r="D20" t="s">
        <v>312</v>
      </c>
      <c r="E20" t="s">
        <v>313</v>
      </c>
      <c r="F20" s="26">
        <v>28564</v>
      </c>
      <c r="G20" t="s">
        <v>314</v>
      </c>
      <c r="H20" t="s">
        <v>315</v>
      </c>
      <c r="M20" t="s">
        <v>263</v>
      </c>
      <c r="N20" t="s">
        <v>263</v>
      </c>
      <c r="O20" t="s">
        <v>263</v>
      </c>
      <c r="P20" t="s">
        <v>263</v>
      </c>
      <c r="Q20" t="s">
        <v>316</v>
      </c>
      <c r="R20" t="s">
        <v>285</v>
      </c>
      <c r="U20" t="s">
        <v>317</v>
      </c>
      <c r="V20" t="s">
        <v>263</v>
      </c>
      <c r="W20" t="s">
        <v>263</v>
      </c>
      <c r="X20" t="s">
        <v>263</v>
      </c>
      <c r="Y20" t="s">
        <v>263</v>
      </c>
      <c r="Z20" t="s">
        <v>263</v>
      </c>
      <c r="AA20" t="s">
        <v>289</v>
      </c>
      <c r="AB20" t="s">
        <v>318</v>
      </c>
      <c r="AC20" t="s">
        <v>289</v>
      </c>
      <c r="AD20" t="s">
        <v>151</v>
      </c>
      <c r="AE20" t="s">
        <v>263</v>
      </c>
      <c r="AF20" t="s">
        <v>319</v>
      </c>
      <c r="AG20" t="s">
        <v>320</v>
      </c>
      <c r="AH20" t="s">
        <v>263</v>
      </c>
      <c r="AI20" t="s">
        <v>263</v>
      </c>
      <c r="AJ20" t="s">
        <v>263</v>
      </c>
      <c r="AK20" t="s">
        <v>263</v>
      </c>
      <c r="AL20">
        <v>96.3</v>
      </c>
      <c r="AN20">
        <v>97</v>
      </c>
      <c r="AO20">
        <v>96</v>
      </c>
      <c r="AU20">
        <v>114</v>
      </c>
      <c r="AV20">
        <v>75</v>
      </c>
      <c r="AX20" t="s">
        <v>168</v>
      </c>
      <c r="AY20" t="s">
        <v>321</v>
      </c>
      <c r="BF20" t="s">
        <v>322</v>
      </c>
      <c r="BG20" t="s">
        <v>323</v>
      </c>
      <c r="BH20" t="s">
        <v>324</v>
      </c>
      <c r="BI20" t="s">
        <v>325</v>
      </c>
      <c r="BJ20" t="s">
        <v>325</v>
      </c>
      <c r="BK20" t="s">
        <v>323</v>
      </c>
      <c r="BN20" t="s">
        <v>326</v>
      </c>
      <c r="BO20" t="s">
        <v>327</v>
      </c>
      <c r="BP20" t="s">
        <v>328</v>
      </c>
      <c r="BV20" t="s">
        <v>329</v>
      </c>
      <c r="BZ20" t="s">
        <v>330</v>
      </c>
      <c r="CA20" t="s">
        <v>331</v>
      </c>
      <c r="CB20" t="s">
        <v>332</v>
      </c>
      <c r="CL20" t="s">
        <v>333</v>
      </c>
      <c r="CM20" t="s">
        <v>334</v>
      </c>
      <c r="CN20" t="s">
        <v>335</v>
      </c>
      <c r="CT20" t="s">
        <v>336</v>
      </c>
      <c r="CU20" t="s">
        <v>337</v>
      </c>
      <c r="CW20">
        <v>3</v>
      </c>
      <c r="CX20" t="s">
        <v>285</v>
      </c>
      <c r="DC20">
        <v>72.7</v>
      </c>
      <c r="DD20">
        <v>0.93</v>
      </c>
      <c r="DE20">
        <v>164</v>
      </c>
      <c r="DF20">
        <v>198</v>
      </c>
      <c r="DG20" s="9">
        <f t="shared" si="0"/>
        <v>4.7873042076170043</v>
      </c>
      <c r="DH20">
        <v>39.6</v>
      </c>
      <c r="DI20">
        <v>6.82</v>
      </c>
      <c r="DL20">
        <v>42</v>
      </c>
      <c r="DM20">
        <v>82.4</v>
      </c>
      <c r="DR20" s="29">
        <v>2</v>
      </c>
    </row>
    <row r="21" spans="1:138" s="33" customFormat="1" x14ac:dyDescent="0.2">
      <c r="A21" s="30" t="s">
        <v>338</v>
      </c>
      <c r="B21" s="32">
        <v>43795</v>
      </c>
      <c r="C21" s="31" t="s">
        <v>196</v>
      </c>
      <c r="D21" s="31">
        <v>40</v>
      </c>
      <c r="E21" s="31" t="s">
        <v>100</v>
      </c>
      <c r="F21" s="32">
        <v>29022</v>
      </c>
      <c r="G21" s="31" t="s">
        <v>339</v>
      </c>
      <c r="H21" s="31" t="s">
        <v>340</v>
      </c>
      <c r="I21" s="31" t="s">
        <v>236</v>
      </c>
      <c r="J21" s="31"/>
      <c r="K21" s="31"/>
      <c r="L21" s="31"/>
      <c r="M21" s="31" t="s">
        <v>99</v>
      </c>
      <c r="N21" s="31" t="s">
        <v>99</v>
      </c>
      <c r="O21" s="31" t="s">
        <v>99</v>
      </c>
      <c r="P21" s="31" t="s">
        <v>341</v>
      </c>
      <c r="Q21" s="31" t="s">
        <v>342</v>
      </c>
      <c r="R21" s="31" t="s">
        <v>99</v>
      </c>
      <c r="S21" s="31" t="s">
        <v>99</v>
      </c>
      <c r="T21" s="31" t="s">
        <v>99</v>
      </c>
      <c r="U21" s="31" t="s">
        <v>99</v>
      </c>
      <c r="V21" s="31" t="s">
        <v>99</v>
      </c>
      <c r="W21" s="31" t="s">
        <v>99</v>
      </c>
      <c r="X21" s="31" t="s">
        <v>99</v>
      </c>
      <c r="Y21" s="31" t="s">
        <v>99</v>
      </c>
      <c r="Z21" s="31" t="s">
        <v>99</v>
      </c>
      <c r="AA21" s="31" t="s">
        <v>100</v>
      </c>
      <c r="AB21" s="31" t="s">
        <v>100</v>
      </c>
      <c r="AC21" s="31" t="s">
        <v>100</v>
      </c>
      <c r="AD21" s="31" t="s">
        <v>100</v>
      </c>
      <c r="AE21" s="31" t="s">
        <v>99</v>
      </c>
      <c r="AF21" s="31" t="s">
        <v>99</v>
      </c>
      <c r="AG21" s="31" t="s">
        <v>343</v>
      </c>
      <c r="AH21" s="31" t="s">
        <v>99</v>
      </c>
      <c r="AI21" s="31" t="s">
        <v>99</v>
      </c>
      <c r="AJ21" s="31" t="s">
        <v>99</v>
      </c>
      <c r="AK21" s="31" t="s">
        <v>99</v>
      </c>
      <c r="AL21" s="31">
        <v>57.1</v>
      </c>
      <c r="AM21" s="31">
        <v>160</v>
      </c>
      <c r="AN21" s="31">
        <v>77</v>
      </c>
      <c r="AO21" s="31">
        <v>92</v>
      </c>
      <c r="AP21" s="31">
        <v>31.9</v>
      </c>
      <c r="AQ21" s="31">
        <v>5</v>
      </c>
      <c r="AR21" s="31">
        <v>28.3</v>
      </c>
      <c r="AS21" s="31">
        <v>37</v>
      </c>
      <c r="AT21" s="31">
        <v>22.3</v>
      </c>
      <c r="AU21" s="31">
        <v>103</v>
      </c>
      <c r="AV21" s="31">
        <v>69</v>
      </c>
      <c r="AW21" s="31"/>
      <c r="AX21" s="31" t="s">
        <v>344</v>
      </c>
      <c r="AY21" s="31" t="s">
        <v>345</v>
      </c>
      <c r="AZ21" s="31"/>
      <c r="BA21" s="31"/>
      <c r="BB21" s="31" t="s">
        <v>346</v>
      </c>
      <c r="BC21" s="31" t="s">
        <v>347</v>
      </c>
      <c r="BD21" s="31" t="s">
        <v>348</v>
      </c>
      <c r="BE21" s="31"/>
      <c r="BF21" s="31" t="s">
        <v>176</v>
      </c>
      <c r="BG21" s="31" t="s">
        <v>176</v>
      </c>
      <c r="BH21" s="31" t="s">
        <v>349</v>
      </c>
      <c r="BI21" s="31" t="s">
        <v>350</v>
      </c>
      <c r="BJ21" s="31"/>
      <c r="BK21" s="31"/>
      <c r="BL21" s="31" t="s">
        <v>351</v>
      </c>
      <c r="BM21" s="31"/>
      <c r="BN21" s="31" t="s">
        <v>352</v>
      </c>
      <c r="BO21" s="31" t="s">
        <v>353</v>
      </c>
      <c r="BP21" s="31" t="s">
        <v>354</v>
      </c>
      <c r="BQ21" s="31"/>
      <c r="BR21" s="31"/>
      <c r="BS21" s="31"/>
      <c r="BT21" s="31"/>
      <c r="BU21" s="31"/>
      <c r="BV21" s="31"/>
      <c r="BW21" s="31"/>
      <c r="BX21" s="31"/>
      <c r="BY21" s="31"/>
      <c r="BZ21" s="31" t="s">
        <v>355</v>
      </c>
      <c r="CA21" s="31" t="s">
        <v>356</v>
      </c>
      <c r="CB21" s="31" t="s">
        <v>357</v>
      </c>
      <c r="CC21" s="31"/>
      <c r="CD21" s="31"/>
      <c r="CE21" s="31"/>
      <c r="CF21" s="31"/>
      <c r="CG21" s="31"/>
      <c r="CH21" s="31"/>
      <c r="CI21" s="31"/>
      <c r="CJ21" s="31"/>
      <c r="CK21" s="31"/>
      <c r="CL21" s="31" t="s">
        <v>358</v>
      </c>
      <c r="CM21" s="31" t="s">
        <v>359</v>
      </c>
      <c r="CN21" s="31" t="s">
        <v>360</v>
      </c>
      <c r="CO21" s="31"/>
      <c r="CP21" s="31" t="s">
        <v>361</v>
      </c>
      <c r="CQ21" s="31" t="s">
        <v>362</v>
      </c>
      <c r="CR21" s="31"/>
      <c r="CS21" s="31"/>
      <c r="CT21" s="31" t="s">
        <v>363</v>
      </c>
      <c r="CU21" s="31" t="s">
        <v>364</v>
      </c>
      <c r="CV21" s="31"/>
      <c r="CW21" s="31">
        <v>3</v>
      </c>
      <c r="CX21" s="31"/>
      <c r="CY21" s="31" t="s">
        <v>110</v>
      </c>
      <c r="CZ21" s="31">
        <v>30</v>
      </c>
      <c r="DA21" s="31">
        <v>20</v>
      </c>
      <c r="DB21" s="31">
        <v>50</v>
      </c>
      <c r="DC21" s="31">
        <v>84.5</v>
      </c>
      <c r="DD21" s="31">
        <v>0.86</v>
      </c>
      <c r="DE21" s="31">
        <v>176</v>
      </c>
      <c r="DF21" s="31">
        <v>55</v>
      </c>
      <c r="DG21" s="9">
        <f t="shared" si="0"/>
        <v>4.2220423597977996</v>
      </c>
      <c r="DH21" s="31">
        <v>11</v>
      </c>
      <c r="DI21" s="31">
        <v>4.4400000000000004</v>
      </c>
      <c r="DJ21" s="31"/>
      <c r="DK21" s="31"/>
      <c r="DL21" s="31">
        <v>65.7</v>
      </c>
      <c r="DM21" s="31">
        <v>99.3</v>
      </c>
      <c r="DN21" s="31"/>
      <c r="DO21" s="31"/>
      <c r="DP21" s="31">
        <v>3</v>
      </c>
      <c r="DQ21" s="31"/>
      <c r="DR21" s="31">
        <v>3</v>
      </c>
      <c r="DS21" s="31"/>
      <c r="DT21" s="31"/>
      <c r="DU21" s="31"/>
      <c r="DV21" s="31"/>
    </row>
    <row r="22" spans="1:138" x14ac:dyDescent="0.2">
      <c r="A22" s="7" t="s">
        <v>365</v>
      </c>
      <c r="B22" s="8">
        <v>43277</v>
      </c>
      <c r="C22" s="9" t="s">
        <v>95</v>
      </c>
      <c r="D22" s="9">
        <v>31</v>
      </c>
      <c r="E22" s="9" t="s">
        <v>96</v>
      </c>
      <c r="F22" s="8">
        <v>31917</v>
      </c>
      <c r="G22" s="9" t="s">
        <v>366</v>
      </c>
      <c r="H22" s="9" t="s">
        <v>367</v>
      </c>
      <c r="I22" s="9" t="s">
        <v>162</v>
      </c>
      <c r="J22" s="9" t="s">
        <v>162</v>
      </c>
      <c r="K22" s="9" t="s">
        <v>162</v>
      </c>
      <c r="L22" s="9" t="s">
        <v>162</v>
      </c>
      <c r="M22" s="9" t="s">
        <v>263</v>
      </c>
      <c r="N22" s="9" t="s">
        <v>263</v>
      </c>
      <c r="O22" s="9" t="s">
        <v>263</v>
      </c>
      <c r="P22" s="10" t="s">
        <v>368</v>
      </c>
      <c r="Q22" s="10" t="s">
        <v>369</v>
      </c>
      <c r="R22" s="7" t="s">
        <v>263</v>
      </c>
      <c r="S22" s="9" t="s">
        <v>263</v>
      </c>
      <c r="T22" s="9" t="s">
        <v>263</v>
      </c>
      <c r="U22" s="9" t="s">
        <v>263</v>
      </c>
      <c r="V22" s="9" t="s">
        <v>263</v>
      </c>
      <c r="W22" s="9" t="s">
        <v>263</v>
      </c>
      <c r="X22" s="9" t="s">
        <v>263</v>
      </c>
      <c r="Y22" s="9" t="s">
        <v>162</v>
      </c>
      <c r="Z22" s="9" t="s">
        <v>162</v>
      </c>
      <c r="AA22" s="9" t="s">
        <v>96</v>
      </c>
      <c r="AB22" s="9" t="s">
        <v>96</v>
      </c>
      <c r="AC22" s="9" t="s">
        <v>96</v>
      </c>
      <c r="AD22" s="9" t="s">
        <v>96</v>
      </c>
      <c r="AE22" s="9" t="s">
        <v>263</v>
      </c>
      <c r="AF22" s="9" t="s">
        <v>263</v>
      </c>
      <c r="AG22" s="10" t="s">
        <v>370</v>
      </c>
      <c r="AH22" s="9" t="s">
        <v>263</v>
      </c>
      <c r="AI22" s="9" t="s">
        <v>263</v>
      </c>
      <c r="AJ22" s="9" t="s">
        <v>263</v>
      </c>
      <c r="AK22" s="9" t="s">
        <v>263</v>
      </c>
      <c r="AL22" s="9">
        <v>60.2</v>
      </c>
      <c r="AM22" s="9" t="s">
        <v>162</v>
      </c>
      <c r="AN22" s="9">
        <v>76</v>
      </c>
      <c r="AO22" s="9">
        <v>102</v>
      </c>
      <c r="AP22" s="9">
        <v>36.5</v>
      </c>
      <c r="AQ22" s="9">
        <v>4</v>
      </c>
      <c r="AR22" s="9">
        <v>23.5</v>
      </c>
      <c r="AS22" s="9">
        <v>27</v>
      </c>
      <c r="AT22" s="7">
        <v>21.8</v>
      </c>
      <c r="AU22" s="9">
        <v>92</v>
      </c>
      <c r="AV22" s="9">
        <v>66</v>
      </c>
      <c r="AX22" s="9" t="s">
        <v>371</v>
      </c>
      <c r="AY22" s="9" t="s">
        <v>372</v>
      </c>
      <c r="AZ22" s="9" t="s">
        <v>373</v>
      </c>
      <c r="BB22" s="9" t="s">
        <v>374</v>
      </c>
      <c r="BC22" s="9" t="s">
        <v>162</v>
      </c>
      <c r="BD22" s="9" t="s">
        <v>162</v>
      </c>
      <c r="BF22" s="9" t="s">
        <v>375</v>
      </c>
      <c r="BG22" s="9" t="s">
        <v>375</v>
      </c>
      <c r="BH22" s="9" t="s">
        <v>276</v>
      </c>
      <c r="BI22" s="9" t="s">
        <v>322</v>
      </c>
      <c r="BJ22" s="9" t="s">
        <v>375</v>
      </c>
      <c r="BK22" s="9" t="s">
        <v>276</v>
      </c>
      <c r="BN22" s="9" t="s">
        <v>376</v>
      </c>
      <c r="BO22" s="9" t="s">
        <v>377</v>
      </c>
      <c r="BP22" s="9" t="s">
        <v>378</v>
      </c>
      <c r="BR22" s="9" t="s">
        <v>162</v>
      </c>
      <c r="BS22" s="9" t="s">
        <v>162</v>
      </c>
      <c r="BT22" s="9" t="s">
        <v>162</v>
      </c>
      <c r="BV22" s="9" t="s">
        <v>162</v>
      </c>
      <c r="BW22" s="9" t="s">
        <v>162</v>
      </c>
      <c r="BX22" s="9" t="s">
        <v>162</v>
      </c>
      <c r="BZ22" s="9" t="s">
        <v>379</v>
      </c>
      <c r="CA22" s="9" t="s">
        <v>380</v>
      </c>
      <c r="CB22" s="9" t="s">
        <v>381</v>
      </c>
      <c r="CD22" s="9" t="s">
        <v>162</v>
      </c>
      <c r="CE22" s="9" t="s">
        <v>162</v>
      </c>
      <c r="CF22" s="9" t="s">
        <v>162</v>
      </c>
      <c r="CH22" s="9" t="s">
        <v>162</v>
      </c>
      <c r="CI22" s="9" t="s">
        <v>162</v>
      </c>
      <c r="CJ22" s="9" t="s">
        <v>162</v>
      </c>
      <c r="CL22" s="9" t="s">
        <v>333</v>
      </c>
      <c r="CM22" s="9" t="s">
        <v>382</v>
      </c>
      <c r="CN22" s="9" t="s">
        <v>383</v>
      </c>
      <c r="CP22" s="9" t="s">
        <v>384</v>
      </c>
      <c r="CQ22" s="9" t="s">
        <v>385</v>
      </c>
      <c r="CR22" s="9" t="s">
        <v>162</v>
      </c>
      <c r="CT22" s="9" t="s">
        <v>336</v>
      </c>
      <c r="CU22" s="9" t="s">
        <v>162</v>
      </c>
      <c r="CV22" s="9" t="s">
        <v>162</v>
      </c>
      <c r="CW22" s="9">
        <v>3</v>
      </c>
      <c r="CX22" s="9" t="s">
        <v>368</v>
      </c>
      <c r="CY22" s="9" t="s">
        <v>368</v>
      </c>
      <c r="CZ22" s="9" t="s">
        <v>162</v>
      </c>
      <c r="DA22" s="9" t="s">
        <v>162</v>
      </c>
      <c r="DB22" s="9" t="s">
        <v>162</v>
      </c>
      <c r="DC22" s="9">
        <v>71.099999999999994</v>
      </c>
      <c r="DD22" s="9">
        <v>0.92</v>
      </c>
      <c r="DE22" s="9">
        <v>150</v>
      </c>
      <c r="DF22" s="34" t="s">
        <v>386</v>
      </c>
      <c r="DG22" s="9" t="e">
        <f t="shared" si="0"/>
        <v>#VALUE!</v>
      </c>
      <c r="DH22" s="9">
        <v>34.4</v>
      </c>
      <c r="DI22" s="9">
        <v>6.34</v>
      </c>
      <c r="DJ22" s="9">
        <v>17</v>
      </c>
      <c r="DK22" s="9">
        <v>19</v>
      </c>
      <c r="DL22" s="9">
        <v>33.6</v>
      </c>
      <c r="DM22" s="9">
        <v>82</v>
      </c>
      <c r="DP22" s="11">
        <v>2</v>
      </c>
      <c r="DQ22" s="9">
        <v>3</v>
      </c>
      <c r="DR22" s="9">
        <v>2</v>
      </c>
      <c r="DT22" s="9">
        <v>11</v>
      </c>
      <c r="DU22" s="9">
        <v>8.4</v>
      </c>
    </row>
    <row r="23" spans="1:138" x14ac:dyDescent="0.2">
      <c r="A23" s="9" t="s">
        <v>387</v>
      </c>
      <c r="B23" s="8">
        <v>43277</v>
      </c>
      <c r="C23" s="9" t="s">
        <v>95</v>
      </c>
      <c r="D23" s="9">
        <v>33</v>
      </c>
      <c r="E23" s="9" t="s">
        <v>96</v>
      </c>
      <c r="F23" s="8">
        <v>30440</v>
      </c>
      <c r="G23" s="9" t="s">
        <v>162</v>
      </c>
      <c r="H23" s="9" t="s">
        <v>162</v>
      </c>
      <c r="I23" s="9" t="s">
        <v>162</v>
      </c>
      <c r="J23" s="9" t="s">
        <v>162</v>
      </c>
      <c r="K23" s="9" t="s">
        <v>162</v>
      </c>
      <c r="L23" s="9" t="s">
        <v>162</v>
      </c>
      <c r="M23" s="9" t="s">
        <v>263</v>
      </c>
      <c r="N23" s="9" t="s">
        <v>263</v>
      </c>
      <c r="O23" s="9" t="s">
        <v>263</v>
      </c>
      <c r="P23" s="9" t="s">
        <v>263</v>
      </c>
      <c r="Q23" s="9" t="s">
        <v>263</v>
      </c>
      <c r="R23" s="9" t="s">
        <v>162</v>
      </c>
      <c r="S23" s="9" t="s">
        <v>162</v>
      </c>
      <c r="T23" s="9" t="s">
        <v>162</v>
      </c>
      <c r="U23" s="9" t="s">
        <v>162</v>
      </c>
      <c r="V23" s="9" t="s">
        <v>162</v>
      </c>
      <c r="W23" s="9" t="s">
        <v>388</v>
      </c>
      <c r="X23" s="9" t="s">
        <v>263</v>
      </c>
      <c r="Y23" s="9" t="s">
        <v>162</v>
      </c>
      <c r="Z23" s="9" t="s">
        <v>263</v>
      </c>
      <c r="AA23" s="9" t="s">
        <v>96</v>
      </c>
      <c r="AB23" s="9" t="s">
        <v>96</v>
      </c>
      <c r="AC23" s="9" t="s">
        <v>96</v>
      </c>
      <c r="AD23" s="9" t="s">
        <v>96</v>
      </c>
      <c r="AE23" s="9" t="s">
        <v>263</v>
      </c>
      <c r="AF23" s="9" t="s">
        <v>263</v>
      </c>
      <c r="AG23" s="9" t="s">
        <v>263</v>
      </c>
      <c r="AH23" s="9" t="s">
        <v>263</v>
      </c>
      <c r="AI23" s="9" t="s">
        <v>263</v>
      </c>
      <c r="AJ23" s="9" t="s">
        <v>263</v>
      </c>
      <c r="AK23" s="9" t="s">
        <v>263</v>
      </c>
      <c r="AL23" s="9" t="s">
        <v>162</v>
      </c>
      <c r="AM23" s="9" t="s">
        <v>162</v>
      </c>
      <c r="AN23" s="9" t="s">
        <v>162</v>
      </c>
      <c r="AO23" s="9" t="s">
        <v>162</v>
      </c>
      <c r="AP23" s="9" t="s">
        <v>162</v>
      </c>
      <c r="AQ23" s="9" t="s">
        <v>162</v>
      </c>
      <c r="AR23" s="9" t="s">
        <v>162</v>
      </c>
      <c r="AS23" s="9" t="s">
        <v>162</v>
      </c>
      <c r="AT23" s="9" t="s">
        <v>162</v>
      </c>
      <c r="AU23" s="9" t="s">
        <v>162</v>
      </c>
      <c r="AV23" s="9" t="s">
        <v>162</v>
      </c>
      <c r="AX23" s="9" t="s">
        <v>389</v>
      </c>
      <c r="AY23" s="9" t="s">
        <v>390</v>
      </c>
      <c r="AZ23" s="9" t="s">
        <v>391</v>
      </c>
      <c r="BB23" s="9" t="s">
        <v>392</v>
      </c>
      <c r="BC23" s="9" t="s">
        <v>393</v>
      </c>
      <c r="BD23" s="9" t="s">
        <v>162</v>
      </c>
      <c r="BF23" s="9" t="s">
        <v>322</v>
      </c>
      <c r="BG23" s="9" t="s">
        <v>322</v>
      </c>
      <c r="BH23" s="9" t="s">
        <v>162</v>
      </c>
      <c r="BI23" s="9" t="s">
        <v>162</v>
      </c>
      <c r="BJ23" s="9" t="s">
        <v>162</v>
      </c>
      <c r="BK23" s="9" t="s">
        <v>162</v>
      </c>
      <c r="BN23" s="9" t="s">
        <v>394</v>
      </c>
      <c r="BO23" s="9" t="s">
        <v>395</v>
      </c>
      <c r="BP23" s="9" t="s">
        <v>396</v>
      </c>
      <c r="BR23" s="9" t="s">
        <v>162</v>
      </c>
      <c r="BS23" s="9" t="s">
        <v>162</v>
      </c>
      <c r="BT23" s="9" t="s">
        <v>162</v>
      </c>
      <c r="BV23" s="9" t="s">
        <v>162</v>
      </c>
      <c r="BW23" s="9" t="s">
        <v>162</v>
      </c>
      <c r="BX23" s="9" t="s">
        <v>162</v>
      </c>
      <c r="BZ23" s="9" t="s">
        <v>397</v>
      </c>
      <c r="CA23" s="9" t="s">
        <v>398</v>
      </c>
      <c r="CB23" s="9" t="s">
        <v>162</v>
      </c>
      <c r="CD23" s="9" t="s">
        <v>162</v>
      </c>
      <c r="CE23" s="9" t="s">
        <v>162</v>
      </c>
      <c r="CF23" s="9" t="s">
        <v>162</v>
      </c>
      <c r="CH23" s="9" t="s">
        <v>162</v>
      </c>
      <c r="CI23" s="9" t="s">
        <v>162</v>
      </c>
      <c r="CJ23" s="9" t="s">
        <v>162</v>
      </c>
      <c r="CL23" s="9" t="s">
        <v>162</v>
      </c>
      <c r="CM23" s="9" t="s">
        <v>162</v>
      </c>
      <c r="CN23" s="9" t="s">
        <v>162</v>
      </c>
      <c r="CP23" s="9" t="s">
        <v>162</v>
      </c>
      <c r="CQ23" s="9" t="s">
        <v>162</v>
      </c>
      <c r="CR23" s="9" t="s">
        <v>162</v>
      </c>
      <c r="CT23" s="9" t="s">
        <v>162</v>
      </c>
      <c r="CU23" s="9" t="s">
        <v>162</v>
      </c>
      <c r="CV23" s="9" t="s">
        <v>162</v>
      </c>
      <c r="CW23" s="9" t="s">
        <v>162</v>
      </c>
      <c r="CX23" s="9" t="s">
        <v>162</v>
      </c>
      <c r="CY23" s="9" t="s">
        <v>162</v>
      </c>
      <c r="CZ23" s="9" t="s">
        <v>162</v>
      </c>
      <c r="DA23" s="9" t="s">
        <v>162</v>
      </c>
      <c r="DB23" s="9" t="s">
        <v>162</v>
      </c>
      <c r="DC23" s="9">
        <v>79.8</v>
      </c>
      <c r="DD23" s="9">
        <v>0.79</v>
      </c>
      <c r="DE23" s="9">
        <v>134</v>
      </c>
      <c r="DF23" s="34">
        <v>223</v>
      </c>
      <c r="DG23" s="9">
        <f t="shared" si="0"/>
        <v>4.893347637957941</v>
      </c>
      <c r="DH23" s="9">
        <v>44.6</v>
      </c>
      <c r="DI23" s="9">
        <v>7.64</v>
      </c>
      <c r="DJ23" s="9">
        <v>29.7</v>
      </c>
      <c r="DK23" s="9">
        <v>30.3</v>
      </c>
      <c r="DL23" s="9">
        <v>29.6</v>
      </c>
      <c r="DM23" s="9">
        <v>59.8</v>
      </c>
      <c r="DP23" s="18">
        <v>1</v>
      </c>
      <c r="DQ23" s="9">
        <v>2</v>
      </c>
      <c r="DR23" s="9">
        <v>2</v>
      </c>
      <c r="DT23" s="9">
        <v>15</v>
      </c>
      <c r="DU23" s="9">
        <v>6.18</v>
      </c>
    </row>
    <row r="24" spans="1:138" x14ac:dyDescent="0.2">
      <c r="A24" s="14" t="s">
        <v>399</v>
      </c>
      <c r="B24" s="8">
        <v>43278</v>
      </c>
      <c r="C24" s="9" t="s">
        <v>107</v>
      </c>
      <c r="D24" s="9">
        <v>37</v>
      </c>
      <c r="E24" s="35" t="s">
        <v>155</v>
      </c>
      <c r="F24" s="8">
        <v>29514</v>
      </c>
      <c r="G24" s="9" t="s">
        <v>400</v>
      </c>
      <c r="H24" s="9" t="s">
        <v>162</v>
      </c>
      <c r="I24" s="9" t="s">
        <v>162</v>
      </c>
      <c r="J24" s="9" t="s">
        <v>162</v>
      </c>
      <c r="K24" s="9" t="s">
        <v>162</v>
      </c>
      <c r="L24" s="9" t="s">
        <v>162</v>
      </c>
      <c r="M24" s="10" t="s">
        <v>368</v>
      </c>
      <c r="N24" s="9" t="s">
        <v>263</v>
      </c>
      <c r="O24" s="10" t="s">
        <v>368</v>
      </c>
      <c r="P24" s="9" t="s">
        <v>263</v>
      </c>
      <c r="Q24" s="9" t="s">
        <v>263</v>
      </c>
      <c r="R24" s="9" t="s">
        <v>368</v>
      </c>
      <c r="S24" s="9" t="s">
        <v>263</v>
      </c>
      <c r="T24" s="9" t="s">
        <v>368</v>
      </c>
      <c r="U24" s="9" t="s">
        <v>401</v>
      </c>
      <c r="V24" s="9" t="s">
        <v>263</v>
      </c>
      <c r="W24" s="9" t="s">
        <v>263</v>
      </c>
      <c r="X24" s="9" t="s">
        <v>263</v>
      </c>
      <c r="Y24" s="36" t="s">
        <v>402</v>
      </c>
      <c r="Z24" s="9" t="s">
        <v>162</v>
      </c>
      <c r="AA24" s="37" t="s">
        <v>403</v>
      </c>
      <c r="AB24" s="37" t="s">
        <v>403</v>
      </c>
      <c r="AC24" s="37" t="s">
        <v>403</v>
      </c>
      <c r="AD24" s="37" t="s">
        <v>403</v>
      </c>
      <c r="AE24" s="10" t="s">
        <v>404</v>
      </c>
      <c r="AF24" s="10" t="s">
        <v>405</v>
      </c>
      <c r="AG24" s="9" t="s">
        <v>263</v>
      </c>
      <c r="AH24" s="10" t="s">
        <v>406</v>
      </c>
      <c r="AI24" s="10" t="s">
        <v>407</v>
      </c>
      <c r="AJ24" s="9" t="s">
        <v>263</v>
      </c>
      <c r="AK24" s="9" t="s">
        <v>263</v>
      </c>
      <c r="AL24" s="9">
        <v>81.7</v>
      </c>
      <c r="AM24" s="9" t="s">
        <v>162</v>
      </c>
      <c r="AN24" s="10">
        <v>101</v>
      </c>
      <c r="AO24" s="9">
        <v>105</v>
      </c>
      <c r="AP24" s="9">
        <v>29.6</v>
      </c>
      <c r="AQ24" s="9">
        <v>12</v>
      </c>
      <c r="AR24" s="9">
        <v>33.700000000000003</v>
      </c>
      <c r="AS24" s="9">
        <v>50</v>
      </c>
      <c r="AT24" s="9">
        <v>28.6</v>
      </c>
      <c r="AU24" s="9">
        <v>115</v>
      </c>
      <c r="AV24" s="9">
        <v>82</v>
      </c>
      <c r="AX24" s="9" t="s">
        <v>168</v>
      </c>
      <c r="AY24" s="9" t="s">
        <v>321</v>
      </c>
      <c r="AZ24" s="9" t="s">
        <v>408</v>
      </c>
      <c r="BB24" s="9" t="s">
        <v>409</v>
      </c>
      <c r="BC24" s="9" t="s">
        <v>162</v>
      </c>
      <c r="BD24" s="9" t="s">
        <v>162</v>
      </c>
      <c r="BF24" s="9" t="s">
        <v>322</v>
      </c>
      <c r="BG24" s="9" t="s">
        <v>375</v>
      </c>
      <c r="BH24" s="9" t="s">
        <v>375</v>
      </c>
      <c r="BI24" s="9" t="s">
        <v>375</v>
      </c>
      <c r="BJ24" s="9" t="s">
        <v>375</v>
      </c>
      <c r="BK24" s="9" t="s">
        <v>375</v>
      </c>
      <c r="BN24" s="9" t="s">
        <v>410</v>
      </c>
      <c r="BO24" s="9" t="s">
        <v>411</v>
      </c>
      <c r="BP24" s="9" t="s">
        <v>412</v>
      </c>
      <c r="BR24" s="9" t="s">
        <v>162</v>
      </c>
      <c r="BS24" s="9" t="s">
        <v>162</v>
      </c>
      <c r="BT24" s="9" t="s">
        <v>162</v>
      </c>
      <c r="BV24" s="9" t="s">
        <v>162</v>
      </c>
      <c r="BW24" s="9" t="s">
        <v>162</v>
      </c>
      <c r="BX24" s="9" t="s">
        <v>162</v>
      </c>
      <c r="BZ24" s="9" t="s">
        <v>413</v>
      </c>
      <c r="CA24" s="9" t="s">
        <v>414</v>
      </c>
      <c r="CB24" s="9" t="s">
        <v>415</v>
      </c>
      <c r="CD24" s="9" t="s">
        <v>162</v>
      </c>
      <c r="CE24" s="9" t="s">
        <v>162</v>
      </c>
      <c r="CF24" s="9" t="s">
        <v>162</v>
      </c>
      <c r="CH24" s="9" t="s">
        <v>162</v>
      </c>
      <c r="CI24" s="9" t="s">
        <v>162</v>
      </c>
      <c r="CJ24" s="9" t="s">
        <v>162</v>
      </c>
      <c r="CL24" s="9" t="s">
        <v>416</v>
      </c>
      <c r="CM24" s="9" t="s">
        <v>417</v>
      </c>
      <c r="CN24" s="9" t="s">
        <v>418</v>
      </c>
      <c r="CP24" s="9" t="s">
        <v>419</v>
      </c>
      <c r="CQ24" s="9" t="s">
        <v>162</v>
      </c>
      <c r="CR24" s="9" t="s">
        <v>162</v>
      </c>
      <c r="CT24" s="9" t="s">
        <v>323</v>
      </c>
      <c r="CU24" s="9" t="s">
        <v>162</v>
      </c>
      <c r="CV24" s="9" t="s">
        <v>162</v>
      </c>
      <c r="CW24" s="9">
        <v>3</v>
      </c>
      <c r="CX24" s="9" t="s">
        <v>368</v>
      </c>
      <c r="CY24" s="9" t="s">
        <v>263</v>
      </c>
      <c r="CZ24" s="9">
        <v>50</v>
      </c>
      <c r="DA24" s="9">
        <v>10</v>
      </c>
      <c r="DB24" s="9">
        <v>40</v>
      </c>
      <c r="DC24" s="30">
        <v>105.3</v>
      </c>
      <c r="DD24" s="9">
        <v>0.56000000000000005</v>
      </c>
      <c r="DE24" s="9">
        <v>184</v>
      </c>
      <c r="DF24" s="30">
        <v>364</v>
      </c>
      <c r="DG24" s="9">
        <f t="shared" si="0"/>
        <v>5.276983643388335</v>
      </c>
      <c r="DH24" s="9">
        <v>72.8</v>
      </c>
      <c r="DI24" s="9">
        <v>5.14</v>
      </c>
      <c r="DJ24" s="9">
        <v>17.7</v>
      </c>
      <c r="DK24" s="9">
        <v>20</v>
      </c>
      <c r="DL24" s="30">
        <v>34.9</v>
      </c>
      <c r="DM24" s="9">
        <v>76.3</v>
      </c>
    </row>
    <row r="25" spans="1:138" x14ac:dyDescent="0.2">
      <c r="A25" s="7" t="s">
        <v>420</v>
      </c>
      <c r="B25" s="8">
        <v>43277</v>
      </c>
      <c r="C25" s="9" t="s">
        <v>95</v>
      </c>
      <c r="D25" s="9">
        <v>25</v>
      </c>
      <c r="E25" s="9" t="s">
        <v>96</v>
      </c>
      <c r="F25" s="8">
        <v>33922</v>
      </c>
      <c r="G25" s="9" t="s">
        <v>314</v>
      </c>
      <c r="H25" s="9" t="s">
        <v>421</v>
      </c>
      <c r="I25" s="9">
        <v>82</v>
      </c>
      <c r="J25" s="9" t="s">
        <v>162</v>
      </c>
      <c r="K25" s="9" t="s">
        <v>162</v>
      </c>
      <c r="L25" s="9" t="s">
        <v>162</v>
      </c>
      <c r="M25" s="9" t="s">
        <v>263</v>
      </c>
      <c r="N25" s="9" t="s">
        <v>263</v>
      </c>
      <c r="O25" s="9" t="s">
        <v>263</v>
      </c>
      <c r="P25" s="9" t="s">
        <v>263</v>
      </c>
      <c r="Q25" s="9" t="s">
        <v>162</v>
      </c>
      <c r="R25" s="7" t="s">
        <v>263</v>
      </c>
      <c r="S25" s="9" t="s">
        <v>263</v>
      </c>
      <c r="T25" s="9" t="s">
        <v>263</v>
      </c>
      <c r="U25" s="9" t="s">
        <v>263</v>
      </c>
      <c r="V25" s="9" t="s">
        <v>263</v>
      </c>
      <c r="W25" s="9" t="s">
        <v>422</v>
      </c>
      <c r="X25" s="9" t="s">
        <v>263</v>
      </c>
      <c r="Y25" s="9" t="s">
        <v>162</v>
      </c>
      <c r="Z25" s="9" t="s">
        <v>162</v>
      </c>
      <c r="AA25" s="9" t="s">
        <v>96</v>
      </c>
      <c r="AB25" s="9" t="s">
        <v>96</v>
      </c>
      <c r="AC25" s="9" t="s">
        <v>96</v>
      </c>
      <c r="AD25" s="9" t="s">
        <v>96</v>
      </c>
      <c r="AE25" s="9" t="s">
        <v>263</v>
      </c>
      <c r="AF25" s="9" t="s">
        <v>263</v>
      </c>
      <c r="AG25" s="10" t="s">
        <v>423</v>
      </c>
      <c r="AH25" s="10" t="s">
        <v>424</v>
      </c>
      <c r="AI25" s="10" t="s">
        <v>425</v>
      </c>
      <c r="AJ25" s="9" t="s">
        <v>263</v>
      </c>
      <c r="AK25" s="9" t="s">
        <v>162</v>
      </c>
      <c r="AL25" s="9">
        <v>52</v>
      </c>
      <c r="AM25" s="9" t="s">
        <v>162</v>
      </c>
      <c r="AN25" s="9">
        <v>77</v>
      </c>
      <c r="AO25" s="9">
        <v>99</v>
      </c>
      <c r="AP25" s="9">
        <v>27.9</v>
      </c>
      <c r="AQ25" s="9">
        <v>3</v>
      </c>
      <c r="AR25" s="9">
        <v>28.7</v>
      </c>
      <c r="AS25" s="9">
        <v>19</v>
      </c>
      <c r="AT25" s="7">
        <v>19</v>
      </c>
      <c r="AU25" s="9">
        <v>81</v>
      </c>
      <c r="AV25" s="9">
        <v>59</v>
      </c>
      <c r="AX25" s="9" t="s">
        <v>426</v>
      </c>
      <c r="AY25" s="9" t="s">
        <v>427</v>
      </c>
      <c r="AZ25" s="9" t="s">
        <v>428</v>
      </c>
      <c r="BB25" s="9" t="s">
        <v>429</v>
      </c>
      <c r="BC25" s="9" t="s">
        <v>162</v>
      </c>
      <c r="BD25" s="9" t="s">
        <v>162</v>
      </c>
      <c r="BF25" s="9" t="s">
        <v>322</v>
      </c>
      <c r="BG25" s="9" t="s">
        <v>325</v>
      </c>
      <c r="BH25" s="9" t="s">
        <v>322</v>
      </c>
      <c r="BI25" s="9" t="s">
        <v>325</v>
      </c>
      <c r="BJ25" s="9" t="s">
        <v>322</v>
      </c>
      <c r="BK25" s="9" t="s">
        <v>375</v>
      </c>
      <c r="BN25" s="9" t="s">
        <v>376</v>
      </c>
      <c r="BO25" s="9" t="s">
        <v>430</v>
      </c>
      <c r="BP25" s="9" t="s">
        <v>377</v>
      </c>
      <c r="BR25" s="9" t="s">
        <v>162</v>
      </c>
      <c r="BS25" s="9" t="s">
        <v>162</v>
      </c>
      <c r="BT25" s="9" t="s">
        <v>162</v>
      </c>
      <c r="BV25" s="9" t="s">
        <v>162</v>
      </c>
      <c r="BW25" s="9" t="s">
        <v>162</v>
      </c>
      <c r="BX25" s="9" t="s">
        <v>162</v>
      </c>
      <c r="BZ25" s="9" t="s">
        <v>431</v>
      </c>
      <c r="CA25" s="9" t="s">
        <v>432</v>
      </c>
      <c r="CB25" s="9" t="s">
        <v>433</v>
      </c>
      <c r="CD25" s="9" t="s">
        <v>162</v>
      </c>
      <c r="CE25" s="9" t="s">
        <v>162</v>
      </c>
      <c r="CF25" s="9" t="s">
        <v>162</v>
      </c>
      <c r="CH25" s="9" t="s">
        <v>162</v>
      </c>
      <c r="CI25" s="9" t="s">
        <v>162</v>
      </c>
      <c r="CJ25" s="9" t="s">
        <v>162</v>
      </c>
      <c r="CL25" s="9" t="s">
        <v>333</v>
      </c>
      <c r="CM25" s="9" t="s">
        <v>434</v>
      </c>
      <c r="CN25" s="9" t="s">
        <v>162</v>
      </c>
      <c r="CP25" s="9" t="s">
        <v>162</v>
      </c>
      <c r="CQ25" s="9" t="s">
        <v>162</v>
      </c>
      <c r="CR25" s="9" t="s">
        <v>162</v>
      </c>
      <c r="CT25" s="9" t="s">
        <v>435</v>
      </c>
      <c r="CU25" s="9" t="s">
        <v>436</v>
      </c>
      <c r="CV25" s="9" t="s">
        <v>162</v>
      </c>
      <c r="CW25" s="9">
        <v>4</v>
      </c>
      <c r="CX25" s="9" t="s">
        <v>368</v>
      </c>
      <c r="CY25" s="9" t="s">
        <v>368</v>
      </c>
      <c r="CZ25" s="9">
        <v>20</v>
      </c>
      <c r="DA25" s="9">
        <v>20</v>
      </c>
      <c r="DB25" s="9">
        <v>60</v>
      </c>
      <c r="DC25" s="9">
        <v>79.599999999999994</v>
      </c>
      <c r="DD25" s="9">
        <v>1.06</v>
      </c>
      <c r="DE25" s="9">
        <v>179</v>
      </c>
      <c r="DF25" s="34" t="s">
        <v>437</v>
      </c>
      <c r="DG25" s="9" t="e">
        <f t="shared" si="0"/>
        <v>#VALUE!</v>
      </c>
      <c r="DH25" s="9">
        <v>33</v>
      </c>
      <c r="DI25" s="9">
        <v>5.41</v>
      </c>
      <c r="DJ25" s="9">
        <v>18.3</v>
      </c>
      <c r="DK25" s="9">
        <v>23.7</v>
      </c>
      <c r="DL25" s="9">
        <v>65.8</v>
      </c>
      <c r="DM25" s="9">
        <v>80.2</v>
      </c>
      <c r="DU25" s="9">
        <v>8.3000000000000007</v>
      </c>
    </row>
    <row r="26" spans="1:138" s="14" customFormat="1" x14ac:dyDescent="0.2">
      <c r="A26" s="9" t="s">
        <v>438</v>
      </c>
      <c r="B26" s="38"/>
      <c r="C26" s="39"/>
      <c r="D26" s="39"/>
      <c r="E26" s="39"/>
      <c r="F26" s="38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9" t="e">
        <f t="shared" si="0"/>
        <v>#NUM!</v>
      </c>
      <c r="DH26" s="39"/>
      <c r="DI26" s="39"/>
      <c r="DJ26" s="39"/>
      <c r="DK26" s="39"/>
      <c r="DL26" s="39"/>
      <c r="DM26" s="39"/>
      <c r="DN26" s="39"/>
      <c r="DO26" s="39"/>
      <c r="DP26" s="40">
        <v>3</v>
      </c>
      <c r="DQ26" s="39">
        <v>2</v>
      </c>
      <c r="DR26" s="39">
        <v>2</v>
      </c>
      <c r="DS26" s="39"/>
      <c r="DT26" s="39">
        <v>14.4</v>
      </c>
      <c r="DU26" s="39">
        <v>7.63</v>
      </c>
      <c r="DV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</row>
    <row r="27" spans="1:138" x14ac:dyDescent="0.2">
      <c r="A27" s="7" t="s">
        <v>439</v>
      </c>
      <c r="B27" s="8">
        <v>43277</v>
      </c>
      <c r="C27" s="9" t="s">
        <v>95</v>
      </c>
      <c r="D27" s="9">
        <v>27</v>
      </c>
      <c r="E27" s="41" t="s">
        <v>440</v>
      </c>
      <c r="F27" s="8">
        <v>33372</v>
      </c>
      <c r="G27" s="9" t="s">
        <v>400</v>
      </c>
      <c r="H27" s="9" t="s">
        <v>162</v>
      </c>
      <c r="I27" s="8">
        <v>38209</v>
      </c>
      <c r="J27" s="9" t="s">
        <v>162</v>
      </c>
      <c r="K27" s="9" t="s">
        <v>162</v>
      </c>
      <c r="L27" s="9" t="s">
        <v>162</v>
      </c>
      <c r="M27" s="9" t="s">
        <v>263</v>
      </c>
      <c r="N27" s="9" t="s">
        <v>263</v>
      </c>
      <c r="O27" s="9" t="s">
        <v>263</v>
      </c>
      <c r="P27" s="10" t="s">
        <v>368</v>
      </c>
      <c r="Q27" s="10" t="s">
        <v>369</v>
      </c>
      <c r="R27" s="7" t="s">
        <v>263</v>
      </c>
      <c r="S27" s="9" t="s">
        <v>263</v>
      </c>
      <c r="T27" s="9" t="s">
        <v>263</v>
      </c>
      <c r="U27" s="9" t="s">
        <v>263</v>
      </c>
      <c r="V27" s="9" t="s">
        <v>263</v>
      </c>
      <c r="W27" s="9" t="s">
        <v>263</v>
      </c>
      <c r="X27" s="9" t="s">
        <v>263</v>
      </c>
      <c r="Y27" s="9" t="s">
        <v>162</v>
      </c>
      <c r="Z27" s="9" t="s">
        <v>162</v>
      </c>
      <c r="AA27" s="41" t="s">
        <v>441</v>
      </c>
      <c r="AB27" s="41" t="s">
        <v>441</v>
      </c>
      <c r="AC27" s="41" t="s">
        <v>441</v>
      </c>
      <c r="AD27" s="41" t="s">
        <v>441</v>
      </c>
      <c r="AE27" s="10" t="s">
        <v>442</v>
      </c>
      <c r="AF27" s="10" t="s">
        <v>443</v>
      </c>
      <c r="AG27" s="10" t="s">
        <v>442</v>
      </c>
      <c r="AH27" s="9" t="s">
        <v>263</v>
      </c>
      <c r="AI27" s="9" t="s">
        <v>263</v>
      </c>
      <c r="AJ27" s="10" t="s">
        <v>425</v>
      </c>
      <c r="AK27" s="10" t="s">
        <v>444</v>
      </c>
      <c r="AL27" s="9">
        <v>63.4</v>
      </c>
      <c r="AM27" s="9" t="s">
        <v>162</v>
      </c>
      <c r="AN27" s="9">
        <v>75</v>
      </c>
      <c r="AO27" s="9">
        <v>95</v>
      </c>
      <c r="AP27" s="9">
        <v>30.2</v>
      </c>
      <c r="AQ27" s="9">
        <v>4</v>
      </c>
      <c r="AR27" s="9">
        <v>29.7</v>
      </c>
      <c r="AS27" s="9">
        <v>25</v>
      </c>
      <c r="AT27" s="7">
        <v>21.9</v>
      </c>
      <c r="AU27" s="9">
        <v>90</v>
      </c>
      <c r="AV27" s="9">
        <v>69</v>
      </c>
      <c r="AX27" s="9" t="s">
        <v>373</v>
      </c>
      <c r="AY27" s="9" t="s">
        <v>445</v>
      </c>
      <c r="AZ27" s="9" t="s">
        <v>162</v>
      </c>
      <c r="BB27" s="9" t="s">
        <v>446</v>
      </c>
      <c r="BC27" s="9" t="s">
        <v>162</v>
      </c>
      <c r="BD27" s="9" t="s">
        <v>162</v>
      </c>
      <c r="BF27" s="9" t="s">
        <v>375</v>
      </c>
      <c r="BG27" s="9" t="s">
        <v>375</v>
      </c>
      <c r="BH27" s="9" t="s">
        <v>375</v>
      </c>
      <c r="BI27" s="9" t="s">
        <v>375</v>
      </c>
      <c r="BJ27" s="9" t="s">
        <v>322</v>
      </c>
      <c r="BK27" s="9" t="s">
        <v>375</v>
      </c>
      <c r="BN27" s="9" t="s">
        <v>447</v>
      </c>
      <c r="BO27" s="9" t="s">
        <v>377</v>
      </c>
      <c r="BP27" s="9" t="s">
        <v>448</v>
      </c>
      <c r="BR27" s="9" t="s">
        <v>162</v>
      </c>
      <c r="BS27" s="9" t="s">
        <v>162</v>
      </c>
      <c r="BT27" s="9" t="s">
        <v>162</v>
      </c>
      <c r="BV27" s="9" t="s">
        <v>162</v>
      </c>
      <c r="BW27" s="9" t="s">
        <v>162</v>
      </c>
      <c r="BX27" s="9" t="s">
        <v>162</v>
      </c>
      <c r="BZ27" s="9" t="s">
        <v>431</v>
      </c>
      <c r="CA27" s="9" t="s">
        <v>380</v>
      </c>
      <c r="CB27" s="9" t="s">
        <v>162</v>
      </c>
      <c r="CD27" s="9" t="s">
        <v>162</v>
      </c>
      <c r="CE27" s="9" t="s">
        <v>162</v>
      </c>
      <c r="CF27" s="9" t="s">
        <v>162</v>
      </c>
      <c r="CH27" s="9" t="s">
        <v>162</v>
      </c>
      <c r="CI27" s="9" t="s">
        <v>162</v>
      </c>
      <c r="CJ27" s="9" t="s">
        <v>162</v>
      </c>
      <c r="CL27" s="9" t="s">
        <v>449</v>
      </c>
      <c r="CM27" s="9" t="s">
        <v>450</v>
      </c>
      <c r="CN27" s="9" t="s">
        <v>162</v>
      </c>
      <c r="CP27" s="9" t="s">
        <v>451</v>
      </c>
      <c r="CQ27" s="9" t="s">
        <v>452</v>
      </c>
      <c r="CR27" s="9" t="s">
        <v>162</v>
      </c>
      <c r="CT27" s="9" t="s">
        <v>453</v>
      </c>
      <c r="CU27" s="9" t="s">
        <v>435</v>
      </c>
      <c r="CV27" s="9" t="s">
        <v>162</v>
      </c>
      <c r="CW27" s="9">
        <v>3</v>
      </c>
      <c r="CX27" s="9" t="s">
        <v>263</v>
      </c>
      <c r="CY27" s="9" t="s">
        <v>368</v>
      </c>
      <c r="CZ27" s="9" t="s">
        <v>162</v>
      </c>
      <c r="DA27" s="9" t="s">
        <v>162</v>
      </c>
      <c r="DB27" s="9" t="s">
        <v>162</v>
      </c>
      <c r="DC27" s="9">
        <v>76.5</v>
      </c>
      <c r="DD27" s="9">
        <v>0.77</v>
      </c>
      <c r="DE27" s="9">
        <v>158</v>
      </c>
      <c r="DF27" s="9">
        <v>78</v>
      </c>
      <c r="DG27" s="9">
        <f t="shared" si="0"/>
        <v>4.3469997837610412</v>
      </c>
      <c r="DH27" s="9">
        <v>15.6</v>
      </c>
      <c r="DI27" s="9">
        <v>3.85</v>
      </c>
      <c r="DJ27" s="9">
        <v>14.7</v>
      </c>
      <c r="DK27" s="9">
        <v>25.7</v>
      </c>
      <c r="DL27" s="9">
        <v>53.2</v>
      </c>
      <c r="DM27" s="9">
        <v>89.2</v>
      </c>
      <c r="DP27" s="11">
        <v>3</v>
      </c>
      <c r="DQ27" s="9">
        <v>3</v>
      </c>
      <c r="DR27" s="9">
        <v>2</v>
      </c>
      <c r="DU27" s="9">
        <v>6.6</v>
      </c>
    </row>
    <row r="28" spans="1:138" x14ac:dyDescent="0.2">
      <c r="A28" s="30" t="s">
        <v>454</v>
      </c>
      <c r="B28" s="8">
        <v>43277</v>
      </c>
      <c r="C28" s="9" t="s">
        <v>95</v>
      </c>
      <c r="D28" s="9">
        <v>31</v>
      </c>
      <c r="E28" s="9" t="s">
        <v>96</v>
      </c>
      <c r="F28" s="8">
        <v>31636</v>
      </c>
      <c r="G28" s="9" t="s">
        <v>314</v>
      </c>
      <c r="H28" s="9" t="s">
        <v>455</v>
      </c>
      <c r="I28" s="9" t="s">
        <v>162</v>
      </c>
      <c r="J28" s="10">
        <v>1998</v>
      </c>
      <c r="K28" s="42">
        <v>43009</v>
      </c>
      <c r="L28" s="9">
        <v>3</v>
      </c>
      <c r="M28" s="9" t="s">
        <v>263</v>
      </c>
      <c r="N28" s="9" t="s">
        <v>263</v>
      </c>
      <c r="O28" s="9" t="s">
        <v>263</v>
      </c>
      <c r="P28" s="9" t="s">
        <v>263</v>
      </c>
      <c r="Q28" s="10" t="s">
        <v>456</v>
      </c>
      <c r="R28" s="7" t="s">
        <v>263</v>
      </c>
      <c r="S28" s="9" t="s">
        <v>263</v>
      </c>
      <c r="T28" s="9" t="s">
        <v>263</v>
      </c>
      <c r="U28" s="30" t="s">
        <v>457</v>
      </c>
      <c r="V28" s="9" t="s">
        <v>263</v>
      </c>
      <c r="W28" s="14" t="s">
        <v>458</v>
      </c>
      <c r="X28" s="9" t="s">
        <v>263</v>
      </c>
      <c r="Y28" s="30" t="s">
        <v>459</v>
      </c>
      <c r="Z28" s="30" t="s">
        <v>460</v>
      </c>
      <c r="AA28" s="9" t="s">
        <v>96</v>
      </c>
      <c r="AB28" s="41" t="s">
        <v>461</v>
      </c>
      <c r="AC28" s="9" t="s">
        <v>96</v>
      </c>
      <c r="AD28" s="41" t="s">
        <v>461</v>
      </c>
      <c r="AE28" s="10" t="s">
        <v>462</v>
      </c>
      <c r="AF28" s="10" t="s">
        <v>423</v>
      </c>
      <c r="AG28" s="9" t="s">
        <v>162</v>
      </c>
      <c r="AH28" s="10" t="s">
        <v>463</v>
      </c>
      <c r="AI28" s="10" t="s">
        <v>423</v>
      </c>
      <c r="AJ28" s="9" t="s">
        <v>162</v>
      </c>
      <c r="AK28" s="10" t="s">
        <v>464</v>
      </c>
      <c r="AL28" s="9">
        <v>62.7</v>
      </c>
      <c r="AM28" s="9" t="s">
        <v>162</v>
      </c>
      <c r="AN28" s="9">
        <v>75</v>
      </c>
      <c r="AO28" s="9">
        <v>101</v>
      </c>
      <c r="AP28" s="9">
        <v>36.299999999999997</v>
      </c>
      <c r="AQ28" s="9">
        <v>5</v>
      </c>
      <c r="AR28" s="9">
        <v>25.8</v>
      </c>
      <c r="AS28" s="9">
        <v>33</v>
      </c>
      <c r="AT28" s="7">
        <v>23</v>
      </c>
      <c r="AU28" s="9">
        <v>90</v>
      </c>
      <c r="AV28" s="9">
        <v>56</v>
      </c>
      <c r="AX28" s="9" t="s">
        <v>426</v>
      </c>
      <c r="AY28" s="9" t="s">
        <v>445</v>
      </c>
      <c r="AZ28" s="9" t="s">
        <v>428</v>
      </c>
      <c r="BB28" s="9" t="s">
        <v>374</v>
      </c>
      <c r="BC28" s="9" t="s">
        <v>162</v>
      </c>
      <c r="BD28" s="9" t="s">
        <v>162</v>
      </c>
      <c r="BF28" s="9" t="s">
        <v>375</v>
      </c>
      <c r="BG28" s="9" t="s">
        <v>375</v>
      </c>
      <c r="BH28" s="9" t="s">
        <v>375</v>
      </c>
      <c r="BI28" s="9" t="s">
        <v>375</v>
      </c>
      <c r="BJ28" s="9" t="s">
        <v>322</v>
      </c>
      <c r="BK28" s="9" t="s">
        <v>375</v>
      </c>
      <c r="BN28" s="9" t="s">
        <v>465</v>
      </c>
      <c r="BO28" s="9" t="s">
        <v>466</v>
      </c>
      <c r="BP28" s="9" t="s">
        <v>467</v>
      </c>
      <c r="BR28" s="9" t="s">
        <v>468</v>
      </c>
      <c r="BS28" s="9" t="s">
        <v>162</v>
      </c>
      <c r="BT28" s="9" t="s">
        <v>162</v>
      </c>
      <c r="BV28" s="9" t="s">
        <v>469</v>
      </c>
      <c r="BW28" s="9" t="s">
        <v>162</v>
      </c>
      <c r="BX28" s="9" t="s">
        <v>162</v>
      </c>
      <c r="BZ28" s="9" t="s">
        <v>470</v>
      </c>
      <c r="CA28" s="9" t="s">
        <v>471</v>
      </c>
      <c r="CB28" s="9" t="s">
        <v>432</v>
      </c>
      <c r="CD28" s="9" t="s">
        <v>162</v>
      </c>
      <c r="CE28" s="9" t="s">
        <v>162</v>
      </c>
      <c r="CF28" s="9" t="s">
        <v>162</v>
      </c>
      <c r="CH28" s="9" t="s">
        <v>162</v>
      </c>
      <c r="CI28" s="9" t="s">
        <v>162</v>
      </c>
      <c r="CJ28" s="9" t="s">
        <v>162</v>
      </c>
      <c r="CL28" s="9" t="s">
        <v>472</v>
      </c>
      <c r="CM28" s="9" t="s">
        <v>473</v>
      </c>
      <c r="CN28" s="9" t="s">
        <v>474</v>
      </c>
      <c r="CP28" s="9" t="s">
        <v>384</v>
      </c>
      <c r="CQ28" s="9" t="s">
        <v>475</v>
      </c>
      <c r="CT28" s="9" t="s">
        <v>476</v>
      </c>
      <c r="CU28" s="9" t="s">
        <v>477</v>
      </c>
      <c r="CV28" s="9" t="s">
        <v>478</v>
      </c>
      <c r="CW28" s="9" t="s">
        <v>479</v>
      </c>
      <c r="CX28" s="9" t="s">
        <v>263</v>
      </c>
      <c r="CY28" s="9" t="s">
        <v>263</v>
      </c>
      <c r="CZ28" s="9">
        <v>40</v>
      </c>
      <c r="DA28" s="9">
        <v>20</v>
      </c>
      <c r="DB28" s="9">
        <v>20</v>
      </c>
      <c r="DC28" s="9">
        <v>72.900000000000006</v>
      </c>
      <c r="DD28" s="9">
        <v>0.62</v>
      </c>
      <c r="DE28" s="34">
        <v>200</v>
      </c>
      <c r="DF28" s="9">
        <v>83</v>
      </c>
      <c r="DG28" s="9">
        <f t="shared" si="0"/>
        <v>4.3539646234056049</v>
      </c>
      <c r="DH28" s="9">
        <v>16.600000000000001</v>
      </c>
      <c r="DI28" s="9">
        <v>4.74</v>
      </c>
      <c r="DJ28" s="9">
        <v>9</v>
      </c>
      <c r="DK28" s="9">
        <v>17.7</v>
      </c>
      <c r="DL28" s="9">
        <v>53.3</v>
      </c>
      <c r="DM28" s="9">
        <v>130.1</v>
      </c>
    </row>
    <row r="29" spans="1:138" x14ac:dyDescent="0.2">
      <c r="A29" s="7" t="s">
        <v>480</v>
      </c>
      <c r="B29" s="17">
        <v>43277</v>
      </c>
      <c r="C29" s="9" t="s">
        <v>95</v>
      </c>
      <c r="D29" s="9">
        <v>20</v>
      </c>
      <c r="E29" s="9" t="s">
        <v>96</v>
      </c>
      <c r="G29" s="9" t="s">
        <v>481</v>
      </c>
      <c r="H29" s="9" t="s">
        <v>482</v>
      </c>
      <c r="J29" s="9" t="s">
        <v>483</v>
      </c>
      <c r="M29" s="9" t="s">
        <v>483</v>
      </c>
      <c r="N29" s="9" t="s">
        <v>483</v>
      </c>
      <c r="O29" s="9" t="s">
        <v>483</v>
      </c>
      <c r="P29" s="9" t="s">
        <v>484</v>
      </c>
      <c r="Q29" s="9" t="s">
        <v>485</v>
      </c>
      <c r="R29" s="7" t="s">
        <v>99</v>
      </c>
      <c r="S29" s="9" t="s">
        <v>99</v>
      </c>
      <c r="T29" s="9" t="s">
        <v>99</v>
      </c>
      <c r="U29" s="9" t="s">
        <v>99</v>
      </c>
      <c r="W29" s="9" t="s">
        <v>99</v>
      </c>
      <c r="Y29" s="9" t="s">
        <v>99</v>
      </c>
      <c r="AA29" s="9" t="s">
        <v>100</v>
      </c>
      <c r="AB29" s="9" t="s">
        <v>100</v>
      </c>
      <c r="AC29" s="9" t="s">
        <v>96</v>
      </c>
      <c r="AD29" s="9" t="s">
        <v>96</v>
      </c>
      <c r="AE29" s="10" t="s">
        <v>486</v>
      </c>
      <c r="AF29" s="9" t="s">
        <v>263</v>
      </c>
      <c r="AG29" s="9" t="s">
        <v>263</v>
      </c>
      <c r="AH29" s="10" t="s">
        <v>487</v>
      </c>
      <c r="AI29" s="9" t="s">
        <v>99</v>
      </c>
      <c r="AJ29" s="9" t="s">
        <v>99</v>
      </c>
      <c r="AK29" s="9" t="s">
        <v>99</v>
      </c>
      <c r="AL29" s="9">
        <v>46.1</v>
      </c>
      <c r="AN29" s="9">
        <v>71</v>
      </c>
      <c r="AO29" s="9">
        <v>91</v>
      </c>
      <c r="AP29" s="9">
        <v>27.6</v>
      </c>
      <c r="AQ29" s="9">
        <v>3</v>
      </c>
      <c r="AR29" s="9">
        <v>26.5</v>
      </c>
      <c r="AS29" s="9">
        <v>18</v>
      </c>
      <c r="AT29" s="7">
        <v>19.2</v>
      </c>
      <c r="AU29" s="9">
        <v>104</v>
      </c>
      <c r="AV29" s="9">
        <v>63</v>
      </c>
      <c r="AW29" s="43"/>
      <c r="AX29" s="43" t="s">
        <v>488</v>
      </c>
      <c r="AY29" s="43" t="s">
        <v>489</v>
      </c>
      <c r="AZ29" s="43" t="s">
        <v>490</v>
      </c>
      <c r="BA29" s="43"/>
      <c r="BB29" s="43" t="s">
        <v>491</v>
      </c>
      <c r="BC29" s="43" t="s">
        <v>492</v>
      </c>
      <c r="BD29" s="43"/>
      <c r="BF29" s="43" t="s">
        <v>493</v>
      </c>
      <c r="BG29" s="43" t="s">
        <v>494</v>
      </c>
      <c r="BH29" s="43" t="s">
        <v>495</v>
      </c>
      <c r="BI29" s="43" t="s">
        <v>493</v>
      </c>
      <c r="BJ29" s="43" t="s">
        <v>496</v>
      </c>
      <c r="BK29" s="43" t="s">
        <v>494</v>
      </c>
      <c r="BM29" s="9" t="s">
        <v>497</v>
      </c>
      <c r="BN29" s="9" t="s">
        <v>498</v>
      </c>
      <c r="BO29" s="9" t="s">
        <v>499</v>
      </c>
      <c r="BQ29" s="9" t="s">
        <v>500</v>
      </c>
      <c r="BU29" s="9" t="s">
        <v>500</v>
      </c>
      <c r="BZ29" s="9" t="s">
        <v>501</v>
      </c>
      <c r="CA29" s="9" t="s">
        <v>502</v>
      </c>
      <c r="CB29" s="9" t="s">
        <v>503</v>
      </c>
      <c r="CC29" s="9" t="s">
        <v>500</v>
      </c>
      <c r="CG29" s="9" t="s">
        <v>500</v>
      </c>
      <c r="CI29" s="9" t="s">
        <v>504</v>
      </c>
      <c r="CJ29" s="9" t="s">
        <v>505</v>
      </c>
      <c r="CL29" s="9" t="s">
        <v>500</v>
      </c>
      <c r="CT29" s="9" t="s">
        <v>506</v>
      </c>
      <c r="CW29" s="9">
        <v>3</v>
      </c>
      <c r="CX29" s="9" t="s">
        <v>500</v>
      </c>
      <c r="CY29" s="9" t="s">
        <v>263</v>
      </c>
      <c r="DC29" s="9">
        <v>79.900000000000006</v>
      </c>
      <c r="DD29" s="9">
        <v>0.6</v>
      </c>
      <c r="DE29" s="9">
        <v>148</v>
      </c>
      <c r="DF29" s="35"/>
      <c r="DG29" s="9" t="e">
        <f t="shared" si="0"/>
        <v>#NUM!</v>
      </c>
      <c r="DI29" s="9">
        <v>5.16</v>
      </c>
      <c r="DJ29" s="9">
        <v>11.3</v>
      </c>
      <c r="DK29" s="9">
        <v>15.7</v>
      </c>
      <c r="DL29" s="9">
        <v>49</v>
      </c>
      <c r="DM29" s="9">
        <v>92.6</v>
      </c>
      <c r="DT29" s="9">
        <v>14.2</v>
      </c>
      <c r="DU29" s="9">
        <v>10</v>
      </c>
    </row>
    <row r="30" spans="1:138" x14ac:dyDescent="0.2">
      <c r="A30" s="36" t="s">
        <v>507</v>
      </c>
      <c r="B30" s="17">
        <v>43279</v>
      </c>
      <c r="C30" s="9" t="s">
        <v>107</v>
      </c>
      <c r="D30" s="9">
        <v>64</v>
      </c>
      <c r="E30" s="35" t="s">
        <v>155</v>
      </c>
      <c r="G30" s="9" t="s">
        <v>508</v>
      </c>
      <c r="H30" s="9" t="s">
        <v>509</v>
      </c>
      <c r="M30" s="14" t="s">
        <v>510</v>
      </c>
      <c r="N30" s="9" t="s">
        <v>263</v>
      </c>
      <c r="O30" s="9" t="s">
        <v>263</v>
      </c>
      <c r="P30" s="9" t="s">
        <v>99</v>
      </c>
      <c r="Q30" s="9" t="s">
        <v>485</v>
      </c>
      <c r="R30" s="9" t="s">
        <v>110</v>
      </c>
      <c r="S30" s="9" t="s">
        <v>99</v>
      </c>
      <c r="T30" s="9" t="s">
        <v>99</v>
      </c>
      <c r="U30" s="9" t="s">
        <v>99</v>
      </c>
      <c r="W30" s="14" t="s">
        <v>511</v>
      </c>
      <c r="Y30" s="9" t="s">
        <v>402</v>
      </c>
      <c r="AA30" s="35" t="s">
        <v>155</v>
      </c>
      <c r="AB30" s="35" t="s">
        <v>155</v>
      </c>
      <c r="AC30" s="37" t="s">
        <v>512</v>
      </c>
      <c r="AD30" s="35" t="s">
        <v>155</v>
      </c>
      <c r="AE30" s="10" t="s">
        <v>513</v>
      </c>
      <c r="AF30" s="9" t="s">
        <v>263</v>
      </c>
      <c r="AG30" s="9" t="s">
        <v>99</v>
      </c>
      <c r="AH30" s="9" t="s">
        <v>263</v>
      </c>
      <c r="AI30" s="10" t="s">
        <v>514</v>
      </c>
      <c r="AJ30" s="9" t="s">
        <v>99</v>
      </c>
      <c r="AK30" s="9" t="s">
        <v>99</v>
      </c>
      <c r="AL30" s="9">
        <v>72.7</v>
      </c>
      <c r="AN30" s="30">
        <v>104</v>
      </c>
      <c r="AO30" s="9">
        <v>97</v>
      </c>
      <c r="AP30" s="9">
        <v>23.9</v>
      </c>
      <c r="AQ30" s="9">
        <v>7</v>
      </c>
      <c r="AR30" s="9">
        <v>33.6</v>
      </c>
      <c r="AS30" s="9">
        <v>50</v>
      </c>
      <c r="AT30" s="30">
        <v>23.5</v>
      </c>
      <c r="AU30" s="9">
        <v>114</v>
      </c>
      <c r="AV30" s="9">
        <v>73</v>
      </c>
      <c r="AX30" s="9" t="s">
        <v>322</v>
      </c>
      <c r="BB30" s="9" t="s">
        <v>515</v>
      </c>
      <c r="BC30" s="9" t="s">
        <v>516</v>
      </c>
      <c r="BF30" s="9" t="s">
        <v>322</v>
      </c>
      <c r="BG30" s="9" t="s">
        <v>322</v>
      </c>
      <c r="BH30" s="9" t="s">
        <v>375</v>
      </c>
      <c r="BI30" s="9" t="s">
        <v>322</v>
      </c>
      <c r="BJ30" s="9" t="s">
        <v>322</v>
      </c>
      <c r="BK30" s="9" t="s">
        <v>375</v>
      </c>
      <c r="BM30" s="9" t="s">
        <v>517</v>
      </c>
      <c r="BN30" s="9" t="s">
        <v>518</v>
      </c>
      <c r="BO30" s="9" t="s">
        <v>519</v>
      </c>
      <c r="BR30" s="9" t="s">
        <v>520</v>
      </c>
      <c r="BS30" s="9" t="s">
        <v>521</v>
      </c>
      <c r="BT30" s="9" t="s">
        <v>522</v>
      </c>
      <c r="BV30" s="9" t="s">
        <v>523</v>
      </c>
      <c r="BW30" s="9" t="s">
        <v>524</v>
      </c>
      <c r="BZ30" s="9" t="s">
        <v>525</v>
      </c>
      <c r="CA30" s="9" t="s">
        <v>526</v>
      </c>
      <c r="CB30" s="9" t="s">
        <v>527</v>
      </c>
      <c r="CC30" s="9" t="s">
        <v>263</v>
      </c>
      <c r="CG30" s="9" t="s">
        <v>263</v>
      </c>
      <c r="CI30" s="9" t="s">
        <v>528</v>
      </c>
      <c r="CJ30" s="9" t="s">
        <v>504</v>
      </c>
      <c r="CK30" s="9" t="s">
        <v>529</v>
      </c>
      <c r="CL30" s="9" t="s">
        <v>500</v>
      </c>
      <c r="CT30" s="9" t="s">
        <v>530</v>
      </c>
      <c r="CW30" s="9">
        <v>3</v>
      </c>
      <c r="CX30" s="9" t="s">
        <v>483</v>
      </c>
      <c r="CY30" s="9" t="s">
        <v>483</v>
      </c>
      <c r="CZ30" s="9">
        <v>40</v>
      </c>
      <c r="DA30" s="9">
        <v>30</v>
      </c>
      <c r="DB30" s="9">
        <v>50</v>
      </c>
      <c r="DC30" s="14">
        <v>285.3</v>
      </c>
      <c r="DD30" s="9">
        <v>0.4</v>
      </c>
      <c r="DE30" s="9">
        <v>231</v>
      </c>
      <c r="DF30" s="14">
        <v>498</v>
      </c>
      <c r="DG30" s="9">
        <f t="shared" si="0"/>
        <v>5.932070667622054</v>
      </c>
      <c r="DH30" s="9">
        <v>99.6</v>
      </c>
      <c r="DI30" s="9">
        <v>4.4000000000000004</v>
      </c>
      <c r="DJ30" s="9">
        <v>24.3</v>
      </c>
      <c r="DK30" s="9">
        <v>19.7</v>
      </c>
      <c r="DL30" s="10">
        <v>37.299999999999997</v>
      </c>
      <c r="DM30" s="9">
        <v>9410</v>
      </c>
      <c r="DU30" s="9">
        <v>6.4</v>
      </c>
    </row>
    <row r="31" spans="1:138" s="30" customFormat="1" x14ac:dyDescent="0.2">
      <c r="A31" s="9" t="s">
        <v>531</v>
      </c>
      <c r="B31" s="44">
        <v>43277</v>
      </c>
      <c r="C31" s="30" t="s">
        <v>95</v>
      </c>
      <c r="D31" s="30">
        <v>28</v>
      </c>
      <c r="E31" s="30" t="s">
        <v>155</v>
      </c>
      <c r="F31" s="44">
        <v>32879</v>
      </c>
      <c r="G31" s="30" t="s">
        <v>366</v>
      </c>
      <c r="H31" s="30" t="s">
        <v>162</v>
      </c>
      <c r="I31" s="30" t="s">
        <v>162</v>
      </c>
      <c r="J31" s="30" t="s">
        <v>162</v>
      </c>
      <c r="K31" s="30" t="s">
        <v>162</v>
      </c>
      <c r="L31" s="30" t="s">
        <v>162</v>
      </c>
      <c r="M31" s="30" t="s">
        <v>263</v>
      </c>
      <c r="N31" s="30" t="s">
        <v>263</v>
      </c>
      <c r="O31" s="30" t="s">
        <v>263</v>
      </c>
      <c r="P31" s="30" t="s">
        <v>263</v>
      </c>
      <c r="Q31" s="30" t="s">
        <v>263</v>
      </c>
      <c r="R31" s="30" t="s">
        <v>368</v>
      </c>
      <c r="S31" s="30" t="s">
        <v>263</v>
      </c>
      <c r="T31" s="30" t="s">
        <v>263</v>
      </c>
      <c r="U31" s="30" t="s">
        <v>263</v>
      </c>
      <c r="V31" s="30" t="s">
        <v>263</v>
      </c>
      <c r="W31" s="30" t="s">
        <v>263</v>
      </c>
      <c r="X31" s="30" t="s">
        <v>263</v>
      </c>
      <c r="Y31" s="30" t="s">
        <v>162</v>
      </c>
      <c r="Z31" s="30" t="s">
        <v>532</v>
      </c>
      <c r="AA31" s="30" t="s">
        <v>533</v>
      </c>
      <c r="AB31" s="30" t="s">
        <v>151</v>
      </c>
      <c r="AC31" s="30" t="s">
        <v>533</v>
      </c>
      <c r="AD31" s="30" t="s">
        <v>151</v>
      </c>
      <c r="AE31" s="30" t="s">
        <v>534</v>
      </c>
      <c r="AF31" s="30" t="s">
        <v>263</v>
      </c>
      <c r="AG31" s="30" t="s">
        <v>424</v>
      </c>
      <c r="AH31" s="30" t="s">
        <v>263</v>
      </c>
      <c r="AI31" s="30" t="s">
        <v>263</v>
      </c>
      <c r="AJ31" s="30" t="s">
        <v>263</v>
      </c>
      <c r="AK31" s="30" t="s">
        <v>263</v>
      </c>
      <c r="AL31" s="30" t="s">
        <v>162</v>
      </c>
      <c r="AM31" s="30" t="s">
        <v>162</v>
      </c>
      <c r="AN31" s="30" t="s">
        <v>162</v>
      </c>
      <c r="AO31" s="30" t="s">
        <v>162</v>
      </c>
      <c r="AP31" s="30" t="s">
        <v>162</v>
      </c>
      <c r="AQ31" s="30" t="s">
        <v>162</v>
      </c>
      <c r="AR31" s="30" t="s">
        <v>162</v>
      </c>
      <c r="AS31" s="30" t="s">
        <v>162</v>
      </c>
      <c r="AT31" s="30" t="s">
        <v>162</v>
      </c>
      <c r="AU31" s="30">
        <v>106</v>
      </c>
      <c r="AV31" s="30">
        <v>71</v>
      </c>
      <c r="AX31" s="30" t="s">
        <v>535</v>
      </c>
      <c r="AY31" s="30" t="s">
        <v>162</v>
      </c>
      <c r="AZ31" s="30" t="s">
        <v>162</v>
      </c>
      <c r="BB31" s="30" t="s">
        <v>536</v>
      </c>
      <c r="BC31" s="30" t="s">
        <v>162</v>
      </c>
      <c r="BD31" s="30" t="s">
        <v>162</v>
      </c>
      <c r="BF31" s="30" t="s">
        <v>322</v>
      </c>
      <c r="BG31" s="30" t="s">
        <v>322</v>
      </c>
      <c r="BH31" s="30" t="s">
        <v>375</v>
      </c>
      <c r="BI31" s="30" t="s">
        <v>322</v>
      </c>
      <c r="BJ31" s="30" t="s">
        <v>375</v>
      </c>
      <c r="BK31" s="30" t="s">
        <v>162</v>
      </c>
      <c r="BN31" s="30" t="s">
        <v>323</v>
      </c>
      <c r="BR31" s="30" t="s">
        <v>162</v>
      </c>
      <c r="BS31" s="30" t="s">
        <v>162</v>
      </c>
      <c r="BT31" s="30" t="s">
        <v>162</v>
      </c>
      <c r="BV31" s="30" t="s">
        <v>162</v>
      </c>
      <c r="BW31" s="30" t="s">
        <v>162</v>
      </c>
      <c r="BX31" s="30" t="s">
        <v>162</v>
      </c>
      <c r="BZ31" s="30" t="s">
        <v>323</v>
      </c>
      <c r="CA31" s="30" t="s">
        <v>162</v>
      </c>
      <c r="CB31" s="30" t="s">
        <v>162</v>
      </c>
      <c r="CD31" s="30" t="s">
        <v>162</v>
      </c>
      <c r="CE31" s="30" t="s">
        <v>162</v>
      </c>
      <c r="CF31" s="30" t="s">
        <v>162</v>
      </c>
      <c r="CH31" s="30" t="s">
        <v>162</v>
      </c>
      <c r="CI31" s="30" t="s">
        <v>162</v>
      </c>
      <c r="CJ31" s="30" t="s">
        <v>162</v>
      </c>
      <c r="CL31" s="30" t="s">
        <v>537</v>
      </c>
      <c r="CM31" s="30" t="s">
        <v>504</v>
      </c>
      <c r="CN31" s="30" t="s">
        <v>162</v>
      </c>
      <c r="CP31" s="30" t="s">
        <v>538</v>
      </c>
      <c r="CQ31" s="30" t="s">
        <v>162</v>
      </c>
      <c r="CR31" s="30" t="s">
        <v>162</v>
      </c>
      <c r="CT31" s="30" t="s">
        <v>539</v>
      </c>
      <c r="CU31" s="30" t="s">
        <v>162</v>
      </c>
      <c r="CV31" s="30" t="s">
        <v>162</v>
      </c>
      <c r="CW31" s="30">
        <v>2</v>
      </c>
      <c r="CX31" s="30" t="s">
        <v>368</v>
      </c>
      <c r="CY31" s="30" t="s">
        <v>263</v>
      </c>
      <c r="CZ31" s="30">
        <v>15</v>
      </c>
      <c r="DA31" s="30">
        <v>20</v>
      </c>
      <c r="DB31" s="30">
        <v>60</v>
      </c>
      <c r="DC31" s="30">
        <v>88.1</v>
      </c>
      <c r="DD31" s="30">
        <v>0.94</v>
      </c>
      <c r="DE31" s="30">
        <v>208</v>
      </c>
      <c r="DF31" s="30">
        <v>258</v>
      </c>
      <c r="DG31" s="9">
        <f t="shared" si="0"/>
        <v>5.0157160589318757</v>
      </c>
      <c r="DH31" s="30">
        <v>51.6</v>
      </c>
      <c r="DI31" s="30">
        <v>5.41</v>
      </c>
      <c r="DJ31" s="30">
        <v>37.299999999999997</v>
      </c>
      <c r="DK31" s="30">
        <v>28.7</v>
      </c>
      <c r="DL31" s="30">
        <v>37.6</v>
      </c>
      <c r="DM31" s="30">
        <v>118.8</v>
      </c>
      <c r="DP31" s="18"/>
    </row>
    <row r="32" spans="1:138" x14ac:dyDescent="0.2">
      <c r="A32" s="7" t="s">
        <v>540</v>
      </c>
      <c r="B32" s="17">
        <v>43287</v>
      </c>
      <c r="C32" s="9" t="s">
        <v>95</v>
      </c>
      <c r="D32" s="9">
        <v>20</v>
      </c>
      <c r="E32" s="9" t="s">
        <v>96</v>
      </c>
      <c r="F32" s="8">
        <v>35667</v>
      </c>
      <c r="G32" s="9" t="s">
        <v>97</v>
      </c>
      <c r="H32" s="9" t="s">
        <v>541</v>
      </c>
      <c r="I32" s="9">
        <v>2008</v>
      </c>
      <c r="J32" s="9" t="s">
        <v>162</v>
      </c>
      <c r="K32" s="9" t="s">
        <v>162</v>
      </c>
      <c r="L32" s="9" t="s">
        <v>162</v>
      </c>
      <c r="M32" s="9" t="s">
        <v>263</v>
      </c>
      <c r="N32" s="9" t="s">
        <v>263</v>
      </c>
      <c r="O32" s="9" t="s">
        <v>263</v>
      </c>
      <c r="P32" s="10" t="s">
        <v>368</v>
      </c>
      <c r="Q32" s="10" t="s">
        <v>369</v>
      </c>
      <c r="R32" s="7" t="s">
        <v>263</v>
      </c>
      <c r="S32" s="9" t="s">
        <v>542</v>
      </c>
      <c r="T32" s="9" t="s">
        <v>543</v>
      </c>
      <c r="U32" s="9" t="s">
        <v>263</v>
      </c>
      <c r="V32" s="9" t="s">
        <v>263</v>
      </c>
      <c r="W32" s="10" t="s">
        <v>544</v>
      </c>
      <c r="X32" s="9" t="s">
        <v>368</v>
      </c>
      <c r="Y32" s="9" t="s">
        <v>162</v>
      </c>
      <c r="Z32" s="9" t="s">
        <v>545</v>
      </c>
      <c r="AA32" s="9" t="s">
        <v>96</v>
      </c>
      <c r="AB32" s="35" t="s">
        <v>155</v>
      </c>
      <c r="AC32" s="9" t="s">
        <v>96</v>
      </c>
      <c r="AD32" s="37" t="s">
        <v>546</v>
      </c>
      <c r="AE32" s="10" t="s">
        <v>547</v>
      </c>
      <c r="AF32" s="9" t="s">
        <v>263</v>
      </c>
      <c r="AG32" s="10" t="s">
        <v>548</v>
      </c>
      <c r="AH32" s="9" t="s">
        <v>263</v>
      </c>
      <c r="AI32" s="10" t="s">
        <v>425</v>
      </c>
      <c r="AJ32" s="9" t="s">
        <v>263</v>
      </c>
      <c r="AL32" s="9">
        <v>61.7</v>
      </c>
      <c r="AM32" s="9">
        <v>1.64</v>
      </c>
      <c r="AN32" s="30">
        <v>83.1</v>
      </c>
      <c r="AO32" s="9">
        <v>104.7</v>
      </c>
      <c r="AP32" s="9">
        <v>39.4</v>
      </c>
      <c r="AQ32" s="9">
        <v>4</v>
      </c>
      <c r="AR32" s="9">
        <v>21.6</v>
      </c>
      <c r="AS32" s="9">
        <v>24</v>
      </c>
      <c r="AT32" s="30">
        <v>22.9</v>
      </c>
      <c r="AU32" s="9">
        <v>87</v>
      </c>
      <c r="AV32" s="9">
        <v>65</v>
      </c>
      <c r="AX32" s="9" t="s">
        <v>372</v>
      </c>
      <c r="AY32" s="9" t="s">
        <v>549</v>
      </c>
      <c r="AZ32" s="9" t="s">
        <v>550</v>
      </c>
      <c r="BB32" s="9" t="s">
        <v>374</v>
      </c>
      <c r="BC32" s="9" t="s">
        <v>492</v>
      </c>
      <c r="BD32" s="9" t="s">
        <v>551</v>
      </c>
      <c r="BF32" s="9" t="s">
        <v>322</v>
      </c>
      <c r="BG32" s="9" t="s">
        <v>375</v>
      </c>
      <c r="BH32" s="9" t="s">
        <v>322</v>
      </c>
      <c r="BI32" s="9" t="s">
        <v>322</v>
      </c>
      <c r="BJ32" s="9" t="s">
        <v>322</v>
      </c>
      <c r="BK32" s="9" t="s">
        <v>276</v>
      </c>
      <c r="BN32" s="9" t="s">
        <v>552</v>
      </c>
      <c r="BO32" s="9" t="s">
        <v>553</v>
      </c>
      <c r="BP32" s="9" t="s">
        <v>377</v>
      </c>
      <c r="BR32" s="9" t="s">
        <v>162</v>
      </c>
      <c r="BS32" s="9" t="s">
        <v>162</v>
      </c>
      <c r="BT32" s="9" t="s">
        <v>162</v>
      </c>
      <c r="BV32" s="9" t="s">
        <v>554</v>
      </c>
      <c r="BW32" s="9" t="s">
        <v>467</v>
      </c>
      <c r="BX32" s="9" t="s">
        <v>555</v>
      </c>
      <c r="BZ32" s="9" t="s">
        <v>556</v>
      </c>
      <c r="CA32" s="9" t="s">
        <v>557</v>
      </c>
      <c r="CB32" s="9" t="s">
        <v>558</v>
      </c>
      <c r="CD32" s="9" t="s">
        <v>162</v>
      </c>
      <c r="CE32" s="9" t="s">
        <v>162</v>
      </c>
      <c r="CF32" s="9" t="s">
        <v>162</v>
      </c>
      <c r="CH32" s="9" t="s">
        <v>559</v>
      </c>
      <c r="CI32" s="9" t="s">
        <v>162</v>
      </c>
      <c r="CJ32" s="9" t="s">
        <v>162</v>
      </c>
      <c r="CK32" s="9" t="s">
        <v>162</v>
      </c>
      <c r="CL32" s="9" t="s">
        <v>333</v>
      </c>
      <c r="CM32" s="9" t="s">
        <v>473</v>
      </c>
      <c r="CN32" s="9" t="s">
        <v>560</v>
      </c>
      <c r="CP32" s="9" t="s">
        <v>384</v>
      </c>
      <c r="CQ32" s="9" t="s">
        <v>475</v>
      </c>
      <c r="CR32" s="9" t="s">
        <v>561</v>
      </c>
      <c r="CT32" s="9" t="s">
        <v>562</v>
      </c>
      <c r="CU32" s="9" t="s">
        <v>563</v>
      </c>
      <c r="CV32" s="9" t="s">
        <v>564</v>
      </c>
      <c r="CW32" s="9">
        <v>4</v>
      </c>
      <c r="CX32" s="9" t="s">
        <v>263</v>
      </c>
      <c r="CY32" s="9" t="s">
        <v>263</v>
      </c>
      <c r="CZ32" s="9">
        <v>25</v>
      </c>
      <c r="DA32" s="9">
        <v>25</v>
      </c>
      <c r="DB32" s="9">
        <v>50</v>
      </c>
      <c r="DC32" s="9">
        <v>73.7</v>
      </c>
      <c r="DD32" s="9">
        <v>0.51</v>
      </c>
      <c r="DE32" s="9">
        <v>160</v>
      </c>
      <c r="DF32" s="9">
        <v>142</v>
      </c>
      <c r="DG32" s="9">
        <f t="shared" si="0"/>
        <v>4.6279149283982761</v>
      </c>
      <c r="DH32" s="9">
        <v>28.4</v>
      </c>
      <c r="DI32" s="9">
        <v>4.21</v>
      </c>
      <c r="DJ32" s="9">
        <v>11</v>
      </c>
      <c r="DK32" s="9">
        <v>13.3</v>
      </c>
      <c r="DL32" s="9">
        <v>52.7</v>
      </c>
      <c r="DM32" s="9">
        <v>78.900000000000006</v>
      </c>
      <c r="DQ32" s="9">
        <v>2</v>
      </c>
      <c r="DU32" s="9">
        <v>7</v>
      </c>
    </row>
    <row r="33" spans="1:126" x14ac:dyDescent="0.2">
      <c r="A33" s="14" t="s">
        <v>565</v>
      </c>
      <c r="B33" s="8">
        <v>43308</v>
      </c>
      <c r="C33" s="9" t="s">
        <v>95</v>
      </c>
      <c r="D33" s="9">
        <v>42</v>
      </c>
      <c r="E33" s="9" t="s">
        <v>96</v>
      </c>
      <c r="F33" s="8">
        <v>25654</v>
      </c>
      <c r="I33" s="9" t="s">
        <v>566</v>
      </c>
      <c r="K33" s="8"/>
      <c r="M33" s="10" t="s">
        <v>567</v>
      </c>
      <c r="N33" s="10" t="s">
        <v>568</v>
      </c>
      <c r="R33" s="9" t="s">
        <v>569</v>
      </c>
      <c r="S33" s="9" t="s">
        <v>110</v>
      </c>
      <c r="AA33" s="9" t="s">
        <v>100</v>
      </c>
      <c r="AB33" s="9" t="s">
        <v>100</v>
      </c>
      <c r="AC33" s="9" t="s">
        <v>100</v>
      </c>
      <c r="AD33" s="9" t="s">
        <v>100</v>
      </c>
      <c r="AE33" s="10" t="s">
        <v>570</v>
      </c>
      <c r="AF33" s="10" t="s">
        <v>118</v>
      </c>
      <c r="AG33" s="10" t="s">
        <v>571</v>
      </c>
      <c r="AL33" s="9">
        <v>130.4</v>
      </c>
      <c r="AM33" s="9">
        <v>155</v>
      </c>
      <c r="AN33" s="10">
        <v>155</v>
      </c>
      <c r="AO33" s="9">
        <v>167</v>
      </c>
      <c r="AU33" s="10">
        <v>133</v>
      </c>
      <c r="AV33" s="10">
        <v>96</v>
      </c>
      <c r="AX33" s="9" t="s">
        <v>572</v>
      </c>
      <c r="AY33" s="9" t="s">
        <v>573</v>
      </c>
      <c r="AZ33" s="9" t="s">
        <v>574</v>
      </c>
      <c r="BF33" s="9" t="s">
        <v>176</v>
      </c>
      <c r="BG33" s="9" t="s">
        <v>350</v>
      </c>
      <c r="BH33" s="9" t="s">
        <v>350</v>
      </c>
      <c r="BI33" s="9" t="s">
        <v>176</v>
      </c>
      <c r="BN33" s="9" t="s">
        <v>575</v>
      </c>
      <c r="BO33" s="9" t="s">
        <v>352</v>
      </c>
      <c r="BP33" s="9" t="s">
        <v>178</v>
      </c>
      <c r="BV33" s="9" t="s">
        <v>576</v>
      </c>
      <c r="BZ33" s="9" t="s">
        <v>577</v>
      </c>
      <c r="CA33" s="9" t="s">
        <v>182</v>
      </c>
      <c r="CB33" s="9" t="s">
        <v>183</v>
      </c>
      <c r="CD33" s="9" t="s">
        <v>578</v>
      </c>
      <c r="CL33" s="9" t="s">
        <v>579</v>
      </c>
      <c r="CM33" s="9" t="s">
        <v>580</v>
      </c>
      <c r="CN33" s="9" t="s">
        <v>581</v>
      </c>
      <c r="CT33" s="9" t="s">
        <v>582</v>
      </c>
      <c r="CW33" s="45" t="s">
        <v>583</v>
      </c>
      <c r="CX33" s="9" t="s">
        <v>99</v>
      </c>
      <c r="CY33" s="9" t="s">
        <v>99</v>
      </c>
      <c r="CZ33" s="9">
        <v>30</v>
      </c>
      <c r="DA33" s="9">
        <v>20</v>
      </c>
      <c r="DB33" s="9">
        <v>50</v>
      </c>
      <c r="DC33" s="14">
        <v>483.7</v>
      </c>
      <c r="DD33" s="9">
        <v>0.39</v>
      </c>
      <c r="DE33" s="34">
        <v>223</v>
      </c>
      <c r="DF33" s="9">
        <v>146</v>
      </c>
      <c r="DG33" s="9">
        <f t="shared" si="0"/>
        <v>5.5825357507686366</v>
      </c>
      <c r="DH33" s="9">
        <v>29.2</v>
      </c>
      <c r="DI33" s="9">
        <v>3.77</v>
      </c>
      <c r="DL33" s="9">
        <v>56.5</v>
      </c>
      <c r="DM33" s="9">
        <v>137.30000000000001</v>
      </c>
      <c r="DQ33" s="9">
        <v>2</v>
      </c>
      <c r="DR33" s="9">
        <v>2</v>
      </c>
      <c r="DU33" s="9">
        <v>12.6</v>
      </c>
    </row>
    <row r="34" spans="1:126" x14ac:dyDescent="0.2">
      <c r="A34" s="9" t="s">
        <v>584</v>
      </c>
      <c r="B34" s="8">
        <v>43308</v>
      </c>
      <c r="C34" s="9" t="s">
        <v>95</v>
      </c>
      <c r="D34" s="9">
        <v>58</v>
      </c>
      <c r="E34" s="9" t="s">
        <v>96</v>
      </c>
      <c r="F34" s="8">
        <v>21980</v>
      </c>
      <c r="G34" s="9" t="s">
        <v>585</v>
      </c>
      <c r="H34" s="9" t="s">
        <v>586</v>
      </c>
      <c r="J34" s="10">
        <v>2009</v>
      </c>
      <c r="K34" s="42">
        <v>31533</v>
      </c>
      <c r="L34" s="9">
        <v>3</v>
      </c>
      <c r="M34" s="9" t="s">
        <v>99</v>
      </c>
      <c r="N34" s="9" t="s">
        <v>99</v>
      </c>
      <c r="P34" s="10" t="s">
        <v>587</v>
      </c>
      <c r="Q34" s="9" t="s">
        <v>483</v>
      </c>
      <c r="R34" s="9" t="s">
        <v>588</v>
      </c>
      <c r="W34" s="9" t="s">
        <v>589</v>
      </c>
      <c r="X34" s="9" t="s">
        <v>483</v>
      </c>
      <c r="Y34" s="10" t="s">
        <v>590</v>
      </c>
      <c r="AA34" s="9" t="s">
        <v>100</v>
      </c>
      <c r="AB34" s="9" t="s">
        <v>100</v>
      </c>
      <c r="AC34" s="9" t="s">
        <v>100</v>
      </c>
      <c r="AD34" s="9" t="s">
        <v>100</v>
      </c>
      <c r="AE34" s="10" t="s">
        <v>591</v>
      </c>
      <c r="AF34" s="10" t="s">
        <v>118</v>
      </c>
      <c r="AG34" s="10" t="s">
        <v>135</v>
      </c>
      <c r="AL34" s="9">
        <v>76</v>
      </c>
      <c r="AM34" s="9">
        <v>156</v>
      </c>
      <c r="AN34" s="46">
        <v>100</v>
      </c>
      <c r="AO34" s="9">
        <v>113</v>
      </c>
      <c r="AU34" s="9">
        <v>108</v>
      </c>
      <c r="AV34" s="9">
        <v>82</v>
      </c>
      <c r="AX34" s="9" t="s">
        <v>592</v>
      </c>
      <c r="AY34" s="9" t="s">
        <v>593</v>
      </c>
      <c r="AZ34" s="9" t="s">
        <v>572</v>
      </c>
      <c r="BF34" s="9" t="s">
        <v>594</v>
      </c>
      <c r="BG34" s="9" t="s">
        <v>594</v>
      </c>
      <c r="BH34" s="9" t="s">
        <v>595</v>
      </c>
      <c r="BI34" s="9" t="s">
        <v>596</v>
      </c>
      <c r="BJ34" s="9" t="s">
        <v>215</v>
      </c>
      <c r="BK34" s="9" t="s">
        <v>597</v>
      </c>
      <c r="BN34" s="9" t="s">
        <v>598</v>
      </c>
      <c r="BO34" s="9" t="s">
        <v>599</v>
      </c>
      <c r="BP34" s="9" t="s">
        <v>600</v>
      </c>
      <c r="BR34" s="9" t="s">
        <v>601</v>
      </c>
      <c r="BV34" s="9" t="s">
        <v>602</v>
      </c>
      <c r="CW34" s="9" t="s">
        <v>603</v>
      </c>
      <c r="CX34" s="9" t="s">
        <v>99</v>
      </c>
      <c r="CY34" s="9" t="s">
        <v>99</v>
      </c>
      <c r="CZ34" s="9">
        <v>30</v>
      </c>
      <c r="DA34" s="9">
        <v>30</v>
      </c>
      <c r="DB34" s="9">
        <v>40</v>
      </c>
      <c r="DC34" s="9">
        <v>81.5</v>
      </c>
      <c r="DD34" s="9">
        <v>0.67</v>
      </c>
      <c r="DE34" s="9">
        <v>175</v>
      </c>
      <c r="DF34" s="9">
        <v>111</v>
      </c>
      <c r="DG34" s="9">
        <f t="shared" si="0"/>
        <v>4.5550666107795754</v>
      </c>
      <c r="DH34" s="9">
        <v>22.2</v>
      </c>
      <c r="DI34" s="9">
        <v>6.15</v>
      </c>
      <c r="DR34" s="9">
        <v>2</v>
      </c>
    </row>
    <row r="35" spans="1:126" x14ac:dyDescent="0.2">
      <c r="A35" s="9" t="s">
        <v>604</v>
      </c>
      <c r="B35" s="8">
        <v>43308</v>
      </c>
      <c r="C35" s="9" t="s">
        <v>95</v>
      </c>
      <c r="D35" s="9">
        <v>53</v>
      </c>
      <c r="E35" s="9" t="s">
        <v>605</v>
      </c>
      <c r="F35" s="8"/>
      <c r="I35" s="9" t="s">
        <v>606</v>
      </c>
      <c r="J35" s="10" t="s">
        <v>607</v>
      </c>
      <c r="K35" s="9">
        <v>2001</v>
      </c>
      <c r="L35" s="9">
        <v>1</v>
      </c>
      <c r="M35" s="9" t="s">
        <v>99</v>
      </c>
      <c r="N35" s="9" t="s">
        <v>99</v>
      </c>
      <c r="P35" s="10" t="s">
        <v>608</v>
      </c>
      <c r="Q35" s="10" t="s">
        <v>609</v>
      </c>
      <c r="R35" s="9" t="s">
        <v>588</v>
      </c>
      <c r="W35" s="10" t="s">
        <v>610</v>
      </c>
      <c r="AA35" s="9" t="s">
        <v>605</v>
      </c>
      <c r="AB35" s="9" t="s">
        <v>605</v>
      </c>
      <c r="AC35" s="9" t="s">
        <v>605</v>
      </c>
      <c r="AD35" s="9" t="s">
        <v>605</v>
      </c>
      <c r="AF35" s="10" t="s">
        <v>611</v>
      </c>
      <c r="AG35" s="10" t="s">
        <v>612</v>
      </c>
      <c r="AH35" s="10" t="s">
        <v>613</v>
      </c>
      <c r="AK35" s="10" t="s">
        <v>614</v>
      </c>
      <c r="AL35" s="9">
        <v>62.4</v>
      </c>
      <c r="AM35" s="9">
        <v>159</v>
      </c>
      <c r="AN35" s="9">
        <v>84</v>
      </c>
      <c r="AO35" s="9">
        <v>100</v>
      </c>
      <c r="AP35" s="9">
        <v>34.5</v>
      </c>
      <c r="AQ35" s="9">
        <v>7</v>
      </c>
      <c r="AR35" s="9">
        <v>28.1</v>
      </c>
      <c r="AS35" s="9">
        <v>51</v>
      </c>
      <c r="AT35" s="7">
        <v>24.7</v>
      </c>
      <c r="AU35" s="10">
        <v>134</v>
      </c>
      <c r="AV35" s="10">
        <v>86</v>
      </c>
      <c r="AX35" s="9" t="s">
        <v>615</v>
      </c>
      <c r="AY35" s="9" t="s">
        <v>616</v>
      </c>
      <c r="AZ35" s="9" t="s">
        <v>617</v>
      </c>
      <c r="BB35" s="9" t="s">
        <v>618</v>
      </c>
      <c r="BC35" s="9" t="s">
        <v>619</v>
      </c>
      <c r="BD35" s="9" t="s">
        <v>620</v>
      </c>
      <c r="BF35" s="9" t="s">
        <v>621</v>
      </c>
      <c r="BG35" s="9" t="s">
        <v>622</v>
      </c>
      <c r="BH35" s="9" t="s">
        <v>623</v>
      </c>
      <c r="BI35" s="9" t="s">
        <v>624</v>
      </c>
      <c r="BN35" s="9" t="s">
        <v>625</v>
      </c>
      <c r="BO35" s="9" t="s">
        <v>626</v>
      </c>
      <c r="BV35" s="9" t="s">
        <v>627</v>
      </c>
      <c r="BY35" s="9" t="s">
        <v>628</v>
      </c>
      <c r="BZ35" s="9" t="s">
        <v>629</v>
      </c>
      <c r="CA35" s="9" t="s">
        <v>630</v>
      </c>
      <c r="CB35" s="9" t="s">
        <v>631</v>
      </c>
      <c r="CL35" s="9" t="s">
        <v>632</v>
      </c>
      <c r="CM35" s="9" t="s">
        <v>633</v>
      </c>
      <c r="CN35" s="9" t="s">
        <v>634</v>
      </c>
      <c r="CO35" s="9" t="s">
        <v>635</v>
      </c>
      <c r="CP35" s="9" t="s">
        <v>636</v>
      </c>
      <c r="CQ35" s="9" t="s">
        <v>637</v>
      </c>
      <c r="CR35" s="9" t="s">
        <v>638</v>
      </c>
      <c r="CT35" s="9" t="s">
        <v>639</v>
      </c>
      <c r="CU35" s="9" t="s">
        <v>640</v>
      </c>
      <c r="CV35" s="9" t="s">
        <v>641</v>
      </c>
      <c r="CW35" s="9">
        <v>3</v>
      </c>
      <c r="CX35" s="9" t="s">
        <v>99</v>
      </c>
      <c r="CY35" s="9" t="s">
        <v>642</v>
      </c>
      <c r="DC35" s="9">
        <v>89.9</v>
      </c>
      <c r="DD35" s="9">
        <v>0.93</v>
      </c>
      <c r="DE35" s="10">
        <v>228</v>
      </c>
      <c r="DF35" s="9">
        <v>91</v>
      </c>
      <c r="DG35" s="9">
        <f t="shared" si="0"/>
        <v>4.5047787239972124</v>
      </c>
      <c r="DH35" s="9">
        <v>18.2</v>
      </c>
      <c r="DI35" s="9">
        <v>4.6900000000000004</v>
      </c>
      <c r="DL35" s="9">
        <v>76.3</v>
      </c>
      <c r="DM35" s="9">
        <v>133.5</v>
      </c>
      <c r="DP35" s="11">
        <v>3</v>
      </c>
      <c r="DR35" s="9">
        <v>3</v>
      </c>
      <c r="DT35" s="9">
        <v>14</v>
      </c>
    </row>
    <row r="36" spans="1:126" x14ac:dyDescent="0.2">
      <c r="A36" s="9" t="s">
        <v>643</v>
      </c>
      <c r="B36" s="8">
        <v>43308</v>
      </c>
      <c r="C36" s="9" t="s">
        <v>95</v>
      </c>
      <c r="D36" s="9">
        <v>46</v>
      </c>
      <c r="E36" s="9" t="s">
        <v>96</v>
      </c>
      <c r="F36" s="8">
        <v>26321</v>
      </c>
      <c r="H36" s="9" t="s">
        <v>644</v>
      </c>
      <c r="I36" s="9">
        <v>15</v>
      </c>
      <c r="K36" s="9" t="s">
        <v>645</v>
      </c>
      <c r="L36" s="9">
        <v>2</v>
      </c>
      <c r="M36" s="9" t="s">
        <v>99</v>
      </c>
      <c r="N36" s="9" t="s">
        <v>99</v>
      </c>
      <c r="O36" s="9" t="s">
        <v>99</v>
      </c>
      <c r="P36" s="9" t="s">
        <v>99</v>
      </c>
      <c r="Q36" s="10" t="s">
        <v>646</v>
      </c>
      <c r="R36" s="9" t="s">
        <v>110</v>
      </c>
      <c r="S36" s="9" t="s">
        <v>99</v>
      </c>
      <c r="T36" s="9" t="s">
        <v>99</v>
      </c>
      <c r="U36" s="9" t="s">
        <v>99</v>
      </c>
      <c r="V36" s="9" t="s">
        <v>99</v>
      </c>
      <c r="W36" s="9" t="s">
        <v>99</v>
      </c>
      <c r="X36" s="9" t="s">
        <v>99</v>
      </c>
      <c r="Y36" s="10" t="s">
        <v>647</v>
      </c>
      <c r="AA36" s="9" t="s">
        <v>100</v>
      </c>
      <c r="AB36" s="9" t="s">
        <v>100</v>
      </c>
      <c r="AC36" s="9" t="s">
        <v>100</v>
      </c>
      <c r="AD36" s="9" t="s">
        <v>100</v>
      </c>
      <c r="AE36" s="9" t="s">
        <v>99</v>
      </c>
      <c r="AF36" s="9" t="s">
        <v>99</v>
      </c>
      <c r="AG36" s="10" t="s">
        <v>648</v>
      </c>
      <c r="AH36" s="9" t="s">
        <v>99</v>
      </c>
      <c r="AI36" s="9" t="s">
        <v>99</v>
      </c>
      <c r="AJ36" s="9" t="s">
        <v>99</v>
      </c>
      <c r="AL36" s="9">
        <v>67.900000000000006</v>
      </c>
      <c r="AM36" s="9">
        <v>164</v>
      </c>
      <c r="AN36" s="46">
        <v>88</v>
      </c>
      <c r="AO36" s="9">
        <v>104</v>
      </c>
      <c r="AP36" s="9">
        <v>37.299999999999997</v>
      </c>
      <c r="AQ36" s="9">
        <v>7</v>
      </c>
      <c r="AR36" s="9">
        <v>26.7</v>
      </c>
      <c r="AS36" s="9">
        <v>47</v>
      </c>
      <c r="AT36" s="9">
        <v>25.5</v>
      </c>
      <c r="AU36" s="9">
        <v>119</v>
      </c>
      <c r="AV36" s="9">
        <v>71</v>
      </c>
      <c r="AX36" s="9" t="s">
        <v>649</v>
      </c>
      <c r="AY36" s="9" t="s">
        <v>650</v>
      </c>
      <c r="AZ36" s="9" t="s">
        <v>651</v>
      </c>
      <c r="BB36" s="9" t="s">
        <v>652</v>
      </c>
      <c r="BC36" s="9" t="s">
        <v>653</v>
      </c>
      <c r="BF36" s="9" t="s">
        <v>594</v>
      </c>
      <c r="BG36" s="9" t="s">
        <v>654</v>
      </c>
      <c r="BH36" s="9" t="s">
        <v>99</v>
      </c>
      <c r="BI36" s="9" t="s">
        <v>350</v>
      </c>
      <c r="BJ36" s="9" t="s">
        <v>655</v>
      </c>
      <c r="BK36" s="9" t="s">
        <v>655</v>
      </c>
      <c r="BN36" s="9" t="s">
        <v>656</v>
      </c>
      <c r="BO36" s="9" t="s">
        <v>657</v>
      </c>
      <c r="BP36" s="9" t="s">
        <v>658</v>
      </c>
      <c r="BQ36" s="9" t="s">
        <v>99</v>
      </c>
      <c r="BU36" s="9" t="s">
        <v>99</v>
      </c>
      <c r="BZ36" s="9" t="s">
        <v>659</v>
      </c>
      <c r="CA36" s="9" t="s">
        <v>660</v>
      </c>
      <c r="CB36" s="9" t="s">
        <v>661</v>
      </c>
      <c r="CC36" s="9" t="s">
        <v>99</v>
      </c>
      <c r="CG36" s="9" t="s">
        <v>99</v>
      </c>
      <c r="CT36" s="9" t="s">
        <v>662</v>
      </c>
      <c r="CV36" s="47"/>
      <c r="CW36" s="9">
        <v>3</v>
      </c>
      <c r="CX36" s="9" t="s">
        <v>110</v>
      </c>
      <c r="CY36" s="9" t="s">
        <v>99</v>
      </c>
      <c r="CZ36" s="9">
        <v>30</v>
      </c>
      <c r="DA36" s="9">
        <v>30</v>
      </c>
      <c r="DB36" s="9">
        <v>40</v>
      </c>
      <c r="DC36" s="9">
        <v>81.7</v>
      </c>
      <c r="DD36" s="9">
        <v>0.84</v>
      </c>
      <c r="DE36" s="9">
        <v>177</v>
      </c>
      <c r="DF36" s="9">
        <v>128</v>
      </c>
      <c r="DG36" s="9">
        <f t="shared" si="0"/>
        <v>4.6275421328927875</v>
      </c>
      <c r="DH36" s="9">
        <v>25.6</v>
      </c>
      <c r="DI36" s="9">
        <v>5.6</v>
      </c>
      <c r="DQ36" s="9">
        <v>2</v>
      </c>
      <c r="DR36" s="9">
        <v>2</v>
      </c>
      <c r="DT36" s="9">
        <v>12.2</v>
      </c>
    </row>
    <row r="37" spans="1:126" x14ac:dyDescent="0.2">
      <c r="A37" s="14" t="s">
        <v>663</v>
      </c>
      <c r="B37" s="8">
        <v>43308</v>
      </c>
      <c r="C37" s="9" t="s">
        <v>95</v>
      </c>
      <c r="D37" s="9">
        <v>64</v>
      </c>
      <c r="E37" s="9" t="s">
        <v>96</v>
      </c>
      <c r="F37" s="8"/>
      <c r="AA37" s="9" t="s">
        <v>100</v>
      </c>
      <c r="AB37" s="9" t="s">
        <v>100</v>
      </c>
      <c r="AC37" s="9" t="s">
        <v>100</v>
      </c>
      <c r="AD37" s="9" t="s">
        <v>100</v>
      </c>
      <c r="AE37" s="10" t="s">
        <v>664</v>
      </c>
      <c r="AF37" s="10" t="s">
        <v>135</v>
      </c>
      <c r="AL37" s="9">
        <v>68</v>
      </c>
      <c r="AM37" s="9">
        <v>148</v>
      </c>
      <c r="AN37" s="46">
        <v>93</v>
      </c>
      <c r="AO37" s="9">
        <v>110</v>
      </c>
      <c r="AP37" s="9">
        <v>36</v>
      </c>
      <c r="AQ37" s="9">
        <v>14</v>
      </c>
      <c r="AR37" s="9">
        <v>9.3000000000000007</v>
      </c>
      <c r="AT37" s="9">
        <v>31</v>
      </c>
      <c r="AU37" s="10">
        <v>154</v>
      </c>
      <c r="AV37" s="10">
        <v>93</v>
      </c>
      <c r="AX37" s="9" t="s">
        <v>665</v>
      </c>
      <c r="AY37" s="9" t="s">
        <v>666</v>
      </c>
      <c r="BD37" s="47"/>
      <c r="BF37" s="9" t="s">
        <v>596</v>
      </c>
      <c r="BG37" s="9" t="s">
        <v>596</v>
      </c>
      <c r="BH37" s="9" t="s">
        <v>596</v>
      </c>
      <c r="BI37" s="9" t="s">
        <v>624</v>
      </c>
      <c r="BJ37" s="9" t="s">
        <v>596</v>
      </c>
      <c r="BN37" s="9" t="s">
        <v>667</v>
      </c>
      <c r="BO37" s="9" t="s">
        <v>668</v>
      </c>
      <c r="BP37" s="9" t="s">
        <v>669</v>
      </c>
      <c r="BZ37" s="9" t="s">
        <v>670</v>
      </c>
      <c r="CA37" s="9" t="s">
        <v>671</v>
      </c>
      <c r="CB37" s="9" t="s">
        <v>672</v>
      </c>
      <c r="CW37" s="9">
        <v>3</v>
      </c>
      <c r="CX37" s="9" t="s">
        <v>99</v>
      </c>
      <c r="DC37" s="10">
        <v>111.1</v>
      </c>
      <c r="DD37" s="9">
        <v>0.67</v>
      </c>
      <c r="DE37" s="9">
        <v>191</v>
      </c>
      <c r="DF37" s="9">
        <v>113</v>
      </c>
      <c r="DG37" s="9">
        <f t="shared" si="0"/>
        <v>4.7189092576789626</v>
      </c>
      <c r="DH37" s="9">
        <v>22.6</v>
      </c>
      <c r="DI37" s="9">
        <v>5.43</v>
      </c>
      <c r="DL37" s="9">
        <v>70.8</v>
      </c>
      <c r="DM37" s="9">
        <v>97.6</v>
      </c>
      <c r="DP37" s="11">
        <v>2</v>
      </c>
      <c r="DQ37" s="9">
        <v>3</v>
      </c>
      <c r="DR37" s="9">
        <v>2</v>
      </c>
      <c r="DT37" s="9">
        <v>14</v>
      </c>
      <c r="DU37" s="9">
        <v>4.5999999999999996</v>
      </c>
    </row>
    <row r="38" spans="1:126" s="33" customFormat="1" x14ac:dyDescent="0.2">
      <c r="A38" s="14" t="s">
        <v>673</v>
      </c>
      <c r="B38" s="31" t="s">
        <v>674</v>
      </c>
      <c r="C38" s="31" t="s">
        <v>675</v>
      </c>
      <c r="D38" s="31">
        <v>44</v>
      </c>
      <c r="E38" s="31" t="s">
        <v>100</v>
      </c>
      <c r="F38" s="32">
        <v>27632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>
        <v>86.5</v>
      </c>
      <c r="AM38" s="31">
        <v>175</v>
      </c>
      <c r="AN38" s="48">
        <v>103</v>
      </c>
      <c r="AO38" s="31">
        <v>109</v>
      </c>
      <c r="AP38" s="31">
        <v>28.7</v>
      </c>
      <c r="AQ38" s="31">
        <v>12</v>
      </c>
      <c r="AR38" s="31">
        <v>332</v>
      </c>
      <c r="AS38" s="31">
        <v>57</v>
      </c>
      <c r="AT38" s="31">
        <v>28.2</v>
      </c>
      <c r="AU38" s="31">
        <v>135</v>
      </c>
      <c r="AV38" s="31">
        <v>86</v>
      </c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48">
        <v>104.1</v>
      </c>
      <c r="DD38" s="31">
        <v>1.0900000000000001</v>
      </c>
      <c r="DE38" s="31">
        <v>175</v>
      </c>
      <c r="DF38" s="48">
        <v>362</v>
      </c>
      <c r="DG38" s="9">
        <f t="shared" si="0"/>
        <v>5.2684980937233474</v>
      </c>
      <c r="DH38" s="31">
        <v>72.400000000000006</v>
      </c>
      <c r="DI38" s="48">
        <v>10.92</v>
      </c>
      <c r="DJ38" s="31"/>
      <c r="DK38" s="31"/>
      <c r="DL38" s="48">
        <v>34.4</v>
      </c>
      <c r="DM38" s="31">
        <v>68.2</v>
      </c>
      <c r="DN38" s="31"/>
      <c r="DO38" s="31"/>
      <c r="DP38" s="31"/>
      <c r="DQ38" s="31"/>
      <c r="DR38" s="31"/>
      <c r="DS38" s="31"/>
      <c r="DT38" s="31"/>
      <c r="DU38" s="31">
        <v>10.4</v>
      </c>
      <c r="DV38" s="31"/>
    </row>
    <row r="39" spans="1:126" x14ac:dyDescent="0.2">
      <c r="A39" s="9" t="s">
        <v>676</v>
      </c>
      <c r="B39" s="8">
        <v>43308</v>
      </c>
      <c r="C39" s="9" t="s">
        <v>95</v>
      </c>
      <c r="D39" s="9">
        <v>52</v>
      </c>
      <c r="F39" s="8"/>
      <c r="K39" s="9">
        <v>2004</v>
      </c>
      <c r="L39" s="9">
        <v>3</v>
      </c>
      <c r="M39" s="9" t="s">
        <v>99</v>
      </c>
      <c r="N39" s="10" t="s">
        <v>677</v>
      </c>
      <c r="O39" s="9" t="s">
        <v>99</v>
      </c>
      <c r="P39" s="9" t="s">
        <v>99</v>
      </c>
      <c r="Q39" s="9" t="s">
        <v>99</v>
      </c>
      <c r="R39" s="9" t="s">
        <v>110</v>
      </c>
      <c r="U39" s="9" t="s">
        <v>99</v>
      </c>
      <c r="V39" s="9" t="s">
        <v>99</v>
      </c>
      <c r="X39" s="9" t="s">
        <v>99</v>
      </c>
      <c r="AA39" s="9" t="s">
        <v>678</v>
      </c>
      <c r="AB39" s="9" t="s">
        <v>678</v>
      </c>
      <c r="AC39" s="9" t="s">
        <v>678</v>
      </c>
      <c r="AD39" s="9" t="s">
        <v>678</v>
      </c>
      <c r="AE39" s="10" t="s">
        <v>125</v>
      </c>
      <c r="AF39" s="10" t="s">
        <v>125</v>
      </c>
      <c r="AL39" s="9">
        <v>101.3</v>
      </c>
      <c r="AM39" s="9">
        <v>158</v>
      </c>
      <c r="AN39" s="10">
        <v>121</v>
      </c>
      <c r="AO39" s="9">
        <v>128</v>
      </c>
      <c r="AP39" s="9">
        <v>54.7</v>
      </c>
      <c r="AQ39" s="9">
        <v>14</v>
      </c>
      <c r="AR39" s="9">
        <v>20</v>
      </c>
      <c r="AS39" s="9">
        <v>78</v>
      </c>
      <c r="AT39" s="14">
        <v>40.1</v>
      </c>
      <c r="AU39" s="14">
        <v>205</v>
      </c>
      <c r="AV39" s="14">
        <v>129</v>
      </c>
      <c r="AX39" s="9" t="s">
        <v>679</v>
      </c>
      <c r="AY39" s="9" t="s">
        <v>665</v>
      </c>
      <c r="AZ39" s="9" t="s">
        <v>666</v>
      </c>
      <c r="BB39" s="9" t="s">
        <v>680</v>
      </c>
      <c r="BF39" s="9" t="s">
        <v>681</v>
      </c>
      <c r="BG39" s="9" t="s">
        <v>681</v>
      </c>
      <c r="BH39" s="9" t="s">
        <v>682</v>
      </c>
      <c r="BI39" s="9" t="s">
        <v>682</v>
      </c>
      <c r="BL39" s="9" t="s">
        <v>176</v>
      </c>
      <c r="BN39" s="9" t="s">
        <v>180</v>
      </c>
      <c r="BO39" s="9" t="s">
        <v>352</v>
      </c>
      <c r="BQ39" s="9" t="s">
        <v>683</v>
      </c>
      <c r="BU39" s="9" t="s">
        <v>683</v>
      </c>
      <c r="BY39" s="9" t="s">
        <v>176</v>
      </c>
      <c r="BZ39" s="9" t="s">
        <v>684</v>
      </c>
      <c r="CC39" s="9" t="s">
        <v>683</v>
      </c>
      <c r="CG39" s="9" t="s">
        <v>683</v>
      </c>
      <c r="CL39" s="9" t="s">
        <v>685</v>
      </c>
      <c r="CS39" s="9" t="s">
        <v>686</v>
      </c>
      <c r="CW39" s="45">
        <v>43161</v>
      </c>
      <c r="CX39" s="9" t="s">
        <v>99</v>
      </c>
      <c r="CY39" s="9" t="s">
        <v>99</v>
      </c>
      <c r="DC39" s="9">
        <v>96.1</v>
      </c>
      <c r="DD39" s="9">
        <v>0.77</v>
      </c>
      <c r="DE39" s="10">
        <v>217</v>
      </c>
      <c r="DF39" s="9">
        <v>111</v>
      </c>
      <c r="DG39" s="9">
        <f t="shared" si="0"/>
        <v>4.6374597586442903</v>
      </c>
      <c r="DH39" s="9">
        <v>22.2</v>
      </c>
      <c r="DI39" s="9">
        <v>6.42</v>
      </c>
      <c r="DL39" s="10">
        <v>92.1</v>
      </c>
      <c r="DM39" s="9">
        <v>102.7</v>
      </c>
      <c r="DP39" s="11">
        <v>2</v>
      </c>
      <c r="DR39" s="9">
        <v>2</v>
      </c>
      <c r="DU39" s="9">
        <v>5.5</v>
      </c>
    </row>
    <row r="40" spans="1:126" x14ac:dyDescent="0.2">
      <c r="A40" s="9" t="s">
        <v>687</v>
      </c>
      <c r="B40" s="21">
        <v>43794</v>
      </c>
      <c r="C40" s="20" t="s">
        <v>107</v>
      </c>
      <c r="D40" s="20">
        <v>33</v>
      </c>
      <c r="E40" s="20" t="s">
        <v>96</v>
      </c>
      <c r="F40" s="21">
        <v>31424</v>
      </c>
      <c r="G40" s="20" t="s">
        <v>688</v>
      </c>
      <c r="H40" s="20" t="s">
        <v>689</v>
      </c>
      <c r="I40" s="25"/>
      <c r="J40" s="20"/>
      <c r="K40" s="20"/>
      <c r="L40" s="20"/>
      <c r="M40" s="20" t="s">
        <v>99</v>
      </c>
      <c r="N40" s="20" t="s">
        <v>99</v>
      </c>
      <c r="O40" s="20"/>
      <c r="P40" s="20" t="s">
        <v>99</v>
      </c>
      <c r="Q40" s="20" t="s">
        <v>690</v>
      </c>
      <c r="R40" s="20" t="s">
        <v>110</v>
      </c>
      <c r="S40" s="20" t="s">
        <v>99</v>
      </c>
      <c r="T40" s="20" t="s">
        <v>99</v>
      </c>
      <c r="U40" s="20" t="s">
        <v>99</v>
      </c>
      <c r="V40" s="20" t="s">
        <v>99</v>
      </c>
      <c r="W40" s="20" t="s">
        <v>691</v>
      </c>
      <c r="X40" s="20" t="s">
        <v>99</v>
      </c>
      <c r="Y40" s="20"/>
      <c r="Z40" s="20"/>
      <c r="AA40" s="20" t="s">
        <v>100</v>
      </c>
      <c r="AB40" s="20"/>
      <c r="AC40" s="20" t="s">
        <v>100</v>
      </c>
      <c r="AD40" s="20"/>
      <c r="AE40" s="20" t="s">
        <v>99</v>
      </c>
      <c r="AF40" s="20" t="s">
        <v>692</v>
      </c>
      <c r="AG40" s="20" t="s">
        <v>99</v>
      </c>
      <c r="AH40" s="20" t="s">
        <v>99</v>
      </c>
      <c r="AI40" s="20" t="s">
        <v>343</v>
      </c>
      <c r="AJ40" s="20" t="s">
        <v>99</v>
      </c>
      <c r="AK40" s="20" t="s">
        <v>99</v>
      </c>
      <c r="AL40" s="20" t="s">
        <v>693</v>
      </c>
      <c r="AM40" s="20">
        <v>179</v>
      </c>
      <c r="AN40" s="20">
        <v>102</v>
      </c>
      <c r="AO40" s="20">
        <v>107</v>
      </c>
      <c r="AP40" s="20" t="s">
        <v>694</v>
      </c>
      <c r="AQ40" s="20">
        <v>14</v>
      </c>
      <c r="AR40" s="20" t="s">
        <v>695</v>
      </c>
      <c r="AS40" s="20">
        <v>67</v>
      </c>
      <c r="AT40" s="20">
        <v>31</v>
      </c>
      <c r="AU40" s="20">
        <v>111</v>
      </c>
      <c r="AV40" s="20">
        <v>75</v>
      </c>
      <c r="AW40" s="20"/>
      <c r="AX40" s="20" t="s">
        <v>696</v>
      </c>
      <c r="AY40" s="20" t="s">
        <v>697</v>
      </c>
      <c r="AZ40" s="20" t="s">
        <v>698</v>
      </c>
      <c r="BA40" s="20"/>
      <c r="BB40" s="20"/>
      <c r="BC40" s="20"/>
      <c r="BD40" s="20"/>
      <c r="BE40" s="20"/>
      <c r="BF40" s="20" t="s">
        <v>699</v>
      </c>
      <c r="BG40" s="20" t="s">
        <v>700</v>
      </c>
      <c r="BH40" s="20" t="s">
        <v>700</v>
      </c>
      <c r="BI40" s="20" t="s">
        <v>700</v>
      </c>
      <c r="BJ40" s="20" t="s">
        <v>699</v>
      </c>
      <c r="BK40" s="20" t="s">
        <v>701</v>
      </c>
      <c r="BL40" s="20" t="s">
        <v>702</v>
      </c>
      <c r="BM40" s="20" t="s">
        <v>703</v>
      </c>
      <c r="BN40" s="20" t="s">
        <v>219</v>
      </c>
      <c r="BO40" s="20" t="s">
        <v>178</v>
      </c>
      <c r="BP40" s="20"/>
      <c r="BQ40" s="20"/>
      <c r="BR40" s="20" t="s">
        <v>704</v>
      </c>
      <c r="BS40" s="20"/>
      <c r="BT40" s="20"/>
      <c r="BU40" s="20"/>
      <c r="BV40" s="20" t="s">
        <v>705</v>
      </c>
      <c r="BW40" s="20" t="s">
        <v>706</v>
      </c>
      <c r="BX40" s="22"/>
      <c r="BY40" s="20" t="s">
        <v>707</v>
      </c>
      <c r="BZ40" s="20" t="s">
        <v>182</v>
      </c>
      <c r="CA40" s="20" t="s">
        <v>708</v>
      </c>
      <c r="CB40" s="20" t="s">
        <v>709</v>
      </c>
      <c r="CC40" s="20" t="s">
        <v>710</v>
      </c>
      <c r="CD40" s="20" t="s">
        <v>578</v>
      </c>
      <c r="CE40" s="20"/>
      <c r="CF40" s="20"/>
      <c r="CG40" s="20" t="s">
        <v>711</v>
      </c>
      <c r="CH40" s="20" t="s">
        <v>712</v>
      </c>
      <c r="CI40" s="20"/>
      <c r="CJ40" s="20"/>
      <c r="CK40" s="20"/>
      <c r="CL40" s="20" t="s">
        <v>713</v>
      </c>
      <c r="CM40" s="20" t="s">
        <v>185</v>
      </c>
      <c r="CN40" s="20" t="s">
        <v>714</v>
      </c>
      <c r="CO40" s="20" t="s">
        <v>176</v>
      </c>
      <c r="CP40" s="20" t="s">
        <v>715</v>
      </c>
      <c r="CQ40" s="20" t="s">
        <v>716</v>
      </c>
      <c r="CR40" s="20"/>
      <c r="CS40" s="20"/>
      <c r="CT40" s="20" t="s">
        <v>717</v>
      </c>
      <c r="CU40" s="20" t="s">
        <v>718</v>
      </c>
      <c r="CV40" s="20" t="s">
        <v>719</v>
      </c>
      <c r="CW40" s="20">
        <v>3</v>
      </c>
      <c r="CX40" s="20" t="s">
        <v>99</v>
      </c>
      <c r="CY40" s="20" t="s">
        <v>720</v>
      </c>
      <c r="CZ40" s="20">
        <v>35</v>
      </c>
      <c r="DA40" s="20">
        <v>20</v>
      </c>
      <c r="DB40" s="20">
        <v>45</v>
      </c>
      <c r="DC40">
        <v>86.8</v>
      </c>
      <c r="DD40">
        <v>0.7</v>
      </c>
      <c r="DE40">
        <v>173</v>
      </c>
      <c r="DF40">
        <v>171</v>
      </c>
      <c r="DG40" s="9">
        <f t="shared" si="0"/>
        <v>4.8026350890844824</v>
      </c>
      <c r="DH40">
        <v>34.200000000000003</v>
      </c>
      <c r="DI40">
        <v>8.7100000000000009</v>
      </c>
      <c r="DJ40"/>
      <c r="DK40"/>
      <c r="DL40">
        <v>32</v>
      </c>
      <c r="DM40">
        <v>106.8</v>
      </c>
      <c r="DN40" s="20"/>
      <c r="DR40" s="9">
        <v>1</v>
      </c>
    </row>
    <row r="41" spans="1:126" x14ac:dyDescent="0.2">
      <c r="A41" s="9" t="s">
        <v>721</v>
      </c>
      <c r="B41" s="8">
        <v>43308</v>
      </c>
      <c r="C41" s="9" t="s">
        <v>95</v>
      </c>
      <c r="D41" s="9">
        <v>46</v>
      </c>
      <c r="E41" s="9" t="s">
        <v>96</v>
      </c>
      <c r="F41" s="8">
        <v>26306</v>
      </c>
      <c r="G41" s="9" t="s">
        <v>722</v>
      </c>
      <c r="H41" s="9" t="s">
        <v>723</v>
      </c>
      <c r="I41" s="9">
        <v>14</v>
      </c>
      <c r="K41" s="17">
        <v>2010</v>
      </c>
      <c r="L41" s="9">
        <v>2</v>
      </c>
      <c r="M41" s="9" t="s">
        <v>99</v>
      </c>
      <c r="N41" s="9" t="s">
        <v>99</v>
      </c>
      <c r="O41" s="9" t="s">
        <v>99</v>
      </c>
      <c r="P41" s="9" t="s">
        <v>99</v>
      </c>
      <c r="Q41" s="9" t="s">
        <v>99</v>
      </c>
      <c r="R41" s="9" t="s">
        <v>110</v>
      </c>
      <c r="T41" s="9" t="s">
        <v>99</v>
      </c>
      <c r="U41" s="9" t="s">
        <v>99</v>
      </c>
      <c r="V41" s="9" t="s">
        <v>99</v>
      </c>
      <c r="AA41" s="9" t="s">
        <v>100</v>
      </c>
      <c r="AB41" s="9" t="s">
        <v>100</v>
      </c>
      <c r="AC41" s="9" t="s">
        <v>100</v>
      </c>
      <c r="AD41" s="9" t="s">
        <v>100</v>
      </c>
      <c r="AE41" s="10" t="s">
        <v>118</v>
      </c>
      <c r="AF41" s="10" t="s">
        <v>724</v>
      </c>
      <c r="AG41" s="10" t="s">
        <v>725</v>
      </c>
      <c r="AH41" s="10" t="s">
        <v>125</v>
      </c>
      <c r="AK41" s="10" t="s">
        <v>726</v>
      </c>
      <c r="AL41" s="9">
        <v>63.2</v>
      </c>
      <c r="AM41" s="9">
        <v>159</v>
      </c>
      <c r="AN41" s="46">
        <v>89</v>
      </c>
      <c r="AO41" s="9">
        <v>105</v>
      </c>
      <c r="AP41" s="9">
        <v>41.1</v>
      </c>
      <c r="AQ41" s="9">
        <v>7</v>
      </c>
      <c r="AR41" s="9">
        <v>23.2</v>
      </c>
      <c r="AS41" s="9">
        <v>48</v>
      </c>
      <c r="AT41" s="9">
        <v>25</v>
      </c>
      <c r="AU41" s="10">
        <v>132</v>
      </c>
      <c r="AV41" s="10">
        <v>85</v>
      </c>
      <c r="AW41" s="9" t="s">
        <v>176</v>
      </c>
      <c r="AX41" s="9" t="s">
        <v>727</v>
      </c>
      <c r="AY41" s="9" t="s">
        <v>728</v>
      </c>
      <c r="AZ41" s="9" t="s">
        <v>729</v>
      </c>
      <c r="BB41" s="9" t="s">
        <v>730</v>
      </c>
      <c r="BC41" s="9" t="s">
        <v>731</v>
      </c>
      <c r="BD41" s="9" t="s">
        <v>732</v>
      </c>
      <c r="BE41" s="9" t="s">
        <v>733</v>
      </c>
      <c r="BF41" s="9" t="s">
        <v>110</v>
      </c>
      <c r="BH41" s="9" t="s">
        <v>110</v>
      </c>
      <c r="BI41" s="9" t="s">
        <v>110</v>
      </c>
      <c r="BJ41" s="9" t="s">
        <v>110</v>
      </c>
      <c r="BK41" s="9" t="s">
        <v>110</v>
      </c>
      <c r="BL41" s="9" t="s">
        <v>733</v>
      </c>
      <c r="BN41" s="9" t="s">
        <v>219</v>
      </c>
      <c r="BO41" s="9" t="s">
        <v>179</v>
      </c>
      <c r="BP41" s="9" t="s">
        <v>734</v>
      </c>
      <c r="BV41" s="9" t="s">
        <v>734</v>
      </c>
      <c r="BZ41" s="9" t="s">
        <v>182</v>
      </c>
      <c r="CA41" s="9" t="s">
        <v>709</v>
      </c>
      <c r="CB41" s="9" t="s">
        <v>578</v>
      </c>
      <c r="CK41" s="9" t="s">
        <v>176</v>
      </c>
      <c r="CL41" s="9" t="s">
        <v>735</v>
      </c>
      <c r="CM41" s="9" t="s">
        <v>736</v>
      </c>
      <c r="CN41" s="9" t="s">
        <v>737</v>
      </c>
      <c r="CP41" s="9" t="s">
        <v>361</v>
      </c>
      <c r="CQ41" s="9" t="s">
        <v>362</v>
      </c>
      <c r="CR41" s="9" t="s">
        <v>716</v>
      </c>
      <c r="CT41" s="9" t="s">
        <v>738</v>
      </c>
      <c r="CU41" s="9" t="s">
        <v>739</v>
      </c>
      <c r="CV41" s="9" t="s">
        <v>740</v>
      </c>
      <c r="CW41" s="9" t="s">
        <v>741</v>
      </c>
      <c r="CX41" s="9" t="s">
        <v>110</v>
      </c>
      <c r="CY41" s="9" t="s">
        <v>742</v>
      </c>
      <c r="CZ41" s="9">
        <v>30</v>
      </c>
      <c r="DA41" s="9">
        <v>20</v>
      </c>
      <c r="DB41" s="9">
        <v>50</v>
      </c>
      <c r="DC41" s="9">
        <v>77.099999999999994</v>
      </c>
      <c r="DD41" s="9">
        <v>0.66</v>
      </c>
      <c r="DE41" s="9">
        <v>211</v>
      </c>
      <c r="DF41" s="9">
        <v>51</v>
      </c>
      <c r="DG41" s="9">
        <f t="shared" si="0"/>
        <v>4.1384644566468047</v>
      </c>
      <c r="DH41" s="9">
        <v>10.199999999999999</v>
      </c>
      <c r="DI41" s="9">
        <v>4.1500000000000004</v>
      </c>
      <c r="DL41" s="9">
        <v>111.3</v>
      </c>
      <c r="DM41" s="9">
        <v>89.5</v>
      </c>
      <c r="DT41" s="9">
        <v>15.3</v>
      </c>
    </row>
    <row r="42" spans="1:126" x14ac:dyDescent="0.2">
      <c r="A42" s="7" t="s">
        <v>743</v>
      </c>
      <c r="B42" s="8">
        <v>43308</v>
      </c>
      <c r="C42" s="9" t="s">
        <v>95</v>
      </c>
      <c r="D42" s="9">
        <v>20</v>
      </c>
      <c r="E42" s="9" t="s">
        <v>96</v>
      </c>
      <c r="F42" s="17">
        <v>35793</v>
      </c>
      <c r="G42" s="9" t="s">
        <v>744</v>
      </c>
      <c r="H42" s="9" t="s">
        <v>745</v>
      </c>
      <c r="J42" s="9" t="s">
        <v>500</v>
      </c>
      <c r="K42" s="9" t="s">
        <v>500</v>
      </c>
      <c r="L42" s="9" t="s">
        <v>500</v>
      </c>
      <c r="M42" s="9" t="s">
        <v>99</v>
      </c>
      <c r="N42" s="9" t="s">
        <v>99</v>
      </c>
      <c r="O42" s="9" t="s">
        <v>99</v>
      </c>
      <c r="P42" s="47" t="s">
        <v>99</v>
      </c>
      <c r="Q42" s="10" t="s">
        <v>746</v>
      </c>
      <c r="R42" s="7" t="s">
        <v>500</v>
      </c>
      <c r="S42" s="9" t="s">
        <v>500</v>
      </c>
      <c r="T42" s="9" t="s">
        <v>500</v>
      </c>
      <c r="U42" s="9" t="s">
        <v>500</v>
      </c>
      <c r="V42" s="9" t="s">
        <v>500</v>
      </c>
      <c r="W42" s="9" t="s">
        <v>500</v>
      </c>
      <c r="X42" s="9" t="s">
        <v>500</v>
      </c>
      <c r="Y42" s="9" t="s">
        <v>500</v>
      </c>
      <c r="Z42" s="9" t="s">
        <v>500</v>
      </c>
      <c r="AA42" s="9" t="s">
        <v>100</v>
      </c>
      <c r="AB42" s="35" t="s">
        <v>155</v>
      </c>
      <c r="AC42" s="9" t="s">
        <v>100</v>
      </c>
      <c r="AD42" s="9" t="s">
        <v>100</v>
      </c>
      <c r="AE42" s="9" t="s">
        <v>99</v>
      </c>
      <c r="AF42" s="9" t="s">
        <v>110</v>
      </c>
      <c r="AG42" s="9" t="s">
        <v>99</v>
      </c>
      <c r="AH42" s="9" t="s">
        <v>99</v>
      </c>
      <c r="AI42" s="9" t="s">
        <v>99</v>
      </c>
      <c r="AJ42" s="9" t="s">
        <v>99</v>
      </c>
      <c r="AK42" s="9" t="s">
        <v>99</v>
      </c>
      <c r="AL42" s="9">
        <v>62.8</v>
      </c>
      <c r="AM42" s="9">
        <v>164</v>
      </c>
      <c r="AN42" s="9">
        <v>77</v>
      </c>
      <c r="AO42" s="9">
        <v>104</v>
      </c>
      <c r="AP42" s="9">
        <v>37.799999999999997</v>
      </c>
      <c r="AQ42" s="9">
        <v>4</v>
      </c>
      <c r="AR42" s="9">
        <v>25</v>
      </c>
      <c r="AS42" s="9">
        <v>28</v>
      </c>
      <c r="AT42" s="7">
        <v>23.3</v>
      </c>
      <c r="AU42" s="9">
        <v>101</v>
      </c>
      <c r="AV42" s="9">
        <v>74</v>
      </c>
      <c r="AX42" s="9" t="s">
        <v>747</v>
      </c>
      <c r="AY42" s="9" t="s">
        <v>748</v>
      </c>
      <c r="BA42" s="9" t="s">
        <v>176</v>
      </c>
      <c r="BB42" s="9" t="s">
        <v>749</v>
      </c>
      <c r="BC42" s="9" t="s">
        <v>750</v>
      </c>
      <c r="BF42" s="9" t="s">
        <v>176</v>
      </c>
      <c r="BG42" s="9" t="s">
        <v>350</v>
      </c>
      <c r="BH42" s="9" t="s">
        <v>655</v>
      </c>
      <c r="BI42" s="9" t="s">
        <v>176</v>
      </c>
      <c r="BJ42" s="9" t="s">
        <v>176</v>
      </c>
      <c r="BK42" s="9" t="s">
        <v>655</v>
      </c>
      <c r="BM42" s="9" t="s">
        <v>176</v>
      </c>
      <c r="BN42" s="9" t="s">
        <v>178</v>
      </c>
      <c r="BO42" s="9" t="s">
        <v>179</v>
      </c>
      <c r="BP42" s="9" t="s">
        <v>751</v>
      </c>
      <c r="BZ42" s="9" t="s">
        <v>752</v>
      </c>
      <c r="CA42" s="9" t="s">
        <v>183</v>
      </c>
      <c r="CK42" s="9" t="s">
        <v>176</v>
      </c>
      <c r="CL42" s="9" t="s">
        <v>735</v>
      </c>
      <c r="CM42" s="9" t="s">
        <v>753</v>
      </c>
      <c r="CN42" s="9" t="s">
        <v>754</v>
      </c>
      <c r="CP42" s="9" t="s">
        <v>755</v>
      </c>
      <c r="CQ42" s="9" t="s">
        <v>756</v>
      </c>
      <c r="CR42" s="47" t="s">
        <v>757</v>
      </c>
      <c r="CT42" s="9" t="s">
        <v>758</v>
      </c>
      <c r="CW42" s="9">
        <v>4</v>
      </c>
      <c r="CX42" s="9" t="s">
        <v>110</v>
      </c>
      <c r="CY42" s="9" t="s">
        <v>110</v>
      </c>
      <c r="CZ42" s="9">
        <v>40</v>
      </c>
      <c r="DA42" s="9">
        <v>20</v>
      </c>
      <c r="DB42" s="9">
        <v>40</v>
      </c>
      <c r="DC42" s="9">
        <v>69.5</v>
      </c>
      <c r="DD42" s="9">
        <v>0.57999999999999996</v>
      </c>
      <c r="DE42" s="9">
        <v>137</v>
      </c>
      <c r="DF42" s="9">
        <v>47</v>
      </c>
      <c r="DG42" s="9">
        <f t="shared" si="0"/>
        <v>4.0457371771404027</v>
      </c>
      <c r="DH42" s="9">
        <v>9.4</v>
      </c>
      <c r="DI42" s="9">
        <v>57.5</v>
      </c>
      <c r="DL42" s="9">
        <v>57.5</v>
      </c>
      <c r="DM42" s="9">
        <v>70.099999999999994</v>
      </c>
      <c r="DP42" s="11">
        <v>2</v>
      </c>
      <c r="DR42" s="9">
        <v>2</v>
      </c>
      <c r="DT42" s="9">
        <v>10</v>
      </c>
      <c r="DU42" s="9">
        <v>6.71</v>
      </c>
    </row>
    <row r="43" spans="1:126" x14ac:dyDescent="0.2">
      <c r="A43" s="9" t="s">
        <v>759</v>
      </c>
      <c r="B43" s="8">
        <v>43308</v>
      </c>
      <c r="C43" s="9" t="s">
        <v>196</v>
      </c>
      <c r="D43" s="9">
        <v>56</v>
      </c>
      <c r="E43" s="9" t="s">
        <v>96</v>
      </c>
      <c r="F43" s="8">
        <v>22708</v>
      </c>
      <c r="G43" s="9" t="s">
        <v>760</v>
      </c>
      <c r="I43" s="9">
        <v>14</v>
      </c>
      <c r="J43" s="10" t="s">
        <v>761</v>
      </c>
      <c r="K43" s="9">
        <v>1990</v>
      </c>
      <c r="L43" s="9">
        <v>3</v>
      </c>
      <c r="M43" s="9" t="s">
        <v>99</v>
      </c>
      <c r="N43" s="9" t="s">
        <v>99</v>
      </c>
      <c r="P43" s="10" t="s">
        <v>762</v>
      </c>
      <c r="Q43" s="9" t="s">
        <v>99</v>
      </c>
      <c r="R43" s="7" t="s">
        <v>99</v>
      </c>
      <c r="S43" s="9" t="s">
        <v>99</v>
      </c>
      <c r="T43" s="9" t="s">
        <v>99</v>
      </c>
      <c r="W43" s="10" t="s">
        <v>763</v>
      </c>
      <c r="X43" s="9" t="s">
        <v>99</v>
      </c>
      <c r="AA43" s="9" t="s">
        <v>100</v>
      </c>
      <c r="AB43" s="9" t="s">
        <v>100</v>
      </c>
      <c r="AC43" s="9" t="s">
        <v>100</v>
      </c>
      <c r="AD43" s="9" t="s">
        <v>100</v>
      </c>
      <c r="AE43" s="9" t="s">
        <v>99</v>
      </c>
      <c r="AF43" s="10" t="s">
        <v>764</v>
      </c>
      <c r="AG43" s="10" t="s">
        <v>765</v>
      </c>
      <c r="AH43" s="10" t="s">
        <v>766</v>
      </c>
      <c r="AI43" s="9" t="s">
        <v>99</v>
      </c>
      <c r="AJ43" s="9" t="s">
        <v>99</v>
      </c>
      <c r="AK43" s="9" t="s">
        <v>99</v>
      </c>
      <c r="AL43" s="9">
        <v>57.5</v>
      </c>
      <c r="AM43" s="9">
        <v>161</v>
      </c>
      <c r="AN43" s="9">
        <v>77</v>
      </c>
      <c r="AO43" s="9">
        <v>98</v>
      </c>
      <c r="AP43" s="9">
        <v>34.799999999999997</v>
      </c>
      <c r="AQ43" s="9">
        <v>6</v>
      </c>
      <c r="AR43" s="9">
        <v>25.3</v>
      </c>
      <c r="AS43" s="9">
        <v>44</v>
      </c>
      <c r="AT43" s="7">
        <v>22.2</v>
      </c>
      <c r="AU43" s="14">
        <v>178</v>
      </c>
      <c r="AV43" s="14">
        <v>104</v>
      </c>
      <c r="AX43" s="9" t="s">
        <v>767</v>
      </c>
      <c r="BB43" s="9" t="s">
        <v>768</v>
      </c>
      <c r="BF43" s="9" t="s">
        <v>769</v>
      </c>
      <c r="BG43" s="9" t="s">
        <v>770</v>
      </c>
      <c r="BI43" s="9" t="s">
        <v>771</v>
      </c>
      <c r="BK43" s="9" t="s">
        <v>646</v>
      </c>
      <c r="BN43" s="9" t="s">
        <v>770</v>
      </c>
      <c r="BZ43" s="9" t="s">
        <v>772</v>
      </c>
      <c r="CT43" s="9" t="s">
        <v>601</v>
      </c>
      <c r="CW43" s="9">
        <v>3</v>
      </c>
      <c r="CX43" s="9" t="s">
        <v>110</v>
      </c>
      <c r="CY43" s="9" t="s">
        <v>773</v>
      </c>
      <c r="DC43" s="9">
        <v>81.3</v>
      </c>
      <c r="DD43" s="9">
        <v>0.56999999999999995</v>
      </c>
      <c r="DE43" s="10">
        <v>221</v>
      </c>
      <c r="DF43" s="9">
        <v>136</v>
      </c>
      <c r="DG43" s="9">
        <f t="shared" si="0"/>
        <v>4.6554004511449083</v>
      </c>
      <c r="DH43" s="9">
        <v>27.2</v>
      </c>
      <c r="DI43" s="9">
        <v>2.76</v>
      </c>
      <c r="DL43" s="9">
        <v>51.2</v>
      </c>
      <c r="DM43" s="9">
        <v>142.6</v>
      </c>
      <c r="DP43" s="11">
        <v>3</v>
      </c>
      <c r="DQ43" s="9">
        <v>2</v>
      </c>
      <c r="DR43" s="30">
        <v>1</v>
      </c>
      <c r="DT43" s="9">
        <v>15</v>
      </c>
      <c r="DU43" s="9">
        <v>2.77</v>
      </c>
    </row>
    <row r="44" spans="1:126" customFormat="1" x14ac:dyDescent="0.2">
      <c r="A44" t="s">
        <v>775</v>
      </c>
      <c r="B44" s="26">
        <v>43794</v>
      </c>
      <c r="C44" t="s">
        <v>258</v>
      </c>
      <c r="D44" t="s">
        <v>776</v>
      </c>
      <c r="E44" t="s">
        <v>96</v>
      </c>
      <c r="F44" s="26">
        <v>27198</v>
      </c>
      <c r="G44" t="s">
        <v>777</v>
      </c>
      <c r="H44" t="s">
        <v>778</v>
      </c>
      <c r="M44" t="s">
        <v>263</v>
      </c>
      <c r="N44" t="s">
        <v>263</v>
      </c>
      <c r="O44" t="s">
        <v>263</v>
      </c>
      <c r="P44" t="s">
        <v>285</v>
      </c>
      <c r="Q44" t="s">
        <v>779</v>
      </c>
      <c r="R44" t="s">
        <v>285</v>
      </c>
      <c r="S44" t="s">
        <v>285</v>
      </c>
      <c r="T44" t="s">
        <v>285</v>
      </c>
      <c r="U44" t="s">
        <v>263</v>
      </c>
      <c r="V44" t="s">
        <v>263</v>
      </c>
      <c r="W44" t="s">
        <v>263</v>
      </c>
      <c r="X44" t="s">
        <v>263</v>
      </c>
      <c r="Y44" t="s">
        <v>263</v>
      </c>
      <c r="Z44" t="s">
        <v>263</v>
      </c>
      <c r="AA44" t="s">
        <v>96</v>
      </c>
      <c r="AB44" t="s">
        <v>96</v>
      </c>
      <c r="AC44" t="s">
        <v>96</v>
      </c>
      <c r="AD44" t="s">
        <v>96</v>
      </c>
      <c r="AE44" t="s">
        <v>780</v>
      </c>
      <c r="AF44" t="s">
        <v>263</v>
      </c>
      <c r="AG44" t="s">
        <v>268</v>
      </c>
      <c r="AH44" t="s">
        <v>263</v>
      </c>
      <c r="AI44" t="s">
        <v>781</v>
      </c>
      <c r="AJ44" t="s">
        <v>263</v>
      </c>
      <c r="AK44" t="s">
        <v>263</v>
      </c>
      <c r="AL44">
        <v>75.2</v>
      </c>
      <c r="AM44">
        <v>1.64</v>
      </c>
      <c r="AN44">
        <v>97</v>
      </c>
      <c r="AO44">
        <v>95</v>
      </c>
      <c r="AP44">
        <v>30.8</v>
      </c>
      <c r="AR44">
        <v>32.1</v>
      </c>
      <c r="AS44">
        <v>48</v>
      </c>
      <c r="AT44">
        <v>28</v>
      </c>
      <c r="AU44">
        <v>114</v>
      </c>
      <c r="AV44">
        <v>79</v>
      </c>
      <c r="AX44" t="s">
        <v>168</v>
      </c>
      <c r="AY44" t="s">
        <v>782</v>
      </c>
      <c r="AZ44" t="s">
        <v>783</v>
      </c>
      <c r="BB44" t="s">
        <v>784</v>
      </c>
      <c r="BC44" t="s">
        <v>785</v>
      </c>
      <c r="BD44" t="s">
        <v>409</v>
      </c>
      <c r="BF44" t="s">
        <v>322</v>
      </c>
      <c r="BG44" t="s">
        <v>272</v>
      </c>
      <c r="BH44" t="s">
        <v>299</v>
      </c>
      <c r="BI44" t="s">
        <v>299</v>
      </c>
      <c r="BJ44" t="s">
        <v>322</v>
      </c>
      <c r="BK44" t="s">
        <v>299</v>
      </c>
      <c r="BN44" t="s">
        <v>786</v>
      </c>
      <c r="BO44" t="s">
        <v>302</v>
      </c>
      <c r="BP44" t="s">
        <v>303</v>
      </c>
      <c r="BZ44" t="s">
        <v>787</v>
      </c>
      <c r="CA44" t="s">
        <v>788</v>
      </c>
      <c r="CB44" t="s">
        <v>789</v>
      </c>
      <c r="CL44" t="s">
        <v>306</v>
      </c>
      <c r="CM44" t="s">
        <v>434</v>
      </c>
      <c r="CN44" t="s">
        <v>790</v>
      </c>
      <c r="CP44" t="s">
        <v>452</v>
      </c>
      <c r="CQ44" t="s">
        <v>791</v>
      </c>
      <c r="CT44" t="s">
        <v>792</v>
      </c>
      <c r="CU44" t="s">
        <v>793</v>
      </c>
      <c r="CV44" t="s">
        <v>794</v>
      </c>
      <c r="CW44">
        <v>3</v>
      </c>
      <c r="CX44" t="s">
        <v>795</v>
      </c>
      <c r="CY44" t="s">
        <v>263</v>
      </c>
      <c r="CZ44">
        <v>30</v>
      </c>
      <c r="DA44">
        <v>30</v>
      </c>
      <c r="DB44">
        <v>40</v>
      </c>
      <c r="DC44">
        <v>92.6</v>
      </c>
      <c r="DD44">
        <v>0.99</v>
      </c>
      <c r="DE44">
        <v>180</v>
      </c>
      <c r="DF44">
        <v>151</v>
      </c>
      <c r="DG44" s="9">
        <f t="shared" si="0"/>
        <v>4.7727844892335289</v>
      </c>
      <c r="DH44">
        <v>30.2</v>
      </c>
      <c r="DI44">
        <v>4.95</v>
      </c>
      <c r="DL44">
        <v>18.2</v>
      </c>
      <c r="DM44">
        <v>131.6</v>
      </c>
      <c r="DU44">
        <v>6.7</v>
      </c>
    </row>
    <row r="45" spans="1:126" x14ac:dyDescent="0.2">
      <c r="A45" s="9" t="s">
        <v>796</v>
      </c>
      <c r="B45" s="8">
        <v>43308</v>
      </c>
      <c r="C45" s="9" t="s">
        <v>107</v>
      </c>
      <c r="D45" s="9">
        <v>45</v>
      </c>
      <c r="E45" s="49" t="s">
        <v>797</v>
      </c>
      <c r="F45" s="8">
        <v>26512</v>
      </c>
      <c r="M45" s="9" t="s">
        <v>99</v>
      </c>
      <c r="N45" s="10" t="s">
        <v>798</v>
      </c>
      <c r="O45" s="9" t="s">
        <v>99</v>
      </c>
      <c r="P45" s="9" t="s">
        <v>99</v>
      </c>
      <c r="Q45" s="9" t="s">
        <v>99</v>
      </c>
      <c r="R45" s="9" t="s">
        <v>110</v>
      </c>
      <c r="U45" s="10" t="s">
        <v>799</v>
      </c>
      <c r="W45" s="10" t="s">
        <v>800</v>
      </c>
      <c r="Z45" s="10" t="s">
        <v>801</v>
      </c>
      <c r="AA45" s="9" t="s">
        <v>100</v>
      </c>
      <c r="AB45" s="9" t="s">
        <v>100</v>
      </c>
      <c r="AC45" s="9" t="s">
        <v>100</v>
      </c>
      <c r="AD45" s="50" t="s">
        <v>802</v>
      </c>
      <c r="AE45" s="10" t="s">
        <v>135</v>
      </c>
      <c r="AF45" s="10" t="s">
        <v>664</v>
      </c>
      <c r="AG45" s="10" t="s">
        <v>664</v>
      </c>
      <c r="AH45" s="9" t="s">
        <v>99</v>
      </c>
      <c r="AI45" s="9" t="s">
        <v>99</v>
      </c>
      <c r="AJ45" s="9" t="s">
        <v>99</v>
      </c>
      <c r="AK45" s="9" t="s">
        <v>99</v>
      </c>
      <c r="AL45" s="9">
        <v>82.3</v>
      </c>
      <c r="AM45" s="9">
        <v>166.5</v>
      </c>
      <c r="AN45" s="10">
        <v>106</v>
      </c>
      <c r="AO45" s="9">
        <v>107</v>
      </c>
      <c r="AP45" s="9">
        <v>31.3</v>
      </c>
      <c r="AQ45" s="9">
        <v>14</v>
      </c>
      <c r="AR45" s="9">
        <v>31.9</v>
      </c>
      <c r="AS45" s="9">
        <v>54</v>
      </c>
      <c r="AT45" s="9">
        <v>29.5</v>
      </c>
      <c r="AU45" s="10">
        <v>134</v>
      </c>
      <c r="AV45" s="10">
        <v>87</v>
      </c>
      <c r="AX45" s="9" t="s">
        <v>803</v>
      </c>
      <c r="AY45" s="9" t="s">
        <v>804</v>
      </c>
      <c r="BF45" s="9" t="s">
        <v>805</v>
      </c>
      <c r="BG45" s="9" t="s">
        <v>805</v>
      </c>
      <c r="BH45" s="9" t="s">
        <v>595</v>
      </c>
      <c r="BI45" s="9" t="s">
        <v>806</v>
      </c>
      <c r="BJ45" s="9" t="s">
        <v>595</v>
      </c>
      <c r="BK45" s="9" t="s">
        <v>142</v>
      </c>
      <c r="BM45" s="9" t="s">
        <v>805</v>
      </c>
      <c r="BQ45" s="9" t="s">
        <v>654</v>
      </c>
      <c r="BU45" s="9" t="s">
        <v>99</v>
      </c>
      <c r="BZ45" s="9" t="s">
        <v>807</v>
      </c>
      <c r="CA45" s="9" t="s">
        <v>808</v>
      </c>
      <c r="CC45" s="9" t="s">
        <v>99</v>
      </c>
      <c r="CG45" s="9" t="s">
        <v>99</v>
      </c>
      <c r="CL45" s="9" t="s">
        <v>685</v>
      </c>
      <c r="CM45" s="9" t="s">
        <v>809</v>
      </c>
      <c r="CP45" s="9" t="s">
        <v>810</v>
      </c>
      <c r="CT45" s="9" t="s">
        <v>811</v>
      </c>
      <c r="CW45" s="9">
        <v>4</v>
      </c>
      <c r="CX45" s="9" t="s">
        <v>110</v>
      </c>
      <c r="CY45" s="9" t="s">
        <v>99</v>
      </c>
      <c r="DC45" s="9">
        <v>84.6</v>
      </c>
      <c r="DD45" s="9">
        <v>0.76</v>
      </c>
      <c r="DE45" s="9">
        <v>151</v>
      </c>
      <c r="DF45" s="9">
        <v>84</v>
      </c>
      <c r="DG45" s="9">
        <f t="shared" si="0"/>
        <v>4.4343755327277457</v>
      </c>
      <c r="DH45" s="9">
        <v>16.8</v>
      </c>
      <c r="DI45" s="9">
        <v>4.95</v>
      </c>
      <c r="DL45" s="9">
        <v>48.1</v>
      </c>
      <c r="DM45" s="9">
        <v>86.1</v>
      </c>
      <c r="DP45" s="11">
        <v>2</v>
      </c>
      <c r="DQ45" s="30">
        <v>1</v>
      </c>
      <c r="DR45" s="9">
        <v>2</v>
      </c>
      <c r="DT45" s="9">
        <v>16</v>
      </c>
      <c r="DU45" s="9">
        <v>6</v>
      </c>
    </row>
    <row r="46" spans="1:126" x14ac:dyDescent="0.2">
      <c r="A46" s="7" t="s">
        <v>812</v>
      </c>
      <c r="B46" s="8">
        <v>43308</v>
      </c>
      <c r="C46" s="9" t="s">
        <v>95</v>
      </c>
      <c r="D46" s="9">
        <v>45</v>
      </c>
      <c r="E46" s="35" t="s">
        <v>109</v>
      </c>
      <c r="F46" s="8">
        <v>26835</v>
      </c>
      <c r="G46" s="9" t="s">
        <v>813</v>
      </c>
      <c r="I46" s="9">
        <v>13</v>
      </c>
      <c r="J46" s="9" t="s">
        <v>99</v>
      </c>
      <c r="K46" s="8">
        <v>2009</v>
      </c>
      <c r="L46" s="9">
        <v>3</v>
      </c>
      <c r="M46" s="9" t="s">
        <v>99</v>
      </c>
      <c r="N46" s="9" t="s">
        <v>99</v>
      </c>
      <c r="O46" s="9" t="s">
        <v>99</v>
      </c>
      <c r="P46" s="9" t="s">
        <v>99</v>
      </c>
      <c r="Q46" s="10" t="s">
        <v>814</v>
      </c>
      <c r="R46" s="7" t="s">
        <v>99</v>
      </c>
      <c r="S46" s="9" t="s">
        <v>99</v>
      </c>
      <c r="T46" s="9" t="s">
        <v>99</v>
      </c>
      <c r="U46" s="9" t="s">
        <v>99</v>
      </c>
      <c r="V46" s="9" t="s">
        <v>99</v>
      </c>
      <c r="W46" s="9" t="s">
        <v>99</v>
      </c>
      <c r="X46" s="9" t="s">
        <v>99</v>
      </c>
      <c r="Y46" s="9" t="s">
        <v>99</v>
      </c>
      <c r="Z46" s="9" t="s">
        <v>815</v>
      </c>
      <c r="AA46" s="35" t="s">
        <v>109</v>
      </c>
      <c r="AB46" s="37" t="s">
        <v>816</v>
      </c>
      <c r="AC46" s="35" t="s">
        <v>109</v>
      </c>
      <c r="AD46" s="37" t="s">
        <v>816</v>
      </c>
      <c r="AE46" s="9" t="s">
        <v>99</v>
      </c>
      <c r="AF46" s="9" t="s">
        <v>99</v>
      </c>
      <c r="AG46" s="9" t="s">
        <v>99</v>
      </c>
      <c r="AH46" s="9" t="s">
        <v>99</v>
      </c>
      <c r="AI46" s="9" t="s">
        <v>99</v>
      </c>
      <c r="AJ46" s="9" t="s">
        <v>99</v>
      </c>
      <c r="AK46" s="9" t="s">
        <v>99</v>
      </c>
      <c r="AL46" s="9">
        <v>59.2</v>
      </c>
      <c r="AM46" s="9">
        <v>163</v>
      </c>
      <c r="AN46" s="9">
        <v>84</v>
      </c>
      <c r="AO46" s="9">
        <v>95</v>
      </c>
      <c r="AP46" s="9">
        <v>36</v>
      </c>
      <c r="AQ46" s="9">
        <v>5</v>
      </c>
      <c r="AR46" s="9">
        <v>24.5</v>
      </c>
      <c r="AS46" s="9">
        <v>38</v>
      </c>
      <c r="AT46" s="7">
        <v>22.3</v>
      </c>
      <c r="AU46" s="9">
        <v>119</v>
      </c>
      <c r="AV46" s="9">
        <v>73</v>
      </c>
      <c r="AW46" s="9" t="s">
        <v>176</v>
      </c>
      <c r="AX46" s="9" t="s">
        <v>817</v>
      </c>
      <c r="AY46" s="9" t="s">
        <v>748</v>
      </c>
      <c r="BA46" s="9" t="s">
        <v>818</v>
      </c>
      <c r="BB46" s="9" t="s">
        <v>750</v>
      </c>
      <c r="BC46" s="9" t="s">
        <v>749</v>
      </c>
      <c r="BF46" s="9" t="s">
        <v>819</v>
      </c>
      <c r="BG46" s="9" t="s">
        <v>350</v>
      </c>
      <c r="BH46" s="9" t="s">
        <v>350</v>
      </c>
      <c r="BI46" s="9" t="s">
        <v>176</v>
      </c>
      <c r="BJ46" s="9" t="s">
        <v>176</v>
      </c>
      <c r="BK46" s="9" t="s">
        <v>350</v>
      </c>
      <c r="BM46" s="9" t="s">
        <v>820</v>
      </c>
      <c r="BQ46" s="9" t="s">
        <v>110</v>
      </c>
      <c r="BY46" s="9" t="s">
        <v>350</v>
      </c>
      <c r="BZ46" s="9" t="s">
        <v>821</v>
      </c>
      <c r="CA46" s="9" t="s">
        <v>752</v>
      </c>
      <c r="CB46" s="9" t="s">
        <v>822</v>
      </c>
      <c r="CC46" s="9" t="s">
        <v>99</v>
      </c>
      <c r="CG46" s="9" t="s">
        <v>99</v>
      </c>
      <c r="CL46" s="9" t="s">
        <v>823</v>
      </c>
      <c r="CM46" s="9" t="s">
        <v>824</v>
      </c>
      <c r="CN46" s="9" t="s">
        <v>825</v>
      </c>
      <c r="CO46" s="9" t="s">
        <v>176</v>
      </c>
      <c r="CP46" s="9" t="s">
        <v>826</v>
      </c>
      <c r="CQ46" s="9" t="s">
        <v>757</v>
      </c>
      <c r="CR46" s="9" t="s">
        <v>362</v>
      </c>
      <c r="CS46" s="9" t="s">
        <v>827</v>
      </c>
      <c r="CT46" s="9" t="s">
        <v>828</v>
      </c>
      <c r="CU46" s="9" t="s">
        <v>829</v>
      </c>
      <c r="CV46" s="9" t="s">
        <v>830</v>
      </c>
      <c r="CW46" s="45">
        <v>43193</v>
      </c>
      <c r="CX46" s="9" t="s">
        <v>99</v>
      </c>
      <c r="CY46" s="9" t="s">
        <v>99</v>
      </c>
      <c r="CZ46" s="9">
        <v>30</v>
      </c>
      <c r="DA46" s="9">
        <v>20</v>
      </c>
      <c r="DB46" s="9">
        <v>50</v>
      </c>
      <c r="DC46" s="9">
        <v>88.1</v>
      </c>
      <c r="DD46" s="9">
        <v>0.62</v>
      </c>
      <c r="DE46" s="10">
        <v>201</v>
      </c>
      <c r="DF46" s="9">
        <v>128</v>
      </c>
      <c r="DG46" s="9">
        <f t="shared" si="0"/>
        <v>4.6652513984308754</v>
      </c>
      <c r="DH46" s="9">
        <v>25.6</v>
      </c>
      <c r="DI46" s="9">
        <v>3.97</v>
      </c>
      <c r="DP46" s="11">
        <v>2</v>
      </c>
      <c r="DR46" s="30">
        <v>1</v>
      </c>
      <c r="DT46" s="9">
        <v>14.7</v>
      </c>
      <c r="DU46" s="9">
        <v>5</v>
      </c>
    </row>
    <row r="47" spans="1:126" x14ac:dyDescent="0.2">
      <c r="A47" s="14" t="s">
        <v>831</v>
      </c>
      <c r="B47" s="8">
        <v>43308</v>
      </c>
      <c r="C47" s="9" t="s">
        <v>107</v>
      </c>
      <c r="D47" s="9">
        <v>72</v>
      </c>
      <c r="E47" s="9" t="s">
        <v>96</v>
      </c>
      <c r="F47" s="17">
        <v>17031</v>
      </c>
      <c r="G47" s="9" t="s">
        <v>481</v>
      </c>
      <c r="H47" s="9" t="s">
        <v>832</v>
      </c>
      <c r="M47" s="9" t="s">
        <v>99</v>
      </c>
      <c r="N47" s="9" t="s">
        <v>99</v>
      </c>
      <c r="O47" s="9" t="s">
        <v>99</v>
      </c>
      <c r="P47" s="10" t="s">
        <v>833</v>
      </c>
      <c r="Q47" s="10" t="s">
        <v>834</v>
      </c>
      <c r="S47" s="9" t="s">
        <v>99</v>
      </c>
      <c r="T47" s="9" t="s">
        <v>99</v>
      </c>
      <c r="U47" s="9" t="s">
        <v>99</v>
      </c>
      <c r="V47" s="9" t="s">
        <v>99</v>
      </c>
      <c r="W47" s="9" t="s">
        <v>99</v>
      </c>
      <c r="X47" s="9" t="s">
        <v>99</v>
      </c>
      <c r="AA47" s="9" t="s">
        <v>605</v>
      </c>
      <c r="AB47" s="9" t="s">
        <v>100</v>
      </c>
      <c r="AC47" s="9" t="s">
        <v>605</v>
      </c>
      <c r="AD47" s="9" t="s">
        <v>100</v>
      </c>
      <c r="AE47" s="9" t="s">
        <v>99</v>
      </c>
      <c r="AF47" s="9" t="s">
        <v>99</v>
      </c>
      <c r="AG47" s="9" t="s">
        <v>99</v>
      </c>
      <c r="AH47" s="9" t="s">
        <v>99</v>
      </c>
      <c r="AI47" s="9" t="s">
        <v>99</v>
      </c>
      <c r="AJ47" s="9" t="s">
        <v>99</v>
      </c>
      <c r="AK47" s="9" t="s">
        <v>99</v>
      </c>
      <c r="AL47" s="9">
        <v>73</v>
      </c>
      <c r="AM47" s="9">
        <v>167</v>
      </c>
      <c r="AN47" s="10">
        <v>106</v>
      </c>
      <c r="AO47" s="9">
        <v>98</v>
      </c>
      <c r="AP47" s="9">
        <v>29</v>
      </c>
      <c r="AQ47" s="9">
        <v>14</v>
      </c>
      <c r="AR47" s="9">
        <v>29.5</v>
      </c>
      <c r="AS47" s="9">
        <v>59</v>
      </c>
      <c r="AT47" s="9">
        <v>26.5</v>
      </c>
      <c r="AU47" s="10">
        <v>136</v>
      </c>
      <c r="AV47" s="10">
        <v>85</v>
      </c>
      <c r="AW47" s="9" t="s">
        <v>176</v>
      </c>
      <c r="BA47" s="9" t="s">
        <v>176</v>
      </c>
      <c r="BE47" s="9" t="s">
        <v>176</v>
      </c>
      <c r="BL47" s="9" t="s">
        <v>176</v>
      </c>
      <c r="BY47" s="9" t="s">
        <v>176</v>
      </c>
      <c r="CW47" s="9">
        <v>2</v>
      </c>
      <c r="CX47" s="9" t="s">
        <v>99</v>
      </c>
      <c r="CY47" s="9" t="s">
        <v>835</v>
      </c>
      <c r="CZ47" s="9">
        <v>25</v>
      </c>
      <c r="DA47" s="9">
        <v>25</v>
      </c>
      <c r="DB47" s="9">
        <v>50</v>
      </c>
      <c r="DC47" s="10">
        <v>108.7</v>
      </c>
      <c r="DD47" s="10">
        <v>1.7</v>
      </c>
      <c r="DE47" s="9">
        <v>168</v>
      </c>
      <c r="DF47" s="10">
        <v>157</v>
      </c>
      <c r="DG47" s="9">
        <f t="shared" si="0"/>
        <v>4.8724187997377362</v>
      </c>
      <c r="DH47" s="9">
        <v>31.4</v>
      </c>
      <c r="DI47" s="9">
        <v>8.0399999999999991</v>
      </c>
      <c r="DP47" s="11">
        <v>2</v>
      </c>
      <c r="DR47" s="9">
        <v>2</v>
      </c>
      <c r="DU47" s="9">
        <v>4.2</v>
      </c>
    </row>
    <row r="48" spans="1:126" x14ac:dyDescent="0.2">
      <c r="A48" s="9" t="s">
        <v>836</v>
      </c>
      <c r="B48" s="21">
        <v>43794</v>
      </c>
      <c r="C48" s="20" t="s">
        <v>107</v>
      </c>
      <c r="D48" s="20">
        <v>37</v>
      </c>
      <c r="E48" s="20" t="s">
        <v>96</v>
      </c>
      <c r="F48" s="51">
        <v>30248</v>
      </c>
      <c r="G48" s="20" t="s">
        <v>837</v>
      </c>
      <c r="H48" s="20" t="s">
        <v>838</v>
      </c>
      <c r="I48" s="20"/>
      <c r="J48" s="20"/>
      <c r="K48" s="25"/>
      <c r="L48" s="20"/>
      <c r="M48" s="20" t="s">
        <v>99</v>
      </c>
      <c r="N48" s="20" t="s">
        <v>99</v>
      </c>
      <c r="O48" s="20" t="s">
        <v>110</v>
      </c>
      <c r="P48" s="20" t="s">
        <v>99</v>
      </c>
      <c r="Q48" s="20" t="s">
        <v>99</v>
      </c>
      <c r="R48" s="20" t="s">
        <v>110</v>
      </c>
      <c r="S48" s="20" t="s">
        <v>110</v>
      </c>
      <c r="T48" s="20" t="s">
        <v>99</v>
      </c>
      <c r="U48" s="20" t="s">
        <v>839</v>
      </c>
      <c r="V48" s="21" t="s">
        <v>99</v>
      </c>
      <c r="W48" s="20"/>
      <c r="X48" s="20"/>
      <c r="Y48" s="20"/>
      <c r="Z48" s="20"/>
      <c r="AA48" s="20" t="s">
        <v>840</v>
      </c>
      <c r="AB48" s="20" t="s">
        <v>403</v>
      </c>
      <c r="AC48" s="20" t="s">
        <v>841</v>
      </c>
      <c r="AD48" s="20" t="s">
        <v>403</v>
      </c>
      <c r="AE48" s="20" t="s">
        <v>842</v>
      </c>
      <c r="AF48" s="20" t="s">
        <v>843</v>
      </c>
      <c r="AG48" s="20" t="s">
        <v>205</v>
      </c>
      <c r="AH48" s="20" t="s">
        <v>99</v>
      </c>
      <c r="AI48" s="20" t="s">
        <v>99</v>
      </c>
      <c r="AJ48" s="20" t="s">
        <v>99</v>
      </c>
      <c r="AK48" s="20" t="s">
        <v>99</v>
      </c>
      <c r="AL48" s="20" t="s">
        <v>844</v>
      </c>
      <c r="AM48" s="20">
        <v>182</v>
      </c>
      <c r="AN48" s="20">
        <v>113</v>
      </c>
      <c r="AO48" s="20">
        <v>118</v>
      </c>
      <c r="AP48" s="20" t="s">
        <v>845</v>
      </c>
      <c r="AQ48" s="20"/>
      <c r="AR48" s="20" t="s">
        <v>846</v>
      </c>
      <c r="AS48" s="20">
        <v>70</v>
      </c>
      <c r="AT48" s="20" t="s">
        <v>847</v>
      </c>
      <c r="AU48" s="20">
        <v>139</v>
      </c>
      <c r="AV48" s="20">
        <v>80</v>
      </c>
      <c r="AW48" s="20"/>
      <c r="AX48" s="20" t="s">
        <v>592</v>
      </c>
      <c r="AY48" s="20" t="s">
        <v>848</v>
      </c>
      <c r="AZ48" s="20" t="s">
        <v>125</v>
      </c>
      <c r="BA48" s="20"/>
      <c r="BB48" s="20" t="s">
        <v>750</v>
      </c>
      <c r="BC48" s="20" t="s">
        <v>749</v>
      </c>
      <c r="BD48" s="20" t="s">
        <v>849</v>
      </c>
      <c r="BE48" s="20"/>
      <c r="BF48" s="20" t="s">
        <v>850</v>
      </c>
      <c r="BG48" s="20" t="s">
        <v>851</v>
      </c>
      <c r="BH48" s="20" t="s">
        <v>852</v>
      </c>
      <c r="BI48" s="20" t="s">
        <v>853</v>
      </c>
      <c r="BJ48" s="20" t="s">
        <v>854</v>
      </c>
      <c r="BK48" s="20" t="s">
        <v>850</v>
      </c>
      <c r="BL48" s="20"/>
      <c r="BM48" s="20"/>
      <c r="BN48" s="20" t="s">
        <v>855</v>
      </c>
      <c r="BO48" s="20" t="s">
        <v>180</v>
      </c>
      <c r="BP48" s="20" t="s">
        <v>219</v>
      </c>
      <c r="BQ48" s="20"/>
      <c r="BR48" s="20"/>
      <c r="BS48" s="20"/>
      <c r="BT48" s="20"/>
      <c r="BU48" s="20"/>
      <c r="BV48" s="20" t="s">
        <v>856</v>
      </c>
      <c r="BW48" s="22" t="s">
        <v>857</v>
      </c>
      <c r="BX48" s="20"/>
      <c r="BY48" s="20"/>
      <c r="BZ48" s="20" t="s">
        <v>858</v>
      </c>
      <c r="CA48" s="20" t="s">
        <v>183</v>
      </c>
      <c r="CB48" s="20" t="s">
        <v>859</v>
      </c>
      <c r="CC48" s="20"/>
      <c r="CD48" s="20"/>
      <c r="CE48" s="20"/>
      <c r="CF48" s="20"/>
      <c r="CG48" s="20"/>
      <c r="CH48" s="20"/>
      <c r="CI48" s="20"/>
      <c r="CJ48" s="20"/>
      <c r="CK48" s="20"/>
      <c r="CL48" s="20" t="s">
        <v>860</v>
      </c>
      <c r="CM48" s="20" t="s">
        <v>861</v>
      </c>
      <c r="CN48" s="20" t="s">
        <v>862</v>
      </c>
      <c r="CO48" s="20"/>
      <c r="CP48" s="20" t="s">
        <v>362</v>
      </c>
      <c r="CQ48" s="20" t="s">
        <v>863</v>
      </c>
      <c r="CR48" s="20" t="s">
        <v>864</v>
      </c>
      <c r="CS48" s="20"/>
      <c r="CT48" s="20" t="s">
        <v>865</v>
      </c>
      <c r="CU48" s="20" t="s">
        <v>866</v>
      </c>
      <c r="CV48" s="20"/>
      <c r="CW48" s="20">
        <v>3</v>
      </c>
      <c r="CX48" s="20" t="s">
        <v>110</v>
      </c>
      <c r="CY48" s="20" t="s">
        <v>867</v>
      </c>
      <c r="CZ48" s="20">
        <v>50</v>
      </c>
      <c r="DA48" s="20">
        <v>20</v>
      </c>
      <c r="DB48" s="20">
        <v>30</v>
      </c>
      <c r="DC48">
        <v>59.7</v>
      </c>
      <c r="DD48">
        <v>0.93</v>
      </c>
      <c r="DE48">
        <v>169</v>
      </c>
      <c r="DF48">
        <v>233</v>
      </c>
      <c r="DG48" s="9">
        <f t="shared" si="0"/>
        <v>4.7701852369821287</v>
      </c>
      <c r="DH48">
        <v>46.6</v>
      </c>
      <c r="DI48">
        <v>7.67</v>
      </c>
      <c r="DJ48"/>
      <c r="DK48"/>
      <c r="DL48">
        <v>35.700000000000003</v>
      </c>
      <c r="DM48">
        <v>86.7</v>
      </c>
      <c r="DN48" s="20"/>
      <c r="DR48" s="9">
        <v>2</v>
      </c>
    </row>
    <row r="49" spans="1:125" x14ac:dyDescent="0.2">
      <c r="A49" s="9" t="s">
        <v>868</v>
      </c>
      <c r="B49" s="8">
        <v>43308</v>
      </c>
      <c r="C49" s="9" t="s">
        <v>107</v>
      </c>
      <c r="D49" s="9">
        <v>45</v>
      </c>
      <c r="E49" s="9" t="s">
        <v>96</v>
      </c>
      <c r="F49" s="8">
        <v>26646</v>
      </c>
      <c r="G49" s="9" t="s">
        <v>869</v>
      </c>
      <c r="H49" s="9" t="s">
        <v>870</v>
      </c>
      <c r="M49" s="9" t="s">
        <v>99</v>
      </c>
      <c r="N49" s="9" t="s">
        <v>99</v>
      </c>
      <c r="O49" s="9" t="s">
        <v>99</v>
      </c>
      <c r="P49" s="9" t="s">
        <v>815</v>
      </c>
      <c r="Q49" s="10" t="s">
        <v>871</v>
      </c>
      <c r="R49" s="7" t="s">
        <v>99</v>
      </c>
      <c r="S49" s="9" t="s">
        <v>99</v>
      </c>
      <c r="T49" s="9" t="s">
        <v>99</v>
      </c>
      <c r="U49" s="9" t="s">
        <v>99</v>
      </c>
      <c r="V49" s="9" t="s">
        <v>99</v>
      </c>
      <c r="W49" s="9" t="s">
        <v>99</v>
      </c>
      <c r="X49" s="9" t="s">
        <v>99</v>
      </c>
      <c r="Z49" s="10" t="s">
        <v>872</v>
      </c>
      <c r="AA49" s="9" t="s">
        <v>100</v>
      </c>
      <c r="AB49" s="9" t="s">
        <v>100</v>
      </c>
      <c r="AC49" s="9" t="s">
        <v>100</v>
      </c>
      <c r="AD49" s="9" t="s">
        <v>100</v>
      </c>
      <c r="AE49" s="9" t="s">
        <v>99</v>
      </c>
      <c r="AF49" s="9" t="s">
        <v>99</v>
      </c>
      <c r="AG49" s="10" t="s">
        <v>118</v>
      </c>
      <c r="AH49" s="10" t="s">
        <v>125</v>
      </c>
      <c r="AI49" s="9" t="s">
        <v>99</v>
      </c>
      <c r="AJ49" s="9" t="s">
        <v>99</v>
      </c>
      <c r="AK49" s="9" t="s">
        <v>99</v>
      </c>
      <c r="AL49" s="9">
        <v>61.7</v>
      </c>
      <c r="AM49" s="9">
        <v>170</v>
      </c>
      <c r="AN49" s="9">
        <v>77</v>
      </c>
      <c r="AO49" s="9">
        <v>82</v>
      </c>
      <c r="AP49" s="9">
        <v>18.2</v>
      </c>
      <c r="AQ49" s="9">
        <v>5</v>
      </c>
      <c r="AR49" s="9">
        <v>37.6</v>
      </c>
      <c r="AS49" s="9">
        <v>31</v>
      </c>
      <c r="AT49" s="7">
        <v>21.3</v>
      </c>
      <c r="AU49" s="9">
        <v>117</v>
      </c>
      <c r="AV49" s="9">
        <v>79</v>
      </c>
      <c r="AX49" s="9" t="s">
        <v>873</v>
      </c>
      <c r="AY49" s="9" t="s">
        <v>874</v>
      </c>
      <c r="AZ49" s="9" t="s">
        <v>875</v>
      </c>
      <c r="BB49" s="9" t="s">
        <v>876</v>
      </c>
      <c r="BC49" s="9" t="s">
        <v>877</v>
      </c>
      <c r="BD49" s="9" t="s">
        <v>878</v>
      </c>
      <c r="BF49" s="9" t="s">
        <v>594</v>
      </c>
      <c r="BG49" s="9" t="s">
        <v>594</v>
      </c>
      <c r="BH49" s="9" t="s">
        <v>596</v>
      </c>
      <c r="BI49" s="9" t="s">
        <v>594</v>
      </c>
      <c r="BJ49" s="9" t="s">
        <v>594</v>
      </c>
      <c r="BK49" s="9" t="s">
        <v>601</v>
      </c>
      <c r="BN49" s="9" t="s">
        <v>879</v>
      </c>
      <c r="BO49" s="9" t="s">
        <v>880</v>
      </c>
      <c r="BP49" s="9" t="s">
        <v>881</v>
      </c>
      <c r="BQ49" s="9" t="s">
        <v>99</v>
      </c>
      <c r="BV49" s="9" t="s">
        <v>882</v>
      </c>
      <c r="BW49" s="9" t="s">
        <v>883</v>
      </c>
      <c r="BZ49" s="9" t="s">
        <v>884</v>
      </c>
      <c r="CA49" s="9" t="s">
        <v>885</v>
      </c>
      <c r="CB49" s="9" t="s">
        <v>886</v>
      </c>
      <c r="CC49" s="9" t="s">
        <v>99</v>
      </c>
      <c r="CG49" s="9" t="s">
        <v>99</v>
      </c>
      <c r="CL49" s="9" t="s">
        <v>887</v>
      </c>
      <c r="CM49" s="9" t="s">
        <v>888</v>
      </c>
      <c r="CN49" s="9" t="s">
        <v>889</v>
      </c>
      <c r="CP49" s="9" t="s">
        <v>890</v>
      </c>
      <c r="CQ49" s="9" t="s">
        <v>891</v>
      </c>
      <c r="CT49" s="9" t="s">
        <v>892</v>
      </c>
      <c r="CW49" s="9">
        <v>3</v>
      </c>
      <c r="CX49" s="9" t="s">
        <v>893</v>
      </c>
      <c r="CY49" s="9" t="s">
        <v>894</v>
      </c>
      <c r="CZ49" s="9">
        <v>15</v>
      </c>
      <c r="DA49" s="9">
        <v>10</v>
      </c>
      <c r="DB49" s="9">
        <v>75</v>
      </c>
      <c r="DC49" s="9">
        <v>92.5</v>
      </c>
      <c r="DD49" s="9">
        <v>0.7</v>
      </c>
      <c r="DE49" s="9">
        <v>193</v>
      </c>
      <c r="DF49" s="10">
        <v>189</v>
      </c>
      <c r="DG49" s="9">
        <f t="shared" si="0"/>
        <v>4.8844778297890112</v>
      </c>
      <c r="DH49" s="9">
        <v>37.799999999999997</v>
      </c>
      <c r="DI49" s="9">
        <v>5.24</v>
      </c>
      <c r="DL49" s="9">
        <v>47.3</v>
      </c>
      <c r="DM49" s="9">
        <v>107.9</v>
      </c>
      <c r="DP49" s="11">
        <v>3</v>
      </c>
      <c r="DQ49" s="30">
        <v>1</v>
      </c>
      <c r="DR49" s="9">
        <v>2</v>
      </c>
      <c r="DU49" s="9">
        <v>8</v>
      </c>
    </row>
    <row r="50" spans="1:125" x14ac:dyDescent="0.2">
      <c r="A50" s="9" t="s">
        <v>895</v>
      </c>
      <c r="B50" s="8">
        <v>43308</v>
      </c>
      <c r="C50" s="9" t="s">
        <v>95</v>
      </c>
      <c r="D50" s="9">
        <v>36</v>
      </c>
      <c r="E50" s="9" t="s">
        <v>96</v>
      </c>
      <c r="F50" s="8">
        <v>29795</v>
      </c>
      <c r="G50" s="9" t="s">
        <v>400</v>
      </c>
      <c r="H50" s="9" t="s">
        <v>896</v>
      </c>
      <c r="I50" s="9">
        <v>13</v>
      </c>
      <c r="K50" s="8" t="s">
        <v>897</v>
      </c>
      <c r="L50" s="9">
        <v>2</v>
      </c>
      <c r="M50" s="9" t="s">
        <v>483</v>
      </c>
      <c r="N50" s="9" t="s">
        <v>483</v>
      </c>
      <c r="O50" s="9" t="s">
        <v>483</v>
      </c>
      <c r="P50" s="9" t="s">
        <v>483</v>
      </c>
      <c r="Q50" s="10" t="s">
        <v>588</v>
      </c>
      <c r="R50" s="7" t="s">
        <v>483</v>
      </c>
      <c r="S50" s="9" t="s">
        <v>483</v>
      </c>
      <c r="T50" s="9" t="s">
        <v>483</v>
      </c>
      <c r="U50" s="10" t="s">
        <v>898</v>
      </c>
      <c r="V50" s="9" t="s">
        <v>483</v>
      </c>
      <c r="X50" s="9" t="s">
        <v>483</v>
      </c>
      <c r="AA50" s="9" t="s">
        <v>100</v>
      </c>
      <c r="AB50" s="49" t="s">
        <v>899</v>
      </c>
      <c r="AC50" s="9" t="s">
        <v>100</v>
      </c>
      <c r="AD50" s="49" t="s">
        <v>899</v>
      </c>
      <c r="AE50" s="10" t="s">
        <v>900</v>
      </c>
      <c r="AF50" s="10" t="s">
        <v>423</v>
      </c>
      <c r="AG50" s="10" t="s">
        <v>901</v>
      </c>
      <c r="AH50" s="9" t="s">
        <v>483</v>
      </c>
      <c r="AI50" s="9" t="s">
        <v>99</v>
      </c>
      <c r="AJ50" s="9" t="s">
        <v>99</v>
      </c>
      <c r="AK50" s="9" t="s">
        <v>99</v>
      </c>
      <c r="AL50" s="9">
        <v>58.1</v>
      </c>
      <c r="AM50" s="9">
        <v>163</v>
      </c>
      <c r="AN50" s="30">
        <v>84</v>
      </c>
      <c r="AO50" s="9">
        <v>101</v>
      </c>
      <c r="AP50" s="9">
        <v>35.6</v>
      </c>
      <c r="AQ50" s="9">
        <v>5</v>
      </c>
      <c r="AR50" s="9">
        <v>24.3</v>
      </c>
      <c r="AS50" s="9">
        <v>31</v>
      </c>
      <c r="AT50" s="30">
        <v>21.9</v>
      </c>
      <c r="AU50" s="9">
        <v>128</v>
      </c>
      <c r="AV50" s="9">
        <v>79</v>
      </c>
      <c r="AX50" s="9" t="s">
        <v>168</v>
      </c>
      <c r="AY50" s="9" t="s">
        <v>793</v>
      </c>
      <c r="AZ50" s="9" t="s">
        <v>902</v>
      </c>
      <c r="BB50" s="9" t="s">
        <v>409</v>
      </c>
      <c r="BC50" s="9" t="s">
        <v>785</v>
      </c>
      <c r="BD50" s="9" t="s">
        <v>903</v>
      </c>
      <c r="BF50" s="9" t="s">
        <v>323</v>
      </c>
      <c r="BG50" s="9" t="s">
        <v>323</v>
      </c>
      <c r="BH50" s="9" t="s">
        <v>323</v>
      </c>
      <c r="BI50" s="9" t="s">
        <v>323</v>
      </c>
      <c r="BJ50" s="9" t="s">
        <v>323</v>
      </c>
      <c r="BN50" s="9" t="s">
        <v>376</v>
      </c>
      <c r="BO50" s="9" t="s">
        <v>904</v>
      </c>
      <c r="BP50" s="9" t="s">
        <v>499</v>
      </c>
      <c r="BV50" s="9" t="s">
        <v>905</v>
      </c>
      <c r="BW50" s="9" t="s">
        <v>906</v>
      </c>
      <c r="BZ50" s="9" t="s">
        <v>556</v>
      </c>
      <c r="CA50" s="9" t="s">
        <v>907</v>
      </c>
      <c r="CB50" s="9" t="s">
        <v>415</v>
      </c>
      <c r="CD50" s="9" t="s">
        <v>483</v>
      </c>
      <c r="CH50" s="9" t="s">
        <v>483</v>
      </c>
      <c r="CL50" s="9" t="s">
        <v>908</v>
      </c>
      <c r="CM50" s="9" t="s">
        <v>382</v>
      </c>
      <c r="CN50" s="9" t="s">
        <v>909</v>
      </c>
      <c r="CP50" s="9" t="s">
        <v>910</v>
      </c>
      <c r="CQ50" s="9" t="s">
        <v>911</v>
      </c>
      <c r="CT50" s="9" t="s">
        <v>539</v>
      </c>
      <c r="CU50" s="9" t="s">
        <v>912</v>
      </c>
      <c r="CW50" s="9">
        <v>4</v>
      </c>
      <c r="CX50" s="9" t="s">
        <v>588</v>
      </c>
      <c r="CY50" s="9" t="s">
        <v>483</v>
      </c>
      <c r="CZ50" s="9">
        <v>40</v>
      </c>
      <c r="DA50" s="9">
        <v>20</v>
      </c>
      <c r="DB50" s="9">
        <v>30</v>
      </c>
      <c r="DC50" s="9">
        <v>75.900000000000006</v>
      </c>
      <c r="DD50" s="9">
        <v>0.43</v>
      </c>
      <c r="DE50" s="9">
        <v>144</v>
      </c>
      <c r="DF50" s="10">
        <v>159</v>
      </c>
      <c r="DG50" s="9">
        <f t="shared" si="0"/>
        <v>4.699160443310908</v>
      </c>
      <c r="DH50" s="9">
        <v>31.8</v>
      </c>
      <c r="DI50" s="9">
        <v>5.25</v>
      </c>
      <c r="DL50" s="9">
        <v>43</v>
      </c>
      <c r="DM50" s="9">
        <v>69.2</v>
      </c>
      <c r="DP50" s="11">
        <v>2</v>
      </c>
      <c r="DQ50" s="9">
        <v>3</v>
      </c>
      <c r="DR50" s="9">
        <v>2</v>
      </c>
    </row>
    <row r="51" spans="1:125" x14ac:dyDescent="0.2">
      <c r="A51" s="7" t="s">
        <v>913</v>
      </c>
      <c r="B51" s="8">
        <v>43308</v>
      </c>
      <c r="C51" s="9" t="s">
        <v>95</v>
      </c>
      <c r="D51" s="9">
        <v>32</v>
      </c>
      <c r="E51" s="52" t="s">
        <v>914</v>
      </c>
      <c r="F51" s="8">
        <v>31319</v>
      </c>
      <c r="G51" s="9" t="s">
        <v>915</v>
      </c>
      <c r="H51" s="9" t="s">
        <v>916</v>
      </c>
      <c r="K51" s="9">
        <v>2010</v>
      </c>
      <c r="L51" s="9">
        <v>1</v>
      </c>
      <c r="M51" s="9" t="s">
        <v>483</v>
      </c>
      <c r="N51" s="9" t="s">
        <v>483</v>
      </c>
      <c r="O51" s="9" t="s">
        <v>483</v>
      </c>
      <c r="P51" s="9" t="s">
        <v>483</v>
      </c>
      <c r="Q51" s="10" t="s">
        <v>588</v>
      </c>
      <c r="AA51" s="52" t="s">
        <v>914</v>
      </c>
      <c r="AB51" s="52" t="s">
        <v>914</v>
      </c>
      <c r="AC51" s="52" t="s">
        <v>914</v>
      </c>
      <c r="AD51" s="52" t="s">
        <v>914</v>
      </c>
      <c r="AE51" s="9" t="s">
        <v>483</v>
      </c>
      <c r="AF51" s="9" t="s">
        <v>483</v>
      </c>
      <c r="AG51" s="9" t="s">
        <v>483</v>
      </c>
      <c r="AH51" s="9" t="s">
        <v>483</v>
      </c>
      <c r="AI51" s="9" t="s">
        <v>483</v>
      </c>
      <c r="AJ51" s="9" t="s">
        <v>483</v>
      </c>
      <c r="AK51" s="9" t="s">
        <v>483</v>
      </c>
      <c r="AL51" s="9">
        <v>53.4</v>
      </c>
      <c r="AM51" s="9">
        <v>160</v>
      </c>
      <c r="AN51" s="9">
        <v>70</v>
      </c>
      <c r="AO51" s="9">
        <v>90</v>
      </c>
      <c r="AP51" s="9">
        <v>31.5</v>
      </c>
      <c r="AQ51" s="9">
        <v>4</v>
      </c>
      <c r="AR51" s="9">
        <v>26.7</v>
      </c>
      <c r="AS51" s="9">
        <v>27</v>
      </c>
      <c r="AT51" s="7">
        <v>20.9</v>
      </c>
      <c r="AU51" s="9">
        <v>122</v>
      </c>
      <c r="AV51" s="9">
        <v>83</v>
      </c>
      <c r="AX51" s="9" t="s">
        <v>389</v>
      </c>
      <c r="AY51" s="9" t="s">
        <v>917</v>
      </c>
      <c r="AZ51" s="9" t="s">
        <v>168</v>
      </c>
      <c r="BB51" s="9" t="s">
        <v>325</v>
      </c>
      <c r="BF51" s="9" t="s">
        <v>323</v>
      </c>
      <c r="BG51" s="9" t="s">
        <v>635</v>
      </c>
      <c r="BH51" s="9" t="s">
        <v>325</v>
      </c>
      <c r="BI51" s="9" t="s">
        <v>635</v>
      </c>
      <c r="BJ51" s="9" t="s">
        <v>635</v>
      </c>
      <c r="BK51" s="9" t="s">
        <v>325</v>
      </c>
      <c r="BN51" s="9" t="s">
        <v>918</v>
      </c>
      <c r="BO51" s="9" t="s">
        <v>919</v>
      </c>
      <c r="BP51" s="9" t="s">
        <v>920</v>
      </c>
      <c r="BZ51" s="9" t="s">
        <v>330</v>
      </c>
      <c r="CA51" s="9" t="s">
        <v>332</v>
      </c>
      <c r="CB51" s="9" t="s">
        <v>921</v>
      </c>
      <c r="CL51" s="9" t="s">
        <v>922</v>
      </c>
      <c r="CM51" s="9" t="s">
        <v>923</v>
      </c>
      <c r="CP51" s="9" t="s">
        <v>452</v>
      </c>
      <c r="CQ51" s="9" t="s">
        <v>791</v>
      </c>
      <c r="CT51" s="9" t="s">
        <v>924</v>
      </c>
      <c r="CU51" s="9" t="s">
        <v>925</v>
      </c>
      <c r="CV51" s="9" t="s">
        <v>926</v>
      </c>
      <c r="CW51" s="9">
        <v>3</v>
      </c>
      <c r="CX51" s="9" t="s">
        <v>588</v>
      </c>
      <c r="CY51" s="9" t="s">
        <v>588</v>
      </c>
      <c r="DC51" s="9">
        <v>76.900000000000006</v>
      </c>
      <c r="DD51" s="9">
        <v>0.36</v>
      </c>
      <c r="DE51" s="9">
        <v>139</v>
      </c>
      <c r="DF51" s="9">
        <v>72</v>
      </c>
      <c r="DG51" s="9">
        <f t="shared" si="0"/>
        <v>4.3095859977638264</v>
      </c>
      <c r="DH51" s="9">
        <v>14.4</v>
      </c>
      <c r="DI51" s="9">
        <v>3.6</v>
      </c>
      <c r="DL51" s="9">
        <v>63.2</v>
      </c>
      <c r="DM51" s="9">
        <v>61.4</v>
      </c>
      <c r="DP51" s="11">
        <v>2</v>
      </c>
      <c r="DQ51" s="9">
        <v>2</v>
      </c>
      <c r="DR51" s="9">
        <v>3</v>
      </c>
    </row>
    <row r="52" spans="1:125" x14ac:dyDescent="0.2">
      <c r="A52" s="9" t="s">
        <v>927</v>
      </c>
      <c r="B52" s="8">
        <v>43308</v>
      </c>
      <c r="C52" s="9" t="s">
        <v>95</v>
      </c>
      <c r="D52" s="9">
        <v>40</v>
      </c>
      <c r="E52" s="9" t="s">
        <v>96</v>
      </c>
      <c r="F52" s="8">
        <v>28657</v>
      </c>
      <c r="I52" s="9">
        <v>12</v>
      </c>
      <c r="K52" s="9">
        <v>2004</v>
      </c>
      <c r="L52" s="9">
        <v>3</v>
      </c>
      <c r="Q52" s="10" t="s">
        <v>588</v>
      </c>
      <c r="R52" s="9" t="s">
        <v>588</v>
      </c>
      <c r="U52" s="9" t="s">
        <v>928</v>
      </c>
      <c r="Y52" s="9" t="s">
        <v>929</v>
      </c>
      <c r="Z52" s="9" t="s">
        <v>930</v>
      </c>
      <c r="AA52" s="9" t="s">
        <v>931</v>
      </c>
      <c r="AB52" s="9" t="s">
        <v>932</v>
      </c>
      <c r="AC52" s="9" t="s">
        <v>933</v>
      </c>
      <c r="AD52" s="9" t="s">
        <v>932</v>
      </c>
      <c r="AE52" s="10" t="s">
        <v>934</v>
      </c>
      <c r="AF52" s="10" t="s">
        <v>934</v>
      </c>
      <c r="AG52" s="10" t="s">
        <v>934</v>
      </c>
      <c r="AH52" s="10" t="s">
        <v>935</v>
      </c>
      <c r="AI52" s="10" t="s">
        <v>425</v>
      </c>
      <c r="AJ52" s="9" t="s">
        <v>483</v>
      </c>
      <c r="AK52" s="10" t="s">
        <v>936</v>
      </c>
      <c r="AL52" s="9">
        <v>71.7</v>
      </c>
      <c r="AM52" s="9">
        <v>158</v>
      </c>
      <c r="AN52" s="10">
        <v>93</v>
      </c>
      <c r="AO52" s="9">
        <v>109</v>
      </c>
      <c r="AP52" s="9">
        <v>43.8</v>
      </c>
      <c r="AQ52" s="9">
        <v>8</v>
      </c>
      <c r="AR52" s="9">
        <v>23.6</v>
      </c>
      <c r="AS52" s="9">
        <v>53</v>
      </c>
      <c r="AT52" s="9">
        <v>28</v>
      </c>
      <c r="AU52" s="9">
        <v>108</v>
      </c>
      <c r="AV52" s="9">
        <v>75</v>
      </c>
      <c r="AX52" s="9" t="s">
        <v>793</v>
      </c>
      <c r="AY52" s="9" t="s">
        <v>937</v>
      </c>
      <c r="BF52" s="9" t="s">
        <v>323</v>
      </c>
      <c r="BG52" s="9" t="s">
        <v>323</v>
      </c>
      <c r="BH52" s="9" t="s">
        <v>323</v>
      </c>
      <c r="BI52" s="9" t="s">
        <v>635</v>
      </c>
      <c r="BJ52" s="9" t="s">
        <v>323</v>
      </c>
      <c r="BK52" s="9" t="s">
        <v>323</v>
      </c>
      <c r="BN52" s="9" t="s">
        <v>904</v>
      </c>
      <c r="BO52" s="9" t="s">
        <v>498</v>
      </c>
      <c r="BP52" s="9" t="s">
        <v>938</v>
      </c>
      <c r="BR52" s="9" t="s">
        <v>939</v>
      </c>
      <c r="BV52" s="9" t="s">
        <v>64</v>
      </c>
      <c r="BZ52" s="9" t="s">
        <v>940</v>
      </c>
      <c r="CA52" s="9" t="s">
        <v>941</v>
      </c>
      <c r="CB52" s="9" t="s">
        <v>942</v>
      </c>
      <c r="CD52" s="9" t="s">
        <v>943</v>
      </c>
      <c r="CH52" s="9" t="s">
        <v>944</v>
      </c>
      <c r="CI52" s="9" t="s">
        <v>945</v>
      </c>
      <c r="CL52" s="9" t="s">
        <v>922</v>
      </c>
      <c r="CM52" s="9" t="s">
        <v>909</v>
      </c>
      <c r="CP52" s="9" t="s">
        <v>946</v>
      </c>
      <c r="CQ52" s="9" t="s">
        <v>791</v>
      </c>
      <c r="CT52" s="9" t="s">
        <v>635</v>
      </c>
      <c r="CW52" s="9">
        <v>2</v>
      </c>
      <c r="CX52" s="9" t="s">
        <v>483</v>
      </c>
      <c r="CY52" s="9" t="s">
        <v>483</v>
      </c>
      <c r="CZ52" s="9">
        <v>5</v>
      </c>
      <c r="DA52" s="9">
        <v>2</v>
      </c>
      <c r="DB52" s="9">
        <v>7</v>
      </c>
      <c r="DC52" s="9">
        <v>81.099999999999994</v>
      </c>
      <c r="DD52" s="9">
        <v>0.46</v>
      </c>
      <c r="DE52" s="9">
        <v>185</v>
      </c>
      <c r="DF52" s="9">
        <v>89</v>
      </c>
      <c r="DG52" s="9">
        <f t="shared" si="0"/>
        <v>4.4421596654267539</v>
      </c>
      <c r="DH52" s="9">
        <v>17.8</v>
      </c>
      <c r="DI52" s="9">
        <v>4.18</v>
      </c>
      <c r="DL52" s="9">
        <v>52.1</v>
      </c>
      <c r="DM52" s="9">
        <v>115.1</v>
      </c>
      <c r="DP52" s="11">
        <v>3</v>
      </c>
      <c r="DQ52" s="9">
        <v>2</v>
      </c>
      <c r="DR52" s="9">
        <v>2</v>
      </c>
    </row>
    <row r="53" spans="1:125" x14ac:dyDescent="0.2">
      <c r="A53" s="9" t="s">
        <v>947</v>
      </c>
      <c r="B53" s="8">
        <v>43278</v>
      </c>
      <c r="C53" s="9" t="s">
        <v>107</v>
      </c>
      <c r="D53" s="9">
        <v>48</v>
      </c>
      <c r="E53" s="9" t="s">
        <v>96</v>
      </c>
      <c r="F53" s="8">
        <v>25573</v>
      </c>
      <c r="G53" s="9" t="s">
        <v>948</v>
      </c>
      <c r="K53" s="47"/>
      <c r="N53" s="9" t="s">
        <v>483</v>
      </c>
      <c r="P53" s="9" t="s">
        <v>483</v>
      </c>
      <c r="Q53" s="9" t="s">
        <v>483</v>
      </c>
      <c r="R53" s="7" t="s">
        <v>483</v>
      </c>
      <c r="S53" s="9" t="s">
        <v>483</v>
      </c>
      <c r="T53" s="9" t="s">
        <v>483</v>
      </c>
      <c r="U53" s="9" t="s">
        <v>483</v>
      </c>
      <c r="V53" s="9" t="s">
        <v>483</v>
      </c>
      <c r="X53" s="9" t="s">
        <v>483</v>
      </c>
      <c r="AA53" s="9" t="s">
        <v>949</v>
      </c>
      <c r="AB53" s="14" t="s">
        <v>150</v>
      </c>
      <c r="AC53" s="9" t="s">
        <v>949</v>
      </c>
      <c r="AD53" s="14" t="s">
        <v>150</v>
      </c>
      <c r="AE53" s="10" t="s">
        <v>423</v>
      </c>
      <c r="AF53" s="10" t="s">
        <v>423</v>
      </c>
      <c r="AG53" s="9" t="s">
        <v>483</v>
      </c>
      <c r="AH53" s="10" t="s">
        <v>423</v>
      </c>
      <c r="AI53" s="9" t="s">
        <v>588</v>
      </c>
      <c r="AJ53" s="9" t="s">
        <v>483</v>
      </c>
      <c r="AK53" s="9" t="s">
        <v>483</v>
      </c>
      <c r="AL53" s="9">
        <v>84.8</v>
      </c>
      <c r="AM53" s="9">
        <v>184</v>
      </c>
      <c r="AN53" s="10">
        <v>94</v>
      </c>
      <c r="AO53" s="9">
        <v>105</v>
      </c>
      <c r="AP53" s="9">
        <v>24.6</v>
      </c>
      <c r="AQ53" s="9">
        <v>8</v>
      </c>
      <c r="AR53" s="9">
        <v>34.299999999999997</v>
      </c>
      <c r="AS53" s="9">
        <v>58</v>
      </c>
      <c r="AT53" s="9">
        <v>25</v>
      </c>
      <c r="AU53" s="10">
        <v>141</v>
      </c>
      <c r="AV53" s="10">
        <v>86</v>
      </c>
      <c r="AX53" s="9" t="s">
        <v>950</v>
      </c>
      <c r="AY53" s="9" t="s">
        <v>951</v>
      </c>
      <c r="AZ53" s="9" t="s">
        <v>952</v>
      </c>
      <c r="BF53" s="9" t="s">
        <v>325</v>
      </c>
      <c r="BG53" s="9" t="s">
        <v>323</v>
      </c>
      <c r="BH53" s="9" t="s">
        <v>325</v>
      </c>
      <c r="BI53" s="9" t="s">
        <v>323</v>
      </c>
      <c r="BJ53" s="9" t="s">
        <v>325</v>
      </c>
      <c r="BK53" s="9" t="s">
        <v>323</v>
      </c>
      <c r="BN53" s="9" t="s">
        <v>953</v>
      </c>
      <c r="BO53" s="9" t="s">
        <v>954</v>
      </c>
      <c r="BP53" s="9" t="s">
        <v>919</v>
      </c>
      <c r="BV53" s="9" t="s">
        <v>554</v>
      </c>
      <c r="BZ53" s="9" t="s">
        <v>330</v>
      </c>
      <c r="CA53" s="9" t="s">
        <v>332</v>
      </c>
      <c r="CL53" s="9" t="s">
        <v>434</v>
      </c>
      <c r="CM53" s="9" t="s">
        <v>955</v>
      </c>
      <c r="CP53" s="9" t="s">
        <v>452</v>
      </c>
      <c r="CQ53" s="9" t="s">
        <v>956</v>
      </c>
      <c r="CW53" s="9">
        <v>3</v>
      </c>
      <c r="CX53" s="9" t="s">
        <v>483</v>
      </c>
      <c r="CY53" s="9" t="s">
        <v>483</v>
      </c>
      <c r="CZ53" s="9">
        <v>100</v>
      </c>
      <c r="DA53" s="9">
        <v>110</v>
      </c>
      <c r="DB53" s="9">
        <v>60</v>
      </c>
      <c r="DC53" s="9">
        <v>90.6</v>
      </c>
      <c r="DD53" s="9">
        <v>0.68</v>
      </c>
      <c r="DE53" s="9">
        <v>195</v>
      </c>
      <c r="DF53" s="9">
        <v>81</v>
      </c>
      <c r="DG53" s="9">
        <f t="shared" si="0"/>
        <v>4.4504516838606865</v>
      </c>
      <c r="DH53" s="9">
        <v>16.2</v>
      </c>
      <c r="DI53" s="9">
        <v>6.74</v>
      </c>
      <c r="DL53" s="9">
        <v>43.2</v>
      </c>
      <c r="DM53" s="9">
        <v>135.6</v>
      </c>
      <c r="DP53" s="11">
        <v>3</v>
      </c>
      <c r="DQ53" s="9">
        <v>2</v>
      </c>
      <c r="DR53" s="9">
        <v>2</v>
      </c>
    </row>
    <row r="54" spans="1:125" customFormat="1" x14ac:dyDescent="0.2">
      <c r="A54" t="s">
        <v>957</v>
      </c>
      <c r="B54" s="26">
        <v>43795</v>
      </c>
      <c r="C54" t="s">
        <v>258</v>
      </c>
      <c r="D54" t="s">
        <v>958</v>
      </c>
      <c r="E54" t="s">
        <v>313</v>
      </c>
      <c r="F54" s="26">
        <v>26105</v>
      </c>
      <c r="G54" t="s">
        <v>959</v>
      </c>
      <c r="H54" t="s">
        <v>960</v>
      </c>
      <c r="M54" t="s">
        <v>263</v>
      </c>
      <c r="N54" t="s">
        <v>263</v>
      </c>
      <c r="O54" t="s">
        <v>263</v>
      </c>
      <c r="P54" t="s">
        <v>263</v>
      </c>
      <c r="Q54" t="s">
        <v>961</v>
      </c>
      <c r="S54" t="s">
        <v>285</v>
      </c>
      <c r="T54" t="s">
        <v>285</v>
      </c>
      <c r="U54" t="s">
        <v>962</v>
      </c>
      <c r="V54" t="s">
        <v>263</v>
      </c>
      <c r="W54" t="s">
        <v>263</v>
      </c>
      <c r="X54" t="s">
        <v>263</v>
      </c>
      <c r="Y54" t="s">
        <v>263</v>
      </c>
      <c r="Z54" t="s">
        <v>263</v>
      </c>
      <c r="AA54" t="s">
        <v>963</v>
      </c>
      <c r="AB54" t="s">
        <v>289</v>
      </c>
      <c r="AC54" t="s">
        <v>964</v>
      </c>
      <c r="AD54" t="s">
        <v>965</v>
      </c>
      <c r="AE54" t="s">
        <v>292</v>
      </c>
      <c r="AF54" t="s">
        <v>966</v>
      </c>
      <c r="AG54" t="s">
        <v>263</v>
      </c>
      <c r="AH54" t="s">
        <v>269</v>
      </c>
      <c r="AI54" t="s">
        <v>263</v>
      </c>
      <c r="AJ54" t="s">
        <v>263</v>
      </c>
      <c r="AK54" t="s">
        <v>263</v>
      </c>
      <c r="AL54">
        <v>86</v>
      </c>
      <c r="AM54">
        <v>1.74</v>
      </c>
      <c r="AN54">
        <v>101</v>
      </c>
      <c r="AO54">
        <v>107</v>
      </c>
      <c r="AP54">
        <v>27.5</v>
      </c>
      <c r="AQ54">
        <v>13</v>
      </c>
      <c r="AR54">
        <v>33.6</v>
      </c>
      <c r="AS54">
        <v>59</v>
      </c>
      <c r="AT54">
        <v>28.6</v>
      </c>
      <c r="AU54">
        <v>113</v>
      </c>
      <c r="AV54">
        <v>83</v>
      </c>
      <c r="BF54" t="s">
        <v>271</v>
      </c>
      <c r="BG54" t="s">
        <v>272</v>
      </c>
      <c r="BK54" t="s">
        <v>967</v>
      </c>
      <c r="BN54" t="s">
        <v>968</v>
      </c>
      <c r="CW54" t="s">
        <v>969</v>
      </c>
      <c r="CY54" t="s">
        <v>285</v>
      </c>
      <c r="DC54">
        <v>85.9</v>
      </c>
      <c r="DD54">
        <v>0.95</v>
      </c>
      <c r="DE54">
        <v>189</v>
      </c>
      <c r="DF54">
        <v>117</v>
      </c>
      <c r="DG54" s="9">
        <f t="shared" si="0"/>
        <v>4.6076788818939827</v>
      </c>
      <c r="DH54">
        <v>23.4</v>
      </c>
      <c r="DI54">
        <v>7.74</v>
      </c>
      <c r="DL54">
        <v>60.6</v>
      </c>
      <c r="DM54">
        <v>105</v>
      </c>
      <c r="DR54" s="53">
        <v>2</v>
      </c>
    </row>
    <row r="55" spans="1:125" x14ac:dyDescent="0.2">
      <c r="A55" s="36" t="s">
        <v>970</v>
      </c>
      <c r="B55" s="8">
        <v>43308</v>
      </c>
      <c r="C55" s="9" t="s">
        <v>196</v>
      </c>
      <c r="D55" s="9">
        <v>50</v>
      </c>
      <c r="E55" s="9" t="s">
        <v>100</v>
      </c>
      <c r="F55" s="8">
        <v>24992</v>
      </c>
      <c r="H55" s="9" t="s">
        <v>971</v>
      </c>
      <c r="I55" s="9" t="s">
        <v>972</v>
      </c>
      <c r="J55" s="9" t="s">
        <v>99</v>
      </c>
      <c r="K55" s="9">
        <v>1997</v>
      </c>
      <c r="L55" s="9">
        <v>1</v>
      </c>
      <c r="M55" s="9" t="s">
        <v>99</v>
      </c>
      <c r="N55" s="9" t="s">
        <v>99</v>
      </c>
      <c r="O55" s="9" t="s">
        <v>99</v>
      </c>
      <c r="P55" s="9" t="s">
        <v>99</v>
      </c>
      <c r="Q55" s="9" t="s">
        <v>99</v>
      </c>
      <c r="W55" s="9" t="s">
        <v>973</v>
      </c>
      <c r="Y55" s="9" t="s">
        <v>974</v>
      </c>
      <c r="AA55" s="9" t="s">
        <v>100</v>
      </c>
      <c r="AB55" s="9" t="s">
        <v>100</v>
      </c>
      <c r="AC55" s="49" t="s">
        <v>975</v>
      </c>
      <c r="AD55" s="35" t="s">
        <v>155</v>
      </c>
      <c r="AE55" s="10" t="s">
        <v>118</v>
      </c>
      <c r="AF55" s="9" t="s">
        <v>99</v>
      </c>
      <c r="AG55" s="10" t="s">
        <v>976</v>
      </c>
      <c r="AL55" s="9">
        <v>78.900000000000006</v>
      </c>
      <c r="AM55" s="9">
        <v>162</v>
      </c>
      <c r="AN55" s="10">
        <v>95</v>
      </c>
      <c r="AO55" s="9">
        <v>101</v>
      </c>
      <c r="AP55" s="54">
        <v>0.47699999999999998</v>
      </c>
      <c r="AQ55" s="9">
        <v>10</v>
      </c>
      <c r="AR55" s="9">
        <v>21.7</v>
      </c>
      <c r="AS55" s="9">
        <v>62</v>
      </c>
      <c r="AT55" s="9">
        <v>30.1</v>
      </c>
      <c r="AU55" s="9">
        <v>118</v>
      </c>
      <c r="AV55" s="9">
        <v>78</v>
      </c>
      <c r="AX55" s="9" t="s">
        <v>977</v>
      </c>
      <c r="BB55" s="9" t="s">
        <v>978</v>
      </c>
      <c r="BF55" s="9" t="s">
        <v>176</v>
      </c>
      <c r="BG55" s="9" t="s">
        <v>350</v>
      </c>
      <c r="BH55" s="9" t="s">
        <v>854</v>
      </c>
      <c r="BI55" s="9" t="s">
        <v>979</v>
      </c>
      <c r="BM55" s="9" t="s">
        <v>176</v>
      </c>
      <c r="BN55" s="9" t="s">
        <v>180</v>
      </c>
      <c r="BO55" s="9" t="s">
        <v>179</v>
      </c>
      <c r="BP55" s="9" t="s">
        <v>219</v>
      </c>
      <c r="BR55" s="9" t="s">
        <v>110</v>
      </c>
      <c r="BV55" s="9" t="s">
        <v>110</v>
      </c>
      <c r="BY55" s="9" t="s">
        <v>176</v>
      </c>
      <c r="BZ55" s="9" t="s">
        <v>182</v>
      </c>
      <c r="CA55" s="9" t="s">
        <v>752</v>
      </c>
      <c r="CB55" s="9" t="s">
        <v>184</v>
      </c>
      <c r="CD55" s="9" t="s">
        <v>99</v>
      </c>
      <c r="CH55" s="9" t="s">
        <v>99</v>
      </c>
      <c r="CL55" s="9" t="s">
        <v>980</v>
      </c>
      <c r="CM55" s="9" t="s">
        <v>825</v>
      </c>
      <c r="CP55" s="9" t="s">
        <v>981</v>
      </c>
      <c r="CQ55" s="9" t="s">
        <v>362</v>
      </c>
      <c r="CR55" s="9" t="s">
        <v>982</v>
      </c>
      <c r="CT55" s="9" t="s">
        <v>983</v>
      </c>
      <c r="CU55" s="9" t="s">
        <v>984</v>
      </c>
      <c r="CV55" s="9" t="s">
        <v>985</v>
      </c>
      <c r="CW55" s="9">
        <v>3</v>
      </c>
      <c r="CX55" s="9" t="s">
        <v>110</v>
      </c>
      <c r="CY55" s="9" t="s">
        <v>99</v>
      </c>
      <c r="CZ55" s="9">
        <v>30</v>
      </c>
      <c r="DA55" s="9">
        <v>25</v>
      </c>
      <c r="DB55" s="9" t="s">
        <v>986</v>
      </c>
      <c r="DC55" s="10">
        <v>100.5</v>
      </c>
      <c r="DD55" s="9">
        <v>0.37</v>
      </c>
      <c r="DE55" s="10">
        <v>237</v>
      </c>
      <c r="DF55" s="9">
        <v>104</v>
      </c>
      <c r="DG55" s="9">
        <f t="shared" si="0"/>
        <v>4.6272743133202514</v>
      </c>
      <c r="DH55" s="9">
        <v>20.8</v>
      </c>
      <c r="DI55" s="9">
        <v>3.58</v>
      </c>
      <c r="DL55" s="10">
        <v>45.3</v>
      </c>
      <c r="DM55" s="9">
        <v>170.9</v>
      </c>
      <c r="DP55" s="11">
        <v>3</v>
      </c>
      <c r="DQ55" s="30">
        <v>1</v>
      </c>
      <c r="DR55" s="30">
        <v>1</v>
      </c>
      <c r="DT55" s="9">
        <v>9</v>
      </c>
      <c r="DU55" s="9">
        <v>5.38</v>
      </c>
    </row>
    <row r="56" spans="1:125" x14ac:dyDescent="0.2">
      <c r="A56" s="9" t="s">
        <v>987</v>
      </c>
      <c r="B56" s="8">
        <v>43308</v>
      </c>
      <c r="C56" s="9" t="s">
        <v>107</v>
      </c>
      <c r="D56" s="9">
        <v>53</v>
      </c>
      <c r="E56" s="35" t="s">
        <v>155</v>
      </c>
      <c r="F56" s="8">
        <v>23989</v>
      </c>
      <c r="G56" s="9" t="s">
        <v>988</v>
      </c>
      <c r="H56" s="9" t="s">
        <v>989</v>
      </c>
      <c r="M56" s="9" t="s">
        <v>263</v>
      </c>
      <c r="N56" s="10" t="s">
        <v>588</v>
      </c>
      <c r="O56" s="9" t="s">
        <v>263</v>
      </c>
      <c r="P56" s="9" t="s">
        <v>263</v>
      </c>
      <c r="T56" s="9" t="s">
        <v>990</v>
      </c>
      <c r="Y56" s="9" t="s">
        <v>991</v>
      </c>
      <c r="AA56" s="35" t="s">
        <v>992</v>
      </c>
      <c r="AB56" s="35" t="s">
        <v>992</v>
      </c>
      <c r="AE56" s="10" t="s">
        <v>406</v>
      </c>
      <c r="AF56" s="10" t="s">
        <v>423</v>
      </c>
      <c r="AG56" s="9" t="s">
        <v>483</v>
      </c>
      <c r="AH56" s="10" t="s">
        <v>423</v>
      </c>
      <c r="AI56" s="9" t="s">
        <v>483</v>
      </c>
      <c r="AJ56" s="9" t="s">
        <v>483</v>
      </c>
      <c r="AK56" s="9" t="s">
        <v>483</v>
      </c>
      <c r="AL56" s="9">
        <v>65.2</v>
      </c>
      <c r="AM56" s="9">
        <v>165</v>
      </c>
      <c r="AN56" s="30">
        <v>92</v>
      </c>
      <c r="AO56" s="9">
        <v>98</v>
      </c>
      <c r="AP56" s="9">
        <v>18</v>
      </c>
      <c r="AQ56" s="9">
        <v>8</v>
      </c>
      <c r="AR56" s="9">
        <v>31.5</v>
      </c>
      <c r="AS56" s="9">
        <v>36</v>
      </c>
      <c r="AT56" s="30">
        <v>23.9</v>
      </c>
      <c r="AU56" s="10">
        <v>140</v>
      </c>
      <c r="AV56" s="10">
        <v>85</v>
      </c>
      <c r="AX56" s="9" t="s">
        <v>389</v>
      </c>
      <c r="AY56" s="9" t="s">
        <v>993</v>
      </c>
      <c r="BF56" s="9" t="s">
        <v>323</v>
      </c>
      <c r="BG56" s="9" t="s">
        <v>350</v>
      </c>
      <c r="BH56" s="9" t="s">
        <v>323</v>
      </c>
      <c r="BI56" s="9" t="s">
        <v>323</v>
      </c>
      <c r="BJ56" s="9" t="s">
        <v>323</v>
      </c>
      <c r="BK56" s="9" t="s">
        <v>323</v>
      </c>
      <c r="BN56" s="9" t="s">
        <v>994</v>
      </c>
      <c r="BO56" s="9" t="s">
        <v>410</v>
      </c>
      <c r="BP56" s="9" t="s">
        <v>394</v>
      </c>
      <c r="BV56" s="9" t="s">
        <v>995</v>
      </c>
      <c r="BZ56" s="9" t="s">
        <v>996</v>
      </c>
      <c r="CA56" s="9" t="s">
        <v>415</v>
      </c>
      <c r="CB56" s="9" t="s">
        <v>331</v>
      </c>
      <c r="CL56" s="9" t="s">
        <v>997</v>
      </c>
      <c r="CT56" s="9" t="s">
        <v>998</v>
      </c>
      <c r="CW56" s="9">
        <v>3</v>
      </c>
      <c r="CX56" s="9" t="s">
        <v>483</v>
      </c>
      <c r="CY56" s="9" t="s">
        <v>483</v>
      </c>
      <c r="CZ56" s="9">
        <v>30</v>
      </c>
      <c r="DA56" s="9">
        <v>30</v>
      </c>
      <c r="DB56" s="9">
        <v>40</v>
      </c>
      <c r="DC56" s="9">
        <v>91.7</v>
      </c>
      <c r="DD56" s="9">
        <v>0.45</v>
      </c>
      <c r="DE56" s="10">
        <v>215</v>
      </c>
      <c r="DF56" s="9">
        <v>139</v>
      </c>
      <c r="DG56" s="9">
        <f t="shared" si="0"/>
        <v>4.7264981561965556</v>
      </c>
      <c r="DH56" s="9">
        <v>27.8</v>
      </c>
      <c r="DL56" s="9">
        <v>42.8</v>
      </c>
      <c r="DM56" s="9">
        <v>144.4</v>
      </c>
      <c r="DQ56" s="9">
        <v>2</v>
      </c>
    </row>
    <row r="57" spans="1:125" x14ac:dyDescent="0.2">
      <c r="A57" s="7" t="s">
        <v>999</v>
      </c>
      <c r="B57" s="8">
        <v>43308</v>
      </c>
      <c r="C57" s="9" t="s">
        <v>95</v>
      </c>
      <c r="D57" s="9">
        <v>37</v>
      </c>
      <c r="E57" s="9" t="s">
        <v>100</v>
      </c>
      <c r="F57" s="8">
        <v>29443</v>
      </c>
      <c r="G57" s="9" t="s">
        <v>585</v>
      </c>
      <c r="H57" s="9" t="s">
        <v>1000</v>
      </c>
      <c r="K57" s="9">
        <v>2013</v>
      </c>
      <c r="L57" s="9">
        <v>2</v>
      </c>
      <c r="M57" s="9" t="s">
        <v>263</v>
      </c>
      <c r="N57" s="9" t="s">
        <v>263</v>
      </c>
      <c r="O57" s="9" t="s">
        <v>263</v>
      </c>
      <c r="P57" s="9" t="s">
        <v>263</v>
      </c>
      <c r="R57" s="7" t="s">
        <v>483</v>
      </c>
      <c r="S57" s="9" t="s">
        <v>483</v>
      </c>
      <c r="T57" s="9" t="s">
        <v>483</v>
      </c>
      <c r="U57" s="9" t="s">
        <v>483</v>
      </c>
      <c r="V57" s="9" t="s">
        <v>483</v>
      </c>
      <c r="W57" s="9" t="s">
        <v>483</v>
      </c>
      <c r="X57" s="9" t="s">
        <v>483</v>
      </c>
      <c r="AA57" s="9" t="s">
        <v>100</v>
      </c>
      <c r="AB57" s="52" t="s">
        <v>1001</v>
      </c>
      <c r="AC57" s="9" t="s">
        <v>100</v>
      </c>
      <c r="AD57" s="9" t="s">
        <v>100</v>
      </c>
      <c r="AE57" s="9" t="s">
        <v>483</v>
      </c>
      <c r="AF57" s="10" t="s">
        <v>1002</v>
      </c>
      <c r="AG57" s="10" t="s">
        <v>1003</v>
      </c>
      <c r="AH57" s="9" t="s">
        <v>263</v>
      </c>
      <c r="AI57" s="9" t="s">
        <v>263</v>
      </c>
      <c r="AJ57" s="9" t="s">
        <v>263</v>
      </c>
      <c r="AK57" s="9" t="s">
        <v>263</v>
      </c>
      <c r="AL57" s="9">
        <v>63.3</v>
      </c>
      <c r="AM57" s="9">
        <v>168</v>
      </c>
      <c r="AN57" s="9">
        <v>74</v>
      </c>
      <c r="AO57" s="9">
        <v>103</v>
      </c>
      <c r="AP57" s="9">
        <v>34.200000000000003</v>
      </c>
      <c r="AQ57" s="9">
        <v>5</v>
      </c>
      <c r="AR57" s="9">
        <v>26.8</v>
      </c>
      <c r="AS57" s="9">
        <v>33</v>
      </c>
      <c r="AT57" s="7">
        <v>22.3</v>
      </c>
      <c r="AU57" s="9">
        <v>111</v>
      </c>
      <c r="AV57" s="9">
        <v>70</v>
      </c>
      <c r="AX57" s="9" t="s">
        <v>917</v>
      </c>
      <c r="AY57" s="9" t="s">
        <v>389</v>
      </c>
      <c r="AZ57" s="9" t="s">
        <v>168</v>
      </c>
      <c r="BF57" s="9" t="s">
        <v>635</v>
      </c>
      <c r="BG57" s="9" t="s">
        <v>265</v>
      </c>
      <c r="BH57" s="9" t="s">
        <v>323</v>
      </c>
      <c r="BI57" s="9" t="s">
        <v>323</v>
      </c>
      <c r="BJ57" s="9" t="s">
        <v>635</v>
      </c>
      <c r="BK57" s="9" t="s">
        <v>1004</v>
      </c>
      <c r="BN57" s="9" t="s">
        <v>396</v>
      </c>
      <c r="BO57" s="9" t="s">
        <v>394</v>
      </c>
      <c r="BP57" s="9" t="s">
        <v>1005</v>
      </c>
      <c r="BR57" s="9" t="s">
        <v>483</v>
      </c>
      <c r="BV57" s="9" t="s">
        <v>325</v>
      </c>
      <c r="BZ57" s="9" t="s">
        <v>332</v>
      </c>
      <c r="CA57" s="9" t="s">
        <v>1006</v>
      </c>
      <c r="CB57" s="9" t="s">
        <v>415</v>
      </c>
      <c r="CD57" s="9" t="s">
        <v>483</v>
      </c>
      <c r="CH57" s="9" t="s">
        <v>483</v>
      </c>
      <c r="CL57" s="9" t="s">
        <v>333</v>
      </c>
      <c r="CM57" s="9" t="s">
        <v>1007</v>
      </c>
      <c r="CN57" s="9" t="s">
        <v>955</v>
      </c>
      <c r="CP57" s="9" t="s">
        <v>1008</v>
      </c>
      <c r="CQ57" s="9" t="s">
        <v>1009</v>
      </c>
      <c r="CR57" s="9" t="s">
        <v>791</v>
      </c>
      <c r="CT57" s="9" t="s">
        <v>1010</v>
      </c>
      <c r="CU57" s="9" t="s">
        <v>539</v>
      </c>
      <c r="CV57" s="9" t="s">
        <v>1011</v>
      </c>
      <c r="CW57" s="9">
        <v>4</v>
      </c>
      <c r="CX57" s="9" t="s">
        <v>588</v>
      </c>
      <c r="CY57" s="9" t="s">
        <v>588</v>
      </c>
      <c r="DC57" s="9">
        <v>78.7</v>
      </c>
      <c r="DD57" s="9">
        <v>0.41</v>
      </c>
      <c r="DE57" s="9">
        <v>123</v>
      </c>
      <c r="DF57" s="9">
        <v>60</v>
      </c>
      <c r="DG57" s="9">
        <f t="shared" si="0"/>
        <v>4.2299938588227288</v>
      </c>
      <c r="DH57" s="9">
        <v>12</v>
      </c>
      <c r="DI57" s="9">
        <v>2.92</v>
      </c>
      <c r="DL57" s="9">
        <v>42.8</v>
      </c>
      <c r="DM57" s="9">
        <v>68.2</v>
      </c>
      <c r="DP57" s="11">
        <v>2</v>
      </c>
      <c r="DQ57" s="9">
        <v>2</v>
      </c>
      <c r="DR57" s="9">
        <v>2</v>
      </c>
      <c r="DU57" s="9">
        <v>5.62</v>
      </c>
    </row>
    <row r="58" spans="1:125" x14ac:dyDescent="0.2">
      <c r="A58" s="14" t="s">
        <v>1012</v>
      </c>
      <c r="B58" s="8">
        <v>43308</v>
      </c>
      <c r="C58" s="9" t="s">
        <v>95</v>
      </c>
      <c r="D58" s="9">
        <v>53</v>
      </c>
      <c r="E58" s="35" t="s">
        <v>155</v>
      </c>
      <c r="F58" s="8">
        <v>23864</v>
      </c>
      <c r="G58" s="9" t="s">
        <v>585</v>
      </c>
      <c r="I58" s="9">
        <v>12</v>
      </c>
      <c r="J58" s="10">
        <v>2018</v>
      </c>
      <c r="K58" s="9">
        <v>1998</v>
      </c>
      <c r="L58" s="9">
        <v>3</v>
      </c>
      <c r="M58" s="9" t="s">
        <v>263</v>
      </c>
      <c r="N58" s="9" t="s">
        <v>263</v>
      </c>
      <c r="P58" s="9" t="s">
        <v>263</v>
      </c>
      <c r="Q58" s="9" t="s">
        <v>483</v>
      </c>
      <c r="R58" s="9" t="s">
        <v>588</v>
      </c>
      <c r="T58" s="9" t="s">
        <v>990</v>
      </c>
      <c r="U58" s="9" t="s">
        <v>1013</v>
      </c>
      <c r="V58" s="9" t="s">
        <v>483</v>
      </c>
      <c r="W58" s="9" t="s">
        <v>1014</v>
      </c>
      <c r="X58" s="9" t="s">
        <v>483</v>
      </c>
      <c r="AA58" s="35" t="s">
        <v>155</v>
      </c>
      <c r="AB58" s="49" t="s">
        <v>1015</v>
      </c>
      <c r="AC58" s="35" t="s">
        <v>992</v>
      </c>
      <c r="AD58" s="35" t="s">
        <v>1016</v>
      </c>
      <c r="AE58" s="9" t="s">
        <v>263</v>
      </c>
      <c r="AF58" s="10" t="s">
        <v>423</v>
      </c>
      <c r="AG58" s="10" t="s">
        <v>1017</v>
      </c>
      <c r="AH58" s="10" t="s">
        <v>1018</v>
      </c>
      <c r="AI58" s="10" t="s">
        <v>1019</v>
      </c>
      <c r="AJ58" s="9" t="s">
        <v>483</v>
      </c>
      <c r="AK58" s="9" t="s">
        <v>483</v>
      </c>
      <c r="AL58" s="9">
        <v>81.3</v>
      </c>
      <c r="AM58" s="9">
        <v>157</v>
      </c>
      <c r="AN58" s="10">
        <v>96</v>
      </c>
      <c r="AO58" s="9">
        <v>112</v>
      </c>
      <c r="AP58" s="9">
        <v>47.7</v>
      </c>
      <c r="AQ58" s="9">
        <v>11</v>
      </c>
      <c r="AR58" s="9">
        <v>22.8</v>
      </c>
      <c r="AS58" s="9">
        <v>69</v>
      </c>
      <c r="AT58" s="9">
        <v>32.799999999999997</v>
      </c>
      <c r="AU58" s="9">
        <v>115</v>
      </c>
      <c r="AV58" s="9">
        <v>67</v>
      </c>
      <c r="AX58" s="9" t="s">
        <v>389</v>
      </c>
      <c r="AY58" s="9" t="s">
        <v>321</v>
      </c>
      <c r="AZ58" s="9" t="s">
        <v>1020</v>
      </c>
      <c r="BB58" s="9" t="s">
        <v>409</v>
      </c>
      <c r="BC58" s="9" t="s">
        <v>785</v>
      </c>
      <c r="BF58" s="9" t="s">
        <v>323</v>
      </c>
      <c r="BG58" s="9" t="s">
        <v>323</v>
      </c>
      <c r="BH58" s="9" t="s">
        <v>323</v>
      </c>
      <c r="BI58" s="9" t="s">
        <v>323</v>
      </c>
      <c r="BJ58" s="9" t="s">
        <v>325</v>
      </c>
      <c r="BK58" s="9" t="s">
        <v>1004</v>
      </c>
      <c r="BN58" s="9" t="s">
        <v>919</v>
      </c>
      <c r="BO58" s="9" t="s">
        <v>1021</v>
      </c>
      <c r="BP58" s="9" t="s">
        <v>920</v>
      </c>
      <c r="BR58" s="9" t="s">
        <v>1022</v>
      </c>
      <c r="BV58" s="9" t="s">
        <v>324</v>
      </c>
      <c r="BZ58" s="9" t="s">
        <v>330</v>
      </c>
      <c r="CA58" s="9" t="s">
        <v>1023</v>
      </c>
      <c r="CB58" s="9" t="s">
        <v>1024</v>
      </c>
      <c r="CL58" s="9" t="s">
        <v>997</v>
      </c>
      <c r="CM58" s="9" t="s">
        <v>333</v>
      </c>
      <c r="CN58" s="9" t="s">
        <v>1025</v>
      </c>
      <c r="CP58" s="9" t="s">
        <v>452</v>
      </c>
      <c r="CQ58" s="9" t="s">
        <v>1026</v>
      </c>
      <c r="CR58" s="9" t="s">
        <v>946</v>
      </c>
      <c r="CT58" s="9" t="s">
        <v>1027</v>
      </c>
      <c r="CU58" s="9" t="s">
        <v>1028</v>
      </c>
      <c r="CV58" s="9" t="s">
        <v>1029</v>
      </c>
      <c r="CW58" s="9">
        <v>2</v>
      </c>
      <c r="CX58" s="9" t="s">
        <v>483</v>
      </c>
      <c r="CY58" s="9" t="s">
        <v>483</v>
      </c>
      <c r="CZ58" s="9">
        <v>50</v>
      </c>
      <c r="DA58" s="9">
        <v>25</v>
      </c>
      <c r="DB58" s="9">
        <v>25</v>
      </c>
      <c r="DC58" s="10">
        <v>135</v>
      </c>
      <c r="DD58" s="9">
        <v>0.72</v>
      </c>
      <c r="DE58" s="10">
        <v>254</v>
      </c>
      <c r="DF58" s="10">
        <v>157</v>
      </c>
      <c r="DG58" s="9">
        <f t="shared" si="0"/>
        <v>4.9807602918933691</v>
      </c>
      <c r="DH58" s="9">
        <v>31.4</v>
      </c>
      <c r="DI58" s="9">
        <v>7.7</v>
      </c>
      <c r="DL58" s="9">
        <v>53.3</v>
      </c>
      <c r="DM58" s="9">
        <v>169.3</v>
      </c>
      <c r="DP58" s="11">
        <v>3</v>
      </c>
      <c r="DU58" s="9">
        <v>5</v>
      </c>
    </row>
    <row r="59" spans="1:125" s="14" customFormat="1" x14ac:dyDescent="0.2">
      <c r="A59" s="9" t="s">
        <v>1030</v>
      </c>
      <c r="B59" s="8">
        <v>43308</v>
      </c>
      <c r="C59" s="39" t="s">
        <v>95</v>
      </c>
      <c r="D59" s="39">
        <v>36</v>
      </c>
      <c r="E59" s="39" t="s">
        <v>100</v>
      </c>
      <c r="F59" s="38">
        <v>29852</v>
      </c>
      <c r="G59" s="39"/>
      <c r="H59" s="39"/>
      <c r="I59" s="39"/>
      <c r="J59" s="39"/>
      <c r="K59" s="39">
        <v>2013</v>
      </c>
      <c r="L59" s="39">
        <v>2</v>
      </c>
      <c r="M59" s="39" t="s">
        <v>263</v>
      </c>
      <c r="N59" s="39" t="s">
        <v>263</v>
      </c>
      <c r="O59" s="39" t="s">
        <v>263</v>
      </c>
      <c r="P59" s="39" t="s">
        <v>263</v>
      </c>
      <c r="Q59" s="10" t="s">
        <v>588</v>
      </c>
      <c r="R59" s="39" t="s">
        <v>588</v>
      </c>
      <c r="S59" s="39"/>
      <c r="T59" s="39"/>
      <c r="U59" s="39" t="s">
        <v>1031</v>
      </c>
      <c r="V59" s="39" t="s">
        <v>483</v>
      </c>
      <c r="W59" s="39" t="s">
        <v>1032</v>
      </c>
      <c r="X59" s="39" t="s">
        <v>483</v>
      </c>
      <c r="Y59" s="39"/>
      <c r="Z59" s="39"/>
      <c r="AA59" s="14" t="s">
        <v>150</v>
      </c>
      <c r="AB59" s="39" t="s">
        <v>100</v>
      </c>
      <c r="AC59" s="14" t="s">
        <v>150</v>
      </c>
      <c r="AD59" s="39" t="s">
        <v>949</v>
      </c>
      <c r="AE59" s="39" t="s">
        <v>588</v>
      </c>
      <c r="AF59" s="39" t="s">
        <v>483</v>
      </c>
      <c r="AG59" s="39" t="s">
        <v>483</v>
      </c>
      <c r="AH59" s="10" t="s">
        <v>1033</v>
      </c>
      <c r="AI59" s="39" t="s">
        <v>483</v>
      </c>
      <c r="AJ59" s="39" t="s">
        <v>483</v>
      </c>
      <c r="AK59" s="39" t="s">
        <v>483</v>
      </c>
      <c r="AL59" s="39">
        <v>79.900000000000006</v>
      </c>
      <c r="AM59" s="39">
        <v>167</v>
      </c>
      <c r="AN59" s="10">
        <v>107</v>
      </c>
      <c r="AO59" s="39">
        <v>110</v>
      </c>
      <c r="AP59" s="39">
        <v>47.2</v>
      </c>
      <c r="AQ59" s="39">
        <v>8</v>
      </c>
      <c r="AR59" s="39">
        <v>21.6</v>
      </c>
      <c r="AS59" s="39">
        <v>51</v>
      </c>
      <c r="AT59" s="39">
        <v>28.6</v>
      </c>
      <c r="AU59" s="39">
        <v>104</v>
      </c>
      <c r="AV59" s="39">
        <v>68</v>
      </c>
      <c r="AW59" s="39"/>
      <c r="AX59" s="39" t="s">
        <v>1034</v>
      </c>
      <c r="AY59" s="39"/>
      <c r="AZ59" s="39"/>
      <c r="BA59" s="39"/>
      <c r="BB59" s="39" t="s">
        <v>1035</v>
      </c>
      <c r="BC59" s="39" t="s">
        <v>1036</v>
      </c>
      <c r="BD59" s="39"/>
      <c r="BE59" s="39"/>
      <c r="BF59" s="39" t="s">
        <v>635</v>
      </c>
      <c r="BG59" s="39" t="s">
        <v>323</v>
      </c>
      <c r="BH59" s="39" t="s">
        <v>323</v>
      </c>
      <c r="BI59" s="39" t="s">
        <v>323</v>
      </c>
      <c r="BJ59" s="39" t="s">
        <v>323</v>
      </c>
      <c r="BK59" s="39" t="s">
        <v>1004</v>
      </c>
      <c r="BL59" s="39"/>
      <c r="BM59" s="39"/>
      <c r="BN59" s="39" t="s">
        <v>498</v>
      </c>
      <c r="BO59" s="39" t="s">
        <v>376</v>
      </c>
      <c r="BP59" s="55" t="s">
        <v>938</v>
      </c>
      <c r="BQ59" s="39"/>
      <c r="BR59" s="39"/>
      <c r="BS59" s="39"/>
      <c r="BT59" s="39"/>
      <c r="BU59" s="39"/>
      <c r="BV59" s="39" t="s">
        <v>1037</v>
      </c>
      <c r="BW59" s="39"/>
      <c r="BX59" s="39"/>
      <c r="BY59" s="39"/>
      <c r="BZ59" s="39" t="s">
        <v>907</v>
      </c>
      <c r="CA59" s="39" t="s">
        <v>1038</v>
      </c>
      <c r="CB59" s="39" t="s">
        <v>1039</v>
      </c>
      <c r="CC59" s="39"/>
      <c r="CD59" s="39" t="s">
        <v>1040</v>
      </c>
      <c r="CE59" s="39"/>
      <c r="CF59" s="39"/>
      <c r="CG59" s="39"/>
      <c r="CH59" s="39"/>
      <c r="CI59" s="39"/>
      <c r="CJ59" s="39"/>
      <c r="CK59" s="39"/>
      <c r="CL59" s="39" t="s">
        <v>333</v>
      </c>
      <c r="CM59" s="39" t="s">
        <v>383</v>
      </c>
      <c r="CN59" s="39" t="s">
        <v>1041</v>
      </c>
      <c r="CO59" s="39"/>
      <c r="CP59" s="39" t="s">
        <v>1042</v>
      </c>
      <c r="CQ59" s="39"/>
      <c r="CR59" s="39"/>
      <c r="CS59" s="39"/>
      <c r="CT59" s="39" t="s">
        <v>323</v>
      </c>
      <c r="CU59" s="39"/>
      <c r="CV59" s="39"/>
      <c r="CW59" s="39">
        <v>2</v>
      </c>
      <c r="CX59" s="39" t="s">
        <v>588</v>
      </c>
      <c r="CY59" s="39" t="s">
        <v>483</v>
      </c>
      <c r="CZ59" s="39"/>
      <c r="DA59" s="39"/>
      <c r="DB59" s="39"/>
      <c r="DC59" s="39">
        <v>94.7</v>
      </c>
      <c r="DD59" s="39">
        <v>0.22</v>
      </c>
      <c r="DE59" s="39">
        <v>150</v>
      </c>
      <c r="DF59" s="39">
        <v>110</v>
      </c>
      <c r="DG59" s="9">
        <f t="shared" si="0"/>
        <v>4.625597182992224</v>
      </c>
      <c r="DH59" s="39"/>
      <c r="DI59" s="39">
        <v>3.41</v>
      </c>
      <c r="DJ59" s="39"/>
      <c r="DK59" s="39"/>
      <c r="DL59" s="39">
        <v>33.700000000000003</v>
      </c>
      <c r="DM59" s="39"/>
      <c r="DN59" s="39"/>
      <c r="DO59" s="39"/>
      <c r="DP59" s="40">
        <v>2</v>
      </c>
      <c r="DQ59" s="39">
        <v>2</v>
      </c>
      <c r="DR59" s="39">
        <v>2</v>
      </c>
      <c r="DS59" s="39"/>
    </row>
    <row r="60" spans="1:125" x14ac:dyDescent="0.2">
      <c r="A60" s="36" t="s">
        <v>1043</v>
      </c>
      <c r="B60" s="8">
        <v>43308</v>
      </c>
      <c r="C60" s="9" t="s">
        <v>95</v>
      </c>
      <c r="D60" s="9">
        <v>54</v>
      </c>
      <c r="E60" s="9" t="s">
        <v>100</v>
      </c>
      <c r="F60" s="8">
        <v>23267</v>
      </c>
      <c r="G60" s="9" t="s">
        <v>1044</v>
      </c>
      <c r="H60" s="9" t="s">
        <v>1045</v>
      </c>
      <c r="J60" s="10">
        <v>2008</v>
      </c>
      <c r="K60" s="9">
        <v>2001</v>
      </c>
      <c r="L60" s="9">
        <v>2</v>
      </c>
      <c r="M60" s="9" t="s">
        <v>263</v>
      </c>
      <c r="N60" s="9" t="s">
        <v>263</v>
      </c>
      <c r="O60" s="9" t="s">
        <v>263</v>
      </c>
      <c r="P60" s="9" t="s">
        <v>263</v>
      </c>
      <c r="Q60" s="10" t="s">
        <v>588</v>
      </c>
      <c r="R60" s="9" t="s">
        <v>588</v>
      </c>
      <c r="U60" s="9" t="s">
        <v>483</v>
      </c>
      <c r="V60" s="9" t="s">
        <v>483</v>
      </c>
      <c r="W60" s="14" t="s">
        <v>1046</v>
      </c>
      <c r="X60" s="9" t="s">
        <v>263</v>
      </c>
      <c r="Y60" s="14" t="s">
        <v>1047</v>
      </c>
      <c r="Z60" s="9" t="s">
        <v>1048</v>
      </c>
      <c r="AA60" s="9" t="s">
        <v>100</v>
      </c>
      <c r="AB60" s="52" t="s">
        <v>914</v>
      </c>
      <c r="AC60" s="9" t="s">
        <v>100</v>
      </c>
      <c r="AD60" s="52" t="s">
        <v>914</v>
      </c>
      <c r="AE60" s="9" t="s">
        <v>483</v>
      </c>
      <c r="AF60" s="9" t="s">
        <v>483</v>
      </c>
      <c r="AG60" s="10" t="s">
        <v>423</v>
      </c>
      <c r="AH60" s="9" t="s">
        <v>483</v>
      </c>
      <c r="AI60" s="9" t="s">
        <v>483</v>
      </c>
      <c r="AJ60" s="9" t="s">
        <v>483</v>
      </c>
      <c r="AK60" s="10" t="s">
        <v>1049</v>
      </c>
      <c r="AL60" s="9">
        <v>70.900000000000006</v>
      </c>
      <c r="AM60" s="9">
        <v>161</v>
      </c>
      <c r="AN60" s="10">
        <v>100</v>
      </c>
      <c r="AO60" s="9">
        <v>103</v>
      </c>
      <c r="AP60" s="9">
        <v>46.1</v>
      </c>
      <c r="AQ60" s="9">
        <v>9</v>
      </c>
      <c r="AR60" s="9">
        <v>20.8</v>
      </c>
      <c r="AS60" s="9">
        <v>58</v>
      </c>
      <c r="AT60" s="9">
        <v>27.4</v>
      </c>
      <c r="AU60" s="9">
        <v>114</v>
      </c>
      <c r="AV60" s="9">
        <v>88</v>
      </c>
      <c r="AX60" s="9" t="s">
        <v>168</v>
      </c>
      <c r="AY60" s="9" t="s">
        <v>793</v>
      </c>
      <c r="AZ60" s="9" t="s">
        <v>937</v>
      </c>
      <c r="BB60" s="9" t="s">
        <v>409</v>
      </c>
      <c r="BC60" s="9" t="s">
        <v>1050</v>
      </c>
      <c r="BD60" s="9" t="s">
        <v>785</v>
      </c>
      <c r="BF60" s="9" t="s">
        <v>635</v>
      </c>
      <c r="BG60" s="9" t="s">
        <v>323</v>
      </c>
      <c r="BH60" s="9" t="s">
        <v>323</v>
      </c>
      <c r="BI60" s="9" t="s">
        <v>635</v>
      </c>
      <c r="BJ60" s="9" t="s">
        <v>635</v>
      </c>
      <c r="BK60" s="9" t="s">
        <v>323</v>
      </c>
      <c r="BY60" s="9" t="s">
        <v>1051</v>
      </c>
      <c r="BZ60" s="9" t="s">
        <v>415</v>
      </c>
      <c r="CA60" s="9" t="s">
        <v>1052</v>
      </c>
      <c r="CD60" s="9" t="s">
        <v>1053</v>
      </c>
      <c r="CL60" s="9" t="s">
        <v>333</v>
      </c>
      <c r="CM60" s="9" t="s">
        <v>383</v>
      </c>
      <c r="CP60" s="9" t="s">
        <v>946</v>
      </c>
      <c r="CQ60" s="9" t="s">
        <v>791</v>
      </c>
      <c r="CR60" s="9" t="s">
        <v>1054</v>
      </c>
      <c r="CT60" s="9" t="s">
        <v>1027</v>
      </c>
      <c r="CW60" s="9">
        <v>3</v>
      </c>
      <c r="CX60" s="9" t="s">
        <v>483</v>
      </c>
      <c r="CY60" s="9" t="s">
        <v>483</v>
      </c>
      <c r="CZ60" s="9">
        <v>40</v>
      </c>
      <c r="DA60" s="9">
        <v>20</v>
      </c>
      <c r="DB60" s="9">
        <v>40</v>
      </c>
      <c r="DC60" s="7">
        <v>98.6</v>
      </c>
      <c r="DD60" s="9">
        <v>0.43</v>
      </c>
      <c r="DE60" s="10">
        <v>200</v>
      </c>
      <c r="DF60" s="10">
        <v>161</v>
      </c>
      <c r="DG60" s="9">
        <f t="shared" si="0"/>
        <v>4.8362378132965267</v>
      </c>
      <c r="DH60" s="9">
        <v>32.200000000000003</v>
      </c>
      <c r="DI60" s="9">
        <v>6.77</v>
      </c>
      <c r="DL60" s="10">
        <v>41.4</v>
      </c>
      <c r="DM60" s="9">
        <v>126.4</v>
      </c>
      <c r="DP60" s="11">
        <v>2</v>
      </c>
      <c r="DQ60" s="9">
        <v>3</v>
      </c>
      <c r="DR60" s="9">
        <v>3</v>
      </c>
      <c r="DU60" s="9">
        <v>10.3</v>
      </c>
    </row>
    <row r="61" spans="1:125" x14ac:dyDescent="0.2">
      <c r="A61" s="9" t="s">
        <v>1055</v>
      </c>
      <c r="B61" s="8">
        <v>43308</v>
      </c>
      <c r="C61" s="9" t="s">
        <v>95</v>
      </c>
      <c r="D61" s="9">
        <v>53</v>
      </c>
      <c r="F61" s="8">
        <v>23626</v>
      </c>
      <c r="I61" s="9">
        <v>14</v>
      </c>
      <c r="J61" s="10">
        <v>52</v>
      </c>
      <c r="K61" s="9">
        <v>1994</v>
      </c>
      <c r="L61" s="9">
        <v>2</v>
      </c>
      <c r="N61" s="10" t="s">
        <v>588</v>
      </c>
      <c r="P61" s="10" t="s">
        <v>1056</v>
      </c>
      <c r="R61" s="9" t="s">
        <v>588</v>
      </c>
      <c r="T61" s="9" t="s">
        <v>1057</v>
      </c>
      <c r="X61" s="9" t="s">
        <v>483</v>
      </c>
      <c r="AA61" s="9" t="s">
        <v>100</v>
      </c>
      <c r="AB61" s="9" t="s">
        <v>949</v>
      </c>
      <c r="AC61" s="9" t="s">
        <v>100</v>
      </c>
      <c r="AD61" s="9" t="s">
        <v>100</v>
      </c>
      <c r="AE61" s="10" t="s">
        <v>1058</v>
      </c>
      <c r="AF61" s="10" t="s">
        <v>1059</v>
      </c>
      <c r="AG61" s="9" t="s">
        <v>483</v>
      </c>
      <c r="AH61" s="10" t="s">
        <v>406</v>
      </c>
      <c r="AI61" s="9" t="s">
        <v>483</v>
      </c>
      <c r="AJ61" s="9" t="s">
        <v>483</v>
      </c>
      <c r="AK61" s="10" t="s">
        <v>1060</v>
      </c>
      <c r="AL61" s="9">
        <v>66.099999999999994</v>
      </c>
      <c r="AM61" s="9">
        <v>155</v>
      </c>
      <c r="AN61" s="10">
        <v>94</v>
      </c>
      <c r="AO61" s="9">
        <v>110</v>
      </c>
      <c r="AP61" s="9">
        <v>44.6</v>
      </c>
      <c r="AQ61" s="9">
        <v>9</v>
      </c>
      <c r="AR61" s="9">
        <v>22.5</v>
      </c>
      <c r="AS61" s="9">
        <v>60</v>
      </c>
      <c r="AT61" s="9">
        <v>27.5</v>
      </c>
      <c r="AU61" s="14">
        <v>177</v>
      </c>
      <c r="AV61" s="14">
        <v>107</v>
      </c>
      <c r="AX61" s="9" t="s">
        <v>323</v>
      </c>
      <c r="BB61" s="9" t="s">
        <v>635</v>
      </c>
      <c r="BF61" s="9" t="s">
        <v>635</v>
      </c>
      <c r="BG61" s="9" t="s">
        <v>323</v>
      </c>
      <c r="BH61" s="9" t="s">
        <v>325</v>
      </c>
      <c r="BI61" s="9" t="s">
        <v>323</v>
      </c>
      <c r="BJ61" s="9" t="s">
        <v>323</v>
      </c>
      <c r="BK61" s="9" t="s">
        <v>323</v>
      </c>
      <c r="BN61" s="9" t="s">
        <v>323</v>
      </c>
      <c r="BR61" s="9" t="s">
        <v>483</v>
      </c>
      <c r="BV61" s="9" t="s">
        <v>483</v>
      </c>
      <c r="BZ61" s="9" t="s">
        <v>635</v>
      </c>
      <c r="CD61" s="9" t="s">
        <v>483</v>
      </c>
      <c r="CH61" s="9" t="s">
        <v>483</v>
      </c>
      <c r="CL61" s="9" t="s">
        <v>635</v>
      </c>
      <c r="CP61" s="9" t="s">
        <v>635</v>
      </c>
      <c r="CT61" s="9" t="s">
        <v>323</v>
      </c>
      <c r="CW61" s="9">
        <v>3</v>
      </c>
      <c r="CX61" s="9" t="s">
        <v>483</v>
      </c>
      <c r="CY61" s="9" t="s">
        <v>1061</v>
      </c>
      <c r="DC61" s="9">
        <v>89.9</v>
      </c>
      <c r="DD61" s="9">
        <v>0.19</v>
      </c>
      <c r="DE61" s="10">
        <v>228</v>
      </c>
      <c r="DF61" s="9">
        <v>63</v>
      </c>
      <c r="DG61" s="9">
        <f t="shared" si="0"/>
        <v>4.3209163339345533</v>
      </c>
      <c r="DH61" s="9">
        <v>12.6</v>
      </c>
      <c r="DI61" s="9">
        <v>3.46</v>
      </c>
      <c r="DL61" s="9">
        <v>60.9</v>
      </c>
      <c r="DM61" s="9">
        <v>154.5</v>
      </c>
      <c r="DP61" s="11">
        <v>3</v>
      </c>
      <c r="DQ61" s="9">
        <v>2</v>
      </c>
      <c r="DU61" s="9">
        <v>2.12</v>
      </c>
    </row>
    <row r="62" spans="1:125" x14ac:dyDescent="0.2">
      <c r="A62" s="14" t="s">
        <v>1062</v>
      </c>
      <c r="B62" s="8">
        <v>43308</v>
      </c>
      <c r="C62" s="9" t="s">
        <v>95</v>
      </c>
      <c r="D62" s="9">
        <v>43</v>
      </c>
      <c r="E62" s="9" t="s">
        <v>96</v>
      </c>
      <c r="F62" s="8">
        <v>27267</v>
      </c>
      <c r="G62" s="9" t="s">
        <v>585</v>
      </c>
      <c r="H62" s="9" t="s">
        <v>870</v>
      </c>
      <c r="J62" s="42"/>
      <c r="K62" s="9">
        <v>1996</v>
      </c>
      <c r="L62" s="9">
        <v>1</v>
      </c>
      <c r="M62" s="10" t="s">
        <v>588</v>
      </c>
      <c r="N62" s="10" t="s">
        <v>588</v>
      </c>
      <c r="P62" s="9" t="s">
        <v>483</v>
      </c>
      <c r="Q62" s="9" t="s">
        <v>483</v>
      </c>
      <c r="R62" s="9" t="s">
        <v>588</v>
      </c>
      <c r="W62" s="9" t="s">
        <v>1063</v>
      </c>
      <c r="AA62" s="9" t="s">
        <v>100</v>
      </c>
      <c r="AB62" s="9" t="s">
        <v>949</v>
      </c>
      <c r="AC62" s="9" t="s">
        <v>932</v>
      </c>
      <c r="AD62" s="9" t="s">
        <v>932</v>
      </c>
      <c r="AE62" s="10" t="s">
        <v>423</v>
      </c>
      <c r="AF62" s="10" t="s">
        <v>423</v>
      </c>
      <c r="AG62" s="10" t="s">
        <v>1064</v>
      </c>
      <c r="AH62" s="10" t="s">
        <v>423</v>
      </c>
      <c r="AI62" s="9" t="s">
        <v>483</v>
      </c>
      <c r="AJ62" s="9" t="s">
        <v>1065</v>
      </c>
      <c r="AK62" s="9" t="s">
        <v>483</v>
      </c>
      <c r="AL62" s="9">
        <v>84.6</v>
      </c>
      <c r="AM62" s="9">
        <v>147</v>
      </c>
      <c r="AN62" s="10">
        <v>103</v>
      </c>
      <c r="AO62" s="9">
        <v>125</v>
      </c>
      <c r="AP62" s="9">
        <v>52.9</v>
      </c>
      <c r="AQ62" s="9">
        <v>11</v>
      </c>
      <c r="AR62" s="9">
        <v>20.8</v>
      </c>
      <c r="AS62" s="9">
        <v>72</v>
      </c>
      <c r="AT62" s="9">
        <v>38.1</v>
      </c>
      <c r="DC62" s="10">
        <v>105.7</v>
      </c>
      <c r="DD62" s="9">
        <v>0.27</v>
      </c>
      <c r="DE62" s="10">
        <v>247</v>
      </c>
      <c r="DF62" s="10">
        <v>224</v>
      </c>
      <c r="DG62" s="9">
        <f t="shared" si="0"/>
        <v>5.0361254723656161</v>
      </c>
      <c r="DH62" s="9">
        <v>44.8</v>
      </c>
      <c r="DI62" s="9">
        <v>4.67</v>
      </c>
      <c r="DL62" s="9">
        <v>46.6</v>
      </c>
      <c r="DM62" s="9">
        <v>155.6</v>
      </c>
      <c r="DP62" s="11">
        <v>3</v>
      </c>
      <c r="DQ62" s="9">
        <v>2</v>
      </c>
      <c r="DR62" s="9">
        <v>3</v>
      </c>
      <c r="DT62" s="9">
        <v>11.8</v>
      </c>
      <c r="DU62" s="9">
        <v>4</v>
      </c>
    </row>
    <row r="63" spans="1:125" x14ac:dyDescent="0.2">
      <c r="A63" s="36" t="s">
        <v>1066</v>
      </c>
      <c r="B63" s="8">
        <v>43308</v>
      </c>
      <c r="C63" s="9" t="s">
        <v>95</v>
      </c>
      <c r="D63" s="9">
        <v>40</v>
      </c>
      <c r="E63" s="9" t="s">
        <v>96</v>
      </c>
      <c r="F63" s="8">
        <v>28441</v>
      </c>
      <c r="H63" s="9" t="s">
        <v>1067</v>
      </c>
      <c r="I63" s="9">
        <v>12</v>
      </c>
      <c r="K63" s="9">
        <v>2010</v>
      </c>
      <c r="L63" s="9">
        <v>5</v>
      </c>
      <c r="M63" s="9" t="s">
        <v>99</v>
      </c>
      <c r="N63" s="9" t="s">
        <v>99</v>
      </c>
      <c r="O63" s="9" t="s">
        <v>99</v>
      </c>
      <c r="P63" s="9" t="s">
        <v>99</v>
      </c>
      <c r="Q63" s="9" t="s">
        <v>483</v>
      </c>
      <c r="R63" s="9" t="s">
        <v>588</v>
      </c>
      <c r="S63" s="9" t="s">
        <v>483</v>
      </c>
      <c r="T63" s="47" t="s">
        <v>483</v>
      </c>
      <c r="U63" s="9" t="s">
        <v>588</v>
      </c>
      <c r="V63" s="9" t="s">
        <v>483</v>
      </c>
      <c r="AA63" s="9" t="s">
        <v>1068</v>
      </c>
      <c r="AB63" s="9" t="s">
        <v>949</v>
      </c>
      <c r="AE63" s="9" t="s">
        <v>99</v>
      </c>
      <c r="AF63" s="10" t="s">
        <v>406</v>
      </c>
      <c r="AG63" s="10" t="s">
        <v>423</v>
      </c>
      <c r="AH63" s="9" t="s">
        <v>483</v>
      </c>
      <c r="AI63" s="9" t="s">
        <v>483</v>
      </c>
      <c r="AJ63" s="9" t="s">
        <v>483</v>
      </c>
      <c r="AK63" s="9" t="s">
        <v>99</v>
      </c>
      <c r="AL63" s="9">
        <v>89.5</v>
      </c>
      <c r="AM63" s="9">
        <v>163</v>
      </c>
      <c r="AN63" s="10">
        <v>98</v>
      </c>
      <c r="AO63" s="9">
        <v>116</v>
      </c>
      <c r="AP63" s="9">
        <v>47.3</v>
      </c>
      <c r="AQ63" s="9">
        <v>9</v>
      </c>
      <c r="AR63" s="9">
        <v>23.4</v>
      </c>
      <c r="AS63" s="9">
        <v>67</v>
      </c>
      <c r="AT63" s="9">
        <v>33.700000000000003</v>
      </c>
      <c r="AU63" s="10">
        <v>141</v>
      </c>
      <c r="AV63" s="10">
        <v>93</v>
      </c>
      <c r="AX63" s="9" t="s">
        <v>1069</v>
      </c>
      <c r="AY63" s="9" t="s">
        <v>1070</v>
      </c>
      <c r="AZ63" s="9" t="s">
        <v>1071</v>
      </c>
      <c r="BB63" s="9" t="s">
        <v>785</v>
      </c>
      <c r="BC63" s="9" t="s">
        <v>409</v>
      </c>
      <c r="BF63" s="9" t="s">
        <v>350</v>
      </c>
      <c r="BG63" s="9" t="s">
        <v>350</v>
      </c>
      <c r="BH63" s="9" t="s">
        <v>323</v>
      </c>
      <c r="BI63" s="9" t="s">
        <v>635</v>
      </c>
      <c r="BJ63" s="9" t="s">
        <v>635</v>
      </c>
      <c r="BK63" s="9" t="s">
        <v>325</v>
      </c>
      <c r="BN63" s="9" t="s">
        <v>918</v>
      </c>
      <c r="BO63" s="9" t="s">
        <v>1072</v>
      </c>
      <c r="BP63" s="9" t="s">
        <v>1073</v>
      </c>
      <c r="BV63" s="9" t="s">
        <v>64</v>
      </c>
      <c r="BZ63" s="9" t="s">
        <v>278</v>
      </c>
      <c r="CA63" s="9" t="s">
        <v>1074</v>
      </c>
      <c r="CB63" s="9" t="s">
        <v>1075</v>
      </c>
      <c r="CL63" s="9" t="s">
        <v>383</v>
      </c>
      <c r="CM63" s="9" t="s">
        <v>1076</v>
      </c>
      <c r="CN63" s="9" t="s">
        <v>449</v>
      </c>
      <c r="CT63" s="9" t="s">
        <v>435</v>
      </c>
      <c r="CW63" s="9">
        <v>2</v>
      </c>
      <c r="CX63" s="9" t="s">
        <v>588</v>
      </c>
      <c r="CY63" s="9" t="s">
        <v>323</v>
      </c>
      <c r="DC63" s="7">
        <v>84.5</v>
      </c>
      <c r="DD63" s="9">
        <v>0.5</v>
      </c>
      <c r="DE63" s="9">
        <v>149</v>
      </c>
      <c r="DF63" s="10">
        <v>177</v>
      </c>
      <c r="DG63" s="9">
        <f t="shared" si="0"/>
        <v>4.8064506334684785</v>
      </c>
      <c r="DH63" s="9">
        <v>35.4</v>
      </c>
      <c r="DI63" s="9">
        <v>5.89</v>
      </c>
      <c r="DL63" s="10">
        <v>38.799999999999997</v>
      </c>
      <c r="DM63" s="9">
        <v>74.8</v>
      </c>
      <c r="DP63" s="11">
        <v>2</v>
      </c>
      <c r="DQ63" s="9">
        <v>3</v>
      </c>
      <c r="DR63" s="9">
        <v>3</v>
      </c>
      <c r="DU63" s="9">
        <v>6.2</v>
      </c>
    </row>
    <row r="64" spans="1:125" x14ac:dyDescent="0.2">
      <c r="A64" s="7" t="s">
        <v>1077</v>
      </c>
      <c r="B64" s="8">
        <v>43308</v>
      </c>
      <c r="C64" s="9" t="s">
        <v>95</v>
      </c>
      <c r="D64" s="9">
        <v>40</v>
      </c>
      <c r="E64" s="9" t="s">
        <v>96</v>
      </c>
      <c r="F64" s="8">
        <v>28405</v>
      </c>
      <c r="G64" s="9" t="s">
        <v>813</v>
      </c>
      <c r="H64" s="9" t="s">
        <v>1078</v>
      </c>
      <c r="M64" s="9" t="s">
        <v>99</v>
      </c>
      <c r="N64" s="9" t="s">
        <v>99</v>
      </c>
      <c r="O64" s="9" t="s">
        <v>99</v>
      </c>
      <c r="P64" s="9" t="s">
        <v>99</v>
      </c>
      <c r="AA64" s="9" t="s">
        <v>100</v>
      </c>
      <c r="AB64" s="56" t="s">
        <v>797</v>
      </c>
      <c r="AC64" s="9" t="s">
        <v>100</v>
      </c>
      <c r="AD64" s="9" t="s">
        <v>100</v>
      </c>
      <c r="AE64" s="9" t="s">
        <v>99</v>
      </c>
      <c r="AF64" s="10" t="s">
        <v>1079</v>
      </c>
      <c r="AG64" s="9" t="s">
        <v>99</v>
      </c>
      <c r="AH64" s="10" t="s">
        <v>664</v>
      </c>
      <c r="AI64" s="9" t="s">
        <v>99</v>
      </c>
      <c r="AJ64" s="9" t="s">
        <v>99</v>
      </c>
      <c r="AK64" s="9" t="s">
        <v>99</v>
      </c>
      <c r="AL64" s="9">
        <v>55.6</v>
      </c>
      <c r="AM64" s="9">
        <v>156</v>
      </c>
      <c r="AO64" s="9">
        <v>98</v>
      </c>
      <c r="AP64" s="9">
        <v>33.200000000000003</v>
      </c>
      <c r="AQ64" s="9">
        <v>5</v>
      </c>
      <c r="AR64" s="9">
        <v>27.9</v>
      </c>
      <c r="AS64" s="9">
        <v>41</v>
      </c>
      <c r="AT64" s="7">
        <v>23.1</v>
      </c>
      <c r="AU64" s="9">
        <v>102</v>
      </c>
      <c r="AV64" s="9">
        <v>70</v>
      </c>
      <c r="AX64" s="9" t="s">
        <v>573</v>
      </c>
      <c r="AY64" s="9" t="s">
        <v>729</v>
      </c>
      <c r="BB64" s="9" t="s">
        <v>1080</v>
      </c>
      <c r="BC64" s="9" t="s">
        <v>1081</v>
      </c>
      <c r="BF64" s="9" t="s">
        <v>350</v>
      </c>
      <c r="BG64" s="9" t="s">
        <v>350</v>
      </c>
      <c r="BN64" s="9" t="s">
        <v>1082</v>
      </c>
      <c r="BR64" s="9" t="s">
        <v>110</v>
      </c>
      <c r="BV64" s="9" t="s">
        <v>110</v>
      </c>
      <c r="BZ64" s="9" t="s">
        <v>176</v>
      </c>
      <c r="CL64" s="9" t="s">
        <v>176</v>
      </c>
      <c r="CP64" s="9" t="s">
        <v>350</v>
      </c>
      <c r="CT64" s="9" t="s">
        <v>350</v>
      </c>
      <c r="CW64" s="9">
        <v>4</v>
      </c>
      <c r="CX64" s="9" t="s">
        <v>99</v>
      </c>
      <c r="CY64" s="9" t="s">
        <v>110</v>
      </c>
      <c r="DC64" s="9">
        <v>86.1</v>
      </c>
      <c r="DD64" s="9">
        <v>0.75</v>
      </c>
      <c r="DE64" s="9">
        <v>174</v>
      </c>
      <c r="DF64" s="9">
        <v>115</v>
      </c>
      <c r="DG64" s="9">
        <f t="shared" si="0"/>
        <v>4.6002207698984678</v>
      </c>
      <c r="DH64" s="9">
        <v>23</v>
      </c>
      <c r="DI64" s="9">
        <v>4.6399999999999997</v>
      </c>
      <c r="DL64" s="10">
        <v>47.4</v>
      </c>
      <c r="DM64" s="9">
        <v>103.6</v>
      </c>
      <c r="DP64" s="18">
        <v>1</v>
      </c>
      <c r="DQ64" s="9">
        <v>2</v>
      </c>
      <c r="DR64" s="9">
        <v>2</v>
      </c>
      <c r="DU64" s="9">
        <v>9.8000000000000007</v>
      </c>
    </row>
    <row r="65" spans="1:126" x14ac:dyDescent="0.2">
      <c r="A65" s="9" t="s">
        <v>1083</v>
      </c>
      <c r="B65" s="8">
        <v>43308</v>
      </c>
      <c r="C65" s="9" t="s">
        <v>95</v>
      </c>
      <c r="D65" s="9">
        <v>45</v>
      </c>
      <c r="E65" s="9" t="s">
        <v>96</v>
      </c>
      <c r="F65" s="8">
        <v>26711</v>
      </c>
      <c r="G65" s="9" t="s">
        <v>585</v>
      </c>
      <c r="H65" s="9" t="s">
        <v>971</v>
      </c>
      <c r="I65" s="9">
        <v>12</v>
      </c>
      <c r="M65" s="9" t="s">
        <v>483</v>
      </c>
      <c r="N65" s="9" t="s">
        <v>483</v>
      </c>
      <c r="P65" s="9" t="s">
        <v>483</v>
      </c>
      <c r="Q65" s="9" t="s">
        <v>483</v>
      </c>
      <c r="R65" s="9" t="s">
        <v>588</v>
      </c>
      <c r="T65" s="9" t="s">
        <v>1084</v>
      </c>
      <c r="U65" s="9" t="s">
        <v>483</v>
      </c>
      <c r="V65" s="9" t="s">
        <v>483</v>
      </c>
      <c r="W65" s="10" t="s">
        <v>1046</v>
      </c>
      <c r="X65" s="9" t="s">
        <v>483</v>
      </c>
      <c r="Y65" s="10" t="s">
        <v>1085</v>
      </c>
      <c r="AA65" s="9" t="s">
        <v>100</v>
      </c>
      <c r="AB65" s="9" t="s">
        <v>949</v>
      </c>
      <c r="AC65" s="9" t="s">
        <v>100</v>
      </c>
      <c r="AD65" s="9" t="s">
        <v>949</v>
      </c>
      <c r="AE65" s="10" t="s">
        <v>1086</v>
      </c>
      <c r="AF65" s="10" t="s">
        <v>423</v>
      </c>
      <c r="AG65" s="10" t="s">
        <v>423</v>
      </c>
      <c r="AH65" s="10" t="s">
        <v>1087</v>
      </c>
      <c r="AI65" s="9" t="s">
        <v>483</v>
      </c>
      <c r="AJ65" s="9" t="s">
        <v>483</v>
      </c>
      <c r="AK65" s="9" t="s">
        <v>483</v>
      </c>
      <c r="AL65" s="9">
        <v>60.5</v>
      </c>
      <c r="AM65" s="9">
        <v>1.56</v>
      </c>
      <c r="AN65" s="10">
        <v>86</v>
      </c>
      <c r="AO65" s="9">
        <v>97</v>
      </c>
      <c r="AP65" s="9">
        <v>38.799999999999997</v>
      </c>
      <c r="AQ65" s="9">
        <v>7</v>
      </c>
      <c r="AR65" s="9">
        <v>25</v>
      </c>
      <c r="AS65" s="9">
        <v>49</v>
      </c>
      <c r="AT65" s="7">
        <v>24.9</v>
      </c>
      <c r="AU65" s="9">
        <v>108</v>
      </c>
      <c r="AV65" s="9">
        <v>78</v>
      </c>
      <c r="CF65" s="47"/>
      <c r="DC65" s="10">
        <v>101.3</v>
      </c>
      <c r="DD65" s="9">
        <v>0.5</v>
      </c>
      <c r="DE65" s="10">
        <v>280</v>
      </c>
      <c r="DF65" s="9">
        <v>132</v>
      </c>
      <c r="DG65" s="9">
        <f t="shared" si="0"/>
        <v>4.750444166920504</v>
      </c>
      <c r="DH65" s="9">
        <v>26.4</v>
      </c>
      <c r="DI65" s="9">
        <v>5.8</v>
      </c>
      <c r="DL65" s="9">
        <v>46.1</v>
      </c>
      <c r="DM65" s="9">
        <v>207.5</v>
      </c>
      <c r="DP65" s="11">
        <v>3</v>
      </c>
      <c r="DQ65" s="9">
        <v>3</v>
      </c>
      <c r="DR65" s="9">
        <v>3</v>
      </c>
      <c r="DU65" s="9">
        <v>6.2</v>
      </c>
    </row>
    <row r="66" spans="1:126" x14ac:dyDescent="0.2">
      <c r="A66" s="9" t="s">
        <v>1088</v>
      </c>
      <c r="B66" s="8">
        <v>43308</v>
      </c>
      <c r="C66" s="9" t="s">
        <v>196</v>
      </c>
      <c r="D66" s="9">
        <v>51</v>
      </c>
      <c r="E66" s="9" t="s">
        <v>96</v>
      </c>
      <c r="F66" s="8">
        <v>24508</v>
      </c>
      <c r="G66" s="9" t="s">
        <v>1089</v>
      </c>
      <c r="J66" s="10" t="s">
        <v>110</v>
      </c>
      <c r="K66" s="9">
        <v>2006</v>
      </c>
      <c r="L66" s="9">
        <v>4</v>
      </c>
      <c r="M66" s="9" t="s">
        <v>99</v>
      </c>
      <c r="N66" s="10" t="s">
        <v>1090</v>
      </c>
      <c r="O66" s="10" t="s">
        <v>110</v>
      </c>
      <c r="P66" s="9" t="s">
        <v>99</v>
      </c>
      <c r="Q66" s="9" t="s">
        <v>99</v>
      </c>
      <c r="R66" s="9" t="s">
        <v>110</v>
      </c>
      <c r="W66" s="9" t="s">
        <v>1091</v>
      </c>
      <c r="X66" s="9" t="s">
        <v>99</v>
      </c>
      <c r="Y66" s="9" t="s">
        <v>1092</v>
      </c>
      <c r="AA66" s="9" t="s">
        <v>100</v>
      </c>
      <c r="AB66" s="9" t="s">
        <v>100</v>
      </c>
      <c r="AC66" s="9" t="s">
        <v>100</v>
      </c>
      <c r="AD66" s="9" t="s">
        <v>1093</v>
      </c>
      <c r="AE66" s="9" t="s">
        <v>99</v>
      </c>
      <c r="AF66" s="9" t="s">
        <v>99</v>
      </c>
      <c r="AG66" s="10" t="s">
        <v>664</v>
      </c>
      <c r="AH66" s="10" t="s">
        <v>1094</v>
      </c>
      <c r="AI66" s="10" t="s">
        <v>125</v>
      </c>
      <c r="AL66" s="9">
        <v>108.3</v>
      </c>
      <c r="AM66" s="9">
        <v>159</v>
      </c>
      <c r="AN66" s="10">
        <v>117</v>
      </c>
      <c r="AO66" s="9">
        <v>136</v>
      </c>
      <c r="AP66" s="9">
        <v>55.4</v>
      </c>
      <c r="AQ66" s="9">
        <v>14</v>
      </c>
      <c r="AR66" s="9">
        <v>19.100000000000001</v>
      </c>
      <c r="AS66" s="9">
        <v>79</v>
      </c>
      <c r="AT66" s="9">
        <v>42.8</v>
      </c>
      <c r="AU66" s="10">
        <v>144</v>
      </c>
      <c r="AV66" s="10">
        <v>103</v>
      </c>
      <c r="AX66" s="9" t="s">
        <v>1095</v>
      </c>
      <c r="AY66" s="9" t="s">
        <v>1096</v>
      </c>
      <c r="AZ66" s="9" t="s">
        <v>1097</v>
      </c>
      <c r="BB66" s="9" t="s">
        <v>1098</v>
      </c>
      <c r="BF66" s="9" t="s">
        <v>1099</v>
      </c>
      <c r="BG66" s="9" t="s">
        <v>683</v>
      </c>
      <c r="BH66" s="9" t="s">
        <v>683</v>
      </c>
      <c r="BI66" s="9" t="s">
        <v>175</v>
      </c>
      <c r="BJ66" s="9" t="s">
        <v>683</v>
      </c>
      <c r="BK66" s="9" t="s">
        <v>852</v>
      </c>
      <c r="BM66" s="9" t="s">
        <v>350</v>
      </c>
      <c r="BN66" s="9" t="s">
        <v>180</v>
      </c>
      <c r="BO66" s="9" t="s">
        <v>352</v>
      </c>
      <c r="BP66" s="9" t="s">
        <v>363</v>
      </c>
      <c r="BR66" s="9" t="s">
        <v>99</v>
      </c>
      <c r="BV66" s="9" t="s">
        <v>734</v>
      </c>
      <c r="BZ66" s="9" t="s">
        <v>183</v>
      </c>
      <c r="CA66" s="9" t="s">
        <v>1100</v>
      </c>
      <c r="CB66" s="9" t="s">
        <v>822</v>
      </c>
      <c r="CL66" s="9" t="s">
        <v>980</v>
      </c>
      <c r="CP66" s="9" t="s">
        <v>362</v>
      </c>
      <c r="CT66" s="9" t="s">
        <v>187</v>
      </c>
      <c r="CW66" s="9">
        <v>2</v>
      </c>
      <c r="CX66" s="9" t="s">
        <v>99</v>
      </c>
      <c r="CY66" s="9" t="s">
        <v>99</v>
      </c>
      <c r="CZ66" s="9">
        <v>15</v>
      </c>
      <c r="DA66" s="9">
        <v>10</v>
      </c>
      <c r="DB66" s="9">
        <v>40</v>
      </c>
      <c r="DC66" s="9">
        <v>89.6</v>
      </c>
      <c r="DD66" s="9">
        <v>0.68</v>
      </c>
      <c r="DE66" s="10">
        <v>213</v>
      </c>
      <c r="DF66" s="9">
        <v>122</v>
      </c>
      <c r="DG66" s="9">
        <f t="shared" si="0"/>
        <v>4.649688182357071</v>
      </c>
      <c r="DI66" s="9">
        <v>4.8499999999999996</v>
      </c>
      <c r="DL66" s="10">
        <v>48.6</v>
      </c>
      <c r="DP66" s="18">
        <v>1</v>
      </c>
      <c r="DQ66" s="9">
        <v>2</v>
      </c>
      <c r="DR66" s="9">
        <v>2</v>
      </c>
      <c r="DU66" s="9">
        <v>5.2</v>
      </c>
    </row>
    <row r="67" spans="1:126" x14ac:dyDescent="0.2">
      <c r="A67" s="7" t="s">
        <v>1101</v>
      </c>
      <c r="B67" s="8">
        <v>43308</v>
      </c>
      <c r="C67" s="9" t="s">
        <v>95</v>
      </c>
      <c r="D67" s="9">
        <v>40</v>
      </c>
      <c r="E67" s="9" t="s">
        <v>96</v>
      </c>
      <c r="F67" s="8">
        <v>28588</v>
      </c>
      <c r="H67" s="9" t="s">
        <v>1102</v>
      </c>
      <c r="L67" s="9" t="s">
        <v>1103</v>
      </c>
      <c r="M67" s="9" t="s">
        <v>483</v>
      </c>
      <c r="N67" s="9" t="s">
        <v>483</v>
      </c>
      <c r="O67" s="9" t="s">
        <v>483</v>
      </c>
      <c r="P67" s="9" t="s">
        <v>483</v>
      </c>
      <c r="Q67" s="9" t="s">
        <v>483</v>
      </c>
      <c r="R67" s="7" t="s">
        <v>483</v>
      </c>
      <c r="S67" s="9" t="s">
        <v>483</v>
      </c>
      <c r="T67" s="9" t="s">
        <v>483</v>
      </c>
      <c r="U67" s="9" t="s">
        <v>483</v>
      </c>
      <c r="V67" s="9" t="s">
        <v>483</v>
      </c>
      <c r="W67" s="9" t="s">
        <v>483</v>
      </c>
      <c r="X67" s="9" t="s">
        <v>483</v>
      </c>
      <c r="AA67" s="14" t="s">
        <v>150</v>
      </c>
      <c r="AB67" s="9" t="s">
        <v>100</v>
      </c>
      <c r="AC67" s="14" t="s">
        <v>150</v>
      </c>
      <c r="AD67" s="9" t="s">
        <v>949</v>
      </c>
      <c r="AE67" s="10" t="s">
        <v>1104</v>
      </c>
      <c r="AF67" s="10" t="s">
        <v>406</v>
      </c>
      <c r="AG67" s="10" t="s">
        <v>1105</v>
      </c>
      <c r="AH67" s="9" t="s">
        <v>483</v>
      </c>
      <c r="AI67" s="9" t="s">
        <v>483</v>
      </c>
      <c r="AJ67" s="9" t="s">
        <v>483</v>
      </c>
      <c r="AK67" s="9" t="s">
        <v>483</v>
      </c>
      <c r="AL67" s="9">
        <v>57.8</v>
      </c>
      <c r="AM67" s="9">
        <v>149</v>
      </c>
      <c r="AN67" s="9">
        <v>72</v>
      </c>
      <c r="AO67" s="9">
        <v>95</v>
      </c>
      <c r="AP67" s="9">
        <v>36.799999999999997</v>
      </c>
      <c r="AQ67" s="9">
        <v>6</v>
      </c>
      <c r="AR67" s="9">
        <v>24.6</v>
      </c>
      <c r="AS67" s="9">
        <v>44</v>
      </c>
      <c r="AT67" s="7">
        <v>23.3</v>
      </c>
      <c r="AU67" s="9">
        <v>107</v>
      </c>
      <c r="AV67" s="9">
        <v>82</v>
      </c>
      <c r="AX67" s="9" t="s">
        <v>168</v>
      </c>
      <c r="AY67" s="9" t="s">
        <v>1106</v>
      </c>
      <c r="AZ67" s="9" t="s">
        <v>1107</v>
      </c>
      <c r="BB67" s="9" t="s">
        <v>1036</v>
      </c>
      <c r="BC67" s="9" t="s">
        <v>952</v>
      </c>
      <c r="BD67" s="9" t="s">
        <v>951</v>
      </c>
      <c r="BF67" s="9" t="s">
        <v>323</v>
      </c>
      <c r="BG67" s="9" t="s">
        <v>323</v>
      </c>
      <c r="BH67" s="9" t="s">
        <v>325</v>
      </c>
      <c r="BI67" s="9" t="s">
        <v>635</v>
      </c>
      <c r="BJ67" s="9" t="s">
        <v>323</v>
      </c>
      <c r="BK67" s="9" t="s">
        <v>325</v>
      </c>
      <c r="BN67" s="9" t="s">
        <v>412</v>
      </c>
      <c r="BO67" s="9" t="s">
        <v>1108</v>
      </c>
      <c r="BP67" s="9" t="s">
        <v>328</v>
      </c>
      <c r="BR67" s="9" t="s">
        <v>483</v>
      </c>
      <c r="BV67" s="9" t="s">
        <v>483</v>
      </c>
      <c r="BZ67" s="9" t="s">
        <v>1109</v>
      </c>
      <c r="CA67" s="9" t="s">
        <v>305</v>
      </c>
      <c r="CB67" s="9" t="s">
        <v>1110</v>
      </c>
      <c r="CH67" s="9" t="s">
        <v>483</v>
      </c>
      <c r="CL67" s="9" t="s">
        <v>333</v>
      </c>
      <c r="CM67" s="9" t="s">
        <v>1111</v>
      </c>
      <c r="CP67" s="9" t="s">
        <v>375</v>
      </c>
      <c r="CT67" s="9" t="s">
        <v>323</v>
      </c>
      <c r="CW67" s="9">
        <v>4</v>
      </c>
      <c r="CX67" s="9" t="s">
        <v>588</v>
      </c>
      <c r="CY67" s="9" t="s">
        <v>323</v>
      </c>
      <c r="DC67" s="9">
        <v>75.400000000000006</v>
      </c>
      <c r="DD67" s="9">
        <v>0.57999999999999996</v>
      </c>
      <c r="DE67" s="9">
        <v>154</v>
      </c>
      <c r="DF67" s="9">
        <v>69</v>
      </c>
      <c r="DG67" s="9">
        <f t="shared" ref="DG67:DG130" si="1">LN(DF67*DC67)/2</f>
        <v>4.278456889805585</v>
      </c>
      <c r="DI67" s="9">
        <v>3.66</v>
      </c>
      <c r="DL67" s="9">
        <v>61.1</v>
      </c>
      <c r="DP67" s="11">
        <v>3</v>
      </c>
      <c r="DQ67" s="9">
        <v>2</v>
      </c>
      <c r="DR67" s="9">
        <v>2</v>
      </c>
      <c r="DU67" s="9">
        <v>3</v>
      </c>
    </row>
    <row r="68" spans="1:126" x14ac:dyDescent="0.2">
      <c r="A68" s="7" t="s">
        <v>1112</v>
      </c>
      <c r="B68" s="8">
        <v>43308</v>
      </c>
      <c r="C68" s="9" t="s">
        <v>95</v>
      </c>
      <c r="D68" s="9">
        <v>36</v>
      </c>
      <c r="E68" s="9" t="s">
        <v>96</v>
      </c>
      <c r="F68" s="8">
        <v>29870</v>
      </c>
      <c r="I68" s="9">
        <v>12</v>
      </c>
      <c r="K68" s="9">
        <v>2013</v>
      </c>
      <c r="L68" s="9">
        <v>4</v>
      </c>
      <c r="M68" s="9" t="s">
        <v>483</v>
      </c>
      <c r="N68" s="9" t="s">
        <v>483</v>
      </c>
      <c r="O68" s="9" t="s">
        <v>483</v>
      </c>
      <c r="P68" s="9" t="s">
        <v>483</v>
      </c>
      <c r="Q68" s="9" t="s">
        <v>483</v>
      </c>
      <c r="U68" s="9" t="s">
        <v>483</v>
      </c>
      <c r="X68" s="9" t="s">
        <v>483</v>
      </c>
      <c r="AA68" s="9" t="s">
        <v>1113</v>
      </c>
      <c r="AB68" s="9" t="s">
        <v>1113</v>
      </c>
      <c r="AC68" s="9" t="s">
        <v>1113</v>
      </c>
      <c r="AD68" s="9" t="s">
        <v>1113</v>
      </c>
      <c r="AE68" s="10" t="s">
        <v>1114</v>
      </c>
      <c r="AF68" s="10" t="s">
        <v>423</v>
      </c>
      <c r="AG68" s="9" t="s">
        <v>483</v>
      </c>
      <c r="AH68" s="10" t="s">
        <v>1115</v>
      </c>
      <c r="AI68" s="10" t="s">
        <v>901</v>
      </c>
      <c r="AJ68" s="9" t="s">
        <v>483</v>
      </c>
      <c r="AK68" s="9" t="s">
        <v>483</v>
      </c>
      <c r="AL68" s="9">
        <v>61</v>
      </c>
      <c r="AM68" s="9">
        <v>1.59</v>
      </c>
      <c r="AN68" s="9">
        <v>76</v>
      </c>
      <c r="AO68" s="9">
        <v>102</v>
      </c>
      <c r="AP68" s="9">
        <v>38.200000000000003</v>
      </c>
      <c r="AQ68" s="9">
        <v>6</v>
      </c>
      <c r="AR68" s="9">
        <v>25</v>
      </c>
      <c r="AS68" s="9">
        <v>41</v>
      </c>
      <c r="AT68" s="7">
        <v>24.1</v>
      </c>
      <c r="AU68" s="9">
        <v>112</v>
      </c>
      <c r="AV68" s="9">
        <v>80</v>
      </c>
      <c r="AX68" s="9" t="s">
        <v>1116</v>
      </c>
      <c r="BB68" s="9" t="s">
        <v>323</v>
      </c>
      <c r="BF68" s="9" t="s">
        <v>635</v>
      </c>
      <c r="BG68" s="9" t="s">
        <v>325</v>
      </c>
      <c r="BH68" s="9" t="s">
        <v>325</v>
      </c>
      <c r="BI68" s="9" t="s">
        <v>323</v>
      </c>
      <c r="BJ68" s="9" t="s">
        <v>635</v>
      </c>
      <c r="BK68" s="9" t="s">
        <v>325</v>
      </c>
      <c r="BN68" s="9" t="s">
        <v>323</v>
      </c>
      <c r="BR68" s="9" t="s">
        <v>324</v>
      </c>
      <c r="BV68" s="9" t="s">
        <v>324</v>
      </c>
      <c r="BZ68" s="9" t="s">
        <v>635</v>
      </c>
      <c r="CD68" s="9" t="s">
        <v>324</v>
      </c>
      <c r="CH68" s="9" t="s">
        <v>324</v>
      </c>
      <c r="CL68" s="9" t="s">
        <v>997</v>
      </c>
      <c r="CM68" s="9" t="s">
        <v>922</v>
      </c>
      <c r="DC68" s="9">
        <v>85.4</v>
      </c>
      <c r="DD68" s="9">
        <v>0.59</v>
      </c>
      <c r="DE68" s="9">
        <v>185</v>
      </c>
      <c r="DF68" s="9">
        <v>64</v>
      </c>
      <c r="DG68" s="9">
        <f t="shared" si="1"/>
        <v>4.3031145920770983</v>
      </c>
      <c r="DI68" s="9">
        <v>3.37</v>
      </c>
      <c r="DL68" s="9">
        <v>56.7</v>
      </c>
      <c r="DR68" s="9">
        <v>3</v>
      </c>
      <c r="DU68" s="9">
        <v>3.2</v>
      </c>
    </row>
    <row r="69" spans="1:126" s="33" customFormat="1" x14ac:dyDescent="0.2">
      <c r="A69" s="30" t="s">
        <v>1117</v>
      </c>
      <c r="B69" s="32">
        <v>43795</v>
      </c>
      <c r="C69" s="31" t="s">
        <v>675</v>
      </c>
      <c r="D69" s="31">
        <v>32</v>
      </c>
      <c r="E69" s="31" t="s">
        <v>1118</v>
      </c>
      <c r="F69" s="32">
        <v>31958</v>
      </c>
      <c r="G69" s="31" t="s">
        <v>837</v>
      </c>
      <c r="H69" s="31"/>
      <c r="I69" s="31"/>
      <c r="J69" s="31"/>
      <c r="K69" s="31"/>
      <c r="L69" s="31"/>
      <c r="M69" s="31" t="s">
        <v>99</v>
      </c>
      <c r="N69" s="31" t="s">
        <v>99</v>
      </c>
      <c r="O69" s="31" t="s">
        <v>99</v>
      </c>
      <c r="P69" s="31" t="s">
        <v>110</v>
      </c>
      <c r="Q69" s="31" t="s">
        <v>1119</v>
      </c>
      <c r="R69" s="31"/>
      <c r="S69" s="31" t="s">
        <v>1120</v>
      </c>
      <c r="T69" s="31" t="s">
        <v>1121</v>
      </c>
      <c r="U69" s="31" t="s">
        <v>99</v>
      </c>
      <c r="V69" s="31" t="s">
        <v>99</v>
      </c>
      <c r="W69" s="31" t="s">
        <v>99</v>
      </c>
      <c r="X69" s="31" t="s">
        <v>99</v>
      </c>
      <c r="Y69" s="31" t="s">
        <v>99</v>
      </c>
      <c r="Z69" s="31" t="s">
        <v>1122</v>
      </c>
      <c r="AA69" s="31" t="s">
        <v>1123</v>
      </c>
      <c r="AB69" s="31" t="s">
        <v>204</v>
      </c>
      <c r="AC69" s="31" t="s">
        <v>1123</v>
      </c>
      <c r="AD69" s="31" t="s">
        <v>204</v>
      </c>
      <c r="AE69" s="31" t="s">
        <v>1124</v>
      </c>
      <c r="AF69" s="31" t="s">
        <v>1125</v>
      </c>
      <c r="AG69" s="31" t="s">
        <v>99</v>
      </c>
      <c r="AH69" s="31" t="s">
        <v>1126</v>
      </c>
      <c r="AI69" s="31" t="s">
        <v>1127</v>
      </c>
      <c r="AJ69" s="31" t="s">
        <v>99</v>
      </c>
      <c r="AK69" s="31" t="s">
        <v>99</v>
      </c>
      <c r="AL69" s="31">
        <v>84</v>
      </c>
      <c r="AM69" s="31">
        <v>176</v>
      </c>
      <c r="AN69" s="31">
        <v>96</v>
      </c>
      <c r="AO69" s="31">
        <v>107</v>
      </c>
      <c r="AP69" s="31">
        <v>24.9</v>
      </c>
      <c r="AQ69" s="31">
        <v>10</v>
      </c>
      <c r="AR69" s="31">
        <v>36.6</v>
      </c>
      <c r="AS69" s="31">
        <v>49</v>
      </c>
      <c r="AT69" s="31">
        <v>271</v>
      </c>
      <c r="AU69" s="31">
        <v>111</v>
      </c>
      <c r="AV69" s="31">
        <v>71</v>
      </c>
      <c r="AW69" s="31"/>
      <c r="AX69" s="31" t="s">
        <v>1128</v>
      </c>
      <c r="AY69" s="31" t="s">
        <v>679</v>
      </c>
      <c r="AZ69" s="31"/>
      <c r="BA69" s="31"/>
      <c r="BB69" s="31" t="s">
        <v>346</v>
      </c>
      <c r="BC69" s="31" t="s">
        <v>1129</v>
      </c>
      <c r="BD69" s="31" t="s">
        <v>1130</v>
      </c>
      <c r="BE69" s="31"/>
      <c r="BF69" s="31" t="s">
        <v>1131</v>
      </c>
      <c r="BG69" s="31" t="s">
        <v>176</v>
      </c>
      <c r="BH69" s="31" t="s">
        <v>1132</v>
      </c>
      <c r="BI69" s="31" t="s">
        <v>176</v>
      </c>
      <c r="BJ69" s="31" t="s">
        <v>1133</v>
      </c>
      <c r="BK69" s="31" t="s">
        <v>1134</v>
      </c>
      <c r="BL69" s="31"/>
      <c r="BM69" s="31"/>
      <c r="BN69" s="31" t="s">
        <v>1135</v>
      </c>
      <c r="BO69" s="31" t="s">
        <v>1136</v>
      </c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 t="s">
        <v>821</v>
      </c>
      <c r="CA69" s="31" t="s">
        <v>183</v>
      </c>
      <c r="CB69" s="31" t="s">
        <v>182</v>
      </c>
      <c r="CC69" s="31"/>
      <c r="CD69" s="31" t="s">
        <v>821</v>
      </c>
      <c r="CE69" s="31"/>
      <c r="CF69" s="31"/>
      <c r="CG69" s="31"/>
      <c r="CH69" s="31" t="s">
        <v>1137</v>
      </c>
      <c r="CI69" s="31"/>
      <c r="CJ69" s="31"/>
      <c r="CK69" s="31"/>
      <c r="CL69" s="31" t="s">
        <v>1138</v>
      </c>
      <c r="CM69" s="31" t="s">
        <v>1139</v>
      </c>
      <c r="CN69" s="31" t="s">
        <v>1140</v>
      </c>
      <c r="CO69" s="31"/>
      <c r="CP69" s="31"/>
      <c r="CQ69" s="31"/>
      <c r="CR69" s="31"/>
      <c r="CS69" s="31"/>
      <c r="CT69" s="31" t="s">
        <v>1141</v>
      </c>
      <c r="CU69" s="31" t="s">
        <v>1142</v>
      </c>
      <c r="CV69" s="31" t="s">
        <v>1143</v>
      </c>
      <c r="CW69" s="31">
        <v>3</v>
      </c>
      <c r="CX69" s="31" t="s">
        <v>99</v>
      </c>
      <c r="CY69" s="31" t="s">
        <v>110</v>
      </c>
      <c r="CZ69" s="31"/>
      <c r="DA69" s="31"/>
      <c r="DB69" s="31"/>
      <c r="DC69" s="31">
        <v>83.4</v>
      </c>
      <c r="DD69" s="31">
        <v>0.96</v>
      </c>
      <c r="DE69" s="31">
        <v>175</v>
      </c>
      <c r="DF69" s="31">
        <v>88</v>
      </c>
      <c r="DG69" s="9">
        <f t="shared" si="1"/>
        <v>4.4504925619214539</v>
      </c>
      <c r="DH69" s="31">
        <v>17.600000000000001</v>
      </c>
      <c r="DI69" s="31">
        <v>6.95</v>
      </c>
      <c r="DJ69" s="31"/>
      <c r="DK69" s="31"/>
      <c r="DL69" s="31">
        <v>53.7</v>
      </c>
      <c r="DM69" s="31">
        <v>103.7</v>
      </c>
      <c r="DN69" s="31"/>
      <c r="DO69" s="31"/>
      <c r="DP69" s="31">
        <v>2</v>
      </c>
      <c r="DQ69" s="31"/>
      <c r="DR69" s="31">
        <v>2</v>
      </c>
      <c r="DS69" s="31"/>
      <c r="DT69" s="31"/>
      <c r="DU69" s="31">
        <v>4.3</v>
      </c>
      <c r="DV69" s="31"/>
    </row>
    <row r="70" spans="1:126" x14ac:dyDescent="0.2">
      <c r="A70" s="7" t="s">
        <v>1144</v>
      </c>
      <c r="B70" s="8">
        <v>43308</v>
      </c>
      <c r="C70" s="9" t="s">
        <v>95</v>
      </c>
      <c r="D70" s="9">
        <v>45</v>
      </c>
      <c r="E70" s="9" t="s">
        <v>96</v>
      </c>
      <c r="F70" s="8">
        <v>26674</v>
      </c>
      <c r="G70" s="9" t="s">
        <v>366</v>
      </c>
      <c r="I70" s="9">
        <v>12</v>
      </c>
      <c r="K70" s="9">
        <v>2001</v>
      </c>
      <c r="L70" s="9">
        <v>3</v>
      </c>
      <c r="M70" s="9" t="s">
        <v>263</v>
      </c>
      <c r="N70" s="9" t="s">
        <v>263</v>
      </c>
      <c r="O70" s="10" t="s">
        <v>588</v>
      </c>
      <c r="P70" s="9" t="s">
        <v>263</v>
      </c>
      <c r="Q70" s="9" t="s">
        <v>483</v>
      </c>
      <c r="R70" s="7" t="s">
        <v>483</v>
      </c>
      <c r="S70" s="9" t="s">
        <v>483</v>
      </c>
      <c r="T70" s="9" t="s">
        <v>483</v>
      </c>
      <c r="X70" s="9" t="s">
        <v>483</v>
      </c>
      <c r="Y70" s="10" t="s">
        <v>1145</v>
      </c>
      <c r="AA70" s="9" t="s">
        <v>96</v>
      </c>
      <c r="AB70" s="9" t="s">
        <v>96</v>
      </c>
      <c r="AC70" s="9" t="s">
        <v>96</v>
      </c>
      <c r="AD70" s="9" t="s">
        <v>96</v>
      </c>
      <c r="AE70" s="10" t="s">
        <v>1087</v>
      </c>
      <c r="AF70" s="10" t="s">
        <v>424</v>
      </c>
      <c r="AG70" s="10" t="s">
        <v>424</v>
      </c>
      <c r="AH70" s="9" t="s">
        <v>483</v>
      </c>
      <c r="AI70" s="9" t="s">
        <v>483</v>
      </c>
      <c r="AJ70" s="9" t="s">
        <v>263</v>
      </c>
      <c r="AK70" s="9" t="s">
        <v>263</v>
      </c>
      <c r="AL70" s="9">
        <v>54.7</v>
      </c>
      <c r="AM70" s="9">
        <v>1.66</v>
      </c>
      <c r="AN70" s="9">
        <v>75</v>
      </c>
      <c r="AO70" s="9">
        <v>99</v>
      </c>
      <c r="AP70" s="9">
        <v>26.9</v>
      </c>
      <c r="AQ70" s="9">
        <v>4</v>
      </c>
      <c r="AR70" s="9">
        <v>29.5</v>
      </c>
      <c r="AS70" s="9">
        <v>27</v>
      </c>
      <c r="AT70" s="7">
        <v>19.899999999999999</v>
      </c>
      <c r="AU70" s="9">
        <v>116</v>
      </c>
      <c r="AV70" s="9">
        <v>80</v>
      </c>
      <c r="AX70" s="9" t="s">
        <v>1034</v>
      </c>
      <c r="AY70" s="9" t="s">
        <v>168</v>
      </c>
      <c r="AZ70" s="9" t="s">
        <v>1146</v>
      </c>
      <c r="BB70" s="9" t="s">
        <v>1147</v>
      </c>
      <c r="BC70" s="9" t="s">
        <v>1148</v>
      </c>
      <c r="BD70" s="9" t="s">
        <v>409</v>
      </c>
      <c r="BF70" s="9" t="s">
        <v>323</v>
      </c>
      <c r="BG70" s="9" t="s">
        <v>323</v>
      </c>
      <c r="BH70" s="9" t="s">
        <v>325</v>
      </c>
      <c r="BI70" s="9" t="s">
        <v>325</v>
      </c>
      <c r="BJ70" s="9" t="s">
        <v>635</v>
      </c>
      <c r="BK70" s="9" t="s">
        <v>323</v>
      </c>
      <c r="BN70" s="9" t="s">
        <v>1149</v>
      </c>
      <c r="BO70" s="9" t="s">
        <v>1150</v>
      </c>
      <c r="BP70" s="9" t="s">
        <v>1151</v>
      </c>
      <c r="BR70" s="9" t="s">
        <v>918</v>
      </c>
      <c r="BS70" s="9" t="s">
        <v>954</v>
      </c>
      <c r="BT70" s="9" t="s">
        <v>521</v>
      </c>
      <c r="BV70" s="9" t="s">
        <v>918</v>
      </c>
      <c r="BW70" s="9" t="s">
        <v>1152</v>
      </c>
      <c r="BX70" s="9" t="s">
        <v>1153</v>
      </c>
      <c r="BZ70" s="9" t="s">
        <v>1154</v>
      </c>
      <c r="CA70" s="9" t="s">
        <v>1053</v>
      </c>
      <c r="CB70" s="9" t="s">
        <v>415</v>
      </c>
      <c r="CD70" s="9" t="s">
        <v>1053</v>
      </c>
      <c r="CE70" s="9" t="s">
        <v>941</v>
      </c>
      <c r="CL70" s="9" t="s">
        <v>1155</v>
      </c>
      <c r="CM70" s="9" t="s">
        <v>1156</v>
      </c>
      <c r="CP70" s="9" t="s">
        <v>452</v>
      </c>
      <c r="CQ70" s="9" t="s">
        <v>791</v>
      </c>
      <c r="CT70" s="9" t="s">
        <v>1157</v>
      </c>
      <c r="CU70" s="9" t="s">
        <v>1158</v>
      </c>
      <c r="CV70" s="9" t="s">
        <v>937</v>
      </c>
      <c r="CW70" s="9">
        <v>5</v>
      </c>
      <c r="CX70" s="9" t="s">
        <v>588</v>
      </c>
      <c r="CY70" s="9" t="s">
        <v>588</v>
      </c>
      <c r="CZ70" s="9">
        <v>40</v>
      </c>
      <c r="DA70" s="9">
        <v>20</v>
      </c>
      <c r="DB70" s="9">
        <v>40</v>
      </c>
      <c r="DC70" s="9">
        <v>87.8</v>
      </c>
      <c r="DD70" s="9">
        <v>0.74</v>
      </c>
      <c r="DE70" s="9">
        <v>181</v>
      </c>
      <c r="DF70" s="9">
        <v>62</v>
      </c>
      <c r="DG70" s="9">
        <f t="shared" si="1"/>
        <v>4.3010979428430813</v>
      </c>
      <c r="DI70" s="9">
        <v>4.6100000000000003</v>
      </c>
      <c r="DL70" s="9">
        <v>63</v>
      </c>
      <c r="DP70" s="11">
        <v>2</v>
      </c>
      <c r="DQ70" s="9">
        <v>3</v>
      </c>
      <c r="DR70" s="9">
        <v>2</v>
      </c>
      <c r="DT70" s="9">
        <v>14.3</v>
      </c>
      <c r="DU70" s="9">
        <v>3.41</v>
      </c>
    </row>
    <row r="71" spans="1:126" x14ac:dyDescent="0.2">
      <c r="A71" s="9" t="s">
        <v>1159</v>
      </c>
      <c r="B71" s="8">
        <v>43308</v>
      </c>
      <c r="C71" s="9" t="s">
        <v>196</v>
      </c>
      <c r="D71" s="9">
        <v>33</v>
      </c>
      <c r="E71" s="9" t="s">
        <v>96</v>
      </c>
      <c r="F71" s="8">
        <v>31200</v>
      </c>
      <c r="G71" s="9" t="s">
        <v>1089</v>
      </c>
      <c r="H71" s="9" t="s">
        <v>1160</v>
      </c>
      <c r="K71" s="9">
        <v>2017</v>
      </c>
      <c r="L71" s="9">
        <v>1</v>
      </c>
      <c r="M71" s="9" t="s">
        <v>99</v>
      </c>
      <c r="N71" s="9" t="s">
        <v>99</v>
      </c>
      <c r="O71" s="9" t="s">
        <v>99</v>
      </c>
      <c r="P71" s="9" t="s">
        <v>99</v>
      </c>
      <c r="Q71" s="10" t="s">
        <v>1161</v>
      </c>
      <c r="R71" s="9" t="s">
        <v>1162</v>
      </c>
      <c r="S71" s="9" t="s">
        <v>99</v>
      </c>
      <c r="T71" s="9" t="s">
        <v>99</v>
      </c>
      <c r="U71" s="9" t="s">
        <v>1163</v>
      </c>
      <c r="W71" s="9" t="s">
        <v>1164</v>
      </c>
      <c r="X71" s="9" t="s">
        <v>99</v>
      </c>
      <c r="AA71" s="9" t="s">
        <v>100</v>
      </c>
      <c r="AB71" s="9" t="s">
        <v>100</v>
      </c>
      <c r="AC71" s="9" t="s">
        <v>100</v>
      </c>
      <c r="AD71" s="9" t="s">
        <v>100</v>
      </c>
      <c r="AE71" s="10" t="s">
        <v>1165</v>
      </c>
      <c r="AF71" s="10" t="s">
        <v>664</v>
      </c>
      <c r="AG71" s="10" t="s">
        <v>976</v>
      </c>
      <c r="AH71" s="9" t="s">
        <v>99</v>
      </c>
      <c r="AI71" s="9" t="s">
        <v>99</v>
      </c>
      <c r="AJ71" s="9" t="s">
        <v>99</v>
      </c>
      <c r="AK71" s="10" t="s">
        <v>1166</v>
      </c>
      <c r="AL71" s="9">
        <v>65.3</v>
      </c>
      <c r="AM71" s="9">
        <v>161</v>
      </c>
      <c r="AN71" s="10">
        <v>83</v>
      </c>
      <c r="AO71" s="9">
        <v>110</v>
      </c>
      <c r="AP71" s="9">
        <v>42</v>
      </c>
      <c r="AQ71" s="9">
        <v>6</v>
      </c>
      <c r="AR71" s="9">
        <v>22.7</v>
      </c>
      <c r="AS71" s="9">
        <v>42</v>
      </c>
      <c r="AT71" s="9">
        <v>25.2</v>
      </c>
      <c r="AU71" s="9">
        <v>109</v>
      </c>
      <c r="AV71" s="9">
        <v>77</v>
      </c>
      <c r="AX71" s="9" t="s">
        <v>1167</v>
      </c>
      <c r="AY71" s="9" t="s">
        <v>1168</v>
      </c>
      <c r="AZ71" s="9" t="s">
        <v>1169</v>
      </c>
      <c r="BB71" s="9" t="s">
        <v>1170</v>
      </c>
      <c r="BC71" s="9" t="s">
        <v>1171</v>
      </c>
      <c r="BF71" s="9" t="s">
        <v>176</v>
      </c>
      <c r="BG71" s="9" t="s">
        <v>1172</v>
      </c>
      <c r="BH71" s="9" t="s">
        <v>683</v>
      </c>
      <c r="BI71" s="9" t="s">
        <v>1173</v>
      </c>
      <c r="BJ71" s="9" t="s">
        <v>1174</v>
      </c>
      <c r="BK71" s="9" t="s">
        <v>177</v>
      </c>
      <c r="BL71" s="9" t="s">
        <v>176</v>
      </c>
      <c r="BN71" s="9" t="s">
        <v>1175</v>
      </c>
      <c r="BO71" s="9" t="s">
        <v>1176</v>
      </c>
      <c r="BP71" s="9" t="s">
        <v>1177</v>
      </c>
      <c r="BQ71" s="9" t="s">
        <v>99</v>
      </c>
      <c r="BV71" s="9" t="s">
        <v>1178</v>
      </c>
      <c r="BZ71" s="9" t="s">
        <v>752</v>
      </c>
      <c r="CA71" s="9" t="s">
        <v>1137</v>
      </c>
      <c r="CB71" s="9" t="s">
        <v>1179</v>
      </c>
      <c r="CD71" s="9" t="s">
        <v>99</v>
      </c>
      <c r="CH71" s="9" t="s">
        <v>99</v>
      </c>
      <c r="CL71" s="9" t="s">
        <v>1180</v>
      </c>
      <c r="CM71" s="9" t="s">
        <v>1181</v>
      </c>
      <c r="CP71" s="9" t="s">
        <v>361</v>
      </c>
      <c r="CQ71" s="9" t="s">
        <v>1182</v>
      </c>
      <c r="CT71" s="9" t="s">
        <v>1183</v>
      </c>
      <c r="CU71" s="9" t="s">
        <v>1184</v>
      </c>
      <c r="CV71" s="9" t="s">
        <v>1185</v>
      </c>
      <c r="CW71" s="9">
        <v>4</v>
      </c>
      <c r="CX71" s="9" t="s">
        <v>110</v>
      </c>
      <c r="CY71" s="9" t="s">
        <v>110</v>
      </c>
      <c r="CZ71" s="9">
        <v>30</v>
      </c>
      <c r="DA71" s="9">
        <v>30</v>
      </c>
      <c r="DB71" s="9">
        <v>40</v>
      </c>
      <c r="DC71" s="9">
        <v>84.5</v>
      </c>
      <c r="DD71" s="9">
        <v>0.56999999999999995</v>
      </c>
      <c r="DE71" s="9">
        <v>159</v>
      </c>
      <c r="DF71" s="9">
        <v>86</v>
      </c>
      <c r="DG71" s="9">
        <f t="shared" si="1"/>
        <v>4.4455494153083182</v>
      </c>
      <c r="DL71" s="9">
        <v>44.5</v>
      </c>
      <c r="DP71" s="11">
        <v>3</v>
      </c>
      <c r="DQ71" s="9">
        <v>3</v>
      </c>
      <c r="DR71" s="30">
        <v>1</v>
      </c>
      <c r="DT71" s="9">
        <v>10.5</v>
      </c>
      <c r="DU71" s="9">
        <v>6.4</v>
      </c>
    </row>
    <row r="72" spans="1:126" x14ac:dyDescent="0.2">
      <c r="A72" s="36" t="s">
        <v>1186</v>
      </c>
      <c r="B72" s="8">
        <v>43308</v>
      </c>
      <c r="C72" s="9" t="s">
        <v>95</v>
      </c>
      <c r="F72" s="8"/>
      <c r="K72" s="9">
        <v>1988</v>
      </c>
      <c r="L72" s="9">
        <v>4</v>
      </c>
      <c r="W72" s="9" t="s">
        <v>483</v>
      </c>
      <c r="X72" s="9" t="s">
        <v>483</v>
      </c>
      <c r="AA72" s="9" t="s">
        <v>96</v>
      </c>
      <c r="AB72" s="9" t="s">
        <v>96</v>
      </c>
      <c r="AC72" s="9" t="s">
        <v>96</v>
      </c>
      <c r="AD72" s="9" t="s">
        <v>96</v>
      </c>
      <c r="AE72" s="10" t="s">
        <v>406</v>
      </c>
      <c r="AL72" s="9">
        <v>73.599999999999994</v>
      </c>
      <c r="AM72" s="9">
        <v>1.59</v>
      </c>
      <c r="AN72" s="10">
        <v>101</v>
      </c>
      <c r="AO72" s="9">
        <v>111</v>
      </c>
      <c r="AP72" s="9">
        <v>42.7</v>
      </c>
      <c r="AQ72" s="9">
        <v>10</v>
      </c>
      <c r="AR72" s="9">
        <v>24.7</v>
      </c>
      <c r="AS72" s="9">
        <v>65</v>
      </c>
      <c r="AT72" s="9">
        <v>29.1</v>
      </c>
      <c r="AU72" s="10">
        <v>153</v>
      </c>
      <c r="AV72" s="10">
        <v>100</v>
      </c>
      <c r="BF72" s="9" t="s">
        <v>588</v>
      </c>
      <c r="BG72" s="9" t="s">
        <v>588</v>
      </c>
      <c r="BH72" s="9" t="s">
        <v>588</v>
      </c>
      <c r="BI72" s="9" t="s">
        <v>588</v>
      </c>
      <c r="BN72" s="9" t="s">
        <v>635</v>
      </c>
      <c r="BR72" s="9" t="s">
        <v>323</v>
      </c>
      <c r="BV72" s="9" t="s">
        <v>325</v>
      </c>
      <c r="BZ72" s="9" t="s">
        <v>635</v>
      </c>
      <c r="DC72" s="9">
        <v>91</v>
      </c>
      <c r="DD72" s="9">
        <v>0.5</v>
      </c>
      <c r="DE72" s="10">
        <v>200</v>
      </c>
      <c r="DF72" s="10">
        <v>222</v>
      </c>
      <c r="DG72" s="9">
        <f t="shared" si="1"/>
        <v>4.956768444194565</v>
      </c>
      <c r="DI72" s="9">
        <v>4.96</v>
      </c>
      <c r="DU72" s="9">
        <v>7.2</v>
      </c>
    </row>
    <row r="73" spans="1:126" x14ac:dyDescent="0.2">
      <c r="A73" s="9" t="s">
        <v>1187</v>
      </c>
      <c r="B73" s="8">
        <v>43308</v>
      </c>
      <c r="C73" s="9" t="s">
        <v>95</v>
      </c>
      <c r="D73" s="9">
        <v>52</v>
      </c>
      <c r="E73" s="9" t="s">
        <v>96</v>
      </c>
      <c r="F73" s="8">
        <v>24291</v>
      </c>
      <c r="G73" s="9" t="s">
        <v>988</v>
      </c>
      <c r="I73" s="8">
        <v>12</v>
      </c>
      <c r="K73" s="9">
        <v>2005</v>
      </c>
      <c r="L73" s="9">
        <v>2</v>
      </c>
      <c r="O73" s="10" t="s">
        <v>588</v>
      </c>
      <c r="R73" s="9" t="s">
        <v>588</v>
      </c>
      <c r="T73" s="9" t="s">
        <v>1188</v>
      </c>
      <c r="U73" s="9" t="s">
        <v>1189</v>
      </c>
      <c r="W73" s="10" t="s">
        <v>1190</v>
      </c>
      <c r="X73" s="9" t="s">
        <v>483</v>
      </c>
      <c r="Y73" s="9" t="s">
        <v>1191</v>
      </c>
      <c r="Z73" s="9" t="s">
        <v>1192</v>
      </c>
      <c r="AA73" s="9" t="s">
        <v>96</v>
      </c>
      <c r="AB73" s="35" t="s">
        <v>1193</v>
      </c>
      <c r="AC73" s="9" t="s">
        <v>96</v>
      </c>
      <c r="AD73" s="35" t="s">
        <v>1193</v>
      </c>
      <c r="AE73" s="10" t="s">
        <v>1033</v>
      </c>
      <c r="AF73" s="10" t="s">
        <v>1033</v>
      </c>
      <c r="AG73" s="10" t="s">
        <v>1017</v>
      </c>
      <c r="AH73" s="10" t="s">
        <v>1194</v>
      </c>
      <c r="AI73" s="10" t="s">
        <v>1195</v>
      </c>
      <c r="AJ73" s="9" t="s">
        <v>483</v>
      </c>
      <c r="AK73" s="10" t="s">
        <v>1196</v>
      </c>
      <c r="AL73" s="9">
        <v>66.900000000000006</v>
      </c>
      <c r="AM73" s="9">
        <v>1.6</v>
      </c>
      <c r="AN73" s="10">
        <v>86</v>
      </c>
      <c r="AO73" s="9">
        <v>106</v>
      </c>
      <c r="AP73" s="9">
        <v>41.5</v>
      </c>
      <c r="AQ73" s="9">
        <v>8</v>
      </c>
      <c r="AR73" s="9">
        <v>24</v>
      </c>
      <c r="AS73" s="9">
        <v>55</v>
      </c>
      <c r="AT73" s="9">
        <v>26.1</v>
      </c>
      <c r="AU73" s="9">
        <v>107</v>
      </c>
      <c r="AV73" s="9">
        <v>74</v>
      </c>
      <c r="AX73" s="9" t="s">
        <v>168</v>
      </c>
      <c r="AY73" s="9" t="s">
        <v>937</v>
      </c>
      <c r="AZ73" s="9" t="s">
        <v>426</v>
      </c>
      <c r="BB73" s="9" t="s">
        <v>409</v>
      </c>
      <c r="BC73" s="9" t="s">
        <v>785</v>
      </c>
      <c r="BF73" s="9" t="s">
        <v>323</v>
      </c>
      <c r="BG73" s="9" t="s">
        <v>323</v>
      </c>
      <c r="BH73" s="9" t="s">
        <v>323</v>
      </c>
      <c r="BI73" s="9" t="s">
        <v>635</v>
      </c>
      <c r="BK73" s="9" t="s">
        <v>323</v>
      </c>
      <c r="BN73" s="9" t="s">
        <v>396</v>
      </c>
      <c r="BO73" s="9" t="s">
        <v>327</v>
      </c>
      <c r="BP73" s="9" t="s">
        <v>394</v>
      </c>
      <c r="BR73" s="9" t="s">
        <v>325</v>
      </c>
      <c r="BZ73" s="9" t="s">
        <v>330</v>
      </c>
      <c r="CA73" s="9" t="s">
        <v>1154</v>
      </c>
      <c r="CB73" s="9" t="s">
        <v>1197</v>
      </c>
      <c r="CL73" s="9" t="s">
        <v>1198</v>
      </c>
      <c r="CM73" s="9" t="s">
        <v>1199</v>
      </c>
      <c r="CP73" s="9" t="s">
        <v>1200</v>
      </c>
      <c r="CQ73" s="9" t="s">
        <v>791</v>
      </c>
      <c r="CR73" s="9" t="s">
        <v>1201</v>
      </c>
      <c r="CW73" s="9">
        <v>3</v>
      </c>
      <c r="CX73" s="9" t="s">
        <v>588</v>
      </c>
      <c r="CY73" s="9" t="s">
        <v>588</v>
      </c>
      <c r="CZ73" s="9">
        <v>50</v>
      </c>
      <c r="DA73" s="9">
        <v>30</v>
      </c>
      <c r="DB73" s="9">
        <v>20</v>
      </c>
      <c r="DC73" s="9">
        <v>71.8</v>
      </c>
      <c r="DD73" s="9">
        <v>0.48</v>
      </c>
      <c r="DE73" s="10">
        <v>204</v>
      </c>
      <c r="DF73" s="9">
        <v>62</v>
      </c>
      <c r="DG73" s="9">
        <f t="shared" si="1"/>
        <v>4.2005094305496353</v>
      </c>
      <c r="DI73" s="9">
        <v>7.1</v>
      </c>
      <c r="DL73" s="9">
        <v>63.9</v>
      </c>
      <c r="DP73" s="11">
        <v>3</v>
      </c>
    </row>
    <row r="74" spans="1:126" x14ac:dyDescent="0.2">
      <c r="A74" s="9" t="s">
        <v>1202</v>
      </c>
      <c r="B74" s="8">
        <v>43308</v>
      </c>
      <c r="C74" s="9" t="s">
        <v>95</v>
      </c>
      <c r="D74" s="9">
        <v>66</v>
      </c>
      <c r="E74" s="37" t="s">
        <v>1203</v>
      </c>
      <c r="F74" s="8">
        <v>19016</v>
      </c>
      <c r="K74" s="42">
        <v>1983</v>
      </c>
      <c r="L74" s="9">
        <v>5</v>
      </c>
      <c r="M74" s="9" t="s">
        <v>263</v>
      </c>
      <c r="N74" s="9" t="s">
        <v>263</v>
      </c>
      <c r="O74" s="9" t="s">
        <v>263</v>
      </c>
      <c r="P74" s="9" t="s">
        <v>263</v>
      </c>
      <c r="Q74" s="9" t="s">
        <v>483</v>
      </c>
      <c r="AA74" s="37" t="s">
        <v>1203</v>
      </c>
      <c r="AB74" s="37" t="s">
        <v>1203</v>
      </c>
      <c r="AC74" s="37" t="s">
        <v>1204</v>
      </c>
      <c r="AD74" s="37" t="s">
        <v>1203</v>
      </c>
      <c r="AE74" s="10" t="s">
        <v>406</v>
      </c>
      <c r="AF74" s="10" t="s">
        <v>423</v>
      </c>
      <c r="AG74" s="10" t="s">
        <v>406</v>
      </c>
      <c r="AH74" s="9" t="s">
        <v>263</v>
      </c>
      <c r="AI74" s="9" t="s">
        <v>263</v>
      </c>
      <c r="AJ74" s="9" t="s">
        <v>263</v>
      </c>
      <c r="AK74" s="9" t="s">
        <v>263</v>
      </c>
      <c r="AL74" s="9">
        <v>70.3</v>
      </c>
      <c r="AM74" s="9">
        <v>1.58</v>
      </c>
      <c r="AN74" s="10">
        <v>98</v>
      </c>
      <c r="AO74" s="9">
        <v>111</v>
      </c>
      <c r="AP74" s="9">
        <v>46.1</v>
      </c>
      <c r="AQ74" s="9">
        <v>11</v>
      </c>
      <c r="AR74" s="9">
        <v>21.2</v>
      </c>
      <c r="AS74" s="9">
        <v>66</v>
      </c>
      <c r="AT74" s="9">
        <v>28</v>
      </c>
      <c r="AU74" s="9">
        <v>109</v>
      </c>
      <c r="AV74" s="9">
        <v>78</v>
      </c>
      <c r="AX74" s="9" t="s">
        <v>635</v>
      </c>
      <c r="BB74" s="9" t="s">
        <v>635</v>
      </c>
      <c r="BF74" s="9" t="s">
        <v>635</v>
      </c>
      <c r="BG74" s="9" t="s">
        <v>323</v>
      </c>
      <c r="BI74" s="9" t="s">
        <v>323</v>
      </c>
      <c r="BJ74" s="9" t="s">
        <v>635</v>
      </c>
      <c r="BK74" s="9" t="s">
        <v>483</v>
      </c>
      <c r="BN74" s="9" t="s">
        <v>635</v>
      </c>
      <c r="BZ74" s="9" t="s">
        <v>635</v>
      </c>
      <c r="CL74" s="9" t="s">
        <v>635</v>
      </c>
      <c r="CP74" s="9" t="s">
        <v>635</v>
      </c>
      <c r="CT74" s="9" t="s">
        <v>323</v>
      </c>
      <c r="CW74" s="9">
        <v>3</v>
      </c>
      <c r="CX74" s="9" t="s">
        <v>588</v>
      </c>
      <c r="CY74" s="9" t="s">
        <v>1205</v>
      </c>
      <c r="DC74" s="9">
        <v>78.099999999999994</v>
      </c>
      <c r="DD74" s="9">
        <v>0.78</v>
      </c>
      <c r="DE74" s="9">
        <v>168</v>
      </c>
      <c r="DF74" s="10">
        <v>261</v>
      </c>
      <c r="DG74" s="9">
        <f t="shared" si="1"/>
        <v>4.9612552320841665</v>
      </c>
      <c r="DI74" s="9">
        <v>4.2699999999999996</v>
      </c>
      <c r="DL74" s="9">
        <v>29</v>
      </c>
      <c r="DP74" s="11">
        <v>3</v>
      </c>
      <c r="DQ74" s="9">
        <v>3</v>
      </c>
      <c r="DR74" s="9">
        <v>2</v>
      </c>
    </row>
    <row r="75" spans="1:126" x14ac:dyDescent="0.2">
      <c r="A75" s="7" t="s">
        <v>1206</v>
      </c>
      <c r="B75" s="8">
        <v>43308</v>
      </c>
      <c r="C75" s="9" t="s">
        <v>95</v>
      </c>
      <c r="D75" s="9">
        <v>28</v>
      </c>
      <c r="E75" s="52" t="s">
        <v>914</v>
      </c>
      <c r="F75" s="8">
        <v>32927</v>
      </c>
      <c r="G75" s="9" t="s">
        <v>585</v>
      </c>
      <c r="H75" s="9" t="s">
        <v>1207</v>
      </c>
      <c r="K75" s="9">
        <v>2017</v>
      </c>
      <c r="L75" s="9">
        <v>1</v>
      </c>
      <c r="M75" s="9" t="s">
        <v>263</v>
      </c>
      <c r="N75" s="9" t="s">
        <v>263</v>
      </c>
      <c r="O75" s="9" t="s">
        <v>263</v>
      </c>
      <c r="P75" s="9" t="s">
        <v>263</v>
      </c>
      <c r="Q75" s="10" t="s">
        <v>588</v>
      </c>
      <c r="R75" s="7" t="s">
        <v>483</v>
      </c>
      <c r="S75" s="9" t="s">
        <v>483</v>
      </c>
      <c r="T75" s="9" t="s">
        <v>483</v>
      </c>
      <c r="U75" s="9" t="s">
        <v>1208</v>
      </c>
      <c r="V75" s="9" t="s">
        <v>483</v>
      </c>
      <c r="W75" s="9" t="s">
        <v>483</v>
      </c>
      <c r="X75" s="9" t="s">
        <v>483</v>
      </c>
      <c r="Z75" s="9" t="s">
        <v>1209</v>
      </c>
      <c r="AA75" s="9" t="s">
        <v>96</v>
      </c>
      <c r="AB75" s="52" t="s">
        <v>914</v>
      </c>
      <c r="AC75" s="52" t="s">
        <v>914</v>
      </c>
      <c r="AD75" s="9" t="s">
        <v>949</v>
      </c>
      <c r="AE75" s="10" t="s">
        <v>1087</v>
      </c>
      <c r="AF75" s="10" t="s">
        <v>1086</v>
      </c>
      <c r="AG75" s="10" t="s">
        <v>1210</v>
      </c>
      <c r="AH75" s="10" t="s">
        <v>1064</v>
      </c>
      <c r="AI75" s="9" t="s">
        <v>483</v>
      </c>
      <c r="AJ75" s="9" t="s">
        <v>483</v>
      </c>
      <c r="AK75" s="9" t="s">
        <v>483</v>
      </c>
      <c r="AL75" s="9">
        <v>56.4</v>
      </c>
      <c r="AM75" s="9">
        <v>1.53</v>
      </c>
      <c r="AN75" s="9">
        <v>73</v>
      </c>
      <c r="AO75" s="9">
        <v>95</v>
      </c>
      <c r="AP75" s="9">
        <v>38.4</v>
      </c>
      <c r="AQ75" s="9">
        <v>5</v>
      </c>
      <c r="AR75" s="9">
        <v>24.6</v>
      </c>
      <c r="AS75" s="9">
        <v>39</v>
      </c>
      <c r="AT75" s="7">
        <v>24.1</v>
      </c>
      <c r="AU75" s="9">
        <v>114</v>
      </c>
      <c r="AV75" s="9">
        <v>81</v>
      </c>
      <c r="AX75" s="9" t="s">
        <v>168</v>
      </c>
      <c r="BB75" s="9" t="s">
        <v>409</v>
      </c>
      <c r="BF75" s="9" t="s">
        <v>635</v>
      </c>
      <c r="BG75" s="9" t="s">
        <v>323</v>
      </c>
      <c r="BH75" s="9" t="s">
        <v>323</v>
      </c>
      <c r="BI75" s="9" t="s">
        <v>323</v>
      </c>
      <c r="BN75" s="9" t="s">
        <v>328</v>
      </c>
      <c r="BO75" s="9" t="s">
        <v>1211</v>
      </c>
      <c r="BP75" s="9" t="s">
        <v>1212</v>
      </c>
      <c r="BZ75" s="9" t="s">
        <v>941</v>
      </c>
      <c r="CA75" s="9" t="s">
        <v>907</v>
      </c>
      <c r="CB75" s="9" t="s">
        <v>1213</v>
      </c>
      <c r="CD75" s="9" t="s">
        <v>1214</v>
      </c>
      <c r="CL75" s="9" t="s">
        <v>383</v>
      </c>
      <c r="CM75" s="9" t="s">
        <v>1215</v>
      </c>
      <c r="CP75" s="9" t="s">
        <v>791</v>
      </c>
      <c r="CQ75" s="9" t="s">
        <v>452</v>
      </c>
      <c r="CT75" s="9" t="s">
        <v>1216</v>
      </c>
      <c r="CU75" s="9" t="s">
        <v>1217</v>
      </c>
      <c r="CW75" s="9">
        <v>2</v>
      </c>
      <c r="CX75" s="9" t="s">
        <v>588</v>
      </c>
      <c r="CY75" s="9" t="s">
        <v>1218</v>
      </c>
      <c r="CZ75" s="9">
        <v>18</v>
      </c>
      <c r="DA75" s="9">
        <v>2</v>
      </c>
      <c r="DB75" s="9">
        <v>80</v>
      </c>
      <c r="DC75" s="9">
        <v>74.5</v>
      </c>
      <c r="DD75" s="9">
        <v>0.56000000000000005</v>
      </c>
      <c r="DE75" s="9">
        <v>115</v>
      </c>
      <c r="DF75" s="9">
        <v>38</v>
      </c>
      <c r="DG75" s="9">
        <f t="shared" si="1"/>
        <v>3.9741926425559497</v>
      </c>
      <c r="DI75" s="9">
        <v>4.71</v>
      </c>
      <c r="DL75" s="9">
        <v>69.3</v>
      </c>
      <c r="DP75" s="11">
        <v>2</v>
      </c>
      <c r="DQ75" s="9">
        <v>2</v>
      </c>
      <c r="DR75" s="9">
        <v>3</v>
      </c>
      <c r="DU75" s="9">
        <v>5</v>
      </c>
    </row>
    <row r="76" spans="1:126" x14ac:dyDescent="0.2">
      <c r="A76" s="7" t="s">
        <v>1219</v>
      </c>
      <c r="B76" s="45" t="s">
        <v>1220</v>
      </c>
      <c r="C76" s="9" t="s">
        <v>95</v>
      </c>
      <c r="D76" s="9">
        <v>38</v>
      </c>
      <c r="E76" s="9" t="s">
        <v>96</v>
      </c>
      <c r="F76" s="17">
        <v>29357</v>
      </c>
      <c r="G76" s="9" t="s">
        <v>585</v>
      </c>
      <c r="I76" s="9">
        <v>12</v>
      </c>
      <c r="K76" s="9">
        <v>2015</v>
      </c>
      <c r="L76" s="9">
        <v>3</v>
      </c>
      <c r="M76" s="9" t="s">
        <v>263</v>
      </c>
      <c r="N76" s="9" t="s">
        <v>263</v>
      </c>
      <c r="O76" s="9" t="s">
        <v>263</v>
      </c>
      <c r="P76" s="9" t="s">
        <v>263</v>
      </c>
      <c r="Q76" s="9" t="s">
        <v>483</v>
      </c>
      <c r="R76" s="7" t="s">
        <v>483</v>
      </c>
      <c r="S76" s="9" t="s">
        <v>588</v>
      </c>
      <c r="T76" s="9" t="s">
        <v>483</v>
      </c>
      <c r="U76" s="9" t="s">
        <v>1221</v>
      </c>
      <c r="V76" s="9" t="s">
        <v>483</v>
      </c>
      <c r="W76" s="9" t="s">
        <v>483</v>
      </c>
      <c r="X76" s="9" t="s">
        <v>483</v>
      </c>
      <c r="Y76" s="9" t="s">
        <v>1222</v>
      </c>
      <c r="AA76" s="9" t="s">
        <v>96</v>
      </c>
      <c r="AB76" s="9" t="s">
        <v>100</v>
      </c>
      <c r="AC76" s="9" t="s">
        <v>96</v>
      </c>
      <c r="AD76" s="9" t="s">
        <v>949</v>
      </c>
      <c r="AE76" s="10" t="s">
        <v>1017</v>
      </c>
      <c r="AF76" s="9" t="s">
        <v>263</v>
      </c>
      <c r="AG76" s="9" t="s">
        <v>263</v>
      </c>
      <c r="AH76" s="10" t="s">
        <v>406</v>
      </c>
      <c r="AI76" s="10" t="s">
        <v>1064</v>
      </c>
      <c r="AJ76" s="9" t="s">
        <v>483</v>
      </c>
      <c r="AK76" s="9" t="s">
        <v>483</v>
      </c>
      <c r="AL76" s="9">
        <v>60.8</v>
      </c>
      <c r="AM76" s="9">
        <v>1.64</v>
      </c>
      <c r="AN76" s="9">
        <v>71.5</v>
      </c>
      <c r="AO76" s="9">
        <v>97</v>
      </c>
      <c r="AP76" s="9">
        <v>22.7</v>
      </c>
      <c r="AQ76" s="9">
        <v>6</v>
      </c>
      <c r="AR76" s="9">
        <v>12.5</v>
      </c>
      <c r="AS76" s="9">
        <v>18</v>
      </c>
      <c r="AT76" s="7">
        <v>22.6</v>
      </c>
      <c r="AU76" s="9">
        <v>103</v>
      </c>
      <c r="AV76" s="9">
        <v>61</v>
      </c>
      <c r="AX76" s="9" t="s">
        <v>635</v>
      </c>
      <c r="BB76" s="9" t="s">
        <v>635</v>
      </c>
      <c r="BF76" s="9" t="s">
        <v>635</v>
      </c>
      <c r="BG76" s="9" t="s">
        <v>635</v>
      </c>
      <c r="BH76" s="9" t="s">
        <v>265</v>
      </c>
      <c r="BI76" s="9" t="s">
        <v>323</v>
      </c>
      <c r="BJ76" s="9" t="s">
        <v>323</v>
      </c>
      <c r="BK76" s="9" t="s">
        <v>325</v>
      </c>
      <c r="BN76" s="9" t="s">
        <v>635</v>
      </c>
      <c r="BR76" s="9" t="s">
        <v>323</v>
      </c>
      <c r="BV76" s="9" t="s">
        <v>323</v>
      </c>
      <c r="BZ76" s="9" t="s">
        <v>635</v>
      </c>
      <c r="CD76" s="9" t="s">
        <v>483</v>
      </c>
      <c r="CH76" s="9" t="s">
        <v>483</v>
      </c>
      <c r="CL76" s="9" t="s">
        <v>635</v>
      </c>
      <c r="CP76" s="9" t="s">
        <v>635</v>
      </c>
      <c r="CT76" s="9" t="s">
        <v>325</v>
      </c>
      <c r="CW76" s="9">
        <v>3</v>
      </c>
      <c r="CX76" s="9" t="s">
        <v>588</v>
      </c>
      <c r="CY76" s="9" t="s">
        <v>483</v>
      </c>
      <c r="CZ76" s="9">
        <v>25</v>
      </c>
      <c r="DA76" s="9">
        <v>50</v>
      </c>
      <c r="DB76" s="9">
        <v>25</v>
      </c>
      <c r="DC76" s="9">
        <v>82.4</v>
      </c>
      <c r="DD76" s="9">
        <v>0.48</v>
      </c>
      <c r="DE76" s="9">
        <v>179</v>
      </c>
      <c r="DF76" s="9">
        <v>63</v>
      </c>
      <c r="DG76" s="9">
        <f t="shared" si="1"/>
        <v>4.2773600816534794</v>
      </c>
      <c r="DI76" s="9">
        <v>3.72</v>
      </c>
      <c r="DL76" s="9">
        <v>52</v>
      </c>
      <c r="DP76" s="11">
        <v>2</v>
      </c>
      <c r="DQ76" s="9">
        <v>2</v>
      </c>
      <c r="DU76" s="9">
        <v>5.2</v>
      </c>
    </row>
    <row r="77" spans="1:126" x14ac:dyDescent="0.2">
      <c r="A77" s="9" t="s">
        <v>1223</v>
      </c>
      <c r="B77" s="8">
        <v>43308</v>
      </c>
      <c r="C77" s="9" t="s">
        <v>95</v>
      </c>
      <c r="D77" s="9">
        <v>36</v>
      </c>
      <c r="E77" s="9" t="s">
        <v>96</v>
      </c>
      <c r="F77" s="17">
        <v>29922</v>
      </c>
      <c r="G77" s="9" t="s">
        <v>1224</v>
      </c>
      <c r="K77" s="9">
        <v>2009</v>
      </c>
      <c r="L77" s="9">
        <v>2</v>
      </c>
      <c r="M77" s="9" t="s">
        <v>483</v>
      </c>
      <c r="N77" s="9" t="s">
        <v>483</v>
      </c>
      <c r="O77" s="9" t="s">
        <v>263</v>
      </c>
      <c r="P77" s="9" t="s">
        <v>263</v>
      </c>
      <c r="R77" s="9" t="s">
        <v>588</v>
      </c>
      <c r="X77" s="9" t="s">
        <v>483</v>
      </c>
      <c r="Z77" s="9" t="s">
        <v>1225</v>
      </c>
      <c r="AA77" s="9" t="s">
        <v>96</v>
      </c>
      <c r="AB77" s="9" t="s">
        <v>100</v>
      </c>
      <c r="AC77" s="9" t="s">
        <v>96</v>
      </c>
      <c r="AD77" s="9" t="s">
        <v>949</v>
      </c>
      <c r="AE77" s="9" t="s">
        <v>483</v>
      </c>
      <c r="AF77" s="10" t="s">
        <v>1002</v>
      </c>
      <c r="AG77" s="9" t="s">
        <v>483</v>
      </c>
      <c r="AH77" s="9" t="s">
        <v>483</v>
      </c>
      <c r="AI77" s="10" t="s">
        <v>1086</v>
      </c>
      <c r="AJ77" s="9" t="s">
        <v>483</v>
      </c>
      <c r="AK77" s="9" t="s">
        <v>483</v>
      </c>
      <c r="AL77" s="9">
        <v>63.8</v>
      </c>
      <c r="AM77" s="9">
        <v>1.58</v>
      </c>
      <c r="AN77" s="10">
        <v>85</v>
      </c>
      <c r="AO77" s="9">
        <v>100</v>
      </c>
      <c r="AP77" s="9">
        <v>39.9</v>
      </c>
      <c r="AQ77" s="9">
        <v>6</v>
      </c>
      <c r="AR77" s="9">
        <v>25</v>
      </c>
      <c r="AS77" s="9">
        <v>46</v>
      </c>
      <c r="AT77" s="9">
        <v>25.6</v>
      </c>
      <c r="AU77" s="9">
        <v>104</v>
      </c>
      <c r="AV77" s="9">
        <v>72</v>
      </c>
      <c r="AX77" s="9" t="s">
        <v>1226</v>
      </c>
      <c r="AY77" s="9" t="s">
        <v>1107</v>
      </c>
      <c r="BB77" s="9" t="s">
        <v>409</v>
      </c>
      <c r="BC77" s="9" t="s">
        <v>1227</v>
      </c>
      <c r="BF77" s="9" t="s">
        <v>635</v>
      </c>
      <c r="BG77" s="9" t="s">
        <v>323</v>
      </c>
      <c r="BI77" s="9" t="s">
        <v>323</v>
      </c>
      <c r="BJ77" s="9" t="s">
        <v>323</v>
      </c>
      <c r="BK77" s="9" t="s">
        <v>323</v>
      </c>
      <c r="BN77" s="9" t="s">
        <v>396</v>
      </c>
      <c r="BO77" s="9" t="s">
        <v>327</v>
      </c>
      <c r="BP77" s="9" t="s">
        <v>1228</v>
      </c>
      <c r="BZ77" s="9" t="s">
        <v>1229</v>
      </c>
      <c r="CL77" s="9" t="s">
        <v>383</v>
      </c>
      <c r="CT77" s="9" t="s">
        <v>1146</v>
      </c>
      <c r="CW77" s="9">
        <v>3</v>
      </c>
      <c r="CX77" s="9" t="s">
        <v>588</v>
      </c>
      <c r="CY77" s="9" t="s">
        <v>483</v>
      </c>
      <c r="CZ77" s="9">
        <v>80</v>
      </c>
      <c r="DA77" s="9">
        <v>50</v>
      </c>
      <c r="DB77" s="9">
        <v>70</v>
      </c>
      <c r="DC77" s="9">
        <v>72.2</v>
      </c>
      <c r="DD77" s="9">
        <v>0.53</v>
      </c>
      <c r="DE77" s="9">
        <v>174</v>
      </c>
      <c r="DF77" s="9">
        <v>70</v>
      </c>
      <c r="DG77" s="9">
        <f t="shared" si="1"/>
        <v>4.2639676439740697</v>
      </c>
      <c r="DI77" s="9">
        <v>4.2699999999999996</v>
      </c>
      <c r="DL77" s="9">
        <v>48.2</v>
      </c>
      <c r="DP77" s="11">
        <v>3</v>
      </c>
      <c r="DQ77" s="9">
        <v>2</v>
      </c>
      <c r="DR77" s="9">
        <v>3</v>
      </c>
    </row>
    <row r="78" spans="1:126" x14ac:dyDescent="0.2">
      <c r="A78" s="36" t="s">
        <v>1230</v>
      </c>
      <c r="B78" s="38">
        <v>43308</v>
      </c>
      <c r="C78" s="39" t="s">
        <v>95</v>
      </c>
      <c r="D78" s="39">
        <v>36</v>
      </c>
      <c r="E78" s="39" t="s">
        <v>96</v>
      </c>
      <c r="F78" s="57">
        <v>29821</v>
      </c>
      <c r="G78" s="39"/>
      <c r="H78" s="39"/>
      <c r="I78" s="39">
        <v>13</v>
      </c>
      <c r="J78" s="39"/>
      <c r="K78" s="39">
        <v>2009</v>
      </c>
      <c r="L78" s="39">
        <v>1</v>
      </c>
      <c r="M78" s="10" t="s">
        <v>588</v>
      </c>
      <c r="N78" s="39" t="s">
        <v>483</v>
      </c>
      <c r="O78" s="39"/>
      <c r="P78" s="10" t="s">
        <v>588</v>
      </c>
      <c r="Q78" s="10" t="s">
        <v>588</v>
      </c>
      <c r="R78" s="39" t="s">
        <v>588</v>
      </c>
      <c r="S78" s="39" t="s">
        <v>483</v>
      </c>
      <c r="T78" s="39" t="s">
        <v>483</v>
      </c>
      <c r="U78" s="39" t="s">
        <v>483</v>
      </c>
      <c r="V78" s="39" t="s">
        <v>483</v>
      </c>
      <c r="W78" s="39" t="s">
        <v>483</v>
      </c>
      <c r="X78" s="39" t="s">
        <v>483</v>
      </c>
      <c r="Y78" s="39"/>
      <c r="Z78" s="39"/>
      <c r="AA78" s="39" t="s">
        <v>949</v>
      </c>
      <c r="AB78" s="39" t="s">
        <v>949</v>
      </c>
      <c r="AC78" s="39" t="s">
        <v>949</v>
      </c>
      <c r="AD78" s="39" t="s">
        <v>949</v>
      </c>
      <c r="AE78" s="10" t="s">
        <v>1231</v>
      </c>
      <c r="AF78" s="10" t="s">
        <v>1232</v>
      </c>
      <c r="AG78" s="10" t="s">
        <v>425</v>
      </c>
      <c r="AH78" s="39" t="s">
        <v>483</v>
      </c>
      <c r="AI78" s="39" t="s">
        <v>483</v>
      </c>
      <c r="AJ78" s="39" t="s">
        <v>483</v>
      </c>
      <c r="AK78" s="39" t="s">
        <v>483</v>
      </c>
      <c r="AL78" s="39">
        <v>68</v>
      </c>
      <c r="AM78" s="39">
        <v>1.62</v>
      </c>
      <c r="AN78" s="10">
        <v>87</v>
      </c>
      <c r="AO78" s="39">
        <v>93</v>
      </c>
      <c r="AP78" s="39">
        <v>37.4</v>
      </c>
      <c r="AQ78" s="39">
        <v>6</v>
      </c>
      <c r="AR78" s="39">
        <v>27.1</v>
      </c>
      <c r="AS78" s="39">
        <v>44</v>
      </c>
      <c r="AT78" s="39">
        <v>25.9</v>
      </c>
      <c r="AU78" s="39">
        <v>114</v>
      </c>
      <c r="AV78" s="39">
        <v>78</v>
      </c>
      <c r="AW78" s="39"/>
      <c r="AX78" s="39" t="s">
        <v>1233</v>
      </c>
      <c r="AY78" s="39" t="s">
        <v>1234</v>
      </c>
      <c r="AZ78" s="39"/>
      <c r="BA78" s="39"/>
      <c r="BB78" s="39" t="s">
        <v>1148</v>
      </c>
      <c r="BC78" s="39"/>
      <c r="BD78" s="39"/>
      <c r="BE78" s="39"/>
      <c r="BF78" s="39" t="s">
        <v>635</v>
      </c>
      <c r="BG78" s="39" t="s">
        <v>323</v>
      </c>
      <c r="BH78" s="39" t="s">
        <v>323</v>
      </c>
      <c r="BI78" s="39" t="s">
        <v>635</v>
      </c>
      <c r="BJ78" s="39" t="s">
        <v>635</v>
      </c>
      <c r="BK78" s="39" t="s">
        <v>325</v>
      </c>
      <c r="BL78" s="39"/>
      <c r="BM78" s="39"/>
      <c r="BN78" s="39" t="s">
        <v>376</v>
      </c>
      <c r="BO78" s="39" t="s">
        <v>904</v>
      </c>
      <c r="BP78" s="39" t="s">
        <v>499</v>
      </c>
      <c r="BQ78" s="39"/>
      <c r="BR78" s="39"/>
      <c r="BS78" s="39"/>
      <c r="BT78" s="39"/>
      <c r="BU78" s="39"/>
      <c r="BV78" s="39"/>
      <c r="BW78" s="39"/>
      <c r="BX78" s="39"/>
      <c r="BY78" s="39"/>
      <c r="BZ78" s="39" t="s">
        <v>1074</v>
      </c>
      <c r="CA78" s="39" t="s">
        <v>1235</v>
      </c>
      <c r="CB78" s="39" t="s">
        <v>1236</v>
      </c>
      <c r="CC78" s="39"/>
      <c r="CD78" s="39"/>
      <c r="CE78" s="39"/>
      <c r="CF78" s="39"/>
      <c r="CG78" s="39"/>
      <c r="CH78" s="39"/>
      <c r="CI78" s="39"/>
      <c r="CJ78" s="39"/>
      <c r="CK78" s="39"/>
      <c r="CL78" s="39" t="s">
        <v>1237</v>
      </c>
      <c r="CM78" s="39" t="s">
        <v>1238</v>
      </c>
      <c r="CN78" s="39" t="s">
        <v>1239</v>
      </c>
      <c r="CO78" s="39"/>
      <c r="CP78" s="39"/>
      <c r="CQ78" s="39"/>
      <c r="CR78" s="39"/>
      <c r="CS78" s="39"/>
      <c r="CT78" s="39" t="s">
        <v>1240</v>
      </c>
      <c r="CU78" s="39"/>
      <c r="CV78" s="39"/>
      <c r="CW78" s="39">
        <v>3</v>
      </c>
      <c r="CX78" s="39" t="s">
        <v>588</v>
      </c>
      <c r="CY78" s="39" t="s">
        <v>483</v>
      </c>
      <c r="CZ78" s="39"/>
      <c r="DA78" s="39"/>
      <c r="DB78" s="39"/>
      <c r="DC78" s="10">
        <v>296.60000000000002</v>
      </c>
      <c r="DD78" s="39">
        <v>0.33</v>
      </c>
      <c r="DE78" s="39">
        <v>198</v>
      </c>
      <c r="DF78" s="39">
        <v>103</v>
      </c>
      <c r="DG78" s="9">
        <f t="shared" si="1"/>
        <v>5.163556708966734</v>
      </c>
      <c r="DH78" s="39"/>
      <c r="DI78" s="39">
        <v>3.07</v>
      </c>
      <c r="DJ78" s="39"/>
      <c r="DK78" s="39"/>
      <c r="DL78" s="10">
        <v>43.4</v>
      </c>
      <c r="DM78" s="39"/>
      <c r="DN78" s="39"/>
      <c r="DO78" s="39"/>
      <c r="DP78" s="40"/>
      <c r="DQ78" s="39"/>
      <c r="DR78" s="39"/>
      <c r="DS78" s="39"/>
      <c r="DT78" s="39"/>
      <c r="DU78" s="39">
        <v>6.3</v>
      </c>
      <c r="DV78" s="39"/>
    </row>
    <row r="79" spans="1:126" x14ac:dyDescent="0.2">
      <c r="A79" s="7" t="s">
        <v>1241</v>
      </c>
      <c r="B79" s="57">
        <v>43308</v>
      </c>
      <c r="C79" s="39" t="s">
        <v>95</v>
      </c>
      <c r="D79" s="39">
        <v>30</v>
      </c>
      <c r="E79" s="39" t="s">
        <v>96</v>
      </c>
      <c r="F79" s="57">
        <v>32041</v>
      </c>
      <c r="G79" s="39" t="s">
        <v>366</v>
      </c>
      <c r="H79" s="39"/>
      <c r="I79" s="39"/>
      <c r="J79" s="39"/>
      <c r="K79" s="39"/>
      <c r="L79" s="39"/>
      <c r="M79" s="39" t="s">
        <v>483</v>
      </c>
      <c r="N79" s="39" t="s">
        <v>483</v>
      </c>
      <c r="O79" s="39" t="s">
        <v>483</v>
      </c>
      <c r="P79" s="39" t="s">
        <v>99</v>
      </c>
      <c r="Q79" s="39" t="s">
        <v>483</v>
      </c>
      <c r="R79" s="39"/>
      <c r="S79" s="39"/>
      <c r="T79" s="39"/>
      <c r="U79" s="39"/>
      <c r="V79" s="39"/>
      <c r="W79" s="39"/>
      <c r="X79" s="39"/>
      <c r="Y79" s="39"/>
      <c r="Z79" s="39"/>
      <c r="AA79" s="39" t="s">
        <v>100</v>
      </c>
      <c r="AB79" s="39" t="s">
        <v>100</v>
      </c>
      <c r="AC79" s="39" t="s">
        <v>1068</v>
      </c>
      <c r="AD79" s="39" t="s">
        <v>949</v>
      </c>
      <c r="AE79" s="10" t="s">
        <v>1242</v>
      </c>
      <c r="AF79" s="10" t="s">
        <v>1195</v>
      </c>
      <c r="AG79" s="39" t="s">
        <v>263</v>
      </c>
      <c r="AH79" s="39" t="s">
        <v>263</v>
      </c>
      <c r="AI79" s="39" t="s">
        <v>99</v>
      </c>
      <c r="AJ79" s="39" t="s">
        <v>99</v>
      </c>
      <c r="AK79" s="39" t="s">
        <v>99</v>
      </c>
      <c r="AL79" s="39">
        <v>61.6</v>
      </c>
      <c r="AM79" s="39">
        <v>1.7</v>
      </c>
      <c r="AN79" s="39">
        <v>79.5</v>
      </c>
      <c r="AO79" s="39">
        <v>80.5</v>
      </c>
      <c r="AP79" s="39">
        <v>33.4</v>
      </c>
      <c r="AQ79" s="39">
        <v>4</v>
      </c>
      <c r="AR79" s="39">
        <v>26.4</v>
      </c>
      <c r="AS79" s="39">
        <v>24</v>
      </c>
      <c r="AT79" s="7">
        <v>21.3</v>
      </c>
      <c r="AU79" s="39">
        <v>112</v>
      </c>
      <c r="AV79" s="39">
        <v>74</v>
      </c>
      <c r="AW79" s="39"/>
      <c r="AX79" s="39" t="s">
        <v>1071</v>
      </c>
      <c r="AY79" s="39" t="s">
        <v>168</v>
      </c>
      <c r="AZ79" s="39"/>
      <c r="BA79" s="39"/>
      <c r="BB79" s="39"/>
      <c r="BC79" s="39"/>
      <c r="BD79" s="39"/>
      <c r="BE79" s="39"/>
      <c r="BF79" s="39" t="s">
        <v>635</v>
      </c>
      <c r="BG79" s="39"/>
      <c r="BH79" s="39" t="s">
        <v>323</v>
      </c>
      <c r="BI79" s="39" t="s">
        <v>635</v>
      </c>
      <c r="BJ79" s="39" t="s">
        <v>323</v>
      </c>
      <c r="BK79" s="39" t="s">
        <v>325</v>
      </c>
      <c r="BL79" s="39"/>
      <c r="BM79" s="39"/>
      <c r="BN79" s="39" t="s">
        <v>499</v>
      </c>
      <c r="BO79" s="39" t="s">
        <v>1243</v>
      </c>
      <c r="BP79" s="39" t="s">
        <v>1244</v>
      </c>
      <c r="BQ79" s="39"/>
      <c r="BR79" s="39"/>
      <c r="BS79" s="39"/>
      <c r="BT79" s="39"/>
      <c r="BU79" s="39"/>
      <c r="BV79" s="39"/>
      <c r="BW79" s="39"/>
      <c r="BX79" s="39"/>
      <c r="BY79" s="39"/>
      <c r="BZ79" s="39" t="s">
        <v>1245</v>
      </c>
      <c r="CA79" s="39" t="s">
        <v>330</v>
      </c>
      <c r="CB79" s="39" t="s">
        <v>1246</v>
      </c>
      <c r="CC79" s="39"/>
      <c r="CD79" s="39"/>
      <c r="CE79" s="39"/>
      <c r="CF79" s="39"/>
      <c r="CG79" s="39"/>
      <c r="CH79" s="39"/>
      <c r="CI79" s="39"/>
      <c r="CJ79" s="39"/>
      <c r="CK79" s="39"/>
      <c r="CL79" s="39" t="s">
        <v>922</v>
      </c>
      <c r="CM79" s="39"/>
      <c r="CN79" s="39"/>
      <c r="CO79" s="39"/>
      <c r="CP79" s="39"/>
      <c r="CQ79" s="39"/>
      <c r="CR79" s="39"/>
      <c r="CS79" s="39"/>
      <c r="CT79" s="39" t="s">
        <v>1240</v>
      </c>
      <c r="CU79" s="39"/>
      <c r="CV79" s="39"/>
      <c r="CW79" s="39">
        <v>2</v>
      </c>
      <c r="CX79" s="39"/>
      <c r="CY79" s="39" t="s">
        <v>483</v>
      </c>
      <c r="CZ79" s="39">
        <v>25</v>
      </c>
      <c r="DA79" s="39">
        <v>25</v>
      </c>
      <c r="DB79" s="39">
        <v>50</v>
      </c>
      <c r="DC79" s="39">
        <v>83.7</v>
      </c>
      <c r="DD79" s="39">
        <v>0.57999999999999996</v>
      </c>
      <c r="DE79" s="39">
        <v>179</v>
      </c>
      <c r="DF79" s="39">
        <v>81</v>
      </c>
      <c r="DG79" s="9">
        <f t="shared" si="1"/>
        <v>4.4108440660839339</v>
      </c>
      <c r="DH79" s="39"/>
      <c r="DI79" s="39">
        <v>4.18</v>
      </c>
      <c r="DJ79" s="39"/>
      <c r="DK79" s="39"/>
      <c r="DL79" s="39">
        <v>34.200000000000003</v>
      </c>
      <c r="DM79" s="39"/>
      <c r="DN79" s="39"/>
      <c r="DO79" s="39"/>
      <c r="DP79" s="40">
        <v>3</v>
      </c>
      <c r="DQ79" s="39">
        <v>2</v>
      </c>
      <c r="DR79" s="39">
        <v>2</v>
      </c>
      <c r="DS79" s="39"/>
      <c r="DT79" s="39">
        <v>14.2</v>
      </c>
      <c r="DU79" s="39">
        <v>3.62</v>
      </c>
      <c r="DV79" s="39"/>
    </row>
    <row r="80" spans="1:126" x14ac:dyDescent="0.2">
      <c r="A80" s="36" t="s">
        <v>1247</v>
      </c>
      <c r="B80" s="38">
        <v>43308</v>
      </c>
      <c r="C80" s="39" t="s">
        <v>95</v>
      </c>
      <c r="D80" s="39">
        <v>44</v>
      </c>
      <c r="E80" s="39" t="s">
        <v>96</v>
      </c>
      <c r="F80" s="57">
        <v>27039</v>
      </c>
      <c r="G80" s="39"/>
      <c r="H80" s="39"/>
      <c r="I80" s="39">
        <v>12</v>
      </c>
      <c r="J80" s="39"/>
      <c r="K80" s="39">
        <v>1998</v>
      </c>
      <c r="L80" s="39">
        <v>2</v>
      </c>
      <c r="M80" s="39" t="s">
        <v>263</v>
      </c>
      <c r="N80" s="39" t="s">
        <v>263</v>
      </c>
      <c r="O80" s="39"/>
      <c r="P80" s="10" t="s">
        <v>588</v>
      </c>
      <c r="Q80" s="10" t="s">
        <v>588</v>
      </c>
      <c r="R80" s="7" t="s">
        <v>483</v>
      </c>
      <c r="S80" s="39"/>
      <c r="T80" s="39"/>
      <c r="U80" s="39" t="s">
        <v>483</v>
      </c>
      <c r="V80" s="39" t="s">
        <v>483</v>
      </c>
      <c r="W80" s="39" t="s">
        <v>483</v>
      </c>
      <c r="X80" s="39" t="s">
        <v>483</v>
      </c>
      <c r="Y80" s="39"/>
      <c r="Z80" s="39" t="s">
        <v>545</v>
      </c>
      <c r="AA80" s="39" t="s">
        <v>96</v>
      </c>
      <c r="AB80" s="39" t="s">
        <v>100</v>
      </c>
      <c r="AC80" s="39"/>
      <c r="AD80" s="39"/>
      <c r="AE80" s="10" t="s">
        <v>1231</v>
      </c>
      <c r="AF80" s="39" t="s">
        <v>263</v>
      </c>
      <c r="AG80" s="39" t="s">
        <v>99</v>
      </c>
      <c r="AH80" s="39" t="s">
        <v>263</v>
      </c>
      <c r="AI80" s="10" t="s">
        <v>901</v>
      </c>
      <c r="AJ80" s="39" t="s">
        <v>99</v>
      </c>
      <c r="AK80" s="39" t="s">
        <v>99</v>
      </c>
      <c r="AL80" s="39">
        <v>57</v>
      </c>
      <c r="AM80" s="39">
        <v>1.51</v>
      </c>
      <c r="AN80" s="30">
        <v>72</v>
      </c>
      <c r="AO80" s="39">
        <v>98</v>
      </c>
      <c r="AP80" s="39">
        <v>42.3</v>
      </c>
      <c r="AQ80" s="39">
        <v>7</v>
      </c>
      <c r="AR80" s="39">
        <v>20.5</v>
      </c>
      <c r="AS80" s="39">
        <v>47</v>
      </c>
      <c r="AT80" s="30">
        <v>25</v>
      </c>
      <c r="AU80" s="10">
        <v>130</v>
      </c>
      <c r="AV80" s="10">
        <v>88</v>
      </c>
      <c r="AW80" s="39"/>
      <c r="AX80" s="39" t="s">
        <v>389</v>
      </c>
      <c r="AY80" s="39" t="s">
        <v>1146</v>
      </c>
      <c r="AZ80" s="39" t="s">
        <v>917</v>
      </c>
      <c r="BA80" s="39"/>
      <c r="BB80" s="39"/>
      <c r="BC80" s="39"/>
      <c r="BD80" s="39"/>
      <c r="BE80" s="39"/>
      <c r="BF80" s="39" t="s">
        <v>323</v>
      </c>
      <c r="BG80" s="39" t="s">
        <v>323</v>
      </c>
      <c r="BH80" s="39" t="s">
        <v>323</v>
      </c>
      <c r="BI80" s="39" t="s">
        <v>323</v>
      </c>
      <c r="BJ80" s="39" t="s">
        <v>323</v>
      </c>
      <c r="BK80" s="39" t="s">
        <v>325</v>
      </c>
      <c r="BL80" s="39"/>
      <c r="BM80" s="39"/>
      <c r="BN80" s="39" t="s">
        <v>326</v>
      </c>
      <c r="BO80" s="39" t="s">
        <v>394</v>
      </c>
      <c r="BP80" s="39" t="s">
        <v>1248</v>
      </c>
      <c r="BQ80" s="39"/>
      <c r="BR80" s="39" t="s">
        <v>323</v>
      </c>
      <c r="BS80" s="39"/>
      <c r="BT80" s="39"/>
      <c r="BU80" s="39"/>
      <c r="BV80" s="39" t="s">
        <v>323</v>
      </c>
      <c r="BW80" s="39"/>
      <c r="BX80" s="39"/>
      <c r="BY80" s="39"/>
      <c r="BZ80" s="39" t="s">
        <v>1245</v>
      </c>
      <c r="CA80" s="39"/>
      <c r="CB80" s="39"/>
      <c r="CC80" s="39"/>
      <c r="CD80" s="39"/>
      <c r="CE80" s="39"/>
      <c r="CF80" s="39"/>
      <c r="CG80" s="39"/>
      <c r="CH80" s="39" t="s">
        <v>1249</v>
      </c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58" t="s">
        <v>1250</v>
      </c>
      <c r="CX80" s="39" t="s">
        <v>483</v>
      </c>
      <c r="CY80" s="39" t="s">
        <v>1251</v>
      </c>
      <c r="CZ80" s="39"/>
      <c r="DA80" s="39"/>
      <c r="DB80" s="39"/>
      <c r="DC80" s="39">
        <v>88.2</v>
      </c>
      <c r="DD80" s="39">
        <v>0.65</v>
      </c>
      <c r="DE80" s="10">
        <v>268</v>
      </c>
      <c r="DF80" s="10">
        <v>255</v>
      </c>
      <c r="DG80" s="9">
        <f t="shared" si="1"/>
        <v>5.0104352540855857</v>
      </c>
      <c r="DH80" s="39"/>
      <c r="DI80" s="39">
        <v>6.94</v>
      </c>
      <c r="DJ80" s="39"/>
      <c r="DK80" s="39"/>
      <c r="DL80" s="39">
        <v>49</v>
      </c>
      <c r="DM80" s="39"/>
      <c r="DN80" s="39"/>
      <c r="DO80" s="39"/>
      <c r="DP80" s="40">
        <v>3</v>
      </c>
      <c r="DQ80" s="39">
        <v>2</v>
      </c>
      <c r="DR80" s="39">
        <v>2</v>
      </c>
      <c r="DS80" s="39"/>
      <c r="DT80" s="39">
        <v>13.5</v>
      </c>
      <c r="DU80" s="39">
        <v>3</v>
      </c>
      <c r="DV80" s="39"/>
    </row>
    <row r="81" spans="1:126" x14ac:dyDescent="0.2">
      <c r="A81" s="39" t="s">
        <v>1252</v>
      </c>
      <c r="B81" s="38">
        <v>43308</v>
      </c>
      <c r="C81" s="39" t="s">
        <v>95</v>
      </c>
      <c r="D81" s="39">
        <v>46</v>
      </c>
      <c r="E81" s="39" t="s">
        <v>96</v>
      </c>
      <c r="F81" s="57">
        <v>26451</v>
      </c>
      <c r="G81" s="39" t="s">
        <v>1253</v>
      </c>
      <c r="H81" s="39" t="s">
        <v>971</v>
      </c>
      <c r="I81" s="39"/>
      <c r="J81" s="39"/>
      <c r="K81" s="39">
        <v>2004</v>
      </c>
      <c r="L81" s="39">
        <v>2</v>
      </c>
      <c r="M81" s="39" t="s">
        <v>263</v>
      </c>
      <c r="N81" s="39" t="s">
        <v>263</v>
      </c>
      <c r="O81" s="39" t="s">
        <v>263</v>
      </c>
      <c r="P81" s="39" t="s">
        <v>263</v>
      </c>
      <c r="Q81" s="39" t="s">
        <v>483</v>
      </c>
      <c r="R81" s="39" t="s">
        <v>588</v>
      </c>
      <c r="S81" s="39" t="s">
        <v>483</v>
      </c>
      <c r="T81" s="39" t="s">
        <v>483</v>
      </c>
      <c r="U81" s="39" t="s">
        <v>483</v>
      </c>
      <c r="V81" s="39" t="s">
        <v>483</v>
      </c>
      <c r="W81" s="39" t="s">
        <v>483</v>
      </c>
      <c r="X81" s="39" t="s">
        <v>483</v>
      </c>
      <c r="Y81" s="39" t="s">
        <v>1254</v>
      </c>
      <c r="Z81" s="39"/>
      <c r="AA81" s="39" t="s">
        <v>949</v>
      </c>
      <c r="AB81" s="39" t="s">
        <v>949</v>
      </c>
      <c r="AC81" s="39" t="s">
        <v>949</v>
      </c>
      <c r="AD81" s="39" t="s">
        <v>949</v>
      </c>
      <c r="AE81" s="39" t="s">
        <v>483</v>
      </c>
      <c r="AF81" s="10" t="s">
        <v>423</v>
      </c>
      <c r="AG81" s="39" t="s">
        <v>483</v>
      </c>
      <c r="AH81" s="39" t="s">
        <v>483</v>
      </c>
      <c r="AI81" s="39" t="s">
        <v>483</v>
      </c>
      <c r="AJ81" s="39" t="s">
        <v>483</v>
      </c>
      <c r="AK81" s="39" t="s">
        <v>483</v>
      </c>
      <c r="AL81" s="39">
        <v>69.8</v>
      </c>
      <c r="AM81" s="39">
        <v>1.57</v>
      </c>
      <c r="AN81" s="10">
        <v>89</v>
      </c>
      <c r="AO81" s="39">
        <v>106</v>
      </c>
      <c r="AP81" s="39">
        <v>43.2</v>
      </c>
      <c r="AQ81" s="39">
        <v>8</v>
      </c>
      <c r="AR81" s="39">
        <v>23.9</v>
      </c>
      <c r="AS81" s="39">
        <v>57</v>
      </c>
      <c r="AT81" s="39">
        <v>28</v>
      </c>
      <c r="AU81" s="10">
        <v>136</v>
      </c>
      <c r="AV81" s="10">
        <v>83</v>
      </c>
      <c r="AW81" s="39"/>
      <c r="AX81" s="39" t="s">
        <v>426</v>
      </c>
      <c r="AY81" s="39" t="s">
        <v>321</v>
      </c>
      <c r="AZ81" s="39"/>
      <c r="BA81" s="39"/>
      <c r="BB81" s="39" t="s">
        <v>1255</v>
      </c>
      <c r="BC81" s="39" t="s">
        <v>409</v>
      </c>
      <c r="BD81" s="39"/>
      <c r="BE81" s="39"/>
      <c r="BF81" s="39" t="s">
        <v>635</v>
      </c>
      <c r="BG81" s="39" t="s">
        <v>323</v>
      </c>
      <c r="BH81" s="39"/>
      <c r="BI81" s="39" t="s">
        <v>323</v>
      </c>
      <c r="BJ81" s="39" t="s">
        <v>635</v>
      </c>
      <c r="BK81" s="39" t="s">
        <v>323</v>
      </c>
      <c r="BL81" s="39"/>
      <c r="BM81" s="39"/>
      <c r="BN81" s="39" t="s">
        <v>1256</v>
      </c>
      <c r="BO81" s="39" t="s">
        <v>394</v>
      </c>
      <c r="BP81" s="39"/>
      <c r="BQ81" s="39"/>
      <c r="BR81" s="39"/>
      <c r="BS81" s="39"/>
      <c r="BT81" s="39"/>
      <c r="BU81" s="39"/>
      <c r="BV81" s="39" t="s">
        <v>1257</v>
      </c>
      <c r="BW81" s="39"/>
      <c r="BX81" s="39"/>
      <c r="BY81" s="39"/>
      <c r="BZ81" s="39" t="s">
        <v>1258</v>
      </c>
      <c r="CA81" s="39" t="s">
        <v>994</v>
      </c>
      <c r="CB81" s="39" t="s">
        <v>1213</v>
      </c>
      <c r="CC81" s="39"/>
      <c r="CD81" s="39"/>
      <c r="CE81" s="39"/>
      <c r="CF81" s="39"/>
      <c r="CG81" s="39"/>
      <c r="CH81" s="39" t="s">
        <v>1256</v>
      </c>
      <c r="CI81" s="39" t="s">
        <v>1259</v>
      </c>
      <c r="CJ81" s="39"/>
      <c r="CK81" s="39"/>
      <c r="CL81" s="39" t="s">
        <v>333</v>
      </c>
      <c r="CM81" s="39" t="s">
        <v>1260</v>
      </c>
      <c r="CN81" s="39"/>
      <c r="CO81" s="39"/>
      <c r="CP81" s="39" t="s">
        <v>451</v>
      </c>
      <c r="CQ81" s="39" t="s">
        <v>1261</v>
      </c>
      <c r="CR81" s="39"/>
      <c r="CS81" s="39"/>
      <c r="CT81" s="39" t="s">
        <v>435</v>
      </c>
      <c r="CU81" s="39"/>
      <c r="CV81" s="39"/>
      <c r="CW81" s="58" t="s">
        <v>1250</v>
      </c>
      <c r="CX81" s="39" t="s">
        <v>483</v>
      </c>
      <c r="CY81" s="39" t="s">
        <v>588</v>
      </c>
      <c r="CZ81" s="39">
        <v>40</v>
      </c>
      <c r="DA81" s="39">
        <v>20</v>
      </c>
      <c r="DB81" s="39">
        <v>40</v>
      </c>
      <c r="DC81" s="39">
        <v>77.400000000000006</v>
      </c>
      <c r="DD81" s="39">
        <v>0.53</v>
      </c>
      <c r="DE81" s="39">
        <v>165</v>
      </c>
      <c r="DF81" s="39">
        <v>83</v>
      </c>
      <c r="DG81" s="9">
        <f t="shared" si="1"/>
        <v>4.3839136941961394</v>
      </c>
      <c r="DH81" s="39"/>
      <c r="DI81" s="39">
        <v>3.1</v>
      </c>
      <c r="DJ81" s="39"/>
      <c r="DK81" s="39"/>
      <c r="DL81" s="39">
        <v>44.5</v>
      </c>
      <c r="DM81" s="39"/>
      <c r="DN81" s="39"/>
      <c r="DO81" s="39"/>
      <c r="DP81" s="40">
        <v>2</v>
      </c>
      <c r="DQ81" s="39">
        <v>2</v>
      </c>
      <c r="DR81" s="39">
        <v>2</v>
      </c>
      <c r="DS81" s="39"/>
      <c r="DT81" s="39"/>
      <c r="DU81" s="39"/>
      <c r="DV81" s="39"/>
    </row>
    <row r="82" spans="1:126" x14ac:dyDescent="0.2">
      <c r="A82" s="14" t="s">
        <v>1262</v>
      </c>
      <c r="B82" s="38">
        <v>43308</v>
      </c>
      <c r="C82" s="39" t="s">
        <v>95</v>
      </c>
      <c r="D82" s="39">
        <v>36</v>
      </c>
      <c r="E82" s="39" t="s">
        <v>96</v>
      </c>
      <c r="F82" s="57">
        <v>30301</v>
      </c>
      <c r="G82" s="39"/>
      <c r="H82" s="39" t="s">
        <v>1263</v>
      </c>
      <c r="I82" s="39">
        <v>13</v>
      </c>
      <c r="J82" s="39"/>
      <c r="K82" s="39">
        <v>2015</v>
      </c>
      <c r="L82" s="39">
        <v>6</v>
      </c>
      <c r="M82" s="39" t="s">
        <v>263</v>
      </c>
      <c r="N82" s="39" t="s">
        <v>263</v>
      </c>
      <c r="O82" s="39" t="s">
        <v>263</v>
      </c>
      <c r="P82" s="39" t="s">
        <v>99</v>
      </c>
      <c r="Q82" s="39" t="s">
        <v>483</v>
      </c>
      <c r="R82" s="39" t="s">
        <v>588</v>
      </c>
      <c r="S82" s="39" t="s">
        <v>483</v>
      </c>
      <c r="T82" s="39" t="s">
        <v>483</v>
      </c>
      <c r="U82" s="39" t="s">
        <v>483</v>
      </c>
      <c r="V82" s="39" t="s">
        <v>483</v>
      </c>
      <c r="W82" s="39" t="s">
        <v>483</v>
      </c>
      <c r="X82" s="39" t="s">
        <v>483</v>
      </c>
      <c r="Y82" s="39"/>
      <c r="Z82" s="39"/>
      <c r="AA82" s="39" t="s">
        <v>949</v>
      </c>
      <c r="AB82" s="39" t="s">
        <v>949</v>
      </c>
      <c r="AC82" s="39" t="s">
        <v>949</v>
      </c>
      <c r="AD82" s="39" t="s">
        <v>949</v>
      </c>
      <c r="AE82" s="10" t="s">
        <v>406</v>
      </c>
      <c r="AF82" s="10" t="s">
        <v>423</v>
      </c>
      <c r="AG82" s="39" t="s">
        <v>483</v>
      </c>
      <c r="AH82" s="39" t="s">
        <v>483</v>
      </c>
      <c r="AI82" s="39" t="s">
        <v>483</v>
      </c>
      <c r="AJ82" s="39" t="s">
        <v>483</v>
      </c>
      <c r="AK82" s="39" t="s">
        <v>483</v>
      </c>
      <c r="AL82" s="39">
        <v>76.2</v>
      </c>
      <c r="AM82" s="39">
        <v>1.56</v>
      </c>
      <c r="AN82" s="10">
        <v>100</v>
      </c>
      <c r="AO82" s="39">
        <v>109</v>
      </c>
      <c r="AP82" s="39">
        <v>48.9</v>
      </c>
      <c r="AQ82" s="39">
        <v>9</v>
      </c>
      <c r="AR82" s="39">
        <v>21.5</v>
      </c>
      <c r="AS82" s="39">
        <v>59</v>
      </c>
      <c r="AT82" s="39">
        <v>31.3</v>
      </c>
      <c r="AU82" s="10">
        <v>135</v>
      </c>
      <c r="AV82" s="10">
        <v>90</v>
      </c>
      <c r="AW82" s="39"/>
      <c r="AX82" s="39" t="s">
        <v>389</v>
      </c>
      <c r="AY82" s="39" t="s">
        <v>917</v>
      </c>
      <c r="AZ82" s="39" t="s">
        <v>1264</v>
      </c>
      <c r="BA82" s="39"/>
      <c r="BB82" s="39" t="s">
        <v>409</v>
      </c>
      <c r="BC82" s="39" t="s">
        <v>1265</v>
      </c>
      <c r="BD82" s="39"/>
      <c r="BE82" s="39"/>
      <c r="BF82" s="39" t="s">
        <v>323</v>
      </c>
      <c r="BG82" s="39" t="s">
        <v>323</v>
      </c>
      <c r="BH82" s="39" t="s">
        <v>323</v>
      </c>
      <c r="BI82" s="39" t="s">
        <v>323</v>
      </c>
      <c r="BJ82" s="39" t="s">
        <v>483</v>
      </c>
      <c r="BK82" s="39" t="s">
        <v>325</v>
      </c>
      <c r="BL82" s="39"/>
      <c r="BM82" s="39"/>
      <c r="BN82" s="39" t="s">
        <v>498</v>
      </c>
      <c r="BO82" s="39" t="s">
        <v>376</v>
      </c>
      <c r="BP82" s="39" t="s">
        <v>1248</v>
      </c>
      <c r="BQ82" s="39"/>
      <c r="BR82" s="39"/>
      <c r="BS82" s="39"/>
      <c r="BT82" s="39"/>
      <c r="BU82" s="39"/>
      <c r="BV82" s="39" t="s">
        <v>1266</v>
      </c>
      <c r="BW82" s="39"/>
      <c r="BX82" s="39"/>
      <c r="BY82" s="39"/>
      <c r="BZ82" s="39" t="s">
        <v>1213</v>
      </c>
      <c r="CA82" s="39" t="s">
        <v>1039</v>
      </c>
      <c r="CB82" s="39" t="s">
        <v>1267</v>
      </c>
      <c r="CC82" s="39"/>
      <c r="CD82" s="39"/>
      <c r="CE82" s="39"/>
      <c r="CF82" s="39"/>
      <c r="CG82" s="39"/>
      <c r="CH82" s="39"/>
      <c r="CI82" s="39"/>
      <c r="CJ82" s="39"/>
      <c r="CK82" s="39"/>
      <c r="CL82" s="39" t="s">
        <v>333</v>
      </c>
      <c r="CM82" s="39" t="s">
        <v>997</v>
      </c>
      <c r="CN82" s="39" t="s">
        <v>334</v>
      </c>
      <c r="CO82" s="39"/>
      <c r="CP82" s="39" t="s">
        <v>1268</v>
      </c>
      <c r="CQ82" s="39"/>
      <c r="CR82" s="39"/>
      <c r="CS82" s="39"/>
      <c r="CT82" s="39" t="s">
        <v>1240</v>
      </c>
      <c r="CU82" s="39" t="s">
        <v>1269</v>
      </c>
      <c r="CV82" s="39"/>
      <c r="CW82" s="39"/>
      <c r="CX82" s="39" t="s">
        <v>483</v>
      </c>
      <c r="CY82" s="39" t="s">
        <v>483</v>
      </c>
      <c r="CZ82" s="39"/>
      <c r="DA82" s="39"/>
      <c r="DB82" s="39"/>
      <c r="DC82" s="10">
        <v>157.9</v>
      </c>
      <c r="DD82" s="39">
        <v>0.84</v>
      </c>
      <c r="DE82" s="10">
        <v>256</v>
      </c>
      <c r="DF82" s="10">
        <v>387</v>
      </c>
      <c r="DG82" s="9">
        <f t="shared" si="1"/>
        <v>5.5101933071456894</v>
      </c>
      <c r="DH82" s="39"/>
      <c r="DI82" s="39">
        <v>9.18</v>
      </c>
      <c r="DJ82" s="39"/>
      <c r="DK82" s="39"/>
      <c r="DL82" s="39">
        <v>37.299999999999997</v>
      </c>
      <c r="DM82" s="39"/>
      <c r="DN82" s="39"/>
      <c r="DO82" s="39"/>
      <c r="DP82" s="40">
        <v>3</v>
      </c>
      <c r="DQ82" s="39">
        <v>3</v>
      </c>
      <c r="DR82" s="39">
        <v>2</v>
      </c>
      <c r="DS82" s="39"/>
      <c r="DT82" s="39">
        <v>13.1</v>
      </c>
      <c r="DU82" s="39">
        <v>6</v>
      </c>
      <c r="DV82" s="39"/>
    </row>
    <row r="83" spans="1:126" x14ac:dyDescent="0.2">
      <c r="A83" s="39" t="s">
        <v>1270</v>
      </c>
      <c r="B83" s="38">
        <v>43308</v>
      </c>
      <c r="C83" s="39" t="s">
        <v>107</v>
      </c>
      <c r="D83" s="39">
        <v>46</v>
      </c>
      <c r="E83" s="52" t="s">
        <v>914</v>
      </c>
      <c r="F83" s="57">
        <v>26404</v>
      </c>
      <c r="G83" s="39" t="s">
        <v>1271</v>
      </c>
      <c r="H83" s="39" t="s">
        <v>1272</v>
      </c>
      <c r="I83" s="39"/>
      <c r="J83" s="57"/>
      <c r="K83" s="39"/>
      <c r="L83" s="39"/>
      <c r="M83" s="39" t="s">
        <v>483</v>
      </c>
      <c r="N83" s="39" t="s">
        <v>483</v>
      </c>
      <c r="O83" s="39" t="s">
        <v>483</v>
      </c>
      <c r="P83" s="39" t="s">
        <v>483</v>
      </c>
      <c r="Q83" s="39" t="s">
        <v>483</v>
      </c>
      <c r="R83" s="39" t="s">
        <v>588</v>
      </c>
      <c r="S83" s="39" t="s">
        <v>483</v>
      </c>
      <c r="T83" s="39" t="s">
        <v>483</v>
      </c>
      <c r="U83" s="39" t="s">
        <v>483</v>
      </c>
      <c r="V83" s="39" t="s">
        <v>483</v>
      </c>
      <c r="W83" s="39" t="s">
        <v>483</v>
      </c>
      <c r="X83" s="39" t="s">
        <v>483</v>
      </c>
      <c r="Y83" s="39"/>
      <c r="Z83" s="39"/>
      <c r="AA83" s="39" t="s">
        <v>1068</v>
      </c>
      <c r="AB83" s="39" t="s">
        <v>949</v>
      </c>
      <c r="AC83" s="39" t="s">
        <v>1068</v>
      </c>
      <c r="AD83" s="39" t="s">
        <v>949</v>
      </c>
      <c r="AE83" s="10" t="s">
        <v>423</v>
      </c>
      <c r="AF83" s="10" t="s">
        <v>423</v>
      </c>
      <c r="AG83" s="10" t="s">
        <v>406</v>
      </c>
      <c r="AH83" s="39" t="s">
        <v>483</v>
      </c>
      <c r="AI83" s="39" t="s">
        <v>483</v>
      </c>
      <c r="AJ83" s="39" t="s">
        <v>483</v>
      </c>
      <c r="AK83" s="39" t="s">
        <v>483</v>
      </c>
      <c r="AL83" s="39">
        <v>83.6</v>
      </c>
      <c r="AM83" s="39">
        <v>1.75</v>
      </c>
      <c r="AN83" s="10">
        <v>103</v>
      </c>
      <c r="AO83" s="39">
        <v>107</v>
      </c>
      <c r="AP83" s="39">
        <v>38.5</v>
      </c>
      <c r="AQ83" s="39">
        <v>7</v>
      </c>
      <c r="AR83" s="39">
        <v>27</v>
      </c>
      <c r="AS83" s="39">
        <v>47</v>
      </c>
      <c r="AT83" s="39">
        <v>27.3</v>
      </c>
      <c r="AU83" s="39">
        <v>126</v>
      </c>
      <c r="AV83" s="39">
        <v>83</v>
      </c>
      <c r="AW83" s="39"/>
      <c r="AX83" s="39" t="s">
        <v>168</v>
      </c>
      <c r="AY83" s="39" t="s">
        <v>1146</v>
      </c>
      <c r="AZ83" s="39" t="s">
        <v>917</v>
      </c>
      <c r="BA83" s="39"/>
      <c r="BB83" s="39" t="s">
        <v>785</v>
      </c>
      <c r="BC83" s="39"/>
      <c r="BD83" s="39"/>
      <c r="BE83" s="39"/>
      <c r="BF83" s="39" t="s">
        <v>323</v>
      </c>
      <c r="BG83" s="39" t="s">
        <v>635</v>
      </c>
      <c r="BH83" s="39" t="s">
        <v>323</v>
      </c>
      <c r="BI83" s="39" t="s">
        <v>323</v>
      </c>
      <c r="BJ83" s="39" t="s">
        <v>635</v>
      </c>
      <c r="BK83" s="39" t="s">
        <v>323</v>
      </c>
      <c r="BL83" s="39"/>
      <c r="BM83" s="39"/>
      <c r="BN83" s="39" t="s">
        <v>376</v>
      </c>
      <c r="BO83" s="39" t="s">
        <v>1273</v>
      </c>
      <c r="BP83" s="39" t="s">
        <v>1274</v>
      </c>
      <c r="BQ83" s="39"/>
      <c r="BR83" s="39"/>
      <c r="BS83" s="39"/>
      <c r="BT83" s="39"/>
      <c r="BU83" s="39"/>
      <c r="BV83" s="39"/>
      <c r="BW83" s="39"/>
      <c r="BX83" s="39"/>
      <c r="BY83" s="39"/>
      <c r="BZ83" s="39" t="s">
        <v>1275</v>
      </c>
      <c r="CA83" s="39" t="s">
        <v>1276</v>
      </c>
      <c r="CB83" s="39" t="s">
        <v>1277</v>
      </c>
      <c r="CC83" s="39"/>
      <c r="CD83" s="39"/>
      <c r="CE83" s="39"/>
      <c r="CF83" s="39"/>
      <c r="CG83" s="39"/>
      <c r="CH83" s="39"/>
      <c r="CI83" s="39"/>
      <c r="CJ83" s="39"/>
      <c r="CK83" s="39"/>
      <c r="CL83" s="39" t="s">
        <v>909</v>
      </c>
      <c r="CM83" s="39" t="s">
        <v>922</v>
      </c>
      <c r="CN83" s="39" t="s">
        <v>1025</v>
      </c>
      <c r="CO83" s="39"/>
      <c r="CP83" s="39" t="s">
        <v>1200</v>
      </c>
      <c r="CQ83" s="39" t="s">
        <v>385</v>
      </c>
      <c r="CR83" s="39" t="s">
        <v>451</v>
      </c>
      <c r="CS83" s="39"/>
      <c r="CT83" s="39" t="s">
        <v>1278</v>
      </c>
      <c r="CU83" s="39"/>
      <c r="CV83" s="39"/>
      <c r="CW83" s="39">
        <v>3</v>
      </c>
      <c r="CX83" s="39" t="s">
        <v>588</v>
      </c>
      <c r="CY83" s="39" t="s">
        <v>483</v>
      </c>
      <c r="CZ83" s="39">
        <v>20</v>
      </c>
      <c r="DA83" s="39">
        <v>20</v>
      </c>
      <c r="DB83" s="39">
        <v>60</v>
      </c>
      <c r="DC83" s="39">
        <v>87.7</v>
      </c>
      <c r="DD83" s="39">
        <v>0.77</v>
      </c>
      <c r="DE83" s="39">
        <v>185</v>
      </c>
      <c r="DF83" s="39">
        <v>74</v>
      </c>
      <c r="DG83" s="9">
        <f t="shared" si="1"/>
        <v>4.3889934962911532</v>
      </c>
      <c r="DH83" s="39"/>
      <c r="DI83" s="39">
        <v>6.19</v>
      </c>
      <c r="DJ83" s="39"/>
      <c r="DK83" s="39"/>
      <c r="DL83" s="39">
        <v>40</v>
      </c>
      <c r="DM83" s="39"/>
      <c r="DN83" s="39"/>
      <c r="DO83" s="39"/>
      <c r="DP83" s="40">
        <v>2</v>
      </c>
      <c r="DQ83" s="30">
        <v>1</v>
      </c>
      <c r="DR83" s="39">
        <v>3</v>
      </c>
      <c r="DS83" s="39"/>
      <c r="DT83" s="39">
        <v>14</v>
      </c>
      <c r="DU83" s="39">
        <v>4.67</v>
      </c>
      <c r="DV83" s="39"/>
    </row>
    <row r="84" spans="1:126" x14ac:dyDescent="0.2">
      <c r="A84" s="39" t="s">
        <v>1279</v>
      </c>
      <c r="B84" s="38">
        <v>43308</v>
      </c>
      <c r="C84" s="39" t="s">
        <v>95</v>
      </c>
      <c r="D84" s="39"/>
      <c r="E84" s="39" t="s">
        <v>96</v>
      </c>
      <c r="F84" s="57"/>
      <c r="G84" s="39"/>
      <c r="H84" s="39"/>
      <c r="I84" s="39">
        <v>12</v>
      </c>
      <c r="J84" s="39"/>
      <c r="K84" s="39">
        <v>2001</v>
      </c>
      <c r="L84" s="39">
        <v>3</v>
      </c>
      <c r="M84" s="39" t="s">
        <v>483</v>
      </c>
      <c r="N84" s="39" t="s">
        <v>483</v>
      </c>
      <c r="O84" s="39"/>
      <c r="P84" s="39" t="s">
        <v>483</v>
      </c>
      <c r="Q84" s="39" t="s">
        <v>483</v>
      </c>
      <c r="R84" s="39" t="s">
        <v>588</v>
      </c>
      <c r="S84" s="39"/>
      <c r="T84" s="39"/>
      <c r="U84" s="39" t="s">
        <v>483</v>
      </c>
      <c r="V84" s="39" t="s">
        <v>483</v>
      </c>
      <c r="W84" s="39"/>
      <c r="X84" s="39"/>
      <c r="Y84" s="39"/>
      <c r="Z84" s="39"/>
      <c r="AA84" s="39" t="s">
        <v>949</v>
      </c>
      <c r="AB84" s="39" t="s">
        <v>949</v>
      </c>
      <c r="AC84" s="39" t="s">
        <v>949</v>
      </c>
      <c r="AD84" s="39" t="s">
        <v>949</v>
      </c>
      <c r="AE84" s="10" t="s">
        <v>423</v>
      </c>
      <c r="AF84" s="10" t="s">
        <v>423</v>
      </c>
      <c r="AG84" s="39" t="s">
        <v>483</v>
      </c>
      <c r="AH84" s="39" t="s">
        <v>483</v>
      </c>
      <c r="AI84" s="39" t="s">
        <v>483</v>
      </c>
      <c r="AJ84" s="39" t="s">
        <v>483</v>
      </c>
      <c r="AK84" s="39" t="s">
        <v>483</v>
      </c>
      <c r="AL84" s="39">
        <v>79.2</v>
      </c>
      <c r="AM84" s="39">
        <v>1.56</v>
      </c>
      <c r="AN84" s="10">
        <v>96</v>
      </c>
      <c r="AO84" s="39">
        <v>103</v>
      </c>
      <c r="AP84" s="39">
        <v>49.4</v>
      </c>
      <c r="AQ84" s="39">
        <v>11</v>
      </c>
      <c r="AR84" s="39">
        <v>21.5</v>
      </c>
      <c r="AS84" s="39">
        <v>67</v>
      </c>
      <c r="AT84" s="39">
        <v>32.5</v>
      </c>
      <c r="AU84" s="39">
        <v>121</v>
      </c>
      <c r="AV84" s="39">
        <v>81</v>
      </c>
      <c r="AW84" s="39"/>
      <c r="AX84" s="39" t="s">
        <v>1280</v>
      </c>
      <c r="AY84" s="39" t="s">
        <v>1034</v>
      </c>
      <c r="AZ84" s="39" t="s">
        <v>168</v>
      </c>
      <c r="BA84" s="39"/>
      <c r="BB84" s="39" t="s">
        <v>409</v>
      </c>
      <c r="BC84" s="39" t="s">
        <v>785</v>
      </c>
      <c r="BD84" s="39" t="s">
        <v>1020</v>
      </c>
      <c r="BE84" s="39"/>
      <c r="BF84" s="39" t="s">
        <v>323</v>
      </c>
      <c r="BG84" s="39" t="s">
        <v>323</v>
      </c>
      <c r="BH84" s="39" t="s">
        <v>323</v>
      </c>
      <c r="BI84" s="39" t="s">
        <v>323</v>
      </c>
      <c r="BJ84" s="39" t="s">
        <v>323</v>
      </c>
      <c r="BK84" s="39" t="s">
        <v>323</v>
      </c>
      <c r="BL84" s="39"/>
      <c r="BM84" s="39"/>
      <c r="BN84" s="39" t="s">
        <v>376</v>
      </c>
      <c r="BO84" s="39" t="s">
        <v>1281</v>
      </c>
      <c r="BP84" s="39" t="s">
        <v>904</v>
      </c>
      <c r="BQ84" s="39"/>
      <c r="BR84" s="39" t="s">
        <v>1022</v>
      </c>
      <c r="BS84" s="39"/>
      <c r="BT84" s="39"/>
      <c r="BU84" s="39"/>
      <c r="BV84" s="39" t="s">
        <v>1282</v>
      </c>
      <c r="BW84" s="39"/>
      <c r="BX84" s="39"/>
      <c r="BY84" s="39"/>
      <c r="BZ84" s="39" t="s">
        <v>1283</v>
      </c>
      <c r="CA84" s="39" t="s">
        <v>332</v>
      </c>
      <c r="CB84" s="39" t="s">
        <v>1284</v>
      </c>
      <c r="CC84" s="39"/>
      <c r="CD84" s="39"/>
      <c r="CE84" s="39"/>
      <c r="CF84" s="39"/>
      <c r="CG84" s="39"/>
      <c r="CH84" s="39"/>
      <c r="CI84" s="39"/>
      <c r="CJ84" s="39"/>
      <c r="CK84" s="39"/>
      <c r="CL84" s="39" t="s">
        <v>333</v>
      </c>
      <c r="CM84" s="39" t="s">
        <v>909</v>
      </c>
      <c r="CN84" s="39" t="s">
        <v>1025</v>
      </c>
      <c r="CO84" s="39"/>
      <c r="CP84" s="39" t="s">
        <v>1285</v>
      </c>
      <c r="CQ84" s="39" t="s">
        <v>946</v>
      </c>
      <c r="CR84" s="39" t="s">
        <v>1286</v>
      </c>
      <c r="CS84" s="39"/>
      <c r="CT84" s="39" t="s">
        <v>1287</v>
      </c>
      <c r="CU84" s="39"/>
      <c r="CV84" s="39"/>
      <c r="CW84" s="39">
        <v>3</v>
      </c>
      <c r="CX84" s="39" t="s">
        <v>483</v>
      </c>
      <c r="CY84" s="39" t="s">
        <v>1251</v>
      </c>
      <c r="CZ84" s="39"/>
      <c r="DA84" s="39"/>
      <c r="DB84" s="39"/>
      <c r="DC84" s="39">
        <v>95.2</v>
      </c>
      <c r="DD84" s="39">
        <v>0.7</v>
      </c>
      <c r="DE84" s="10">
        <v>200</v>
      </c>
      <c r="DF84" s="10">
        <v>168</v>
      </c>
      <c r="DG84" s="9">
        <f t="shared" si="1"/>
        <v>4.8399719606002893</v>
      </c>
      <c r="DH84" s="39"/>
      <c r="DI84" s="39">
        <v>5.39</v>
      </c>
      <c r="DJ84" s="39"/>
      <c r="DK84" s="39"/>
      <c r="DL84" s="39">
        <v>45</v>
      </c>
      <c r="DM84" s="39"/>
      <c r="DN84" s="39"/>
      <c r="DO84" s="39"/>
      <c r="DP84" s="40"/>
      <c r="DQ84" s="39"/>
      <c r="DR84" s="39"/>
      <c r="DS84" s="39"/>
      <c r="DT84" s="39"/>
      <c r="DU84" s="39"/>
      <c r="DV84" s="39"/>
    </row>
    <row r="85" spans="1:126" x14ac:dyDescent="0.2">
      <c r="A85" s="36" t="s">
        <v>1288</v>
      </c>
      <c r="B85" s="38">
        <v>43308</v>
      </c>
      <c r="C85" s="39" t="s">
        <v>95</v>
      </c>
      <c r="D85" s="39">
        <v>58</v>
      </c>
      <c r="E85" s="39" t="s">
        <v>96</v>
      </c>
      <c r="F85" s="57">
        <v>21794</v>
      </c>
      <c r="G85" s="39" t="s">
        <v>585</v>
      </c>
      <c r="H85" s="39" t="s">
        <v>1289</v>
      </c>
      <c r="I85" s="39">
        <v>10</v>
      </c>
      <c r="J85" s="39">
        <v>42</v>
      </c>
      <c r="K85" s="39">
        <v>2002</v>
      </c>
      <c r="L85" s="39">
        <v>6</v>
      </c>
      <c r="M85" s="39" t="s">
        <v>483</v>
      </c>
      <c r="N85" s="39" t="s">
        <v>483</v>
      </c>
      <c r="O85" s="39" t="s">
        <v>483</v>
      </c>
      <c r="P85" s="39" t="s">
        <v>483</v>
      </c>
      <c r="Q85" s="39" t="s">
        <v>483</v>
      </c>
      <c r="R85" s="39" t="s">
        <v>588</v>
      </c>
      <c r="S85" s="39"/>
      <c r="T85" s="39"/>
      <c r="U85" s="39" t="s">
        <v>1290</v>
      </c>
      <c r="V85" s="39" t="s">
        <v>588</v>
      </c>
      <c r="W85" s="39"/>
      <c r="X85" s="39"/>
      <c r="Y85" s="39"/>
      <c r="Z85" s="39"/>
      <c r="AA85" s="39" t="s">
        <v>949</v>
      </c>
      <c r="AB85" s="39" t="s">
        <v>949</v>
      </c>
      <c r="AC85" s="39"/>
      <c r="AD85" s="39"/>
      <c r="AE85" s="39" t="s">
        <v>483</v>
      </c>
      <c r="AF85" s="10" t="s">
        <v>1086</v>
      </c>
      <c r="AG85" s="39" t="s">
        <v>483</v>
      </c>
      <c r="AH85" s="39" t="s">
        <v>483</v>
      </c>
      <c r="AI85" s="39" t="s">
        <v>483</v>
      </c>
      <c r="AJ85" s="39" t="s">
        <v>483</v>
      </c>
      <c r="AK85" s="39" t="s">
        <v>483</v>
      </c>
      <c r="AL85" s="39">
        <v>80.7</v>
      </c>
      <c r="AM85" s="39">
        <v>154</v>
      </c>
      <c r="AN85" s="10">
        <v>107</v>
      </c>
      <c r="AO85" s="39">
        <v>118</v>
      </c>
      <c r="AP85" s="39"/>
      <c r="AQ85" s="39"/>
      <c r="AR85" s="39"/>
      <c r="AS85" s="39"/>
      <c r="AT85" s="39"/>
      <c r="AU85" s="10">
        <v>147</v>
      </c>
      <c r="AV85" s="10">
        <v>93</v>
      </c>
      <c r="AW85" s="39"/>
      <c r="AX85" s="39" t="s">
        <v>1280</v>
      </c>
      <c r="AY85" s="39" t="s">
        <v>1291</v>
      </c>
      <c r="AZ85" s="39" t="s">
        <v>1264</v>
      </c>
      <c r="BA85" s="39"/>
      <c r="BB85" s="39" t="s">
        <v>785</v>
      </c>
      <c r="BC85" s="39" t="s">
        <v>409</v>
      </c>
      <c r="BD85" s="39" t="s">
        <v>1020</v>
      </c>
      <c r="BE85" s="39"/>
      <c r="BF85" s="39" t="s">
        <v>323</v>
      </c>
      <c r="BG85" s="39" t="s">
        <v>323</v>
      </c>
      <c r="BH85" s="39" t="s">
        <v>325</v>
      </c>
      <c r="BI85" s="39" t="s">
        <v>323</v>
      </c>
      <c r="BJ85" s="39" t="s">
        <v>323</v>
      </c>
      <c r="BK85" s="39" t="s">
        <v>323</v>
      </c>
      <c r="BL85" s="39"/>
      <c r="BM85" s="39"/>
      <c r="BN85" s="39" t="s">
        <v>918</v>
      </c>
      <c r="BO85" s="39" t="s">
        <v>1292</v>
      </c>
      <c r="BP85" s="39" t="s">
        <v>1293</v>
      </c>
      <c r="BQ85" s="39"/>
      <c r="BR85" s="39" t="s">
        <v>1022</v>
      </c>
      <c r="BS85" s="39"/>
      <c r="BT85" s="39"/>
      <c r="BU85" s="39"/>
      <c r="BV85" s="39" t="s">
        <v>1282</v>
      </c>
      <c r="BW85" s="39"/>
      <c r="BX85" s="39"/>
      <c r="BY85" s="39"/>
      <c r="BZ85" s="39" t="s">
        <v>1283</v>
      </c>
      <c r="CA85" s="39" t="s">
        <v>330</v>
      </c>
      <c r="CB85" s="39" t="s">
        <v>1294</v>
      </c>
      <c r="CC85" s="39"/>
      <c r="CD85" s="39"/>
      <c r="CE85" s="39"/>
      <c r="CF85" s="39"/>
      <c r="CG85" s="39"/>
      <c r="CH85" s="39"/>
      <c r="CI85" s="39"/>
      <c r="CJ85" s="39"/>
      <c r="CK85" s="39"/>
      <c r="CL85" s="39" t="s">
        <v>997</v>
      </c>
      <c r="CM85" s="39" t="s">
        <v>922</v>
      </c>
      <c r="CN85" s="39" t="s">
        <v>1295</v>
      </c>
      <c r="CO85" s="39"/>
      <c r="CP85" s="39" t="s">
        <v>385</v>
      </c>
      <c r="CQ85" s="39" t="s">
        <v>1200</v>
      </c>
      <c r="CR85" s="39" t="s">
        <v>451</v>
      </c>
      <c r="CS85" s="39"/>
      <c r="CT85" s="39" t="s">
        <v>435</v>
      </c>
      <c r="CU85" s="39" t="s">
        <v>1296</v>
      </c>
      <c r="CV85" s="39"/>
      <c r="CW85" s="39" t="s">
        <v>1250</v>
      </c>
      <c r="CX85" s="39" t="s">
        <v>483</v>
      </c>
      <c r="CY85" s="39" t="s">
        <v>483</v>
      </c>
      <c r="CZ85" s="39"/>
      <c r="DA85" s="39"/>
      <c r="DB85" s="39"/>
      <c r="DC85" s="39">
        <v>95.2</v>
      </c>
      <c r="DD85" s="39">
        <v>0.7</v>
      </c>
      <c r="DE85" s="10">
        <v>200</v>
      </c>
      <c r="DF85" s="10">
        <v>168</v>
      </c>
      <c r="DG85" s="9">
        <f t="shared" si="1"/>
        <v>4.8399719606002893</v>
      </c>
      <c r="DH85" s="39"/>
      <c r="DI85" s="39">
        <v>5.39</v>
      </c>
      <c r="DJ85" s="39"/>
      <c r="DK85" s="39"/>
      <c r="DL85" s="10">
        <v>45</v>
      </c>
      <c r="DM85" s="39"/>
      <c r="DN85" s="39"/>
      <c r="DO85" s="39"/>
      <c r="DP85" s="40">
        <v>3</v>
      </c>
      <c r="DQ85" s="39">
        <v>2</v>
      </c>
      <c r="DR85" s="39">
        <v>2</v>
      </c>
      <c r="DS85" s="39"/>
      <c r="DT85" s="39">
        <v>15.6</v>
      </c>
      <c r="DU85" s="39">
        <v>3.75</v>
      </c>
      <c r="DV85" s="39"/>
    </row>
    <row r="86" spans="1:126" x14ac:dyDescent="0.2">
      <c r="A86" s="39" t="s">
        <v>1297</v>
      </c>
      <c r="B86" s="38">
        <v>43308</v>
      </c>
      <c r="C86" s="39" t="s">
        <v>95</v>
      </c>
      <c r="D86" s="39">
        <v>55</v>
      </c>
      <c r="E86" s="39" t="s">
        <v>96</v>
      </c>
      <c r="F86" s="57">
        <v>23199</v>
      </c>
      <c r="G86" s="39" t="s">
        <v>585</v>
      </c>
      <c r="H86" s="39"/>
      <c r="I86" s="39">
        <v>12</v>
      </c>
      <c r="J86" s="39">
        <v>47</v>
      </c>
      <c r="K86" s="39">
        <v>1995</v>
      </c>
      <c r="L86" s="39">
        <v>4</v>
      </c>
      <c r="M86" s="39" t="s">
        <v>483</v>
      </c>
      <c r="N86" s="39" t="s">
        <v>483</v>
      </c>
      <c r="O86" s="39" t="s">
        <v>483</v>
      </c>
      <c r="P86" s="39" t="s">
        <v>483</v>
      </c>
      <c r="Q86" s="10" t="s">
        <v>1298</v>
      </c>
      <c r="R86" s="39"/>
      <c r="S86" s="39"/>
      <c r="T86" s="39"/>
      <c r="U86" s="39" t="s">
        <v>1299</v>
      </c>
      <c r="V86" s="39" t="s">
        <v>588</v>
      </c>
      <c r="W86" s="39"/>
      <c r="X86" s="39"/>
      <c r="Y86" s="39"/>
      <c r="Z86" s="39"/>
      <c r="AA86" s="39" t="s">
        <v>949</v>
      </c>
      <c r="AB86" s="39" t="s">
        <v>949</v>
      </c>
      <c r="AC86" s="39" t="s">
        <v>949</v>
      </c>
      <c r="AD86" s="39" t="s">
        <v>949</v>
      </c>
      <c r="AE86" s="10" t="s">
        <v>406</v>
      </c>
      <c r="AF86" s="10" t="s">
        <v>423</v>
      </c>
      <c r="AG86" s="10" t="s">
        <v>423</v>
      </c>
      <c r="AH86" s="10" t="s">
        <v>423</v>
      </c>
      <c r="AI86" s="39" t="s">
        <v>483</v>
      </c>
      <c r="AJ86" s="39" t="s">
        <v>483</v>
      </c>
      <c r="AK86" s="39" t="s">
        <v>483</v>
      </c>
      <c r="AL86" s="39">
        <v>75.7</v>
      </c>
      <c r="AM86" s="39">
        <v>1.5</v>
      </c>
      <c r="AN86" s="10">
        <v>81</v>
      </c>
      <c r="AO86" s="39">
        <v>117</v>
      </c>
      <c r="AP86" s="39">
        <v>50</v>
      </c>
      <c r="AQ86" s="39">
        <v>12</v>
      </c>
      <c r="AR86" s="39">
        <v>21.2</v>
      </c>
      <c r="AS86" s="39">
        <v>73</v>
      </c>
      <c r="AT86" s="39">
        <v>33.4</v>
      </c>
      <c r="AU86" s="39">
        <v>126</v>
      </c>
      <c r="AV86" s="39">
        <v>86</v>
      </c>
      <c r="AW86" s="39"/>
      <c r="AX86" s="39" t="s">
        <v>323</v>
      </c>
      <c r="AY86" s="39"/>
      <c r="AZ86" s="39"/>
      <c r="BA86" s="39"/>
      <c r="BB86" s="39"/>
      <c r="BC86" s="39"/>
      <c r="BD86" s="39"/>
      <c r="BE86" s="39"/>
      <c r="BF86" s="39" t="s">
        <v>323</v>
      </c>
      <c r="BG86" s="39" t="s">
        <v>323</v>
      </c>
      <c r="BH86" s="39" t="s">
        <v>323</v>
      </c>
      <c r="BI86" s="39" t="s">
        <v>323</v>
      </c>
      <c r="BJ86" s="39" t="s">
        <v>323</v>
      </c>
      <c r="BK86" s="39" t="s">
        <v>323</v>
      </c>
      <c r="BL86" s="39"/>
      <c r="BM86" s="39"/>
      <c r="BN86" s="39" t="s">
        <v>635</v>
      </c>
      <c r="BO86" s="39"/>
      <c r="BP86" s="39"/>
      <c r="BQ86" s="39"/>
      <c r="BR86" s="39" t="s">
        <v>323</v>
      </c>
      <c r="BS86" s="39"/>
      <c r="BT86" s="39"/>
      <c r="BU86" s="39"/>
      <c r="BV86" s="39" t="s">
        <v>323</v>
      </c>
      <c r="BW86" s="39"/>
      <c r="BX86" s="39"/>
      <c r="BY86" s="39"/>
      <c r="BZ86" s="39" t="s">
        <v>635</v>
      </c>
      <c r="CA86" s="39"/>
      <c r="CB86" s="39"/>
      <c r="CC86" s="39"/>
      <c r="CD86" s="39" t="s">
        <v>323</v>
      </c>
      <c r="CE86" s="39"/>
      <c r="CF86" s="39"/>
      <c r="CG86" s="39"/>
      <c r="CH86" s="39" t="s">
        <v>325</v>
      </c>
      <c r="CI86" s="39"/>
      <c r="CJ86" s="39"/>
      <c r="CK86" s="39"/>
      <c r="CL86" s="39" t="s">
        <v>635</v>
      </c>
      <c r="CM86" s="39"/>
      <c r="CN86" s="39"/>
      <c r="CO86" s="39"/>
      <c r="CP86" s="39" t="s">
        <v>1268</v>
      </c>
      <c r="CQ86" s="39"/>
      <c r="CR86" s="39"/>
      <c r="CS86" s="39"/>
      <c r="CT86" s="39" t="s">
        <v>635</v>
      </c>
      <c r="CU86" s="39"/>
      <c r="CV86" s="39"/>
      <c r="CW86" s="58" t="s">
        <v>1300</v>
      </c>
      <c r="CX86" s="39" t="s">
        <v>588</v>
      </c>
      <c r="CY86" s="39"/>
      <c r="CZ86" s="39"/>
      <c r="DA86" s="39"/>
      <c r="DB86" s="39"/>
      <c r="DC86" s="39">
        <v>98.7</v>
      </c>
      <c r="DD86" s="39">
        <v>0.56999999999999995</v>
      </c>
      <c r="DE86" s="10">
        <v>226</v>
      </c>
      <c r="DF86" s="39">
        <v>123</v>
      </c>
      <c r="DG86" s="9">
        <f t="shared" si="1"/>
        <v>4.7021346509059265</v>
      </c>
      <c r="DH86" s="39"/>
      <c r="DI86" s="39">
        <v>5.87</v>
      </c>
      <c r="DJ86" s="39"/>
      <c r="DK86" s="39"/>
      <c r="DL86" s="39">
        <v>52.2</v>
      </c>
      <c r="DM86" s="39"/>
      <c r="DN86" s="39"/>
      <c r="DO86" s="39"/>
      <c r="DP86" s="40"/>
      <c r="DQ86" s="39">
        <v>2</v>
      </c>
      <c r="DR86" s="39"/>
      <c r="DS86" s="39"/>
      <c r="DT86" s="39"/>
      <c r="DU86" s="39"/>
      <c r="DV86" s="39"/>
    </row>
    <row r="87" spans="1:126" x14ac:dyDescent="0.2">
      <c r="A87" s="36" t="s">
        <v>1301</v>
      </c>
      <c r="B87" s="57">
        <v>43308</v>
      </c>
      <c r="C87" s="39" t="s">
        <v>107</v>
      </c>
      <c r="D87" s="39">
        <v>50</v>
      </c>
      <c r="E87" s="39" t="s">
        <v>96</v>
      </c>
      <c r="F87" s="57">
        <v>24719</v>
      </c>
      <c r="G87" s="39" t="s">
        <v>1302</v>
      </c>
      <c r="H87" s="39" t="s">
        <v>1303</v>
      </c>
      <c r="I87" s="39"/>
      <c r="J87" s="39"/>
      <c r="K87" s="39"/>
      <c r="L87" s="39"/>
      <c r="M87" s="39" t="s">
        <v>483</v>
      </c>
      <c r="N87" s="39" t="s">
        <v>483</v>
      </c>
      <c r="O87" s="39" t="s">
        <v>483</v>
      </c>
      <c r="P87" s="39" t="s">
        <v>483</v>
      </c>
      <c r="Q87" s="10" t="s">
        <v>588</v>
      </c>
      <c r="R87" s="7" t="s">
        <v>483</v>
      </c>
      <c r="S87" s="39" t="s">
        <v>483</v>
      </c>
      <c r="T87" s="39" t="s">
        <v>483</v>
      </c>
      <c r="U87" s="39" t="s">
        <v>483</v>
      </c>
      <c r="V87" s="39" t="s">
        <v>483</v>
      </c>
      <c r="W87" s="39" t="s">
        <v>483</v>
      </c>
      <c r="X87" s="39" t="s">
        <v>483</v>
      </c>
      <c r="Y87" s="39"/>
      <c r="Z87" s="39"/>
      <c r="AA87" s="39" t="s">
        <v>949</v>
      </c>
      <c r="AB87" s="39" t="s">
        <v>605</v>
      </c>
      <c r="AC87" s="39" t="s">
        <v>949</v>
      </c>
      <c r="AD87" s="39" t="s">
        <v>932</v>
      </c>
      <c r="AE87" s="39" t="s">
        <v>483</v>
      </c>
      <c r="AF87" s="39" t="s">
        <v>483</v>
      </c>
      <c r="AG87" s="39" t="s">
        <v>483</v>
      </c>
      <c r="AH87" s="39" t="s">
        <v>483</v>
      </c>
      <c r="AI87" s="39" t="s">
        <v>483</v>
      </c>
      <c r="AJ87" s="39" t="s">
        <v>483</v>
      </c>
      <c r="AK87" s="39" t="s">
        <v>483</v>
      </c>
      <c r="AL87" s="39">
        <v>84.6</v>
      </c>
      <c r="AM87" s="39">
        <v>1.75</v>
      </c>
      <c r="AN87" s="10">
        <v>102</v>
      </c>
      <c r="AO87" s="39">
        <v>106</v>
      </c>
      <c r="AP87" s="39">
        <v>28.5</v>
      </c>
      <c r="AQ87" s="39">
        <v>12</v>
      </c>
      <c r="AR87" s="39">
        <v>32.6</v>
      </c>
      <c r="AS87" s="39">
        <v>58</v>
      </c>
      <c r="AT87" s="39">
        <v>27.6</v>
      </c>
      <c r="AU87" s="10">
        <v>147</v>
      </c>
      <c r="AV87" s="10">
        <v>108</v>
      </c>
      <c r="AW87" s="39"/>
      <c r="AX87" s="39" t="s">
        <v>1034</v>
      </c>
      <c r="AY87" s="39" t="s">
        <v>1146</v>
      </c>
      <c r="AZ87" s="39" t="s">
        <v>1071</v>
      </c>
      <c r="BA87" s="39"/>
      <c r="BB87" s="39" t="s">
        <v>409</v>
      </c>
      <c r="BC87" s="39" t="s">
        <v>1304</v>
      </c>
      <c r="BD87" s="39"/>
      <c r="BE87" s="39"/>
      <c r="BF87" s="39" t="s">
        <v>323</v>
      </c>
      <c r="BG87" s="39" t="s">
        <v>323</v>
      </c>
      <c r="BH87" s="39" t="s">
        <v>323</v>
      </c>
      <c r="BI87" s="39" t="s">
        <v>323</v>
      </c>
      <c r="BJ87" s="39" t="s">
        <v>323</v>
      </c>
      <c r="BK87" s="39" t="s">
        <v>323</v>
      </c>
      <c r="BL87" s="39"/>
      <c r="BM87" s="39"/>
      <c r="BN87" s="39" t="s">
        <v>410</v>
      </c>
      <c r="BO87" s="39" t="s">
        <v>412</v>
      </c>
      <c r="BP87" s="39" t="s">
        <v>326</v>
      </c>
      <c r="BQ87" s="39"/>
      <c r="BR87" s="39"/>
      <c r="BS87" s="39"/>
      <c r="BT87" s="39"/>
      <c r="BU87" s="39"/>
      <c r="BV87" s="39" t="s">
        <v>1305</v>
      </c>
      <c r="BW87" s="39"/>
      <c r="BX87" s="39"/>
      <c r="BY87" s="39"/>
      <c r="BZ87" s="39" t="s">
        <v>415</v>
      </c>
      <c r="CA87" s="39" t="s">
        <v>941</v>
      </c>
      <c r="CB87" s="39" t="s">
        <v>1051</v>
      </c>
      <c r="CC87" s="39"/>
      <c r="CD87" s="39"/>
      <c r="CE87" s="39"/>
      <c r="CF87" s="39"/>
      <c r="CG87" s="39"/>
      <c r="CH87" s="39"/>
      <c r="CI87" s="39"/>
      <c r="CJ87" s="39"/>
      <c r="CK87" s="39"/>
      <c r="CL87" s="39" t="s">
        <v>333</v>
      </c>
      <c r="CM87" s="39" t="s">
        <v>335</v>
      </c>
      <c r="CN87" s="39" t="s">
        <v>308</v>
      </c>
      <c r="CO87" s="39"/>
      <c r="CP87" s="39" t="s">
        <v>637</v>
      </c>
      <c r="CQ87" s="39" t="s">
        <v>636</v>
      </c>
      <c r="CR87" s="39"/>
      <c r="CS87" s="39"/>
      <c r="CT87" s="39" t="s">
        <v>539</v>
      </c>
      <c r="CU87" s="39"/>
      <c r="CV87" s="39"/>
      <c r="CW87" s="39">
        <v>3</v>
      </c>
      <c r="CX87" s="39" t="s">
        <v>588</v>
      </c>
      <c r="CY87" s="39" t="s">
        <v>1251</v>
      </c>
      <c r="CZ87" s="39"/>
      <c r="DA87" s="39"/>
      <c r="DB87" s="39"/>
      <c r="DC87" s="39">
        <v>96.4</v>
      </c>
      <c r="DD87" s="39">
        <v>1.06</v>
      </c>
      <c r="DE87" s="10">
        <v>232</v>
      </c>
      <c r="DF87" s="10">
        <v>220</v>
      </c>
      <c r="DG87" s="9">
        <f t="shared" si="1"/>
        <v>4.9810668739844308</v>
      </c>
      <c r="DH87" s="39"/>
      <c r="DI87" s="39">
        <v>6.27</v>
      </c>
      <c r="DJ87" s="39"/>
      <c r="DK87" s="39"/>
      <c r="DL87" s="10">
        <v>38.299999999999997</v>
      </c>
      <c r="DM87" s="39"/>
      <c r="DN87" s="39"/>
      <c r="DO87" s="39"/>
      <c r="DP87" s="40">
        <v>3</v>
      </c>
      <c r="DQ87" s="30">
        <v>1</v>
      </c>
      <c r="DR87" s="39">
        <v>2</v>
      </c>
      <c r="DS87" s="39"/>
      <c r="DT87" s="39">
        <v>14.5</v>
      </c>
      <c r="DU87" s="39">
        <v>6.52</v>
      </c>
      <c r="DV87" s="39"/>
    </row>
    <row r="88" spans="1:126" customFormat="1" x14ac:dyDescent="0.2">
      <c r="A88" t="s">
        <v>1306</v>
      </c>
      <c r="B88" s="26">
        <v>43795</v>
      </c>
      <c r="C88" t="s">
        <v>95</v>
      </c>
      <c r="D88" t="s">
        <v>1307</v>
      </c>
      <c r="E88" t="s">
        <v>313</v>
      </c>
      <c r="F88" s="26">
        <v>26547</v>
      </c>
      <c r="G88" t="s">
        <v>1308</v>
      </c>
      <c r="H88" t="s">
        <v>1309</v>
      </c>
      <c r="K88">
        <v>2006</v>
      </c>
      <c r="L88">
        <v>2</v>
      </c>
      <c r="M88" t="s">
        <v>263</v>
      </c>
      <c r="N88" t="s">
        <v>263</v>
      </c>
      <c r="O88" t="s">
        <v>263</v>
      </c>
      <c r="P88" t="s">
        <v>263</v>
      </c>
      <c r="Q88" t="s">
        <v>263</v>
      </c>
      <c r="AA88" t="s">
        <v>1310</v>
      </c>
      <c r="AB88" t="s">
        <v>1310</v>
      </c>
      <c r="AC88" t="s">
        <v>1310</v>
      </c>
      <c r="AD88" t="s">
        <v>1310</v>
      </c>
      <c r="AE88" t="s">
        <v>263</v>
      </c>
      <c r="AF88" t="s">
        <v>1311</v>
      </c>
      <c r="AG88" t="s">
        <v>263</v>
      </c>
      <c r="AH88" t="s">
        <v>1312</v>
      </c>
      <c r="AI88" t="s">
        <v>263</v>
      </c>
      <c r="AJ88" t="s">
        <v>263</v>
      </c>
      <c r="AK88" t="s">
        <v>263</v>
      </c>
      <c r="AL88">
        <v>75.099999999999994</v>
      </c>
      <c r="AM88">
        <v>1.72</v>
      </c>
      <c r="AN88">
        <v>95</v>
      </c>
      <c r="AO88">
        <v>105</v>
      </c>
      <c r="AP88">
        <v>41.2</v>
      </c>
      <c r="AQ88">
        <v>7</v>
      </c>
      <c r="AR88">
        <v>24.1</v>
      </c>
      <c r="AS88">
        <v>47</v>
      </c>
      <c r="AT88">
        <v>25.4</v>
      </c>
      <c r="AU88">
        <v>94</v>
      </c>
      <c r="AV88">
        <v>68</v>
      </c>
      <c r="AX88" t="s">
        <v>375</v>
      </c>
      <c r="BB88" t="s">
        <v>375</v>
      </c>
      <c r="BF88" t="s">
        <v>375</v>
      </c>
      <c r="BG88" t="s">
        <v>1313</v>
      </c>
      <c r="BI88" t="s">
        <v>1314</v>
      </c>
      <c r="BJ88" t="s">
        <v>322</v>
      </c>
      <c r="BK88" t="s">
        <v>1315</v>
      </c>
      <c r="BN88" t="s">
        <v>323</v>
      </c>
      <c r="BV88" t="s">
        <v>1315</v>
      </c>
      <c r="BZ88" t="s">
        <v>322</v>
      </c>
      <c r="CL88" t="s">
        <v>1316</v>
      </c>
      <c r="CW88">
        <v>3</v>
      </c>
      <c r="CX88" t="s">
        <v>368</v>
      </c>
      <c r="CY88" t="s">
        <v>263</v>
      </c>
      <c r="DC88">
        <v>78.900000000000006</v>
      </c>
      <c r="DD88">
        <v>0.91</v>
      </c>
      <c r="DE88">
        <v>184</v>
      </c>
      <c r="DF88">
        <v>142</v>
      </c>
      <c r="DG88" s="9">
        <f t="shared" si="1"/>
        <v>4.6620041427265448</v>
      </c>
      <c r="DH88">
        <v>28.4</v>
      </c>
      <c r="DI88">
        <v>5.05</v>
      </c>
      <c r="DL88">
        <v>46.5</v>
      </c>
      <c r="DM88">
        <v>109.1</v>
      </c>
      <c r="DP88" s="59">
        <v>3</v>
      </c>
      <c r="DR88" s="60">
        <v>1</v>
      </c>
      <c r="DU88" s="61">
        <v>8.3000000000000007</v>
      </c>
    </row>
    <row r="89" spans="1:126" customFormat="1" x14ac:dyDescent="0.2">
      <c r="A89" t="s">
        <v>1317</v>
      </c>
      <c r="B89" s="26">
        <v>43795</v>
      </c>
      <c r="C89" t="s">
        <v>95</v>
      </c>
      <c r="D89" t="s">
        <v>1318</v>
      </c>
      <c r="E89" t="s">
        <v>1319</v>
      </c>
      <c r="F89" s="26">
        <v>18964</v>
      </c>
      <c r="G89" t="s">
        <v>1320</v>
      </c>
      <c r="H89" t="s">
        <v>262</v>
      </c>
      <c r="I89" t="s">
        <v>1321</v>
      </c>
      <c r="J89" t="s">
        <v>1307</v>
      </c>
      <c r="K89">
        <v>1980</v>
      </c>
      <c r="L89">
        <v>3</v>
      </c>
      <c r="M89" t="s">
        <v>263</v>
      </c>
      <c r="N89" t="s">
        <v>263</v>
      </c>
      <c r="O89" t="s">
        <v>263</v>
      </c>
      <c r="P89" t="s">
        <v>263</v>
      </c>
      <c r="Q89" t="s">
        <v>263</v>
      </c>
      <c r="AA89" t="s">
        <v>605</v>
      </c>
      <c r="AB89" t="s">
        <v>1322</v>
      </c>
      <c r="AE89" t="s">
        <v>292</v>
      </c>
      <c r="AF89" t="s">
        <v>263</v>
      </c>
      <c r="AG89" t="s">
        <v>263</v>
      </c>
      <c r="AH89" t="s">
        <v>263</v>
      </c>
      <c r="AI89" t="s">
        <v>263</v>
      </c>
      <c r="AJ89" t="s">
        <v>263</v>
      </c>
      <c r="AK89" t="s">
        <v>263</v>
      </c>
      <c r="AL89">
        <v>68.599999999999994</v>
      </c>
      <c r="AM89">
        <v>1.53</v>
      </c>
      <c r="AN89">
        <v>90</v>
      </c>
      <c r="AO89">
        <v>104</v>
      </c>
      <c r="AP89">
        <v>39.4</v>
      </c>
      <c r="AQ89">
        <v>10</v>
      </c>
      <c r="AR89">
        <v>26.7</v>
      </c>
      <c r="AS89">
        <v>70</v>
      </c>
      <c r="AT89">
        <v>29.3</v>
      </c>
      <c r="AU89">
        <v>128</v>
      </c>
      <c r="AV89">
        <v>66</v>
      </c>
      <c r="AX89" t="s">
        <v>270</v>
      </c>
      <c r="AY89" t="s">
        <v>270</v>
      </c>
      <c r="AZ89" t="s">
        <v>1323</v>
      </c>
      <c r="BF89" t="s">
        <v>271</v>
      </c>
      <c r="BG89" t="s">
        <v>298</v>
      </c>
      <c r="BI89" t="s">
        <v>272</v>
      </c>
      <c r="BJ89" t="s">
        <v>1324</v>
      </c>
      <c r="BK89" t="s">
        <v>276</v>
      </c>
      <c r="BN89" t="s">
        <v>322</v>
      </c>
      <c r="BR89" t="s">
        <v>276</v>
      </c>
      <c r="BV89" t="s">
        <v>276</v>
      </c>
      <c r="BZ89" t="s">
        <v>1325</v>
      </c>
      <c r="CH89" t="s">
        <v>1326</v>
      </c>
      <c r="CL89" t="s">
        <v>1327</v>
      </c>
      <c r="CP89" t="s">
        <v>1251</v>
      </c>
      <c r="CT89" t="s">
        <v>1328</v>
      </c>
      <c r="CW89">
        <v>3</v>
      </c>
      <c r="CX89" t="s">
        <v>282</v>
      </c>
      <c r="CY89" t="s">
        <v>285</v>
      </c>
      <c r="CZ89">
        <v>100</v>
      </c>
      <c r="DA89">
        <v>80</v>
      </c>
      <c r="DC89">
        <v>87</v>
      </c>
      <c r="DD89">
        <v>0.62</v>
      </c>
      <c r="DE89">
        <v>217</v>
      </c>
      <c r="DF89">
        <v>132</v>
      </c>
      <c r="DG89" s="9">
        <f t="shared" si="1"/>
        <v>4.6743550206204771</v>
      </c>
      <c r="DH89">
        <v>26.4</v>
      </c>
      <c r="DI89">
        <v>4.4800000000000004</v>
      </c>
      <c r="DL89">
        <v>55.7</v>
      </c>
      <c r="DM89">
        <v>134.9</v>
      </c>
    </row>
    <row r="90" spans="1:126" customFormat="1" x14ac:dyDescent="0.2">
      <c r="A90" t="s">
        <v>1329</v>
      </c>
      <c r="B90" s="26">
        <v>43795</v>
      </c>
      <c r="C90" t="s">
        <v>107</v>
      </c>
      <c r="D90">
        <v>42</v>
      </c>
      <c r="E90" t="s">
        <v>1330</v>
      </c>
      <c r="F90" s="26">
        <v>28326</v>
      </c>
      <c r="G90" t="s">
        <v>1331</v>
      </c>
      <c r="H90" t="s">
        <v>1332</v>
      </c>
      <c r="M90" t="s">
        <v>1333</v>
      </c>
      <c r="N90" t="s">
        <v>1334</v>
      </c>
      <c r="W90" t="s">
        <v>1335</v>
      </c>
      <c r="Y90" t="s">
        <v>1336</v>
      </c>
      <c r="Z90" t="s">
        <v>1337</v>
      </c>
      <c r="AA90" t="s">
        <v>1338</v>
      </c>
      <c r="AB90" t="s">
        <v>1339</v>
      </c>
      <c r="AC90" t="s">
        <v>1340</v>
      </c>
      <c r="AD90" t="s">
        <v>1339</v>
      </c>
      <c r="AE90" t="s">
        <v>1341</v>
      </c>
      <c r="AF90" t="s">
        <v>1342</v>
      </c>
      <c r="AG90" t="s">
        <v>1343</v>
      </c>
      <c r="AH90" t="s">
        <v>1344</v>
      </c>
      <c r="AI90" t="s">
        <v>263</v>
      </c>
      <c r="AJ90" t="s">
        <v>263</v>
      </c>
      <c r="AK90" t="s">
        <v>263</v>
      </c>
      <c r="AL90">
        <v>95.2</v>
      </c>
      <c r="AM90">
        <v>1.83</v>
      </c>
      <c r="AN90">
        <v>107</v>
      </c>
      <c r="AO90">
        <v>108</v>
      </c>
      <c r="AP90">
        <v>24.4</v>
      </c>
      <c r="AQ90">
        <v>10</v>
      </c>
      <c r="AR90">
        <v>35.4</v>
      </c>
      <c r="AS90">
        <v>64</v>
      </c>
      <c r="AT90">
        <v>28.2</v>
      </c>
      <c r="AU90">
        <v>73</v>
      </c>
      <c r="AV90">
        <v>5</v>
      </c>
      <c r="AX90" t="s">
        <v>1345</v>
      </c>
      <c r="BB90" t="s">
        <v>1346</v>
      </c>
      <c r="BF90" t="s">
        <v>1347</v>
      </c>
      <c r="BG90" t="s">
        <v>1346</v>
      </c>
      <c r="BH90" t="s">
        <v>1348</v>
      </c>
      <c r="BI90" t="s">
        <v>1349</v>
      </c>
      <c r="BJ90" t="s">
        <v>1350</v>
      </c>
      <c r="BK90" t="s">
        <v>1351</v>
      </c>
      <c r="BN90" t="s">
        <v>1352</v>
      </c>
      <c r="BR90" t="s">
        <v>1350</v>
      </c>
      <c r="BV90" t="s">
        <v>1349</v>
      </c>
      <c r="BZ90" t="s">
        <v>1353</v>
      </c>
      <c r="CL90" t="s">
        <v>1350</v>
      </c>
      <c r="CP90" t="s">
        <v>1349</v>
      </c>
      <c r="CT90" t="s">
        <v>1349</v>
      </c>
      <c r="CW90" t="s">
        <v>1354</v>
      </c>
      <c r="CY90" t="s">
        <v>263</v>
      </c>
      <c r="DC90">
        <v>77.8</v>
      </c>
      <c r="DD90">
        <v>1.18</v>
      </c>
      <c r="DE90">
        <v>118</v>
      </c>
      <c r="DF90">
        <v>56</v>
      </c>
      <c r="DG90" s="9">
        <f t="shared" si="1"/>
        <v>4.1897465609597475</v>
      </c>
      <c r="DH90">
        <v>11.2</v>
      </c>
      <c r="DI90">
        <v>5.5</v>
      </c>
      <c r="DL90">
        <v>32.9</v>
      </c>
      <c r="DM90">
        <v>73.900000000000006</v>
      </c>
      <c r="DR90" s="62">
        <v>2</v>
      </c>
    </row>
    <row r="91" spans="1:126" customFormat="1" x14ac:dyDescent="0.2">
      <c r="A91" s="33" t="s">
        <v>1355</v>
      </c>
      <c r="B91" s="26">
        <v>43795</v>
      </c>
      <c r="C91" t="s">
        <v>107</v>
      </c>
      <c r="D91">
        <v>22</v>
      </c>
      <c r="E91" t="s">
        <v>96</v>
      </c>
      <c r="F91" t="s">
        <v>1356</v>
      </c>
      <c r="G91" t="s">
        <v>162</v>
      </c>
      <c r="H91" t="s">
        <v>162</v>
      </c>
      <c r="I91" t="s">
        <v>162</v>
      </c>
      <c r="J91" t="s">
        <v>162</v>
      </c>
      <c r="K91" t="s">
        <v>162</v>
      </c>
      <c r="L91" t="s">
        <v>162</v>
      </c>
      <c r="M91" t="s">
        <v>99</v>
      </c>
      <c r="N91" t="s">
        <v>99</v>
      </c>
      <c r="O91" t="s">
        <v>99</v>
      </c>
      <c r="P91" s="29" t="s">
        <v>1357</v>
      </c>
      <c r="Q91" s="29" t="s">
        <v>1358</v>
      </c>
      <c r="R91" s="29" t="s">
        <v>99</v>
      </c>
      <c r="S91" s="29" t="s">
        <v>99</v>
      </c>
      <c r="T91" s="29" t="s">
        <v>99</v>
      </c>
      <c r="U91" s="29" t="s">
        <v>162</v>
      </c>
      <c r="V91" s="29" t="s">
        <v>162</v>
      </c>
      <c r="W91" s="29" t="s">
        <v>162</v>
      </c>
      <c r="X91" s="29" t="s">
        <v>162</v>
      </c>
      <c r="Y91" s="29" t="s">
        <v>162</v>
      </c>
      <c r="Z91" s="29" t="s">
        <v>162</v>
      </c>
      <c r="AA91" s="29" t="s">
        <v>100</v>
      </c>
      <c r="AB91" s="29" t="s">
        <v>1359</v>
      </c>
      <c r="AC91" s="29" t="s">
        <v>100</v>
      </c>
      <c r="AD91" s="29" t="s">
        <v>1359</v>
      </c>
      <c r="AE91" s="29" t="s">
        <v>110</v>
      </c>
      <c r="AF91" s="29" t="s">
        <v>110</v>
      </c>
      <c r="AG91" s="29" t="s">
        <v>99</v>
      </c>
      <c r="AH91" s="29" t="s">
        <v>110</v>
      </c>
      <c r="AI91" s="29" t="s">
        <v>99</v>
      </c>
      <c r="AJ91" s="29" t="s">
        <v>99</v>
      </c>
      <c r="AK91" s="29" t="s">
        <v>162</v>
      </c>
      <c r="AL91">
        <v>75.2</v>
      </c>
      <c r="AM91">
        <v>176</v>
      </c>
      <c r="AN91">
        <v>90</v>
      </c>
      <c r="AO91">
        <v>100</v>
      </c>
      <c r="AP91">
        <v>23.1</v>
      </c>
      <c r="AQ91">
        <v>6</v>
      </c>
      <c r="AR91">
        <v>38.4</v>
      </c>
      <c r="AS91">
        <v>35</v>
      </c>
      <c r="AT91">
        <v>24.3</v>
      </c>
      <c r="AU91" t="s">
        <v>1360</v>
      </c>
      <c r="AV91" t="s">
        <v>1361</v>
      </c>
      <c r="AW91" t="s">
        <v>375</v>
      </c>
      <c r="AX91" t="s">
        <v>1233</v>
      </c>
      <c r="BB91" t="s">
        <v>1362</v>
      </c>
      <c r="BC91" t="s">
        <v>409</v>
      </c>
      <c r="BD91" t="s">
        <v>1363</v>
      </c>
      <c r="BF91" t="s">
        <v>1364</v>
      </c>
      <c r="BG91" t="s">
        <v>1365</v>
      </c>
      <c r="BH91" t="s">
        <v>1366</v>
      </c>
      <c r="BI91" t="s">
        <v>1367</v>
      </c>
      <c r="BJ91" t="s">
        <v>1368</v>
      </c>
      <c r="BK91" t="s">
        <v>1368</v>
      </c>
      <c r="BL91" t="s">
        <v>322</v>
      </c>
      <c r="BN91" t="s">
        <v>918</v>
      </c>
      <c r="BO91" t="s">
        <v>1073</v>
      </c>
      <c r="BQ91" t="s">
        <v>162</v>
      </c>
      <c r="BZ91" t="s">
        <v>1369</v>
      </c>
      <c r="CA91" t="s">
        <v>1370</v>
      </c>
      <c r="CB91" t="s">
        <v>1371</v>
      </c>
      <c r="CC91" t="s">
        <v>162</v>
      </c>
      <c r="CG91" t="s">
        <v>162</v>
      </c>
      <c r="CL91" t="s">
        <v>1372</v>
      </c>
      <c r="CM91" t="s">
        <v>450</v>
      </c>
      <c r="CN91" t="s">
        <v>1373</v>
      </c>
      <c r="CO91" t="s">
        <v>162</v>
      </c>
      <c r="CS91" t="s">
        <v>162</v>
      </c>
      <c r="CW91">
        <v>3</v>
      </c>
      <c r="CX91" t="s">
        <v>1374</v>
      </c>
      <c r="CY91" t="s">
        <v>110</v>
      </c>
      <c r="DC91">
        <v>79.7</v>
      </c>
      <c r="DD91">
        <v>0.67</v>
      </c>
      <c r="DE91">
        <v>132</v>
      </c>
      <c r="DF91">
        <v>81</v>
      </c>
      <c r="DG91" s="9">
        <f t="shared" si="1"/>
        <v>4.3863593702343042</v>
      </c>
      <c r="DH91">
        <v>16.2</v>
      </c>
      <c r="DI91">
        <v>5.78</v>
      </c>
      <c r="DL91">
        <v>36.200000000000003</v>
      </c>
      <c r="DM91">
        <v>79.599999999999994</v>
      </c>
      <c r="DR91">
        <v>3</v>
      </c>
      <c r="DU91">
        <v>7.8</v>
      </c>
    </row>
    <row r="92" spans="1:126" customFormat="1" x14ac:dyDescent="0.2">
      <c r="A92" t="s">
        <v>1375</v>
      </c>
      <c r="B92" s="26">
        <v>43795</v>
      </c>
      <c r="C92" t="s">
        <v>258</v>
      </c>
      <c r="D92" t="s">
        <v>1318</v>
      </c>
      <c r="E92" t="s">
        <v>1376</v>
      </c>
      <c r="F92" s="26">
        <v>18922</v>
      </c>
      <c r="G92" t="s">
        <v>261</v>
      </c>
      <c r="H92" t="s">
        <v>1377</v>
      </c>
      <c r="M92" t="s">
        <v>285</v>
      </c>
      <c r="N92" t="s">
        <v>285</v>
      </c>
      <c r="P92" t="s">
        <v>1378</v>
      </c>
      <c r="Q92" t="s">
        <v>263</v>
      </c>
      <c r="W92" t="s">
        <v>1379</v>
      </c>
      <c r="Z92" t="s">
        <v>1380</v>
      </c>
      <c r="AA92" t="s">
        <v>1376</v>
      </c>
      <c r="AB92" t="s">
        <v>1376</v>
      </c>
      <c r="AC92" t="s">
        <v>1381</v>
      </c>
      <c r="AD92" t="s">
        <v>1382</v>
      </c>
      <c r="AE92" t="s">
        <v>1383</v>
      </c>
      <c r="AF92" t="s">
        <v>966</v>
      </c>
      <c r="AG92" t="s">
        <v>1384</v>
      </c>
      <c r="AH92" t="s">
        <v>1385</v>
      </c>
      <c r="AI92" t="s">
        <v>263</v>
      </c>
      <c r="AJ92" t="s">
        <v>263</v>
      </c>
      <c r="AK92" t="s">
        <v>263</v>
      </c>
      <c r="AL92">
        <v>76.599999999999994</v>
      </c>
      <c r="AM92">
        <v>1.68</v>
      </c>
      <c r="AN92">
        <v>106</v>
      </c>
      <c r="AO92">
        <v>107</v>
      </c>
      <c r="AP92">
        <v>31</v>
      </c>
      <c r="AQ92">
        <v>14</v>
      </c>
      <c r="AR92">
        <v>28.7</v>
      </c>
      <c r="AS92">
        <v>62</v>
      </c>
      <c r="AT92">
        <v>27</v>
      </c>
      <c r="AU92">
        <v>125</v>
      </c>
      <c r="AV92">
        <v>96</v>
      </c>
      <c r="DC92">
        <v>84.6</v>
      </c>
      <c r="DD92">
        <v>1.06</v>
      </c>
      <c r="DE92">
        <v>146</v>
      </c>
      <c r="DF92">
        <v>131</v>
      </c>
      <c r="DG92" s="9">
        <f t="shared" si="1"/>
        <v>4.6565657949066646</v>
      </c>
      <c r="DH92">
        <v>26.2</v>
      </c>
      <c r="DI92">
        <v>5.61</v>
      </c>
      <c r="DL92">
        <v>44.5</v>
      </c>
      <c r="DM92">
        <v>75.3</v>
      </c>
      <c r="DP92">
        <v>3</v>
      </c>
      <c r="DR92">
        <v>2</v>
      </c>
    </row>
    <row r="93" spans="1:126" customFormat="1" x14ac:dyDescent="0.2">
      <c r="A93" t="s">
        <v>1386</v>
      </c>
      <c r="B93" s="26">
        <v>43795</v>
      </c>
      <c r="C93" t="s">
        <v>258</v>
      </c>
      <c r="D93" t="s">
        <v>1387</v>
      </c>
      <c r="E93" t="s">
        <v>1388</v>
      </c>
      <c r="F93" s="26">
        <v>27745</v>
      </c>
      <c r="G93" t="s">
        <v>1389</v>
      </c>
      <c r="M93" t="s">
        <v>263</v>
      </c>
      <c r="N93" t="s">
        <v>368</v>
      </c>
      <c r="O93" t="s">
        <v>263</v>
      </c>
      <c r="P93" t="s">
        <v>263</v>
      </c>
      <c r="Q93" t="s">
        <v>1390</v>
      </c>
      <c r="R93" t="s">
        <v>1391</v>
      </c>
      <c r="S93" t="s">
        <v>1392</v>
      </c>
      <c r="T93" t="s">
        <v>263</v>
      </c>
      <c r="U93" t="s">
        <v>263</v>
      </c>
      <c r="V93" t="s">
        <v>263</v>
      </c>
      <c r="W93" t="s">
        <v>1393</v>
      </c>
      <c r="X93" t="s">
        <v>263</v>
      </c>
      <c r="Z93" t="s">
        <v>1394</v>
      </c>
      <c r="AA93" t="s">
        <v>1310</v>
      </c>
      <c r="AB93" t="s">
        <v>1310</v>
      </c>
      <c r="AC93" t="s">
        <v>1310</v>
      </c>
      <c r="AD93" t="s">
        <v>1310</v>
      </c>
      <c r="AE93" t="s">
        <v>1395</v>
      </c>
      <c r="AF93" t="s">
        <v>1396</v>
      </c>
      <c r="AG93" t="s">
        <v>1396</v>
      </c>
      <c r="AH93" t="s">
        <v>263</v>
      </c>
      <c r="AI93" t="s">
        <v>263</v>
      </c>
      <c r="AJ93" t="s">
        <v>263</v>
      </c>
      <c r="AK93" t="s">
        <v>263</v>
      </c>
      <c r="AL93">
        <v>94.8</v>
      </c>
      <c r="AM93">
        <v>1.75</v>
      </c>
      <c r="AN93">
        <v>109</v>
      </c>
      <c r="AO93">
        <v>110</v>
      </c>
      <c r="AP93">
        <v>31</v>
      </c>
      <c r="AQ93">
        <v>15</v>
      </c>
      <c r="AR93">
        <v>32.200000000000003</v>
      </c>
      <c r="AS93">
        <v>64</v>
      </c>
      <c r="AT93">
        <v>31</v>
      </c>
      <c r="AU93">
        <v>115</v>
      </c>
      <c r="AV93">
        <v>72</v>
      </c>
      <c r="AX93" t="s">
        <v>917</v>
      </c>
      <c r="AY93" t="s">
        <v>993</v>
      </c>
      <c r="AZ93" t="s">
        <v>389</v>
      </c>
      <c r="BB93" t="s">
        <v>1397</v>
      </c>
      <c r="BC93" t="s">
        <v>1255</v>
      </c>
      <c r="BD93" t="s">
        <v>1398</v>
      </c>
      <c r="BF93" t="s">
        <v>1399</v>
      </c>
      <c r="BH93" t="s">
        <v>1400</v>
      </c>
      <c r="BI93" t="s">
        <v>1401</v>
      </c>
      <c r="BJ93" t="s">
        <v>1402</v>
      </c>
      <c r="BK93" t="s">
        <v>375</v>
      </c>
      <c r="BN93" t="s">
        <v>410</v>
      </c>
      <c r="BO93" t="s">
        <v>396</v>
      </c>
      <c r="BP93" t="s">
        <v>394</v>
      </c>
      <c r="BV93" t="s">
        <v>1152</v>
      </c>
      <c r="BW93" t="s">
        <v>1403</v>
      </c>
      <c r="BX93" t="s">
        <v>1404</v>
      </c>
      <c r="BZ93" t="s">
        <v>332</v>
      </c>
      <c r="CA93" t="s">
        <v>330</v>
      </c>
      <c r="CB93" t="s">
        <v>1405</v>
      </c>
      <c r="CL93" t="s">
        <v>1316</v>
      </c>
      <c r="CM93" t="s">
        <v>335</v>
      </c>
      <c r="CP93" t="s">
        <v>946</v>
      </c>
      <c r="CQ93" t="s">
        <v>452</v>
      </c>
      <c r="CR93" t="s">
        <v>791</v>
      </c>
      <c r="CT93" t="s">
        <v>1027</v>
      </c>
      <c r="CW93">
        <v>3</v>
      </c>
      <c r="CX93" t="s">
        <v>1406</v>
      </c>
      <c r="CY93" t="s">
        <v>1407</v>
      </c>
      <c r="CZ93">
        <v>60</v>
      </c>
      <c r="DA93">
        <v>20</v>
      </c>
      <c r="DB93">
        <v>20</v>
      </c>
      <c r="DC93">
        <v>80.099999999999994</v>
      </c>
      <c r="DD93">
        <v>0.91</v>
      </c>
      <c r="DE93">
        <v>157</v>
      </c>
      <c r="DF93">
        <v>161</v>
      </c>
      <c r="DG93" s="9">
        <f t="shared" si="1"/>
        <v>4.732340109529388</v>
      </c>
      <c r="DH93">
        <v>32.200000000000003</v>
      </c>
      <c r="DI93">
        <v>8.2200000000000006</v>
      </c>
      <c r="DL93">
        <v>33.9</v>
      </c>
      <c r="DM93">
        <v>90.9</v>
      </c>
      <c r="DR93">
        <v>2</v>
      </c>
    </row>
    <row r="94" spans="1:126" customFormat="1" x14ac:dyDescent="0.2">
      <c r="A94" t="s">
        <v>1408</v>
      </c>
      <c r="B94" s="26">
        <v>43795</v>
      </c>
      <c r="C94" t="s">
        <v>258</v>
      </c>
      <c r="AA94" t="s">
        <v>96</v>
      </c>
      <c r="AB94" t="s">
        <v>96</v>
      </c>
      <c r="AC94" t="s">
        <v>96</v>
      </c>
      <c r="AD94" t="s">
        <v>96</v>
      </c>
      <c r="AE94" t="s">
        <v>1409</v>
      </c>
      <c r="AF94" t="s">
        <v>1409</v>
      </c>
      <c r="AG94" t="s">
        <v>263</v>
      </c>
      <c r="AH94" t="s">
        <v>263</v>
      </c>
      <c r="AI94" t="s">
        <v>263</v>
      </c>
      <c r="AJ94" t="s">
        <v>263</v>
      </c>
      <c r="AK94" t="s">
        <v>263</v>
      </c>
      <c r="AL94">
        <v>92.5</v>
      </c>
      <c r="AM94">
        <v>1.79</v>
      </c>
      <c r="AN94">
        <v>101</v>
      </c>
      <c r="AO94">
        <v>109</v>
      </c>
      <c r="AP94">
        <v>32</v>
      </c>
      <c r="AQ94">
        <v>12</v>
      </c>
      <c r="AR94">
        <v>32.299999999999997</v>
      </c>
      <c r="AS94">
        <v>59</v>
      </c>
      <c r="AT94">
        <v>28.9</v>
      </c>
      <c r="AU94">
        <v>111</v>
      </c>
      <c r="AV94">
        <v>68</v>
      </c>
      <c r="AX94" t="s">
        <v>168</v>
      </c>
      <c r="AY94" t="s">
        <v>1410</v>
      </c>
      <c r="BB94" t="s">
        <v>1411</v>
      </c>
      <c r="BC94" t="s">
        <v>785</v>
      </c>
      <c r="BD94" t="s">
        <v>1412</v>
      </c>
      <c r="BF94" t="s">
        <v>375</v>
      </c>
      <c r="BG94" t="s">
        <v>375</v>
      </c>
      <c r="BH94" t="s">
        <v>375</v>
      </c>
      <c r="BI94" t="s">
        <v>375</v>
      </c>
      <c r="BJ94" t="s">
        <v>322</v>
      </c>
      <c r="BK94" t="s">
        <v>276</v>
      </c>
      <c r="BN94" t="s">
        <v>499</v>
      </c>
      <c r="BO94" t="s">
        <v>904</v>
      </c>
      <c r="BV94" t="s">
        <v>1413</v>
      </c>
      <c r="BW94" t="s">
        <v>1414</v>
      </c>
      <c r="BZ94" t="s">
        <v>415</v>
      </c>
      <c r="CA94" t="s">
        <v>414</v>
      </c>
      <c r="CB94" t="s">
        <v>1039</v>
      </c>
      <c r="CL94" t="s">
        <v>333</v>
      </c>
      <c r="CM94" t="s">
        <v>383</v>
      </c>
      <c r="CN94" t="s">
        <v>1415</v>
      </c>
      <c r="CP94" t="s">
        <v>1416</v>
      </c>
      <c r="CT94" t="s">
        <v>1417</v>
      </c>
      <c r="CU94" t="s">
        <v>1071</v>
      </c>
      <c r="CW94">
        <v>3</v>
      </c>
      <c r="CX94" t="s">
        <v>263</v>
      </c>
      <c r="CZ94">
        <v>30</v>
      </c>
      <c r="DA94">
        <v>20</v>
      </c>
      <c r="DB94">
        <v>50</v>
      </c>
      <c r="DC94">
        <v>81.5</v>
      </c>
      <c r="DD94">
        <v>0.91</v>
      </c>
      <c r="DE94">
        <v>163</v>
      </c>
      <c r="DF94">
        <v>73</v>
      </c>
      <c r="DG94" s="9">
        <f t="shared" si="1"/>
        <v>4.3455312306976044</v>
      </c>
      <c r="DH94">
        <v>14.6</v>
      </c>
      <c r="DI94">
        <v>5.42</v>
      </c>
      <c r="DL94">
        <v>40.5</v>
      </c>
      <c r="DM94">
        <v>107.9</v>
      </c>
    </row>
    <row r="95" spans="1:126" customFormat="1" x14ac:dyDescent="0.2">
      <c r="A95" t="s">
        <v>1418</v>
      </c>
      <c r="B95" s="26">
        <v>43795</v>
      </c>
      <c r="C95" t="s">
        <v>107</v>
      </c>
      <c r="D95">
        <v>64</v>
      </c>
      <c r="E95" t="s">
        <v>1419</v>
      </c>
      <c r="F95" s="26">
        <v>20201</v>
      </c>
      <c r="K95" s="26"/>
      <c r="P95" s="29"/>
      <c r="Q95" s="29" t="s">
        <v>99</v>
      </c>
      <c r="R95" s="29"/>
      <c r="S95" s="29"/>
      <c r="T95" s="29"/>
      <c r="U95" s="29"/>
      <c r="V95" s="29" t="s">
        <v>99</v>
      </c>
      <c r="W95" s="29"/>
      <c r="X95" s="29" t="s">
        <v>99</v>
      </c>
      <c r="Y95" s="29"/>
      <c r="Z95" s="29"/>
      <c r="AA95" s="29" t="s">
        <v>1419</v>
      </c>
      <c r="AB95" s="29" t="s">
        <v>1419</v>
      </c>
      <c r="AC95" s="29" t="s">
        <v>1419</v>
      </c>
      <c r="AD95" s="29" t="s">
        <v>1419</v>
      </c>
      <c r="AE95" s="29" t="s">
        <v>99</v>
      </c>
      <c r="AF95" s="29" t="s">
        <v>99</v>
      </c>
      <c r="AG95" s="29" t="s">
        <v>1420</v>
      </c>
      <c r="AH95" s="29" t="s">
        <v>99</v>
      </c>
      <c r="AI95" s="29" t="s">
        <v>99</v>
      </c>
      <c r="AJ95" s="29" t="s">
        <v>99</v>
      </c>
      <c r="AK95" s="29" t="s">
        <v>99</v>
      </c>
      <c r="AL95">
        <v>80.099999999999994</v>
      </c>
      <c r="AM95">
        <v>174</v>
      </c>
      <c r="AN95">
        <v>101</v>
      </c>
      <c r="AO95">
        <v>107</v>
      </c>
      <c r="AP95">
        <v>27</v>
      </c>
      <c r="AQ95">
        <v>12</v>
      </c>
      <c r="AR95">
        <v>31.8</v>
      </c>
      <c r="AS95">
        <v>61</v>
      </c>
      <c r="AT95">
        <v>26.5</v>
      </c>
      <c r="AU95" t="s">
        <v>1421</v>
      </c>
      <c r="AV95" t="s">
        <v>1422</v>
      </c>
      <c r="AW95" t="s">
        <v>276</v>
      </c>
      <c r="BA95" t="s">
        <v>322</v>
      </c>
      <c r="BE95" t="s">
        <v>322</v>
      </c>
      <c r="BL95" t="s">
        <v>322</v>
      </c>
      <c r="BY95" t="s">
        <v>322</v>
      </c>
      <c r="BZ95" t="s">
        <v>1423</v>
      </c>
      <c r="CA95" t="s">
        <v>1424</v>
      </c>
      <c r="CB95" t="s">
        <v>1425</v>
      </c>
      <c r="CO95" t="s">
        <v>322</v>
      </c>
      <c r="CS95" t="s">
        <v>1426</v>
      </c>
      <c r="CT95" t="s">
        <v>1427</v>
      </c>
      <c r="CU95" t="s">
        <v>1428</v>
      </c>
      <c r="CW95">
        <v>3</v>
      </c>
      <c r="CX95" t="s">
        <v>110</v>
      </c>
      <c r="CY95" t="s">
        <v>99</v>
      </c>
      <c r="DC95">
        <v>89.9</v>
      </c>
      <c r="DD95">
        <v>0.85</v>
      </c>
      <c r="DE95">
        <v>230</v>
      </c>
      <c r="DF95">
        <v>183</v>
      </c>
      <c r="DG95" s="9">
        <f t="shared" si="1"/>
        <v>4.8540920471594982</v>
      </c>
      <c r="DH95">
        <v>36.6</v>
      </c>
      <c r="DI95">
        <v>6.26</v>
      </c>
      <c r="DL95">
        <v>41.5</v>
      </c>
      <c r="DM95">
        <v>151.9</v>
      </c>
    </row>
    <row r="96" spans="1:126" customFormat="1" x14ac:dyDescent="0.2">
      <c r="A96" t="s">
        <v>1429</v>
      </c>
      <c r="B96" s="26">
        <v>43795</v>
      </c>
      <c r="C96" t="s">
        <v>107</v>
      </c>
      <c r="D96">
        <v>37</v>
      </c>
      <c r="E96" t="s">
        <v>1330</v>
      </c>
      <c r="F96" t="s">
        <v>1430</v>
      </c>
      <c r="G96" t="s">
        <v>1431</v>
      </c>
      <c r="H96" t="s">
        <v>1432</v>
      </c>
      <c r="M96" t="s">
        <v>263</v>
      </c>
      <c r="N96" t="s">
        <v>263</v>
      </c>
      <c r="O96" t="s">
        <v>263</v>
      </c>
      <c r="P96" t="s">
        <v>263</v>
      </c>
      <c r="Q96" t="s">
        <v>1433</v>
      </c>
      <c r="S96" t="s">
        <v>368</v>
      </c>
      <c r="T96" t="s">
        <v>1434</v>
      </c>
      <c r="AA96" t="s">
        <v>1435</v>
      </c>
      <c r="AB96" t="s">
        <v>1330</v>
      </c>
      <c r="AE96" t="s">
        <v>368</v>
      </c>
      <c r="AF96" t="s">
        <v>263</v>
      </c>
      <c r="AG96" t="s">
        <v>368</v>
      </c>
      <c r="AH96" t="s">
        <v>368</v>
      </c>
      <c r="AI96" t="s">
        <v>263</v>
      </c>
      <c r="AJ96" t="s">
        <v>263</v>
      </c>
      <c r="AK96" t="s">
        <v>263</v>
      </c>
      <c r="AL96">
        <v>99.1</v>
      </c>
      <c r="AM96">
        <v>1.83</v>
      </c>
      <c r="AN96">
        <v>104</v>
      </c>
      <c r="AO96">
        <v>103</v>
      </c>
      <c r="AP96">
        <v>33</v>
      </c>
      <c r="AQ96">
        <v>13</v>
      </c>
      <c r="AR96">
        <v>31</v>
      </c>
      <c r="AS96">
        <v>67</v>
      </c>
      <c r="AT96">
        <v>29.6</v>
      </c>
      <c r="AU96">
        <v>128</v>
      </c>
      <c r="AV96">
        <v>89</v>
      </c>
      <c r="AX96" t="s">
        <v>1436</v>
      </c>
      <c r="AY96" t="s">
        <v>1437</v>
      </c>
      <c r="BF96" t="s">
        <v>1438</v>
      </c>
      <c r="BG96" t="s">
        <v>1439</v>
      </c>
      <c r="DC96">
        <v>68.7</v>
      </c>
      <c r="DD96">
        <v>0.79</v>
      </c>
      <c r="DE96">
        <v>170</v>
      </c>
      <c r="DF96">
        <v>112</v>
      </c>
      <c r="DG96" s="9">
        <f t="shared" si="1"/>
        <v>4.4741240352616991</v>
      </c>
      <c r="DH96">
        <v>22.4</v>
      </c>
      <c r="DI96">
        <v>5.0599999999999996</v>
      </c>
      <c r="DL96">
        <v>39.6</v>
      </c>
      <c r="DM96">
        <v>108</v>
      </c>
    </row>
    <row r="97" spans="1:157" customFormat="1" x14ac:dyDescent="0.2">
      <c r="A97" t="s">
        <v>1440</v>
      </c>
      <c r="B97" s="26">
        <v>43795</v>
      </c>
      <c r="C97" t="s">
        <v>95</v>
      </c>
      <c r="D97" t="s">
        <v>1307</v>
      </c>
      <c r="E97" t="s">
        <v>313</v>
      </c>
      <c r="F97" s="26">
        <v>26384</v>
      </c>
      <c r="G97" t="s">
        <v>585</v>
      </c>
      <c r="H97" t="s">
        <v>1441</v>
      </c>
      <c r="K97" t="s">
        <v>1442</v>
      </c>
      <c r="L97">
        <v>4</v>
      </c>
      <c r="Z97" t="s">
        <v>1443</v>
      </c>
      <c r="AA97" t="s">
        <v>289</v>
      </c>
      <c r="AB97" t="s">
        <v>289</v>
      </c>
      <c r="AE97" t="s">
        <v>1444</v>
      </c>
      <c r="AF97" t="s">
        <v>1444</v>
      </c>
      <c r="AG97" t="s">
        <v>268</v>
      </c>
      <c r="AH97" t="s">
        <v>1445</v>
      </c>
      <c r="AI97" t="s">
        <v>263</v>
      </c>
      <c r="AJ97" t="s">
        <v>263</v>
      </c>
      <c r="AK97" t="s">
        <v>263</v>
      </c>
      <c r="AL97">
        <v>86.4</v>
      </c>
      <c r="AM97">
        <v>1.6</v>
      </c>
      <c r="AN97">
        <v>108</v>
      </c>
      <c r="AO97">
        <v>118</v>
      </c>
      <c r="AP97">
        <v>50.4</v>
      </c>
      <c r="AQ97">
        <v>11</v>
      </c>
      <c r="AR97">
        <v>21.3</v>
      </c>
      <c r="AS97">
        <v>67</v>
      </c>
      <c r="AT97">
        <v>33.799999999999997</v>
      </c>
      <c r="AU97">
        <v>107</v>
      </c>
      <c r="AV97">
        <v>78</v>
      </c>
      <c r="AX97" t="s">
        <v>1446</v>
      </c>
      <c r="BB97" t="s">
        <v>1050</v>
      </c>
      <c r="BC97" t="s">
        <v>1411</v>
      </c>
      <c r="BD97" t="s">
        <v>1447</v>
      </c>
      <c r="BF97" t="s">
        <v>1448</v>
      </c>
      <c r="BG97" t="s">
        <v>298</v>
      </c>
      <c r="BH97" t="s">
        <v>1449</v>
      </c>
      <c r="BI97" t="s">
        <v>1450</v>
      </c>
      <c r="BJ97" t="s">
        <v>1324</v>
      </c>
      <c r="BK97" t="s">
        <v>299</v>
      </c>
      <c r="BN97" t="s">
        <v>553</v>
      </c>
      <c r="BO97" t="s">
        <v>410</v>
      </c>
      <c r="BP97" t="s">
        <v>326</v>
      </c>
      <c r="BZ97" t="s">
        <v>1451</v>
      </c>
      <c r="CA97" t="s">
        <v>1452</v>
      </c>
      <c r="CB97" t="s">
        <v>1453</v>
      </c>
      <c r="CL97" t="s">
        <v>1454</v>
      </c>
      <c r="CM97" t="s">
        <v>383</v>
      </c>
      <c r="CP97" t="s">
        <v>1455</v>
      </c>
      <c r="CT97" t="s">
        <v>1456</v>
      </c>
      <c r="CW97">
        <v>3</v>
      </c>
      <c r="CX97" t="s">
        <v>1457</v>
      </c>
      <c r="CY97" t="s">
        <v>1458</v>
      </c>
      <c r="DC97">
        <v>91.7</v>
      </c>
      <c r="DD97">
        <v>0.94</v>
      </c>
      <c r="DE97">
        <v>192</v>
      </c>
      <c r="DF97">
        <v>99</v>
      </c>
      <c r="DG97" s="9">
        <f t="shared" si="1"/>
        <v>4.5568211146985043</v>
      </c>
      <c r="DH97">
        <v>19.8</v>
      </c>
      <c r="DI97">
        <v>5.07</v>
      </c>
      <c r="DL97">
        <v>47.8</v>
      </c>
      <c r="DM97">
        <v>124.4</v>
      </c>
    </row>
    <row r="98" spans="1:157" customFormat="1" x14ac:dyDescent="0.2">
      <c r="A98" s="63" t="s">
        <v>1459</v>
      </c>
      <c r="B98" s="64">
        <v>43795</v>
      </c>
      <c r="C98" s="63" t="s">
        <v>196</v>
      </c>
      <c r="D98" s="63">
        <v>38</v>
      </c>
      <c r="E98" s="63" t="s">
        <v>1460</v>
      </c>
      <c r="F98" s="65">
        <v>29749</v>
      </c>
      <c r="G98" s="63" t="s">
        <v>1461</v>
      </c>
      <c r="H98" s="63" t="s">
        <v>1462</v>
      </c>
      <c r="I98" s="63"/>
      <c r="J98" s="63"/>
      <c r="K98" s="63"/>
      <c r="L98" s="63"/>
      <c r="M98" s="63" t="s">
        <v>99</v>
      </c>
      <c r="N98" s="63" t="s">
        <v>99</v>
      </c>
      <c r="O98" s="63" t="s">
        <v>99</v>
      </c>
      <c r="P98" s="63" t="s">
        <v>1463</v>
      </c>
      <c r="Q98" s="63" t="s">
        <v>1464</v>
      </c>
      <c r="R98" s="63" t="s">
        <v>99</v>
      </c>
      <c r="S98" s="63"/>
      <c r="T98" s="63"/>
      <c r="U98" s="63" t="s">
        <v>99</v>
      </c>
      <c r="V98" s="63" t="s">
        <v>99</v>
      </c>
      <c r="W98" s="63"/>
      <c r="X98" s="63"/>
      <c r="Y98" s="63"/>
      <c r="Z98" s="63" t="s">
        <v>1465</v>
      </c>
      <c r="AA98" s="63" t="s">
        <v>100</v>
      </c>
      <c r="AB98" s="63" t="s">
        <v>100</v>
      </c>
      <c r="AC98" s="63"/>
      <c r="AD98" s="63"/>
      <c r="AE98" s="63" t="s">
        <v>1126</v>
      </c>
      <c r="AF98" s="63" t="s">
        <v>1127</v>
      </c>
      <c r="AG98" s="63" t="s">
        <v>246</v>
      </c>
      <c r="AH98" s="63" t="s">
        <v>99</v>
      </c>
      <c r="AI98" s="63" t="s">
        <v>1466</v>
      </c>
      <c r="AJ98" s="63" t="s">
        <v>1467</v>
      </c>
      <c r="AK98" s="63" t="s">
        <v>99</v>
      </c>
      <c r="AL98" s="63">
        <v>56</v>
      </c>
      <c r="AM98" s="63">
        <v>168</v>
      </c>
      <c r="AN98" s="63">
        <v>85</v>
      </c>
      <c r="AO98" s="63">
        <v>97</v>
      </c>
      <c r="AP98" s="63"/>
      <c r="AQ98" s="63"/>
      <c r="AR98" s="63"/>
      <c r="AS98" s="63"/>
      <c r="AT98" s="63"/>
      <c r="AU98" s="63">
        <v>110</v>
      </c>
      <c r="AV98" s="63">
        <v>81</v>
      </c>
      <c r="AW98" s="63" t="s">
        <v>350</v>
      </c>
      <c r="AX98" s="63"/>
      <c r="AY98" s="63"/>
      <c r="AZ98" s="63"/>
      <c r="BA98" s="63" t="s">
        <v>351</v>
      </c>
      <c r="BB98" s="63"/>
      <c r="BC98" s="63"/>
      <c r="BD98" s="63"/>
      <c r="BE98" s="63"/>
      <c r="BF98" s="63" t="s">
        <v>1468</v>
      </c>
      <c r="BG98" s="63" t="s">
        <v>682</v>
      </c>
      <c r="BH98" s="63" t="s">
        <v>350</v>
      </c>
      <c r="BI98" s="63" t="s">
        <v>176</v>
      </c>
      <c r="BJ98" s="63" t="s">
        <v>1468</v>
      </c>
      <c r="BK98" s="63" t="s">
        <v>1469</v>
      </c>
      <c r="BL98" s="63" t="s">
        <v>351</v>
      </c>
      <c r="BM98" s="63"/>
      <c r="BN98" s="63"/>
      <c r="BO98" s="63"/>
      <c r="BP98" s="63"/>
      <c r="BQ98" s="63"/>
      <c r="BR98" s="63" t="s">
        <v>853</v>
      </c>
      <c r="BS98" s="63"/>
      <c r="BT98" s="63"/>
      <c r="BU98" s="63"/>
      <c r="BV98" s="63" t="s">
        <v>853</v>
      </c>
      <c r="BW98" s="63"/>
      <c r="BX98" s="63"/>
      <c r="BY98" s="63" t="s">
        <v>350</v>
      </c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 t="s">
        <v>351</v>
      </c>
      <c r="CL98" s="63"/>
      <c r="CM98" s="63"/>
      <c r="CN98" s="63"/>
      <c r="CO98" s="63" t="s">
        <v>351</v>
      </c>
      <c r="CP98" s="63"/>
      <c r="CQ98" s="63"/>
      <c r="CR98" s="63"/>
      <c r="CS98" s="63" t="s">
        <v>350</v>
      </c>
      <c r="CT98" s="63"/>
      <c r="CU98" s="63"/>
      <c r="CV98" s="63"/>
      <c r="CW98" s="63">
        <v>2</v>
      </c>
      <c r="CX98" s="63" t="s">
        <v>110</v>
      </c>
      <c r="CY98" s="63" t="s">
        <v>110</v>
      </c>
      <c r="CZ98" s="66">
        <v>30</v>
      </c>
      <c r="DA98" s="63">
        <v>40</v>
      </c>
      <c r="DB98" s="63">
        <v>30</v>
      </c>
      <c r="DC98" s="63">
        <v>86.9</v>
      </c>
      <c r="DD98" s="63">
        <v>0.88</v>
      </c>
      <c r="DE98" s="67">
        <v>224</v>
      </c>
      <c r="DF98" s="67">
        <v>245</v>
      </c>
      <c r="DG98" s="9">
        <f t="shared" si="1"/>
        <v>4.9830081214080364</v>
      </c>
      <c r="DH98" s="63">
        <v>49</v>
      </c>
      <c r="DI98" s="63">
        <v>6.22</v>
      </c>
      <c r="DJ98" s="63"/>
      <c r="DK98" s="63"/>
      <c r="DL98" s="63">
        <v>60.5</v>
      </c>
      <c r="DM98" s="63">
        <v>114.5</v>
      </c>
      <c r="DN98" s="63"/>
      <c r="DR98">
        <v>2</v>
      </c>
    </row>
    <row r="99" spans="1:157" customFormat="1" x14ac:dyDescent="0.2">
      <c r="A99" t="s">
        <v>1470</v>
      </c>
      <c r="B99" s="26">
        <v>43795</v>
      </c>
      <c r="C99" t="s">
        <v>95</v>
      </c>
      <c r="D99" t="s">
        <v>1471</v>
      </c>
      <c r="E99" t="s">
        <v>1472</v>
      </c>
      <c r="F99" s="26">
        <v>26653</v>
      </c>
      <c r="G99" t="s">
        <v>1308</v>
      </c>
      <c r="AL99">
        <v>73.8</v>
      </c>
      <c r="AM99">
        <v>1.63</v>
      </c>
      <c r="AN99">
        <v>89</v>
      </c>
      <c r="AO99">
        <v>110</v>
      </c>
      <c r="AP99">
        <v>41.3</v>
      </c>
      <c r="AQ99">
        <v>8</v>
      </c>
      <c r="AR99">
        <v>25.3</v>
      </c>
      <c r="AS99">
        <v>54</v>
      </c>
      <c r="AT99">
        <v>27.8</v>
      </c>
      <c r="AU99">
        <v>91</v>
      </c>
      <c r="AV99">
        <v>55</v>
      </c>
      <c r="AX99" t="s">
        <v>1473</v>
      </c>
      <c r="AY99" t="s">
        <v>293</v>
      </c>
      <c r="AZ99" t="s">
        <v>1474</v>
      </c>
      <c r="BB99" t="s">
        <v>1050</v>
      </c>
      <c r="BC99" t="s">
        <v>409</v>
      </c>
      <c r="BD99" t="s">
        <v>1475</v>
      </c>
      <c r="BF99" t="s">
        <v>322</v>
      </c>
      <c r="BG99" t="s">
        <v>322</v>
      </c>
      <c r="BH99" t="s">
        <v>375</v>
      </c>
      <c r="BI99" t="s">
        <v>375</v>
      </c>
      <c r="BJ99" t="s">
        <v>322</v>
      </c>
      <c r="BK99" t="s">
        <v>323</v>
      </c>
      <c r="BN99" t="s">
        <v>412</v>
      </c>
      <c r="BO99" t="s">
        <v>327</v>
      </c>
      <c r="BP99" t="s">
        <v>328</v>
      </c>
      <c r="BZ99" t="s">
        <v>323</v>
      </c>
      <c r="CA99" t="s">
        <v>323</v>
      </c>
      <c r="CB99" t="s">
        <v>323</v>
      </c>
      <c r="CH99" t="s">
        <v>323</v>
      </c>
      <c r="CI99" t="s">
        <v>323</v>
      </c>
      <c r="CJ99" t="s">
        <v>323</v>
      </c>
      <c r="CL99" t="s">
        <v>325</v>
      </c>
      <c r="CM99" t="s">
        <v>325</v>
      </c>
      <c r="CN99" t="s">
        <v>325</v>
      </c>
      <c r="CP99" t="s">
        <v>635</v>
      </c>
      <c r="CQ99" t="s">
        <v>635</v>
      </c>
      <c r="CR99" t="s">
        <v>635</v>
      </c>
      <c r="CT99" t="s">
        <v>323</v>
      </c>
      <c r="CU99" t="s">
        <v>323</v>
      </c>
      <c r="CV99" t="s">
        <v>323</v>
      </c>
      <c r="CW99" t="s">
        <v>635</v>
      </c>
      <c r="CX99" t="s">
        <v>1476</v>
      </c>
      <c r="DC99">
        <v>90.5</v>
      </c>
      <c r="DD99">
        <v>0.6</v>
      </c>
      <c r="DE99">
        <v>163</v>
      </c>
      <c r="DF99">
        <v>55</v>
      </c>
      <c r="DG99" s="9">
        <f t="shared" si="1"/>
        <v>4.2563415179691759</v>
      </c>
      <c r="DH99">
        <v>11</v>
      </c>
      <c r="DI99">
        <v>4.3600000000000003</v>
      </c>
      <c r="DL99">
        <v>44.5</v>
      </c>
      <c r="DM99">
        <v>107.5</v>
      </c>
      <c r="DP99">
        <v>3</v>
      </c>
      <c r="DR99">
        <v>3</v>
      </c>
    </row>
    <row r="100" spans="1:157" customFormat="1" x14ac:dyDescent="0.2">
      <c r="A100" t="s">
        <v>1477</v>
      </c>
      <c r="B100" s="26">
        <v>43795</v>
      </c>
      <c r="C100" t="s">
        <v>107</v>
      </c>
      <c r="D100" t="s">
        <v>162</v>
      </c>
      <c r="E100" t="s">
        <v>162</v>
      </c>
      <c r="F100" t="s">
        <v>162</v>
      </c>
      <c r="G100" t="s">
        <v>162</v>
      </c>
      <c r="H100" t="s">
        <v>162</v>
      </c>
      <c r="I100" t="s">
        <v>162</v>
      </c>
      <c r="J100" t="s">
        <v>162</v>
      </c>
      <c r="K100" t="s">
        <v>162</v>
      </c>
      <c r="L100" t="s">
        <v>162</v>
      </c>
      <c r="M100" t="s">
        <v>99</v>
      </c>
      <c r="N100" t="s">
        <v>99</v>
      </c>
      <c r="O100" t="s">
        <v>162</v>
      </c>
      <c r="P100" s="29" t="s">
        <v>1478</v>
      </c>
      <c r="Q100" s="29" t="s">
        <v>1479</v>
      </c>
      <c r="R100" s="29" t="s">
        <v>110</v>
      </c>
      <c r="S100" s="29" t="s">
        <v>110</v>
      </c>
      <c r="T100" s="29" t="s">
        <v>99</v>
      </c>
      <c r="U100" s="29" t="s">
        <v>162</v>
      </c>
      <c r="V100" s="29" t="s">
        <v>162</v>
      </c>
      <c r="W100" s="29" t="s">
        <v>162</v>
      </c>
      <c r="X100" s="29" t="s">
        <v>162</v>
      </c>
      <c r="Y100" s="29" t="s">
        <v>162</v>
      </c>
      <c r="Z100" s="29" t="s">
        <v>162</v>
      </c>
      <c r="AA100" t="s">
        <v>100</v>
      </c>
      <c r="AB100" t="s">
        <v>100</v>
      </c>
      <c r="AC100" t="s">
        <v>100</v>
      </c>
      <c r="AD100" t="s">
        <v>100</v>
      </c>
      <c r="AE100" t="s">
        <v>162</v>
      </c>
      <c r="AF100" t="s">
        <v>162</v>
      </c>
      <c r="AG100" t="s">
        <v>1480</v>
      </c>
      <c r="AH100" t="s">
        <v>162</v>
      </c>
      <c r="AI100" t="s">
        <v>162</v>
      </c>
      <c r="AJ100" t="s">
        <v>162</v>
      </c>
      <c r="AK100" t="s">
        <v>162</v>
      </c>
      <c r="AL100">
        <v>85.8</v>
      </c>
      <c r="AM100">
        <v>170</v>
      </c>
      <c r="AN100">
        <v>104</v>
      </c>
      <c r="AO100">
        <v>106</v>
      </c>
      <c r="AP100">
        <v>29.9</v>
      </c>
      <c r="AQ100">
        <v>15</v>
      </c>
      <c r="AR100">
        <v>31.6</v>
      </c>
      <c r="AS100">
        <v>62</v>
      </c>
      <c r="AT100">
        <v>29.7</v>
      </c>
      <c r="AU100" t="s">
        <v>1481</v>
      </c>
      <c r="AV100" t="s">
        <v>1482</v>
      </c>
      <c r="AW100" t="s">
        <v>375</v>
      </c>
      <c r="AX100" t="s">
        <v>1483</v>
      </c>
      <c r="BA100" t="s">
        <v>276</v>
      </c>
      <c r="BB100" t="s">
        <v>1484</v>
      </c>
      <c r="BC100" t="s">
        <v>1148</v>
      </c>
      <c r="BF100" t="s">
        <v>322</v>
      </c>
      <c r="BG100" t="s">
        <v>322</v>
      </c>
      <c r="BH100" t="s">
        <v>375</v>
      </c>
      <c r="BI100" t="s">
        <v>375</v>
      </c>
      <c r="BJ100" t="s">
        <v>375</v>
      </c>
      <c r="BK100" t="s">
        <v>276</v>
      </c>
      <c r="BM100" t="s">
        <v>162</v>
      </c>
      <c r="BN100" t="s">
        <v>162</v>
      </c>
      <c r="BO100" t="s">
        <v>162</v>
      </c>
      <c r="BP100" t="s">
        <v>162</v>
      </c>
      <c r="BQ100" t="s">
        <v>162</v>
      </c>
      <c r="BR100" t="s">
        <v>162</v>
      </c>
      <c r="BS100" t="s">
        <v>162</v>
      </c>
      <c r="BT100" t="s">
        <v>162</v>
      </c>
      <c r="BU100" t="s">
        <v>162</v>
      </c>
      <c r="BV100" t="s">
        <v>162</v>
      </c>
      <c r="BW100" t="s">
        <v>162</v>
      </c>
      <c r="BX100" t="s">
        <v>162</v>
      </c>
      <c r="BZ100" t="s">
        <v>1485</v>
      </c>
      <c r="CA100" t="s">
        <v>1486</v>
      </c>
      <c r="CB100" t="s">
        <v>1487</v>
      </c>
      <c r="CC100" t="s">
        <v>162</v>
      </c>
      <c r="CD100" t="s">
        <v>1488</v>
      </c>
      <c r="CE100" t="s">
        <v>162</v>
      </c>
      <c r="CF100" t="s">
        <v>162</v>
      </c>
      <c r="CG100" t="s">
        <v>162</v>
      </c>
      <c r="CH100" t="s">
        <v>1489</v>
      </c>
      <c r="CI100" t="s">
        <v>162</v>
      </c>
      <c r="CJ100" t="s">
        <v>162</v>
      </c>
      <c r="CK100" t="s">
        <v>162</v>
      </c>
      <c r="CL100" t="s">
        <v>504</v>
      </c>
      <c r="CM100" t="s">
        <v>450</v>
      </c>
      <c r="CN100" t="s">
        <v>162</v>
      </c>
      <c r="CO100" t="s">
        <v>162</v>
      </c>
      <c r="CP100" t="s">
        <v>162</v>
      </c>
      <c r="CQ100" t="s">
        <v>162</v>
      </c>
      <c r="CR100" t="s">
        <v>162</v>
      </c>
      <c r="CS100" t="s">
        <v>162</v>
      </c>
      <c r="CT100" t="s">
        <v>1490</v>
      </c>
      <c r="CU100" t="s">
        <v>162</v>
      </c>
      <c r="CV100" t="s">
        <v>162</v>
      </c>
      <c r="CW100">
        <v>3</v>
      </c>
      <c r="CX100" t="s">
        <v>99</v>
      </c>
      <c r="CY100" t="s">
        <v>110</v>
      </c>
      <c r="CZ100" t="s">
        <v>162</v>
      </c>
      <c r="DA100" t="s">
        <v>162</v>
      </c>
      <c r="DB100" t="s">
        <v>162</v>
      </c>
      <c r="DC100">
        <v>92.6</v>
      </c>
      <c r="DD100">
        <v>0.85</v>
      </c>
      <c r="DE100">
        <v>176</v>
      </c>
      <c r="DF100">
        <v>107</v>
      </c>
      <c r="DG100" s="9">
        <f t="shared" si="1"/>
        <v>4.6005589880570197</v>
      </c>
      <c r="DH100">
        <v>21.4</v>
      </c>
      <c r="DI100">
        <v>6.9</v>
      </c>
      <c r="DL100">
        <v>48.2</v>
      </c>
      <c r="DM100">
        <v>106.4</v>
      </c>
      <c r="DP100">
        <v>3</v>
      </c>
      <c r="DR100">
        <v>3</v>
      </c>
      <c r="DU100">
        <v>4.1500000000000004</v>
      </c>
    </row>
    <row r="101" spans="1:157" customFormat="1" x14ac:dyDescent="0.2">
      <c r="A101" t="s">
        <v>1491</v>
      </c>
      <c r="B101" s="26">
        <v>43795</v>
      </c>
      <c r="C101" t="s">
        <v>95</v>
      </c>
      <c r="D101" t="s">
        <v>312</v>
      </c>
      <c r="E101" t="s">
        <v>313</v>
      </c>
      <c r="F101" s="26">
        <v>28767</v>
      </c>
      <c r="G101" t="s">
        <v>1308</v>
      </c>
      <c r="H101" t="s">
        <v>1492</v>
      </c>
      <c r="L101">
        <v>2</v>
      </c>
      <c r="M101" t="s">
        <v>263</v>
      </c>
      <c r="N101" t="s">
        <v>263</v>
      </c>
      <c r="P101" t="s">
        <v>263</v>
      </c>
      <c r="Q101" t="s">
        <v>263</v>
      </c>
      <c r="U101" t="s">
        <v>263</v>
      </c>
      <c r="X101" t="s">
        <v>263</v>
      </c>
      <c r="AA101" t="s">
        <v>96</v>
      </c>
      <c r="AB101" t="s">
        <v>96</v>
      </c>
      <c r="AC101" t="s">
        <v>96</v>
      </c>
      <c r="AD101" t="s">
        <v>96</v>
      </c>
      <c r="AE101" t="s">
        <v>263</v>
      </c>
      <c r="AF101" t="s">
        <v>1409</v>
      </c>
      <c r="AG101" t="s">
        <v>780</v>
      </c>
      <c r="AH101" t="s">
        <v>263</v>
      </c>
      <c r="AI101" t="s">
        <v>263</v>
      </c>
      <c r="AJ101" t="s">
        <v>263</v>
      </c>
      <c r="AK101" t="s">
        <v>263</v>
      </c>
      <c r="AL101">
        <v>98.8</v>
      </c>
      <c r="AM101">
        <v>1.64</v>
      </c>
      <c r="AN101">
        <v>120</v>
      </c>
      <c r="AO101">
        <v>126</v>
      </c>
      <c r="AP101">
        <v>527</v>
      </c>
      <c r="AQ101">
        <v>10</v>
      </c>
      <c r="AR101">
        <v>20.6</v>
      </c>
      <c r="AS101">
        <v>67</v>
      </c>
      <c r="AT101">
        <v>36.5</v>
      </c>
      <c r="AU101">
        <v>100</v>
      </c>
      <c r="AV101">
        <v>64</v>
      </c>
      <c r="AX101" t="s">
        <v>1107</v>
      </c>
      <c r="AY101" t="s">
        <v>1493</v>
      </c>
      <c r="AZ101" t="s">
        <v>1494</v>
      </c>
      <c r="BB101" t="s">
        <v>1304</v>
      </c>
      <c r="BC101" t="s">
        <v>1495</v>
      </c>
      <c r="BF101" t="s">
        <v>322</v>
      </c>
      <c r="BG101" t="s">
        <v>272</v>
      </c>
      <c r="BH101" t="s">
        <v>1449</v>
      </c>
      <c r="BI101" t="s">
        <v>272</v>
      </c>
      <c r="BJ101" t="s">
        <v>322</v>
      </c>
      <c r="BK101" t="s">
        <v>323</v>
      </c>
      <c r="BN101" t="s">
        <v>1496</v>
      </c>
      <c r="BO101" t="s">
        <v>1497</v>
      </c>
      <c r="BP101" t="s">
        <v>1498</v>
      </c>
      <c r="BR101" t="s">
        <v>1499</v>
      </c>
      <c r="BV101" t="s">
        <v>1500</v>
      </c>
      <c r="BW101" t="s">
        <v>1501</v>
      </c>
      <c r="BZ101" t="s">
        <v>1502</v>
      </c>
      <c r="CA101" t="s">
        <v>1503</v>
      </c>
      <c r="CH101" t="s">
        <v>1152</v>
      </c>
      <c r="CI101" t="s">
        <v>1403</v>
      </c>
      <c r="CL101" t="s">
        <v>306</v>
      </c>
      <c r="CM101" t="s">
        <v>1504</v>
      </c>
      <c r="CN101" t="s">
        <v>1505</v>
      </c>
      <c r="CP101" t="s">
        <v>452</v>
      </c>
      <c r="CQ101" t="s">
        <v>791</v>
      </c>
      <c r="CT101" t="s">
        <v>1506</v>
      </c>
      <c r="CU101" t="s">
        <v>1507</v>
      </c>
      <c r="CW101">
        <v>3</v>
      </c>
      <c r="CY101" t="s">
        <v>483</v>
      </c>
      <c r="CZ101">
        <v>30</v>
      </c>
      <c r="DA101">
        <v>25</v>
      </c>
      <c r="DB101">
        <v>20</v>
      </c>
      <c r="DC101">
        <v>92.5</v>
      </c>
      <c r="DD101">
        <v>0.73</v>
      </c>
      <c r="DE101">
        <v>213</v>
      </c>
      <c r="DF101">
        <v>96</v>
      </c>
      <c r="DG101" s="9">
        <f t="shared" si="1"/>
        <v>4.545778417993108</v>
      </c>
      <c r="DH101">
        <v>19.2</v>
      </c>
      <c r="DI101">
        <v>6.14</v>
      </c>
      <c r="DL101">
        <v>50.1</v>
      </c>
      <c r="DM101">
        <v>143.69999999999999</v>
      </c>
      <c r="DR101">
        <v>3</v>
      </c>
    </row>
    <row r="102" spans="1:157" s="33" customFormat="1" x14ac:dyDescent="0.2">
      <c r="A102" s="7" t="s">
        <v>1508</v>
      </c>
      <c r="B102" s="32">
        <v>43795</v>
      </c>
      <c r="C102" s="31" t="s">
        <v>196</v>
      </c>
      <c r="D102" s="31">
        <v>19</v>
      </c>
      <c r="E102" s="31" t="s">
        <v>100</v>
      </c>
      <c r="F102" s="32">
        <v>43929</v>
      </c>
      <c r="G102" s="31" t="s">
        <v>1509</v>
      </c>
      <c r="H102" s="31" t="s">
        <v>1510</v>
      </c>
      <c r="I102" s="31"/>
      <c r="J102" s="31"/>
      <c r="K102" s="31"/>
      <c r="L102" s="31"/>
      <c r="M102" s="31" t="s">
        <v>99</v>
      </c>
      <c r="N102" s="31" t="s">
        <v>99</v>
      </c>
      <c r="O102" s="31" t="s">
        <v>99</v>
      </c>
      <c r="P102" s="31" t="s">
        <v>99</v>
      </c>
      <c r="Q102" s="31" t="s">
        <v>99</v>
      </c>
      <c r="R102" s="31" t="s">
        <v>99</v>
      </c>
      <c r="S102" s="31" t="s">
        <v>99</v>
      </c>
      <c r="T102" s="31" t="s">
        <v>99</v>
      </c>
      <c r="U102" s="31" t="s">
        <v>99</v>
      </c>
      <c r="V102" s="31" t="s">
        <v>99</v>
      </c>
      <c r="W102" s="31" t="s">
        <v>99</v>
      </c>
      <c r="X102" s="31" t="s">
        <v>99</v>
      </c>
      <c r="Y102" s="31" t="s">
        <v>99</v>
      </c>
      <c r="Z102" s="31" t="s">
        <v>99</v>
      </c>
      <c r="AA102" s="31" t="s">
        <v>100</v>
      </c>
      <c r="AB102" s="31" t="s">
        <v>100</v>
      </c>
      <c r="AC102" s="31" t="s">
        <v>100</v>
      </c>
      <c r="AD102" s="31" t="s">
        <v>100</v>
      </c>
      <c r="AE102" s="31" t="s">
        <v>99</v>
      </c>
      <c r="AF102" s="31" t="s">
        <v>99</v>
      </c>
      <c r="AG102" s="31" t="s">
        <v>1511</v>
      </c>
      <c r="AH102" s="31" t="s">
        <v>99</v>
      </c>
      <c r="AI102" s="31" t="s">
        <v>99</v>
      </c>
      <c r="AJ102" s="31" t="s">
        <v>99</v>
      </c>
      <c r="AK102" s="31" t="s">
        <v>99</v>
      </c>
      <c r="AL102" s="31">
        <v>57</v>
      </c>
      <c r="AM102" s="31">
        <v>157</v>
      </c>
      <c r="AN102" s="31">
        <v>69</v>
      </c>
      <c r="AO102" s="31">
        <v>98</v>
      </c>
      <c r="AP102" s="31">
        <v>37</v>
      </c>
      <c r="AQ102" s="31">
        <v>4</v>
      </c>
      <c r="AR102" s="31">
        <v>25.2</v>
      </c>
      <c r="AS102" s="31">
        <v>30</v>
      </c>
      <c r="AT102" s="31">
        <v>23.1</v>
      </c>
      <c r="AU102" s="31">
        <v>84</v>
      </c>
      <c r="AV102" s="31">
        <v>53</v>
      </c>
      <c r="AW102" s="31" t="s">
        <v>350</v>
      </c>
      <c r="AX102" s="31" t="s">
        <v>1512</v>
      </c>
      <c r="AY102" s="31" t="s">
        <v>573</v>
      </c>
      <c r="AZ102" s="31" t="s">
        <v>1128</v>
      </c>
      <c r="BA102" s="31" t="s">
        <v>351</v>
      </c>
      <c r="BB102" s="31" t="s">
        <v>750</v>
      </c>
      <c r="BC102" s="31" t="s">
        <v>1130</v>
      </c>
      <c r="BD102" s="31" t="s">
        <v>749</v>
      </c>
      <c r="BE102" s="31" t="s">
        <v>351</v>
      </c>
      <c r="BF102" s="31" t="s">
        <v>351</v>
      </c>
      <c r="BG102" s="31" t="s">
        <v>350</v>
      </c>
      <c r="BH102" s="31" t="s">
        <v>350</v>
      </c>
      <c r="BI102" s="31" t="s">
        <v>350</v>
      </c>
      <c r="BJ102" s="31" t="s">
        <v>351</v>
      </c>
      <c r="BK102" s="31" t="s">
        <v>350</v>
      </c>
      <c r="BL102" s="31" t="s">
        <v>350</v>
      </c>
      <c r="BM102" s="31"/>
      <c r="BN102" s="31"/>
      <c r="BO102" s="31"/>
      <c r="BP102" s="31"/>
      <c r="BQ102" s="31" t="s">
        <v>1513</v>
      </c>
      <c r="BR102" s="31"/>
      <c r="BS102" s="31"/>
      <c r="BT102" s="31"/>
      <c r="BU102" s="31"/>
      <c r="BV102" s="31"/>
      <c r="BW102" s="31"/>
      <c r="BX102" s="31"/>
      <c r="BY102" s="31" t="s">
        <v>350</v>
      </c>
      <c r="BZ102" s="31" t="s">
        <v>1514</v>
      </c>
      <c r="CA102" s="31" t="s">
        <v>1515</v>
      </c>
      <c r="CB102" s="31" t="s">
        <v>1516</v>
      </c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 t="s">
        <v>1517</v>
      </c>
      <c r="CQ102" s="31" t="s">
        <v>1518</v>
      </c>
      <c r="CR102" s="31"/>
      <c r="CS102" s="31" t="s">
        <v>350</v>
      </c>
      <c r="CT102" s="31" t="s">
        <v>363</v>
      </c>
      <c r="CU102" s="31" t="s">
        <v>187</v>
      </c>
      <c r="CV102" s="31"/>
      <c r="CW102" s="31">
        <v>3</v>
      </c>
      <c r="CX102" s="31" t="s">
        <v>110</v>
      </c>
      <c r="CY102" s="31" t="s">
        <v>110</v>
      </c>
      <c r="CZ102" s="31"/>
      <c r="DA102" s="31"/>
      <c r="DB102" s="31"/>
      <c r="DC102" s="31">
        <v>71.8</v>
      </c>
      <c r="DD102" s="31">
        <v>0.69</v>
      </c>
      <c r="DE102" s="31">
        <v>197</v>
      </c>
      <c r="DF102" s="31">
        <v>54</v>
      </c>
      <c r="DG102" s="9">
        <f t="shared" si="1"/>
        <v>4.1314342613092263</v>
      </c>
      <c r="DH102" s="31">
        <v>10.8</v>
      </c>
      <c r="DI102" s="31">
        <v>7.08</v>
      </c>
      <c r="DJ102" s="31"/>
      <c r="DK102" s="31"/>
      <c r="DL102" s="31">
        <v>75.599999999999994</v>
      </c>
      <c r="DM102" s="31">
        <v>110.6</v>
      </c>
      <c r="DN102" s="31"/>
      <c r="DO102" s="31"/>
      <c r="DP102" s="31">
        <v>3</v>
      </c>
      <c r="DQ102" s="31"/>
      <c r="DR102" s="31">
        <v>3</v>
      </c>
      <c r="DS102" s="31"/>
      <c r="DT102" s="31"/>
      <c r="DU102" s="31">
        <v>5.6</v>
      </c>
      <c r="DV102" s="31"/>
    </row>
    <row r="103" spans="1:157" customFormat="1" x14ac:dyDescent="0.2">
      <c r="A103" t="s">
        <v>1519</v>
      </c>
      <c r="B103" s="26">
        <v>43796</v>
      </c>
      <c r="C103" t="s">
        <v>258</v>
      </c>
      <c r="D103" t="s">
        <v>1387</v>
      </c>
      <c r="E103" t="s">
        <v>313</v>
      </c>
      <c r="F103" s="26">
        <v>27794</v>
      </c>
      <c r="G103" t="s">
        <v>1520</v>
      </c>
      <c r="H103" t="s">
        <v>1521</v>
      </c>
      <c r="M103" t="s">
        <v>263</v>
      </c>
      <c r="N103" t="s">
        <v>263</v>
      </c>
      <c r="O103" t="s">
        <v>263</v>
      </c>
      <c r="P103" t="s">
        <v>263</v>
      </c>
      <c r="Q103" t="s">
        <v>1522</v>
      </c>
      <c r="R103" t="s">
        <v>285</v>
      </c>
      <c r="S103" t="s">
        <v>285</v>
      </c>
      <c r="T103" t="s">
        <v>285</v>
      </c>
      <c r="U103" t="s">
        <v>263</v>
      </c>
      <c r="V103" t="s">
        <v>263</v>
      </c>
      <c r="W103" t="s">
        <v>1523</v>
      </c>
      <c r="Y103" t="s">
        <v>1524</v>
      </c>
      <c r="AA103" t="s">
        <v>289</v>
      </c>
      <c r="AB103" t="s">
        <v>289</v>
      </c>
      <c r="AC103" t="s">
        <v>289</v>
      </c>
      <c r="AD103" t="s">
        <v>290</v>
      </c>
      <c r="AE103" t="s">
        <v>1525</v>
      </c>
      <c r="AF103" t="s">
        <v>263</v>
      </c>
      <c r="AG103" t="s">
        <v>263</v>
      </c>
      <c r="AH103" t="s">
        <v>263</v>
      </c>
      <c r="AI103" t="s">
        <v>263</v>
      </c>
      <c r="AJ103" t="s">
        <v>263</v>
      </c>
      <c r="AK103" t="s">
        <v>263</v>
      </c>
      <c r="AL103">
        <v>89.6</v>
      </c>
      <c r="AM103">
        <v>1.82</v>
      </c>
      <c r="AN103">
        <v>101</v>
      </c>
      <c r="AO103">
        <v>106.5</v>
      </c>
      <c r="AP103">
        <v>28.7</v>
      </c>
      <c r="AQ103">
        <v>11</v>
      </c>
      <c r="AR103">
        <v>32.700000000000003</v>
      </c>
      <c r="AS103">
        <v>61</v>
      </c>
      <c r="AT103">
        <v>27</v>
      </c>
      <c r="AU103">
        <v>116</v>
      </c>
      <c r="AV103">
        <v>73</v>
      </c>
      <c r="AX103" t="s">
        <v>1526</v>
      </c>
      <c r="AY103" t="s">
        <v>1527</v>
      </c>
      <c r="AZ103" t="s">
        <v>1528</v>
      </c>
      <c r="BF103" t="s">
        <v>1529</v>
      </c>
      <c r="BG103" t="s">
        <v>1529</v>
      </c>
      <c r="BH103" t="s">
        <v>1530</v>
      </c>
      <c r="BI103" t="s">
        <v>1530</v>
      </c>
      <c r="BJ103" t="s">
        <v>1529</v>
      </c>
      <c r="BK103" t="s">
        <v>1531</v>
      </c>
      <c r="BN103" t="s">
        <v>1532</v>
      </c>
      <c r="BO103" t="s">
        <v>1533</v>
      </c>
      <c r="BR103" t="s">
        <v>1534</v>
      </c>
      <c r="BS103" t="s">
        <v>1535</v>
      </c>
      <c r="BV103" t="s">
        <v>1536</v>
      </c>
      <c r="BZ103" t="s">
        <v>1537</v>
      </c>
      <c r="CA103" t="s">
        <v>1538</v>
      </c>
      <c r="CB103" t="s">
        <v>1539</v>
      </c>
      <c r="CL103" t="s">
        <v>306</v>
      </c>
      <c r="CM103" t="s">
        <v>1540</v>
      </c>
      <c r="CP103" t="s">
        <v>452</v>
      </c>
      <c r="CT103" t="s">
        <v>1541</v>
      </c>
      <c r="CW103">
        <v>3</v>
      </c>
      <c r="CX103" t="s">
        <v>285</v>
      </c>
      <c r="CY103" t="s">
        <v>285</v>
      </c>
      <c r="CZ103">
        <v>30</v>
      </c>
      <c r="DA103">
        <v>30</v>
      </c>
      <c r="DB103">
        <v>40</v>
      </c>
      <c r="DG103" s="9" t="e">
        <f t="shared" si="1"/>
        <v>#NUM!</v>
      </c>
      <c r="DR103">
        <v>2</v>
      </c>
    </row>
    <row r="104" spans="1:157" customFormat="1" x14ac:dyDescent="0.2">
      <c r="A104" t="s">
        <v>1542</v>
      </c>
      <c r="B104" s="26">
        <v>43795</v>
      </c>
      <c r="C104" t="s">
        <v>258</v>
      </c>
      <c r="D104" t="s">
        <v>1543</v>
      </c>
      <c r="E104" t="s">
        <v>313</v>
      </c>
      <c r="F104" s="26">
        <v>28930</v>
      </c>
      <c r="H104" t="s">
        <v>1544</v>
      </c>
      <c r="M104" t="s">
        <v>263</v>
      </c>
      <c r="N104" t="s">
        <v>263</v>
      </c>
      <c r="O104" t="s">
        <v>285</v>
      </c>
      <c r="P104" t="s">
        <v>1545</v>
      </c>
      <c r="Q104" t="s">
        <v>1546</v>
      </c>
      <c r="R104" t="s">
        <v>1547</v>
      </c>
      <c r="S104" t="s">
        <v>1548</v>
      </c>
      <c r="T104" t="s">
        <v>263</v>
      </c>
      <c r="U104" t="s">
        <v>263</v>
      </c>
      <c r="W104" t="s">
        <v>1549</v>
      </c>
      <c r="Y104" t="s">
        <v>1550</v>
      </c>
      <c r="Z104" t="s">
        <v>1551</v>
      </c>
      <c r="AA104" t="s">
        <v>1552</v>
      </c>
      <c r="AB104" t="s">
        <v>1553</v>
      </c>
      <c r="AC104" t="s">
        <v>1554</v>
      </c>
      <c r="AD104" t="s">
        <v>1555</v>
      </c>
      <c r="AE104" t="s">
        <v>285</v>
      </c>
      <c r="AF104" t="s">
        <v>285</v>
      </c>
      <c r="AG104" t="s">
        <v>1409</v>
      </c>
      <c r="AH104" t="s">
        <v>263</v>
      </c>
      <c r="AI104" t="s">
        <v>263</v>
      </c>
      <c r="AJ104" t="s">
        <v>263</v>
      </c>
      <c r="AK104" t="s">
        <v>263</v>
      </c>
      <c r="AL104">
        <v>86.4</v>
      </c>
      <c r="AM104">
        <v>2.78</v>
      </c>
      <c r="AN104">
        <v>92</v>
      </c>
      <c r="AO104">
        <v>92</v>
      </c>
      <c r="AP104">
        <v>23.1</v>
      </c>
      <c r="AQ104">
        <v>10</v>
      </c>
      <c r="AR104">
        <v>36.6</v>
      </c>
      <c r="AS104">
        <v>54</v>
      </c>
      <c r="AT104">
        <v>27.3</v>
      </c>
      <c r="AU104">
        <v>107</v>
      </c>
      <c r="AV104">
        <v>67</v>
      </c>
      <c r="AX104" t="s">
        <v>1107</v>
      </c>
      <c r="AY104" t="s">
        <v>1556</v>
      </c>
      <c r="BB104" t="s">
        <v>1557</v>
      </c>
      <c r="BC104" t="s">
        <v>1558</v>
      </c>
      <c r="BF104" t="s">
        <v>1559</v>
      </c>
      <c r="BG104" t="s">
        <v>299</v>
      </c>
      <c r="BH104" t="s">
        <v>299</v>
      </c>
      <c r="BI104" t="s">
        <v>299</v>
      </c>
      <c r="BJ104" t="s">
        <v>299</v>
      </c>
      <c r="BK104" t="s">
        <v>1560</v>
      </c>
      <c r="BN104" t="s">
        <v>1561</v>
      </c>
      <c r="BO104" t="s">
        <v>410</v>
      </c>
      <c r="BP104" t="s">
        <v>326</v>
      </c>
      <c r="BV104" t="s">
        <v>1152</v>
      </c>
      <c r="BW104" t="s">
        <v>1562</v>
      </c>
      <c r="BZ104" t="s">
        <v>330</v>
      </c>
      <c r="CA104" t="s">
        <v>1563</v>
      </c>
      <c r="CB104" t="s">
        <v>1556</v>
      </c>
      <c r="CH104" t="s">
        <v>1110</v>
      </c>
      <c r="CL104" t="s">
        <v>333</v>
      </c>
      <c r="CM104" t="s">
        <v>308</v>
      </c>
      <c r="CP104" t="s">
        <v>791</v>
      </c>
      <c r="CQ104" t="s">
        <v>1564</v>
      </c>
      <c r="CR104" t="s">
        <v>1565</v>
      </c>
      <c r="CT104" t="s">
        <v>1541</v>
      </c>
      <c r="CW104" s="68" t="s">
        <v>1566</v>
      </c>
      <c r="CX104" t="s">
        <v>263</v>
      </c>
      <c r="CY104" t="s">
        <v>1567</v>
      </c>
      <c r="CZ104">
        <v>40</v>
      </c>
      <c r="DA104">
        <v>20</v>
      </c>
      <c r="DB104">
        <v>40</v>
      </c>
      <c r="DC104">
        <v>86.3</v>
      </c>
      <c r="DD104">
        <v>1.17</v>
      </c>
      <c r="DE104">
        <v>167</v>
      </c>
      <c r="DF104">
        <v>111</v>
      </c>
      <c r="DG104" s="9">
        <f t="shared" si="1"/>
        <v>4.5836798997008579</v>
      </c>
      <c r="DH104">
        <v>22.2</v>
      </c>
      <c r="DI104">
        <v>7.6</v>
      </c>
      <c r="DL104">
        <v>34</v>
      </c>
      <c r="DM104">
        <v>110.8</v>
      </c>
      <c r="DR104">
        <v>2</v>
      </c>
    </row>
    <row r="105" spans="1:157" customFormat="1" x14ac:dyDescent="0.2">
      <c r="A105" s="29" t="s">
        <v>1568</v>
      </c>
      <c r="B105" s="69">
        <v>43796</v>
      </c>
      <c r="C105" s="29" t="s">
        <v>675</v>
      </c>
      <c r="D105" s="29">
        <v>26</v>
      </c>
      <c r="E105" s="29" t="s">
        <v>100</v>
      </c>
      <c r="F105" s="69">
        <v>34325</v>
      </c>
      <c r="G105" s="29" t="s">
        <v>1569</v>
      </c>
      <c r="H105" s="29" t="s">
        <v>1570</v>
      </c>
      <c r="I105" s="29"/>
      <c r="J105" s="29"/>
      <c r="K105" s="29"/>
      <c r="L105" s="29"/>
      <c r="M105" s="29" t="s">
        <v>99</v>
      </c>
      <c r="N105" s="29" t="s">
        <v>99</v>
      </c>
      <c r="O105" s="29" t="s">
        <v>99</v>
      </c>
      <c r="P105" s="29" t="s">
        <v>99</v>
      </c>
      <c r="Q105" s="29" t="s">
        <v>1571</v>
      </c>
      <c r="R105" s="29" t="s">
        <v>99</v>
      </c>
      <c r="S105" s="29" t="s">
        <v>99</v>
      </c>
      <c r="T105" s="29" t="s">
        <v>99</v>
      </c>
      <c r="U105" s="29" t="s">
        <v>1572</v>
      </c>
      <c r="V105" s="29" t="s">
        <v>99</v>
      </c>
      <c r="W105" s="29" t="s">
        <v>99</v>
      </c>
      <c r="X105" s="29" t="s">
        <v>99</v>
      </c>
      <c r="Y105" s="29" t="s">
        <v>99</v>
      </c>
      <c r="Z105" s="29"/>
      <c r="AA105" s="29" t="s">
        <v>100</v>
      </c>
      <c r="AB105" s="29" t="s">
        <v>100</v>
      </c>
      <c r="AC105" s="29" t="s">
        <v>100</v>
      </c>
      <c r="AD105" s="29" t="s">
        <v>100</v>
      </c>
      <c r="AE105" s="29" t="s">
        <v>99</v>
      </c>
      <c r="AF105" s="29" t="s">
        <v>99</v>
      </c>
      <c r="AG105" s="29" t="s">
        <v>246</v>
      </c>
      <c r="AH105" s="29" t="s">
        <v>99</v>
      </c>
      <c r="AI105" s="29" t="s">
        <v>99</v>
      </c>
      <c r="AJ105" s="29" t="s">
        <v>99</v>
      </c>
      <c r="AK105" s="29" t="s">
        <v>99</v>
      </c>
      <c r="AL105" s="29">
        <v>73</v>
      </c>
      <c r="AM105" s="29">
        <v>171</v>
      </c>
      <c r="AN105" s="29">
        <v>82</v>
      </c>
      <c r="AO105" s="29">
        <v>98</v>
      </c>
      <c r="AP105" s="29">
        <v>27.3</v>
      </c>
      <c r="AQ105" s="29">
        <v>8</v>
      </c>
      <c r="AR105" s="29">
        <v>35.299999999999997</v>
      </c>
      <c r="AS105" s="29">
        <v>38</v>
      </c>
      <c r="AT105" s="29">
        <v>38</v>
      </c>
      <c r="AU105" s="29">
        <v>113</v>
      </c>
      <c r="AV105" s="29">
        <v>59</v>
      </c>
      <c r="AW105" s="29"/>
      <c r="AX105" s="29" t="s">
        <v>574</v>
      </c>
      <c r="AY105" s="29" t="s">
        <v>748</v>
      </c>
      <c r="AZ105" s="29"/>
      <c r="BA105" s="29"/>
      <c r="BB105" s="29"/>
      <c r="BC105" s="29"/>
      <c r="BD105" s="29"/>
      <c r="BE105" s="29"/>
      <c r="BF105" s="29" t="s">
        <v>351</v>
      </c>
      <c r="BG105" s="29" t="s">
        <v>350</v>
      </c>
      <c r="BH105" s="29" t="s">
        <v>350</v>
      </c>
      <c r="BI105" s="29" t="s">
        <v>351</v>
      </c>
      <c r="BJ105" s="29" t="s">
        <v>351</v>
      </c>
      <c r="BK105" s="29" t="s">
        <v>350</v>
      </c>
      <c r="BL105" s="29"/>
      <c r="BM105" s="29"/>
      <c r="BN105" s="29" t="s">
        <v>180</v>
      </c>
      <c r="BO105" s="29" t="s">
        <v>179</v>
      </c>
      <c r="BP105" s="29" t="s">
        <v>219</v>
      </c>
      <c r="BQ105" s="29"/>
      <c r="BR105" s="29"/>
      <c r="BS105" s="29"/>
      <c r="BT105" s="29"/>
      <c r="BU105" s="29"/>
      <c r="BV105" s="29" t="s">
        <v>1573</v>
      </c>
      <c r="BW105" s="29" t="s">
        <v>1574</v>
      </c>
      <c r="BX105" s="29"/>
      <c r="BY105" s="29"/>
      <c r="BZ105" s="29" t="s">
        <v>183</v>
      </c>
      <c r="CA105" s="29" t="s">
        <v>182</v>
      </c>
      <c r="CB105" s="29" t="s">
        <v>577</v>
      </c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>
        <v>3</v>
      </c>
      <c r="CX105" s="29" t="s">
        <v>110</v>
      </c>
      <c r="CY105" s="29" t="s">
        <v>110</v>
      </c>
      <c r="CZ105" s="29"/>
      <c r="DA105" s="29"/>
      <c r="DB105" s="29"/>
      <c r="DC105" s="29">
        <v>82.4</v>
      </c>
      <c r="DD105" s="29">
        <v>1.03</v>
      </c>
      <c r="DE105" s="29">
        <v>174</v>
      </c>
      <c r="DF105" s="29">
        <v>89</v>
      </c>
      <c r="DG105" s="9">
        <f t="shared" si="1"/>
        <v>4.4501109033237833</v>
      </c>
      <c r="DH105" s="29">
        <v>17.8</v>
      </c>
      <c r="DI105" s="29">
        <v>5.47</v>
      </c>
      <c r="DJ105" s="29"/>
      <c r="DK105" s="29"/>
      <c r="DL105" s="29">
        <v>42.3</v>
      </c>
      <c r="DM105" s="29">
        <v>113.9</v>
      </c>
      <c r="DN105" s="29"/>
      <c r="DO105" s="29"/>
      <c r="DP105" s="29">
        <v>2</v>
      </c>
      <c r="DQ105" s="29"/>
      <c r="DR105" s="29">
        <v>2</v>
      </c>
      <c r="DS105" s="29"/>
      <c r="DT105" s="29"/>
      <c r="DU105" s="29">
        <v>10</v>
      </c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/>
    </row>
    <row r="106" spans="1:157" customFormat="1" x14ac:dyDescent="0.2">
      <c r="A106" t="s">
        <v>1575</v>
      </c>
      <c r="B106" s="26">
        <v>43796</v>
      </c>
      <c r="C106" t="s">
        <v>258</v>
      </c>
      <c r="D106" t="s">
        <v>1543</v>
      </c>
      <c r="E106" t="s">
        <v>313</v>
      </c>
      <c r="F106" s="26">
        <v>29012</v>
      </c>
      <c r="G106" t="s">
        <v>1576</v>
      </c>
      <c r="H106" t="s">
        <v>1577</v>
      </c>
      <c r="M106" t="s">
        <v>263</v>
      </c>
      <c r="N106" t="s">
        <v>263</v>
      </c>
      <c r="O106" t="s">
        <v>263</v>
      </c>
      <c r="P106" t="s">
        <v>263</v>
      </c>
      <c r="Q106" t="s">
        <v>263</v>
      </c>
      <c r="R106" t="s">
        <v>1578</v>
      </c>
      <c r="S106" t="s">
        <v>1579</v>
      </c>
      <c r="T106" t="s">
        <v>1580</v>
      </c>
      <c r="U106" t="s">
        <v>263</v>
      </c>
      <c r="V106" t="s">
        <v>263</v>
      </c>
      <c r="W106" t="s">
        <v>263</v>
      </c>
      <c r="X106" t="s">
        <v>263</v>
      </c>
      <c r="Y106" t="s">
        <v>263</v>
      </c>
      <c r="AA106" t="s">
        <v>289</v>
      </c>
      <c r="AB106" t="s">
        <v>289</v>
      </c>
      <c r="AC106" t="s">
        <v>289</v>
      </c>
      <c r="AD106" t="s">
        <v>290</v>
      </c>
      <c r="AE106" t="s">
        <v>292</v>
      </c>
      <c r="AF106" t="s">
        <v>966</v>
      </c>
      <c r="AG106" t="s">
        <v>263</v>
      </c>
      <c r="AH106" t="s">
        <v>263</v>
      </c>
      <c r="AI106" t="s">
        <v>263</v>
      </c>
      <c r="AJ106" t="s">
        <v>263</v>
      </c>
      <c r="AK106" t="s">
        <v>263</v>
      </c>
      <c r="AL106">
        <v>89.1</v>
      </c>
      <c r="AM106">
        <v>1.65</v>
      </c>
      <c r="AN106">
        <v>103</v>
      </c>
      <c r="AO106">
        <v>105</v>
      </c>
      <c r="AP106">
        <v>35.200000000000003</v>
      </c>
      <c r="AQ106">
        <v>17</v>
      </c>
      <c r="AR106">
        <v>30.6</v>
      </c>
      <c r="AS106">
        <v>59</v>
      </c>
      <c r="AT106">
        <v>32.700000000000003</v>
      </c>
      <c r="AU106">
        <v>119</v>
      </c>
      <c r="AV106">
        <v>79</v>
      </c>
      <c r="AX106" t="s">
        <v>270</v>
      </c>
      <c r="BB106" t="s">
        <v>1581</v>
      </c>
      <c r="BF106" t="s">
        <v>1582</v>
      </c>
      <c r="BG106" t="s">
        <v>1583</v>
      </c>
      <c r="BH106" t="s">
        <v>1584</v>
      </c>
      <c r="BI106" t="s">
        <v>1585</v>
      </c>
      <c r="BJ106" t="s">
        <v>1584</v>
      </c>
      <c r="BK106" t="s">
        <v>1586</v>
      </c>
      <c r="BN106" t="s">
        <v>1587</v>
      </c>
      <c r="BZ106" t="s">
        <v>1588</v>
      </c>
      <c r="CL106" t="s">
        <v>1589</v>
      </c>
      <c r="CP106" t="s">
        <v>1590</v>
      </c>
      <c r="CT106" t="s">
        <v>1591</v>
      </c>
      <c r="CW106">
        <v>3</v>
      </c>
      <c r="CX106" t="s">
        <v>1592</v>
      </c>
      <c r="CY106" t="s">
        <v>1579</v>
      </c>
      <c r="CZ106">
        <v>15</v>
      </c>
      <c r="DA106">
        <v>15</v>
      </c>
      <c r="DB106">
        <v>50</v>
      </c>
      <c r="DC106">
        <v>90</v>
      </c>
      <c r="DD106">
        <v>0.98</v>
      </c>
      <c r="DE106">
        <v>143</v>
      </c>
      <c r="DF106">
        <v>104</v>
      </c>
      <c r="DG106" s="9">
        <f t="shared" si="1"/>
        <v>4.5721002847358188</v>
      </c>
      <c r="DH106">
        <v>20.8</v>
      </c>
      <c r="DI106">
        <v>6.83</v>
      </c>
      <c r="DL106">
        <v>39.799999999999997</v>
      </c>
      <c r="DM106">
        <v>82.4</v>
      </c>
      <c r="DU106">
        <v>5</v>
      </c>
    </row>
    <row r="107" spans="1:157" s="33" customFormat="1" x14ac:dyDescent="0.2">
      <c r="A107" s="30" t="s">
        <v>1593</v>
      </c>
      <c r="B107" s="32">
        <v>43796</v>
      </c>
      <c r="C107" s="31" t="s">
        <v>196</v>
      </c>
      <c r="D107" s="31">
        <v>51</v>
      </c>
      <c r="E107" s="31" t="s">
        <v>100</v>
      </c>
      <c r="F107" s="32">
        <v>25005</v>
      </c>
      <c r="G107" s="31" t="s">
        <v>197</v>
      </c>
      <c r="H107" s="31" t="s">
        <v>340</v>
      </c>
      <c r="I107" s="31" t="s">
        <v>1594</v>
      </c>
      <c r="J107" s="31" t="s">
        <v>1595</v>
      </c>
      <c r="K107" s="31">
        <v>2001</v>
      </c>
      <c r="L107" s="31">
        <v>3</v>
      </c>
      <c r="M107" s="31" t="s">
        <v>99</v>
      </c>
      <c r="N107" s="31" t="s">
        <v>99</v>
      </c>
      <c r="O107" s="31"/>
      <c r="P107" s="31" t="s">
        <v>99</v>
      </c>
      <c r="Q107" s="31" t="s">
        <v>99</v>
      </c>
      <c r="R107" s="31" t="s">
        <v>99</v>
      </c>
      <c r="S107" s="31" t="s">
        <v>99</v>
      </c>
      <c r="T107" s="31" t="s">
        <v>99</v>
      </c>
      <c r="U107" s="31" t="s">
        <v>1596</v>
      </c>
      <c r="V107" s="31" t="s">
        <v>1597</v>
      </c>
      <c r="W107" s="31" t="s">
        <v>99</v>
      </c>
      <c r="X107" s="31" t="s">
        <v>99</v>
      </c>
      <c r="Y107" s="31" t="s">
        <v>99</v>
      </c>
      <c r="Z107" s="31" t="s">
        <v>99</v>
      </c>
      <c r="AA107" s="31" t="s">
        <v>100</v>
      </c>
      <c r="AB107" s="31" t="s">
        <v>100</v>
      </c>
      <c r="AC107" s="31" t="s">
        <v>100</v>
      </c>
      <c r="AD107" s="31" t="s">
        <v>100</v>
      </c>
      <c r="AE107" s="31" t="s">
        <v>1598</v>
      </c>
      <c r="AF107" s="31" t="s">
        <v>1599</v>
      </c>
      <c r="AG107" s="31" t="s">
        <v>99</v>
      </c>
      <c r="AH107" s="31" t="s">
        <v>99</v>
      </c>
      <c r="AI107" s="31" t="s">
        <v>99</v>
      </c>
      <c r="AJ107" s="31" t="s">
        <v>99</v>
      </c>
      <c r="AK107" s="31" t="s">
        <v>99</v>
      </c>
      <c r="AL107" s="31">
        <v>55.6</v>
      </c>
      <c r="AM107" s="31">
        <v>155</v>
      </c>
      <c r="AN107" s="31">
        <v>84</v>
      </c>
      <c r="AO107" s="31">
        <v>93</v>
      </c>
      <c r="AP107" s="31">
        <v>35</v>
      </c>
      <c r="AQ107" s="31">
        <v>6</v>
      </c>
      <c r="AR107" s="31">
        <v>26.3</v>
      </c>
      <c r="AS107" s="31">
        <v>48</v>
      </c>
      <c r="AT107" s="70">
        <v>23.1</v>
      </c>
      <c r="AU107" s="31">
        <v>107</v>
      </c>
      <c r="AV107" s="31">
        <v>72</v>
      </c>
      <c r="AW107" s="31"/>
      <c r="AX107" s="31" t="s">
        <v>1600</v>
      </c>
      <c r="AY107" s="31" t="s">
        <v>1601</v>
      </c>
      <c r="AZ107" s="31" t="s">
        <v>1602</v>
      </c>
      <c r="BA107" s="31"/>
      <c r="BB107" s="31" t="s">
        <v>750</v>
      </c>
      <c r="BC107" s="31" t="s">
        <v>749</v>
      </c>
      <c r="BD107" s="31"/>
      <c r="BE107" s="31"/>
      <c r="BF107" s="31" t="s">
        <v>1603</v>
      </c>
      <c r="BG107" s="31" t="s">
        <v>1604</v>
      </c>
      <c r="BH107" s="31" t="s">
        <v>682</v>
      </c>
      <c r="BI107" s="31" t="s">
        <v>1605</v>
      </c>
      <c r="BJ107" s="31" t="s">
        <v>1606</v>
      </c>
      <c r="BK107" s="31"/>
      <c r="BL107" s="31"/>
      <c r="BM107" s="31"/>
      <c r="BN107" s="31" t="s">
        <v>219</v>
      </c>
      <c r="BO107" s="31" t="s">
        <v>125</v>
      </c>
      <c r="BP107" s="31" t="s">
        <v>178</v>
      </c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 t="s">
        <v>823</v>
      </c>
      <c r="CM107" s="31" t="s">
        <v>980</v>
      </c>
      <c r="CN107" s="31"/>
      <c r="CO107" s="31"/>
      <c r="CP107" s="31"/>
      <c r="CQ107" s="31"/>
      <c r="CR107" s="31"/>
      <c r="CS107" s="31"/>
      <c r="CT107" s="31"/>
      <c r="CU107" s="31"/>
      <c r="CV107" s="31"/>
      <c r="CW107" s="31">
        <v>3</v>
      </c>
      <c r="CX107" s="31" t="s">
        <v>110</v>
      </c>
      <c r="CY107" s="31" t="s">
        <v>110</v>
      </c>
      <c r="CZ107" s="31">
        <v>20</v>
      </c>
      <c r="DA107" s="31">
        <v>50</v>
      </c>
      <c r="DB107" s="31">
        <v>30</v>
      </c>
      <c r="DC107" s="31">
        <v>78.5</v>
      </c>
      <c r="DD107" s="31">
        <v>0.79</v>
      </c>
      <c r="DE107" s="31">
        <v>130</v>
      </c>
      <c r="DF107" s="31">
        <v>95</v>
      </c>
      <c r="DG107" s="9">
        <f t="shared" si="1"/>
        <v>4.458487758194452</v>
      </c>
      <c r="DH107" s="31">
        <v>19</v>
      </c>
      <c r="DI107" s="31">
        <v>6.5</v>
      </c>
      <c r="DJ107" s="31"/>
      <c r="DK107" s="31"/>
      <c r="DL107" s="48">
        <v>27.1</v>
      </c>
      <c r="DM107" s="31">
        <v>83.9</v>
      </c>
      <c r="DN107" s="31"/>
      <c r="DO107" s="31"/>
      <c r="DP107" s="31"/>
      <c r="DQ107" s="31"/>
      <c r="DR107" s="31">
        <v>2</v>
      </c>
      <c r="DS107" s="31"/>
      <c r="DT107" s="31"/>
      <c r="DU107" s="31">
        <v>6.8</v>
      </c>
      <c r="DV107" s="31"/>
    </row>
    <row r="108" spans="1:157" customFormat="1" x14ac:dyDescent="0.2">
      <c r="A108" t="s">
        <v>1607</v>
      </c>
      <c r="B108" s="26">
        <v>43796</v>
      </c>
      <c r="C108" t="s">
        <v>95</v>
      </c>
      <c r="D108" t="s">
        <v>1608</v>
      </c>
      <c r="F108" s="26">
        <v>36162</v>
      </c>
      <c r="G108" t="s">
        <v>97</v>
      </c>
      <c r="H108" t="s">
        <v>1609</v>
      </c>
      <c r="I108" t="s">
        <v>1610</v>
      </c>
      <c r="M108" t="s">
        <v>263</v>
      </c>
      <c r="N108" t="s">
        <v>263</v>
      </c>
      <c r="O108" t="s">
        <v>263</v>
      </c>
      <c r="P108" t="s">
        <v>263</v>
      </c>
      <c r="Q108" t="s">
        <v>263</v>
      </c>
      <c r="U108" t="s">
        <v>263</v>
      </c>
      <c r="V108" t="s">
        <v>263</v>
      </c>
      <c r="W108" t="s">
        <v>263</v>
      </c>
      <c r="X108" t="s">
        <v>263</v>
      </c>
      <c r="Y108" t="s">
        <v>263</v>
      </c>
      <c r="AA108" t="s">
        <v>289</v>
      </c>
      <c r="AB108" t="s">
        <v>289</v>
      </c>
      <c r="AC108" t="s">
        <v>1611</v>
      </c>
      <c r="AD108" t="s">
        <v>1612</v>
      </c>
      <c r="AE108" t="s">
        <v>263</v>
      </c>
      <c r="AF108" t="s">
        <v>1613</v>
      </c>
      <c r="AG108" t="s">
        <v>263</v>
      </c>
      <c r="AH108" t="s">
        <v>263</v>
      </c>
      <c r="AI108" t="s">
        <v>263</v>
      </c>
      <c r="AJ108" t="s">
        <v>263</v>
      </c>
      <c r="AK108" t="s">
        <v>263</v>
      </c>
      <c r="AL108">
        <v>76.2</v>
      </c>
      <c r="AM108">
        <v>1.65</v>
      </c>
      <c r="AN108">
        <v>86</v>
      </c>
      <c r="AO108">
        <v>110</v>
      </c>
      <c r="AP108">
        <v>41.2</v>
      </c>
      <c r="AQ108">
        <v>5</v>
      </c>
      <c r="AR108">
        <v>25.8</v>
      </c>
      <c r="AS108">
        <v>40</v>
      </c>
      <c r="AT108">
        <v>28</v>
      </c>
      <c r="AU108">
        <v>109</v>
      </c>
      <c r="AV108">
        <v>62</v>
      </c>
      <c r="AX108" t="s">
        <v>1614</v>
      </c>
      <c r="AY108" t="s">
        <v>993</v>
      </c>
      <c r="BB108" t="s">
        <v>374</v>
      </c>
      <c r="BC108" t="s">
        <v>1615</v>
      </c>
      <c r="BD108" t="s">
        <v>1616</v>
      </c>
      <c r="BF108" t="s">
        <v>1617</v>
      </c>
      <c r="BG108" t="s">
        <v>272</v>
      </c>
      <c r="BH108" t="s">
        <v>1618</v>
      </c>
      <c r="BI108" t="s">
        <v>263</v>
      </c>
      <c r="BJ108" t="s">
        <v>1619</v>
      </c>
      <c r="BN108" t="s">
        <v>1620</v>
      </c>
      <c r="BO108" t="s">
        <v>1621</v>
      </c>
      <c r="BP108" t="s">
        <v>1622</v>
      </c>
      <c r="BV108" t="s">
        <v>1623</v>
      </c>
      <c r="BZ108" t="s">
        <v>1624</v>
      </c>
      <c r="CA108" t="s">
        <v>1625</v>
      </c>
      <c r="CB108" t="s">
        <v>1626</v>
      </c>
      <c r="CL108" t="s">
        <v>306</v>
      </c>
      <c r="CM108" t="s">
        <v>1627</v>
      </c>
      <c r="CN108" t="s">
        <v>1628</v>
      </c>
      <c r="CP108" t="s">
        <v>1629</v>
      </c>
      <c r="CQ108" t="s">
        <v>452</v>
      </c>
      <c r="CR108" t="s">
        <v>1630</v>
      </c>
      <c r="CT108" t="s">
        <v>1631</v>
      </c>
      <c r="CU108" t="s">
        <v>1632</v>
      </c>
      <c r="CW108" t="s">
        <v>1633</v>
      </c>
      <c r="CX108" t="s">
        <v>1634</v>
      </c>
      <c r="CY108" t="s">
        <v>285</v>
      </c>
      <c r="CZ108">
        <v>30</v>
      </c>
      <c r="DA108">
        <v>20</v>
      </c>
      <c r="DB108">
        <v>50</v>
      </c>
      <c r="DC108">
        <v>76.5</v>
      </c>
      <c r="DD108">
        <v>0.53</v>
      </c>
      <c r="DE108">
        <v>133</v>
      </c>
      <c r="DF108">
        <v>56</v>
      </c>
      <c r="DG108" s="9">
        <f t="shared" si="1"/>
        <v>4.1813212157838198</v>
      </c>
      <c r="DH108">
        <v>11.2</v>
      </c>
      <c r="DI108">
        <v>4.24</v>
      </c>
      <c r="DL108">
        <v>49.8</v>
      </c>
      <c r="DM108">
        <v>72</v>
      </c>
    </row>
    <row r="109" spans="1:157" customFormat="1" x14ac:dyDescent="0.2">
      <c r="A109" s="71" t="s">
        <v>1635</v>
      </c>
      <c r="B109" s="69">
        <v>43796</v>
      </c>
      <c r="C109" s="29" t="s">
        <v>675</v>
      </c>
      <c r="D109" s="29">
        <v>57</v>
      </c>
      <c r="E109" s="29" t="s">
        <v>1123</v>
      </c>
      <c r="F109" s="69">
        <v>22934</v>
      </c>
      <c r="G109" s="29" t="s">
        <v>1636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>
        <v>88</v>
      </c>
      <c r="AM109" s="29">
        <v>162</v>
      </c>
      <c r="AN109" s="29">
        <v>109</v>
      </c>
      <c r="AO109" s="29">
        <v>108</v>
      </c>
      <c r="AP109" s="29">
        <v>32.1</v>
      </c>
      <c r="AQ109" s="29">
        <v>20</v>
      </c>
      <c r="AR109" s="29">
        <v>31.1</v>
      </c>
      <c r="AS109" s="29">
        <v>62</v>
      </c>
      <c r="AT109" s="29">
        <v>33.5</v>
      </c>
      <c r="AU109" s="48">
        <v>133</v>
      </c>
      <c r="AV109" s="48">
        <v>103</v>
      </c>
      <c r="AW109" s="29" t="s">
        <v>176</v>
      </c>
      <c r="AX109" s="29"/>
      <c r="AY109" s="29"/>
      <c r="AZ109" s="29"/>
      <c r="BA109" s="29" t="s">
        <v>351</v>
      </c>
      <c r="BB109" s="29"/>
      <c r="BC109" s="29"/>
      <c r="BD109" s="29"/>
      <c r="BE109" s="29" t="s">
        <v>351</v>
      </c>
      <c r="BF109" s="29"/>
      <c r="BG109" s="29"/>
      <c r="BH109" s="29"/>
      <c r="BI109" s="29"/>
      <c r="BJ109" s="29"/>
      <c r="BK109" s="29"/>
      <c r="BL109" s="29" t="s">
        <v>351</v>
      </c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 t="s">
        <v>351</v>
      </c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 t="s">
        <v>350</v>
      </c>
      <c r="CP109" s="29"/>
      <c r="CQ109" s="29"/>
      <c r="CR109" s="29"/>
      <c r="CS109" s="29" t="s">
        <v>350</v>
      </c>
      <c r="CT109" s="29"/>
      <c r="CU109" s="29"/>
      <c r="CV109" s="29"/>
      <c r="CW109" s="29">
        <v>3</v>
      </c>
      <c r="CX109" s="29" t="s">
        <v>110</v>
      </c>
      <c r="CY109" s="29"/>
      <c r="CZ109" s="29"/>
      <c r="DA109" s="29"/>
      <c r="DB109" s="29"/>
      <c r="DC109" s="29">
        <v>98.1</v>
      </c>
      <c r="DD109" s="29">
        <v>1.19</v>
      </c>
      <c r="DE109" s="29">
        <v>192</v>
      </c>
      <c r="DF109" s="48">
        <v>175</v>
      </c>
      <c r="DG109" s="9">
        <f t="shared" si="1"/>
        <v>4.8753866702474156</v>
      </c>
      <c r="DH109" s="29">
        <v>35</v>
      </c>
      <c r="DI109" s="29">
        <v>6.41</v>
      </c>
      <c r="DJ109" s="29"/>
      <c r="DK109" s="29"/>
      <c r="DL109" s="48">
        <v>31.8</v>
      </c>
      <c r="DM109" s="29">
        <v>125.2</v>
      </c>
      <c r="DN109" s="29"/>
      <c r="DO109" s="29"/>
      <c r="DP109" s="29">
        <v>3</v>
      </c>
      <c r="DQ109" s="29"/>
      <c r="DR109" s="29">
        <v>2</v>
      </c>
      <c r="DS109" s="29"/>
      <c r="DT109" s="29"/>
      <c r="DU109" s="29">
        <v>6.2</v>
      </c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/>
      <c r="FA109" s="29"/>
    </row>
    <row r="110" spans="1:157" customFormat="1" x14ac:dyDescent="0.2">
      <c r="A110" s="29" t="s">
        <v>1637</v>
      </c>
      <c r="B110" s="69">
        <v>43796</v>
      </c>
      <c r="C110" s="29" t="s">
        <v>675</v>
      </c>
      <c r="D110" s="29">
        <v>32</v>
      </c>
      <c r="E110" s="29"/>
      <c r="F110" s="69">
        <v>31935</v>
      </c>
      <c r="G110" s="29"/>
      <c r="H110" s="29"/>
      <c r="I110" s="29"/>
      <c r="J110" s="29"/>
      <c r="K110" s="29"/>
      <c r="L110" s="29"/>
      <c r="M110" s="29" t="s">
        <v>99</v>
      </c>
      <c r="N110" s="29" t="s">
        <v>99</v>
      </c>
      <c r="O110" s="29" t="s">
        <v>99</v>
      </c>
      <c r="P110" s="29" t="s">
        <v>1638</v>
      </c>
      <c r="Q110" s="29" t="s">
        <v>1639</v>
      </c>
      <c r="R110" s="29" t="s">
        <v>99</v>
      </c>
      <c r="S110" s="29" t="s">
        <v>99</v>
      </c>
      <c r="T110" s="29" t="s">
        <v>99</v>
      </c>
      <c r="U110" s="29" t="s">
        <v>99</v>
      </c>
      <c r="V110" s="29" t="s">
        <v>99</v>
      </c>
      <c r="W110" s="29" t="s">
        <v>99</v>
      </c>
      <c r="X110" s="29" t="s">
        <v>99</v>
      </c>
      <c r="Y110" s="29" t="s">
        <v>99</v>
      </c>
      <c r="Z110" s="29" t="s">
        <v>99</v>
      </c>
      <c r="AA110" s="29" t="s">
        <v>100</v>
      </c>
      <c r="AB110" s="29" t="s">
        <v>100</v>
      </c>
      <c r="AC110" s="29" t="s">
        <v>100</v>
      </c>
      <c r="AD110" s="29" t="s">
        <v>100</v>
      </c>
      <c r="AE110" s="29" t="s">
        <v>343</v>
      </c>
      <c r="AF110" s="29" t="s">
        <v>246</v>
      </c>
      <c r="AG110" s="29" t="s">
        <v>1640</v>
      </c>
      <c r="AH110" s="29" t="s">
        <v>99</v>
      </c>
      <c r="AI110" s="29" t="s">
        <v>99</v>
      </c>
      <c r="AJ110" s="29" t="s">
        <v>99</v>
      </c>
      <c r="AK110" s="29" t="s">
        <v>99</v>
      </c>
      <c r="AL110" s="29">
        <v>73.2</v>
      </c>
      <c r="AM110" s="29">
        <v>172</v>
      </c>
      <c r="AN110" s="29">
        <v>86</v>
      </c>
      <c r="AO110" s="29">
        <v>100</v>
      </c>
      <c r="AP110" s="29">
        <v>22.6</v>
      </c>
      <c r="AQ110" s="29">
        <v>8</v>
      </c>
      <c r="AR110" s="29">
        <v>37.9</v>
      </c>
      <c r="AS110" s="29">
        <v>37</v>
      </c>
      <c r="AT110" s="70">
        <v>24.7</v>
      </c>
      <c r="AU110" s="29">
        <v>116</v>
      </c>
      <c r="AV110" s="29">
        <v>86</v>
      </c>
      <c r="AW110" s="29"/>
      <c r="AX110" s="29" t="s">
        <v>592</v>
      </c>
      <c r="AY110" s="29"/>
      <c r="AZ110" s="29"/>
      <c r="BA110" s="29"/>
      <c r="BB110" s="29" t="s">
        <v>1641</v>
      </c>
      <c r="BC110" s="29"/>
      <c r="BD110" s="29"/>
      <c r="BE110" s="29" t="s">
        <v>351</v>
      </c>
      <c r="BF110" s="29" t="s">
        <v>1642</v>
      </c>
      <c r="BG110" s="29" t="s">
        <v>1643</v>
      </c>
      <c r="BH110" s="29"/>
      <c r="BI110" s="29" t="s">
        <v>682</v>
      </c>
      <c r="BJ110" s="29"/>
      <c r="BK110" s="29" t="s">
        <v>216</v>
      </c>
      <c r="BL110" s="29"/>
      <c r="BM110" s="29"/>
      <c r="BN110" s="29" t="s">
        <v>1644</v>
      </c>
      <c r="BO110" s="29" t="s">
        <v>1645</v>
      </c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 t="s">
        <v>1100</v>
      </c>
      <c r="CA110" s="29" t="s">
        <v>709</v>
      </c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 t="s">
        <v>980</v>
      </c>
      <c r="CM110" s="29" t="s">
        <v>579</v>
      </c>
      <c r="CN110" s="29"/>
      <c r="CO110" s="29"/>
      <c r="CP110" s="29" t="s">
        <v>362</v>
      </c>
      <c r="CQ110" s="29"/>
      <c r="CR110" s="29"/>
      <c r="CS110" s="29"/>
      <c r="CT110" s="29"/>
      <c r="CU110" s="29"/>
      <c r="CV110" s="29"/>
      <c r="CW110" s="29">
        <v>3</v>
      </c>
      <c r="CX110" s="29" t="s">
        <v>99</v>
      </c>
      <c r="CY110" s="29" t="s">
        <v>1646</v>
      </c>
      <c r="CZ110" s="29"/>
      <c r="DA110" s="29"/>
      <c r="DB110" s="29"/>
      <c r="DC110" s="29">
        <v>82.1</v>
      </c>
      <c r="DD110" s="29">
        <v>1.21</v>
      </c>
      <c r="DE110" s="48">
        <v>219</v>
      </c>
      <c r="DF110" s="48">
        <v>235</v>
      </c>
      <c r="DG110" s="9">
        <f t="shared" si="1"/>
        <v>4.9337617653012709</v>
      </c>
      <c r="DH110" s="29">
        <v>47</v>
      </c>
      <c r="DI110" s="29">
        <v>6.93</v>
      </c>
      <c r="DJ110" s="29"/>
      <c r="DK110" s="29"/>
      <c r="DL110" s="29">
        <v>42.2</v>
      </c>
      <c r="DM110" s="29">
        <v>129.80000000000001</v>
      </c>
      <c r="DN110" s="29"/>
      <c r="DO110" s="29"/>
      <c r="DP110" s="29">
        <v>3</v>
      </c>
      <c r="DQ110" s="29"/>
      <c r="DR110" s="29"/>
      <c r="DS110" s="29"/>
      <c r="DT110" s="29"/>
      <c r="DU110" s="29">
        <v>5.5</v>
      </c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</row>
    <row r="111" spans="1:157" customFormat="1" x14ac:dyDescent="0.2">
      <c r="A111" s="70" t="s">
        <v>1647</v>
      </c>
      <c r="B111" s="69">
        <v>43796</v>
      </c>
      <c r="C111" s="29" t="s">
        <v>675</v>
      </c>
      <c r="D111" s="29">
        <v>25</v>
      </c>
      <c r="E111" s="29" t="s">
        <v>100</v>
      </c>
      <c r="F111" s="69">
        <v>34344</v>
      </c>
      <c r="G111" s="29" t="s">
        <v>1648</v>
      </c>
      <c r="H111" s="29" t="s">
        <v>1649</v>
      </c>
      <c r="I111" s="29"/>
      <c r="J111" s="29"/>
      <c r="K111" s="29"/>
      <c r="L111" s="29"/>
      <c r="M111" s="29" t="s">
        <v>99</v>
      </c>
      <c r="N111" s="29" t="s">
        <v>99</v>
      </c>
      <c r="O111" s="29" t="s">
        <v>99</v>
      </c>
      <c r="P111" s="29" t="s">
        <v>99</v>
      </c>
      <c r="Q111" s="29" t="s">
        <v>1650</v>
      </c>
      <c r="R111" s="29" t="s">
        <v>99</v>
      </c>
      <c r="S111" s="29" t="s">
        <v>99</v>
      </c>
      <c r="T111" s="29" t="s">
        <v>99</v>
      </c>
      <c r="U111" s="29" t="s">
        <v>99</v>
      </c>
      <c r="V111" s="29" t="s">
        <v>1651</v>
      </c>
      <c r="W111" s="29"/>
      <c r="X111" s="29" t="s">
        <v>1652</v>
      </c>
      <c r="Y111" s="29"/>
      <c r="Z111" s="29" t="s">
        <v>1653</v>
      </c>
      <c r="AA111" s="29" t="s">
        <v>1654</v>
      </c>
      <c r="AB111" s="29" t="s">
        <v>100</v>
      </c>
      <c r="AC111" s="29" t="s">
        <v>100</v>
      </c>
      <c r="AD111" s="29" t="s">
        <v>100</v>
      </c>
      <c r="AE111" s="29" t="s">
        <v>1655</v>
      </c>
      <c r="AF111" s="29" t="s">
        <v>99</v>
      </c>
      <c r="AG111" s="29" t="s">
        <v>99</v>
      </c>
      <c r="AH111" s="29" t="s">
        <v>99</v>
      </c>
      <c r="AI111" s="29" t="s">
        <v>99</v>
      </c>
      <c r="AJ111" s="29" t="s">
        <v>99</v>
      </c>
      <c r="AK111" s="29" t="s">
        <v>99</v>
      </c>
      <c r="AL111" s="29">
        <v>69.5</v>
      </c>
      <c r="AM111" s="29">
        <v>173</v>
      </c>
      <c r="AN111" s="29">
        <v>81</v>
      </c>
      <c r="AO111" s="29">
        <v>96</v>
      </c>
      <c r="AP111" s="29">
        <v>15.8</v>
      </c>
      <c r="AQ111" s="29">
        <v>6</v>
      </c>
      <c r="AR111" s="29">
        <v>42.8</v>
      </c>
      <c r="AS111" s="29">
        <v>26</v>
      </c>
      <c r="AT111" s="70">
        <v>23.2</v>
      </c>
      <c r="AU111" s="29">
        <v>116</v>
      </c>
      <c r="AV111" s="29">
        <v>63</v>
      </c>
      <c r="AW111" s="29" t="s">
        <v>351</v>
      </c>
      <c r="AX111" s="29" t="s">
        <v>1656</v>
      </c>
      <c r="AY111" s="29" t="s">
        <v>1657</v>
      </c>
      <c r="AZ111" s="29" t="s">
        <v>1128</v>
      </c>
      <c r="BA111" s="29"/>
      <c r="BB111" s="29" t="s">
        <v>1641</v>
      </c>
      <c r="BC111" s="29" t="s">
        <v>1080</v>
      </c>
      <c r="BD111" s="29" t="s">
        <v>749</v>
      </c>
      <c r="BE111" s="29"/>
      <c r="BF111" s="29" t="s">
        <v>1658</v>
      </c>
      <c r="BG111" s="29" t="s">
        <v>351</v>
      </c>
      <c r="BH111" s="29" t="s">
        <v>682</v>
      </c>
      <c r="BI111" s="29" t="s">
        <v>1468</v>
      </c>
      <c r="BJ111" s="29" t="s">
        <v>351</v>
      </c>
      <c r="BK111" s="29" t="s">
        <v>682</v>
      </c>
      <c r="BL111" s="29"/>
      <c r="BM111" s="29"/>
      <c r="BN111" s="29" t="s">
        <v>180</v>
      </c>
      <c r="BO111" s="29" t="s">
        <v>125</v>
      </c>
      <c r="BP111" s="29" t="s">
        <v>179</v>
      </c>
      <c r="BQ111" s="29"/>
      <c r="BR111" s="29"/>
      <c r="BS111" s="29"/>
      <c r="BT111" s="29"/>
      <c r="BU111" s="29"/>
      <c r="BV111" s="29" t="s">
        <v>734</v>
      </c>
      <c r="BW111" s="29" t="s">
        <v>1573</v>
      </c>
      <c r="BX111" s="29"/>
      <c r="BY111" s="29"/>
      <c r="BZ111" s="29" t="s">
        <v>183</v>
      </c>
      <c r="CA111" s="29" t="s">
        <v>182</v>
      </c>
      <c r="CB111" s="29" t="s">
        <v>822</v>
      </c>
      <c r="CC111" s="29"/>
      <c r="CD111" s="29" t="s">
        <v>578</v>
      </c>
      <c r="CE111" s="29"/>
      <c r="CF111" s="29"/>
      <c r="CG111" s="29"/>
      <c r="CH111" s="29"/>
      <c r="CI111" s="29"/>
      <c r="CJ111" s="29"/>
      <c r="CK111" s="29"/>
      <c r="CL111" s="29" t="s">
        <v>980</v>
      </c>
      <c r="CM111" s="29" t="s">
        <v>1181</v>
      </c>
      <c r="CN111" s="29" t="s">
        <v>1659</v>
      </c>
      <c r="CO111" s="29"/>
      <c r="CP111" s="29" t="s">
        <v>362</v>
      </c>
      <c r="CQ111" s="29" t="s">
        <v>716</v>
      </c>
      <c r="CR111" s="29" t="s">
        <v>361</v>
      </c>
      <c r="CS111" s="29"/>
      <c r="CT111" s="29" t="s">
        <v>1660</v>
      </c>
      <c r="CU111" s="29" t="s">
        <v>1661</v>
      </c>
      <c r="CV111" s="29" t="s">
        <v>187</v>
      </c>
      <c r="CW111" s="29">
        <v>4</v>
      </c>
      <c r="CX111" s="29" t="s">
        <v>110</v>
      </c>
      <c r="CY111" s="29" t="s">
        <v>110</v>
      </c>
      <c r="CZ111" s="29"/>
      <c r="DA111" s="29"/>
      <c r="DB111" s="29"/>
      <c r="DC111" s="29">
        <v>91</v>
      </c>
      <c r="DD111" s="29">
        <v>1.06</v>
      </c>
      <c r="DE111" s="29">
        <v>116</v>
      </c>
      <c r="DF111" s="29">
        <v>38</v>
      </c>
      <c r="DG111" s="9">
        <f t="shared" si="1"/>
        <v>4.0742228331216177</v>
      </c>
      <c r="DH111" s="29">
        <v>7.6</v>
      </c>
      <c r="DI111" s="29">
        <v>4.5</v>
      </c>
      <c r="DJ111" s="29"/>
      <c r="DK111" s="29"/>
      <c r="DL111" s="29">
        <v>51.6</v>
      </c>
      <c r="DM111" s="29">
        <v>56.8</v>
      </c>
      <c r="DN111" s="29"/>
      <c r="DO111" s="29"/>
      <c r="DP111" s="29">
        <v>3</v>
      </c>
      <c r="DQ111" s="29"/>
      <c r="DR111" s="29">
        <v>2</v>
      </c>
      <c r="DS111" s="29"/>
      <c r="DT111" s="29"/>
      <c r="DU111" s="29">
        <v>3.3</v>
      </c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  <c r="EP111" s="29"/>
      <c r="EQ111" s="29"/>
      <c r="ER111" s="29"/>
      <c r="ES111" s="29"/>
      <c r="ET111" s="29"/>
      <c r="EU111" s="29"/>
      <c r="EV111" s="29"/>
      <c r="EW111" s="29"/>
      <c r="EX111" s="29"/>
      <c r="EY111" s="29"/>
      <c r="EZ111" s="29"/>
      <c r="FA111" s="29"/>
    </row>
    <row r="112" spans="1:157" customFormat="1" x14ac:dyDescent="0.2">
      <c r="A112" s="29" t="s">
        <v>1662</v>
      </c>
      <c r="B112" s="69">
        <v>43795</v>
      </c>
      <c r="C112" s="29" t="s">
        <v>675</v>
      </c>
      <c r="D112" s="29">
        <v>49</v>
      </c>
      <c r="E112" s="29" t="s">
        <v>100</v>
      </c>
      <c r="F112" s="69">
        <v>25603</v>
      </c>
      <c r="G112" s="29" t="s">
        <v>339</v>
      </c>
      <c r="H112" s="29" t="s">
        <v>1663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 t="s">
        <v>100</v>
      </c>
      <c r="AB112" s="29" t="s">
        <v>100</v>
      </c>
      <c r="AC112" s="29"/>
      <c r="AD112" s="29"/>
      <c r="AE112" s="29" t="s">
        <v>246</v>
      </c>
      <c r="AF112" s="29" t="s">
        <v>246</v>
      </c>
      <c r="AG112" s="29"/>
      <c r="AH112" s="29"/>
      <c r="AI112" s="29"/>
      <c r="AJ112" s="29"/>
      <c r="AK112" s="29"/>
      <c r="AL112" s="29">
        <v>90.7</v>
      </c>
      <c r="AM112" s="29">
        <v>172</v>
      </c>
      <c r="AN112" s="29">
        <v>103</v>
      </c>
      <c r="AO112" s="29">
        <v>110</v>
      </c>
      <c r="AP112" s="29">
        <v>32.299999999999997</v>
      </c>
      <c r="AQ112" s="29">
        <v>15</v>
      </c>
      <c r="AR112" s="29">
        <v>31</v>
      </c>
      <c r="AS112" s="29">
        <v>63</v>
      </c>
      <c r="AT112" s="29">
        <v>30.7</v>
      </c>
      <c r="AU112" s="48">
        <v>153</v>
      </c>
      <c r="AV112" s="48">
        <v>107</v>
      </c>
      <c r="AW112" s="29"/>
      <c r="AX112" s="29" t="s">
        <v>573</v>
      </c>
      <c r="AY112" s="29" t="s">
        <v>592</v>
      </c>
      <c r="AZ112" s="29" t="s">
        <v>1128</v>
      </c>
      <c r="BA112" s="29"/>
      <c r="BB112" s="29" t="s">
        <v>749</v>
      </c>
      <c r="BC112" s="29" t="s">
        <v>750</v>
      </c>
      <c r="BD112" s="29" t="s">
        <v>1130</v>
      </c>
      <c r="BE112" s="29"/>
      <c r="BF112" s="29" t="s">
        <v>351</v>
      </c>
      <c r="BG112" s="29" t="s">
        <v>351</v>
      </c>
      <c r="BH112" s="29" t="s">
        <v>350</v>
      </c>
      <c r="BI112" s="29" t="s">
        <v>350</v>
      </c>
      <c r="BJ112" s="29" t="s">
        <v>351</v>
      </c>
      <c r="BK112" s="29" t="s">
        <v>350</v>
      </c>
      <c r="BL112" s="29"/>
      <c r="BM112" s="29"/>
      <c r="BN112" s="29" t="s">
        <v>352</v>
      </c>
      <c r="BO112" s="29" t="s">
        <v>1664</v>
      </c>
      <c r="BP112" s="29" t="s">
        <v>178</v>
      </c>
      <c r="BQ112" s="29"/>
      <c r="BR112" s="29"/>
      <c r="BS112" s="29"/>
      <c r="BT112" s="29"/>
      <c r="BU112" s="29"/>
      <c r="BV112" s="29"/>
      <c r="BW112" s="29"/>
      <c r="BX112" s="29"/>
      <c r="BY112" s="29"/>
      <c r="BZ112" s="29" t="s">
        <v>182</v>
      </c>
      <c r="CA112" s="29" t="s">
        <v>183</v>
      </c>
      <c r="CB112" s="29" t="s">
        <v>577</v>
      </c>
      <c r="CC112" s="29"/>
      <c r="CD112" s="29"/>
      <c r="CE112" s="29"/>
      <c r="CF112" s="29"/>
      <c r="CG112" s="29"/>
      <c r="CH112" s="29"/>
      <c r="CI112" s="29"/>
      <c r="CJ112" s="29"/>
      <c r="CK112" s="29" t="s">
        <v>351</v>
      </c>
      <c r="CL112" s="29"/>
      <c r="CM112" s="29"/>
      <c r="CN112" s="29"/>
      <c r="CO112" s="29"/>
      <c r="CP112" s="29"/>
      <c r="CQ112" s="29"/>
      <c r="CR112" s="29"/>
      <c r="CS112" s="29" t="s">
        <v>350</v>
      </c>
      <c r="CT112" s="29"/>
      <c r="CU112" s="29"/>
      <c r="CV112" s="29"/>
      <c r="CW112" s="29">
        <v>3</v>
      </c>
      <c r="CX112" s="29"/>
      <c r="CY112" s="29"/>
      <c r="CZ112" s="29"/>
      <c r="DA112" s="29"/>
      <c r="DB112" s="29"/>
      <c r="DC112" s="29">
        <v>89.3</v>
      </c>
      <c r="DD112" s="29">
        <v>1.04</v>
      </c>
      <c r="DE112" s="48">
        <v>224</v>
      </c>
      <c r="DF112" s="48">
        <v>336</v>
      </c>
      <c r="DG112" s="9">
        <f t="shared" si="1"/>
        <v>5.1545563239228285</v>
      </c>
      <c r="DH112" s="29">
        <v>67.2</v>
      </c>
      <c r="DI112" s="48">
        <v>8.06</v>
      </c>
      <c r="DJ112" s="29"/>
      <c r="DK112" s="29"/>
      <c r="DL112" s="29">
        <v>45.1</v>
      </c>
      <c r="DM112" s="29">
        <v>111.7</v>
      </c>
      <c r="DN112" s="29"/>
      <c r="DO112" s="29"/>
      <c r="DP112" s="29"/>
      <c r="DQ112" s="29"/>
      <c r="DR112" s="29">
        <v>2</v>
      </c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29"/>
      <c r="EZ112" s="29"/>
      <c r="FA112" s="29"/>
    </row>
    <row r="113" spans="1:157" customFormat="1" x14ac:dyDescent="0.2">
      <c r="A113" s="70" t="s">
        <v>1665</v>
      </c>
      <c r="B113" s="69">
        <v>43795</v>
      </c>
      <c r="C113" s="29" t="s">
        <v>196</v>
      </c>
      <c r="D113" s="29">
        <v>36</v>
      </c>
      <c r="E113" s="29" t="s">
        <v>100</v>
      </c>
      <c r="F113" s="69">
        <v>30317</v>
      </c>
      <c r="G113" s="29" t="s">
        <v>1666</v>
      </c>
      <c r="H113" s="29" t="s">
        <v>1667</v>
      </c>
      <c r="I113" s="29"/>
      <c r="J113" s="29"/>
      <c r="K113" s="29">
        <v>2010</v>
      </c>
      <c r="L113" s="29">
        <v>2</v>
      </c>
      <c r="M113" s="29" t="s">
        <v>99</v>
      </c>
      <c r="N113" s="29" t="s">
        <v>99</v>
      </c>
      <c r="O113" s="29" t="s">
        <v>99</v>
      </c>
      <c r="P113" s="29" t="s">
        <v>99</v>
      </c>
      <c r="Q113" s="29" t="s">
        <v>1668</v>
      </c>
      <c r="R113" s="29" t="s">
        <v>99</v>
      </c>
      <c r="S113" s="29" t="s">
        <v>110</v>
      </c>
      <c r="T113" s="29" t="s">
        <v>99</v>
      </c>
      <c r="U113" s="29" t="s">
        <v>99</v>
      </c>
      <c r="V113" s="29" t="s">
        <v>99</v>
      </c>
      <c r="W113" s="29"/>
      <c r="X113" s="29"/>
      <c r="Y113" s="29"/>
      <c r="Z113" s="29"/>
      <c r="AA113" s="29" t="s">
        <v>1460</v>
      </c>
      <c r="AB113" s="29" t="s">
        <v>840</v>
      </c>
      <c r="AC113" s="29"/>
      <c r="AD113" s="29" t="s">
        <v>840</v>
      </c>
      <c r="AE113" s="29" t="s">
        <v>110</v>
      </c>
      <c r="AF113" s="29" t="s">
        <v>110</v>
      </c>
      <c r="AG113" s="29" t="s">
        <v>110</v>
      </c>
      <c r="AH113" s="29"/>
      <c r="AI113" s="29"/>
      <c r="AJ113" s="29"/>
      <c r="AK113" s="29"/>
      <c r="AL113" s="29">
        <v>53.5</v>
      </c>
      <c r="AM113" s="29">
        <v>162</v>
      </c>
      <c r="AN113" s="29">
        <v>70</v>
      </c>
      <c r="AO113" s="29">
        <v>98</v>
      </c>
      <c r="AP113" s="29">
        <v>30.5</v>
      </c>
      <c r="AQ113" s="29">
        <v>4</v>
      </c>
      <c r="AR113" s="29">
        <v>26.8</v>
      </c>
      <c r="AS113" s="29">
        <v>26</v>
      </c>
      <c r="AT113" s="70">
        <v>20.3</v>
      </c>
      <c r="AU113" s="29">
        <v>82</v>
      </c>
      <c r="AV113" s="29">
        <v>52</v>
      </c>
      <c r="AW113" s="29" t="s">
        <v>351</v>
      </c>
      <c r="AX113" s="29"/>
      <c r="AY113" s="29"/>
      <c r="AZ113" s="29"/>
      <c r="BA113" s="29" t="s">
        <v>350</v>
      </c>
      <c r="BB113" s="29"/>
      <c r="BC113" s="29"/>
      <c r="BD113" s="29"/>
      <c r="BE113" s="29" t="s">
        <v>351</v>
      </c>
      <c r="BF113" s="29"/>
      <c r="BG113" s="29"/>
      <c r="BH113" s="29"/>
      <c r="BI113" s="29"/>
      <c r="BJ113" s="29"/>
      <c r="BK113" s="29"/>
      <c r="BL113" s="29" t="s">
        <v>351</v>
      </c>
      <c r="BM113" s="29" t="s">
        <v>179</v>
      </c>
      <c r="BN113" s="29" t="s">
        <v>125</v>
      </c>
      <c r="BO113" s="29" t="s">
        <v>352</v>
      </c>
      <c r="BP113" s="29"/>
      <c r="BQ113" s="29"/>
      <c r="BR113" s="29"/>
      <c r="BS113" s="29"/>
      <c r="BT113" s="29"/>
      <c r="BU113" s="29"/>
      <c r="BV113" s="29" t="s">
        <v>734</v>
      </c>
      <c r="BW113" s="29" t="s">
        <v>1573</v>
      </c>
      <c r="BX113" s="29"/>
      <c r="BY113" s="29" t="s">
        <v>351</v>
      </c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 t="s">
        <v>351</v>
      </c>
      <c r="CL113" s="29"/>
      <c r="CM113" s="29"/>
      <c r="CN113" s="29"/>
      <c r="CO113" s="29" t="s">
        <v>350</v>
      </c>
      <c r="CP113" s="29"/>
      <c r="CQ113" s="29"/>
      <c r="CR113" s="29"/>
      <c r="CS113" s="29" t="s">
        <v>1513</v>
      </c>
      <c r="CT113" s="29"/>
      <c r="CU113" s="29"/>
      <c r="CV113" s="29"/>
      <c r="CW113" s="29">
        <v>3</v>
      </c>
      <c r="CX113" s="29" t="s">
        <v>110</v>
      </c>
      <c r="CY113" s="29" t="s">
        <v>110</v>
      </c>
      <c r="CZ113" s="29">
        <v>50</v>
      </c>
      <c r="DA113" s="29">
        <v>25</v>
      </c>
      <c r="DB113" s="29">
        <v>25</v>
      </c>
      <c r="DC113" s="29">
        <v>67</v>
      </c>
      <c r="DD113" s="29">
        <v>0.75</v>
      </c>
      <c r="DE113" s="29">
        <v>164</v>
      </c>
      <c r="DF113" s="29">
        <v>66</v>
      </c>
      <c r="DG113" s="9">
        <f t="shared" si="1"/>
        <v>4.1971736807086959</v>
      </c>
      <c r="DH113" s="29">
        <v>13.2</v>
      </c>
      <c r="DI113" s="29">
        <v>4.75</v>
      </c>
      <c r="DJ113" s="29"/>
      <c r="DK113" s="29"/>
      <c r="DL113" s="29">
        <v>57.8</v>
      </c>
      <c r="DM113" s="29">
        <v>93</v>
      </c>
      <c r="DN113" s="29"/>
      <c r="DO113" s="29"/>
      <c r="DP113" s="29"/>
      <c r="DQ113" s="29"/>
      <c r="DR113" s="29"/>
      <c r="DS113" s="29"/>
      <c r="DT113" s="29"/>
      <c r="DU113" s="29">
        <v>6.7</v>
      </c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29"/>
      <c r="EZ113" s="29"/>
      <c r="FA113" s="29"/>
    </row>
    <row r="114" spans="1:157" customFormat="1" x14ac:dyDescent="0.2">
      <c r="A114" s="29" t="s">
        <v>1669</v>
      </c>
      <c r="B114" s="69">
        <v>43795</v>
      </c>
      <c r="C114" s="29" t="s">
        <v>675</v>
      </c>
      <c r="D114" s="29">
        <v>52</v>
      </c>
      <c r="E114" s="29" t="s">
        <v>100</v>
      </c>
      <c r="F114" s="69">
        <v>24745</v>
      </c>
      <c r="G114" s="29" t="s">
        <v>234</v>
      </c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>
        <v>67.900000000000006</v>
      </c>
      <c r="AM114" s="29">
        <v>169</v>
      </c>
      <c r="AN114" s="29">
        <v>90</v>
      </c>
      <c r="AO114" s="29">
        <v>100</v>
      </c>
      <c r="AP114" s="29">
        <v>20.399999999999999</v>
      </c>
      <c r="AQ114" s="29">
        <v>8</v>
      </c>
      <c r="AR114" s="29">
        <v>36.799999999999997</v>
      </c>
      <c r="AS114" s="29">
        <v>41</v>
      </c>
      <c r="AT114" s="70">
        <v>23.8</v>
      </c>
      <c r="AU114" s="48">
        <v>138</v>
      </c>
      <c r="AV114" s="48">
        <v>94</v>
      </c>
      <c r="AW114" s="29" t="s">
        <v>351</v>
      </c>
      <c r="AX114" s="29"/>
      <c r="AY114" s="29"/>
      <c r="AZ114" s="29"/>
      <c r="BA114" s="29" t="s">
        <v>351</v>
      </c>
      <c r="BB114" s="29"/>
      <c r="BC114" s="29"/>
      <c r="BD114" s="29"/>
      <c r="BE114" s="29" t="s">
        <v>351</v>
      </c>
      <c r="BF114" s="29" t="s">
        <v>351</v>
      </c>
      <c r="BG114" s="29" t="s">
        <v>351</v>
      </c>
      <c r="BH114" s="29" t="s">
        <v>350</v>
      </c>
      <c r="BI114" s="29" t="s">
        <v>350</v>
      </c>
      <c r="BJ114" s="29" t="s">
        <v>350</v>
      </c>
      <c r="BK114" s="29" t="s">
        <v>350</v>
      </c>
      <c r="BL114" s="29" t="s">
        <v>350</v>
      </c>
      <c r="BM114" s="29"/>
      <c r="BN114" s="29"/>
      <c r="BO114" s="29"/>
      <c r="BP114" s="29"/>
      <c r="BQ114" s="29" t="s">
        <v>350</v>
      </c>
      <c r="BR114" s="29"/>
      <c r="BS114" s="29"/>
      <c r="BT114" s="29"/>
      <c r="BU114" s="29" t="s">
        <v>350</v>
      </c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>
        <v>3</v>
      </c>
      <c r="CX114" s="29"/>
      <c r="CY114" s="29" t="s">
        <v>110</v>
      </c>
      <c r="CZ114" s="29">
        <v>50</v>
      </c>
      <c r="DA114" s="29"/>
      <c r="DB114" s="29"/>
      <c r="DC114" s="29">
        <v>93.6</v>
      </c>
      <c r="DD114" s="29">
        <v>1.1299999999999999</v>
      </c>
      <c r="DE114" s="29">
        <v>143</v>
      </c>
      <c r="DF114" s="48">
        <v>165</v>
      </c>
      <c r="DG114" s="9">
        <f t="shared" si="1"/>
        <v>4.8224879286920634</v>
      </c>
      <c r="DH114" s="29">
        <v>33</v>
      </c>
      <c r="DI114" s="29">
        <v>7.09</v>
      </c>
      <c r="DJ114" s="29"/>
      <c r="DK114" s="29"/>
      <c r="DL114" s="29">
        <v>40.5</v>
      </c>
      <c r="DM114" s="29">
        <v>69.5</v>
      </c>
      <c r="DN114" s="29"/>
      <c r="DO114" s="29"/>
      <c r="DP114" s="29">
        <v>3</v>
      </c>
      <c r="DQ114" s="29"/>
      <c r="DR114" s="31">
        <v>1</v>
      </c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29"/>
      <c r="EZ114" s="29"/>
      <c r="FA114" s="29"/>
    </row>
    <row r="115" spans="1:157" customFormat="1" x14ac:dyDescent="0.2">
      <c r="A115" s="29" t="s">
        <v>1670</v>
      </c>
      <c r="B115" s="26"/>
      <c r="C115" t="s">
        <v>95</v>
      </c>
      <c r="D115">
        <v>24</v>
      </c>
      <c r="F115" s="26"/>
      <c r="V115" s="33"/>
      <c r="DC115">
        <v>75.8</v>
      </c>
      <c r="DD115">
        <v>0.65</v>
      </c>
      <c r="DE115">
        <v>173</v>
      </c>
      <c r="DF115">
        <v>64</v>
      </c>
      <c r="DG115" s="9">
        <f t="shared" si="1"/>
        <v>4.2434906880039991</v>
      </c>
      <c r="DH115">
        <v>12.8</v>
      </c>
      <c r="DI115">
        <v>4.3600000000000003</v>
      </c>
      <c r="DL115">
        <v>60.9</v>
      </c>
      <c r="DM115">
        <v>99.3</v>
      </c>
      <c r="DP115">
        <v>2</v>
      </c>
      <c r="DR115" s="29">
        <v>2</v>
      </c>
    </row>
    <row r="116" spans="1:157" customFormat="1" x14ac:dyDescent="0.2">
      <c r="A116" s="72" t="s">
        <v>1671</v>
      </c>
      <c r="B116" s="26">
        <v>43795</v>
      </c>
      <c r="C116" t="s">
        <v>95</v>
      </c>
      <c r="D116">
        <v>21</v>
      </c>
      <c r="F116" s="26">
        <v>35898</v>
      </c>
      <c r="K116" s="26"/>
      <c r="M116" t="s">
        <v>99</v>
      </c>
      <c r="N116" t="s">
        <v>99</v>
      </c>
      <c r="O116" t="s">
        <v>99</v>
      </c>
      <c r="P116" s="29" t="s">
        <v>99</v>
      </c>
      <c r="Q116" s="29" t="s">
        <v>1672</v>
      </c>
      <c r="R116" s="29"/>
      <c r="S116" s="29"/>
      <c r="T116" s="29"/>
      <c r="U116" s="29"/>
      <c r="V116" s="29"/>
      <c r="W116" s="29"/>
      <c r="X116" s="29"/>
      <c r="Y116" s="29"/>
      <c r="Z116" s="29"/>
      <c r="AA116" s="29" t="s">
        <v>100</v>
      </c>
      <c r="AB116" s="29" t="s">
        <v>100</v>
      </c>
      <c r="AC116" s="29" t="s">
        <v>100</v>
      </c>
      <c r="AD116" s="29" t="s">
        <v>100</v>
      </c>
      <c r="AE116" s="29" t="s">
        <v>99</v>
      </c>
      <c r="AF116" s="29" t="s">
        <v>99</v>
      </c>
      <c r="AG116" s="29" t="s">
        <v>99</v>
      </c>
      <c r="AH116" s="29" t="s">
        <v>99</v>
      </c>
      <c r="AI116" s="29" t="s">
        <v>99</v>
      </c>
      <c r="AJ116" s="29" t="s">
        <v>99</v>
      </c>
      <c r="AK116" s="29" t="s">
        <v>99</v>
      </c>
      <c r="AL116">
        <v>54.3</v>
      </c>
      <c r="AM116">
        <v>165</v>
      </c>
      <c r="AN116">
        <v>72</v>
      </c>
      <c r="AO116">
        <v>94</v>
      </c>
      <c r="AP116">
        <v>27.6</v>
      </c>
      <c r="AQ116">
        <v>2</v>
      </c>
      <c r="AR116">
        <v>28.3</v>
      </c>
      <c r="AS116">
        <v>18</v>
      </c>
      <c r="AT116">
        <v>19.2</v>
      </c>
      <c r="AU116" t="s">
        <v>1673</v>
      </c>
      <c r="AV116" t="s">
        <v>1674</v>
      </c>
      <c r="AX116" t="s">
        <v>1675</v>
      </c>
      <c r="AY116" t="s">
        <v>1676</v>
      </c>
      <c r="AZ116" t="s">
        <v>1677</v>
      </c>
      <c r="BB116" t="s">
        <v>1678</v>
      </c>
      <c r="BC116" t="s">
        <v>1679</v>
      </c>
      <c r="BF116" t="s">
        <v>968</v>
      </c>
      <c r="BH116" t="s">
        <v>968</v>
      </c>
      <c r="BI116" t="s">
        <v>1680</v>
      </c>
      <c r="BJ116" t="s">
        <v>1681</v>
      </c>
      <c r="BK116" t="s">
        <v>1682</v>
      </c>
      <c r="BN116" t="s">
        <v>1683</v>
      </c>
      <c r="BO116" t="s">
        <v>1684</v>
      </c>
      <c r="BV116" t="s">
        <v>1685</v>
      </c>
      <c r="BW116" t="s">
        <v>1686</v>
      </c>
      <c r="BZ116" t="s">
        <v>1687</v>
      </c>
      <c r="CA116" t="s">
        <v>1688</v>
      </c>
      <c r="CB116" t="s">
        <v>1689</v>
      </c>
      <c r="CL116" t="s">
        <v>504</v>
      </c>
      <c r="CM116" t="s">
        <v>1690</v>
      </c>
      <c r="CN116" t="s">
        <v>1681</v>
      </c>
      <c r="CP116" t="s">
        <v>1691</v>
      </c>
      <c r="CQ116" t="s">
        <v>1692</v>
      </c>
      <c r="CT116" t="s">
        <v>1693</v>
      </c>
      <c r="CU116" t="s">
        <v>1694</v>
      </c>
      <c r="CW116">
        <v>3</v>
      </c>
      <c r="CX116" t="s">
        <v>99</v>
      </c>
      <c r="CY116" t="s">
        <v>1695</v>
      </c>
      <c r="CZ116" s="33">
        <v>40</v>
      </c>
      <c r="DA116" s="33">
        <v>10</v>
      </c>
      <c r="DB116" s="33">
        <v>40</v>
      </c>
      <c r="DC116">
        <v>80.599999999999994</v>
      </c>
      <c r="DD116">
        <v>0.94</v>
      </c>
      <c r="DE116">
        <v>154</v>
      </c>
      <c r="DF116">
        <v>54</v>
      </c>
      <c r="DG116" s="9">
        <f t="shared" si="1"/>
        <v>4.1892413480384283</v>
      </c>
      <c r="DH116">
        <v>10.8</v>
      </c>
      <c r="DI116">
        <v>4.4400000000000004</v>
      </c>
      <c r="DL116">
        <v>82</v>
      </c>
      <c r="DM116">
        <v>61.2</v>
      </c>
      <c r="DP116">
        <v>3</v>
      </c>
      <c r="DR116">
        <v>2</v>
      </c>
    </row>
    <row r="117" spans="1:157" customFormat="1" x14ac:dyDescent="0.2">
      <c r="A117" s="73" t="s">
        <v>1696</v>
      </c>
      <c r="B117" s="26">
        <v>43796</v>
      </c>
      <c r="C117" t="s">
        <v>107</v>
      </c>
      <c r="D117">
        <v>49</v>
      </c>
      <c r="E117" t="s">
        <v>1697</v>
      </c>
      <c r="F117" s="26">
        <v>25678</v>
      </c>
      <c r="H117" t="s">
        <v>1698</v>
      </c>
      <c r="K117" s="26"/>
      <c r="M117" t="s">
        <v>99</v>
      </c>
      <c r="N117" t="s">
        <v>99</v>
      </c>
      <c r="O117" t="s">
        <v>110</v>
      </c>
      <c r="P117" s="29" t="s">
        <v>99</v>
      </c>
      <c r="Q117" s="29" t="s">
        <v>1699</v>
      </c>
      <c r="R117" s="29"/>
      <c r="S117" s="29" t="s">
        <v>110</v>
      </c>
      <c r="T117" s="29" t="s">
        <v>1700</v>
      </c>
      <c r="U117" s="29" t="s">
        <v>1701</v>
      </c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>
        <v>77.599999999999994</v>
      </c>
      <c r="AM117">
        <v>168</v>
      </c>
      <c r="AN117">
        <v>93</v>
      </c>
      <c r="AO117">
        <v>100</v>
      </c>
      <c r="AP117">
        <v>31.6</v>
      </c>
      <c r="AQ117">
        <v>13</v>
      </c>
      <c r="AR117">
        <v>30.6</v>
      </c>
      <c r="AS117">
        <v>54</v>
      </c>
      <c r="AT117">
        <v>27.5</v>
      </c>
      <c r="AU117" t="s">
        <v>1702</v>
      </c>
      <c r="AV117" t="s">
        <v>1703</v>
      </c>
      <c r="AX117" t="s">
        <v>488</v>
      </c>
      <c r="BF117" t="s">
        <v>375</v>
      </c>
      <c r="BG117" t="s">
        <v>322</v>
      </c>
      <c r="BI117" t="s">
        <v>276</v>
      </c>
      <c r="BK117" t="s">
        <v>276</v>
      </c>
      <c r="BN117" t="s">
        <v>938</v>
      </c>
      <c r="BO117" t="s">
        <v>376</v>
      </c>
      <c r="BZ117" t="s">
        <v>415</v>
      </c>
      <c r="CA117" t="s">
        <v>1267</v>
      </c>
      <c r="CB117" t="s">
        <v>1704</v>
      </c>
      <c r="CL117" t="s">
        <v>1705</v>
      </c>
      <c r="CP117" t="s">
        <v>1706</v>
      </c>
      <c r="CQ117" t="s">
        <v>1707</v>
      </c>
      <c r="CR117" t="s">
        <v>1708</v>
      </c>
      <c r="CW117">
        <v>3</v>
      </c>
      <c r="CY117" t="s">
        <v>110</v>
      </c>
      <c r="DC117">
        <v>111.9</v>
      </c>
      <c r="DD117">
        <v>1.01</v>
      </c>
      <c r="DE117">
        <v>253</v>
      </c>
      <c r="DF117">
        <v>366</v>
      </c>
      <c r="DG117" s="9">
        <f t="shared" si="1"/>
        <v>5.3101194743596229</v>
      </c>
      <c r="DH117">
        <v>73.2</v>
      </c>
      <c r="DI117">
        <v>6.81</v>
      </c>
      <c r="DL117">
        <v>53.7</v>
      </c>
      <c r="DM117">
        <v>126.1</v>
      </c>
      <c r="DP117">
        <v>3</v>
      </c>
      <c r="DR117">
        <v>3</v>
      </c>
    </row>
    <row r="118" spans="1:157" customFormat="1" x14ac:dyDescent="0.2">
      <c r="A118" t="s">
        <v>1709</v>
      </c>
      <c r="B118" s="26">
        <v>43467</v>
      </c>
      <c r="C118" t="s">
        <v>107</v>
      </c>
      <c r="D118">
        <v>23</v>
      </c>
      <c r="E118" t="s">
        <v>96</v>
      </c>
      <c r="F118" s="26">
        <v>35086</v>
      </c>
      <c r="G118" t="s">
        <v>162</v>
      </c>
      <c r="H118" t="s">
        <v>162</v>
      </c>
      <c r="M118" t="s">
        <v>162</v>
      </c>
      <c r="N118" t="s">
        <v>162</v>
      </c>
      <c r="O118" t="s">
        <v>162</v>
      </c>
      <c r="P118" s="29" t="s">
        <v>1710</v>
      </c>
      <c r="Q118" s="29" t="s">
        <v>1711</v>
      </c>
      <c r="R118" s="29" t="s">
        <v>1700</v>
      </c>
      <c r="S118" s="29" t="s">
        <v>162</v>
      </c>
      <c r="T118" s="29" t="s">
        <v>162</v>
      </c>
      <c r="U118" s="29" t="s">
        <v>99</v>
      </c>
      <c r="V118" s="29" t="s">
        <v>99</v>
      </c>
      <c r="W118" s="29" t="s">
        <v>162</v>
      </c>
      <c r="X118" s="29" t="s">
        <v>162</v>
      </c>
      <c r="Y118" s="29" t="s">
        <v>162</v>
      </c>
      <c r="Z118" t="s">
        <v>162</v>
      </c>
      <c r="AA118" t="s">
        <v>100</v>
      </c>
      <c r="AB118" t="s">
        <v>100</v>
      </c>
      <c r="AC118" t="s">
        <v>100</v>
      </c>
      <c r="AD118" t="s">
        <v>100</v>
      </c>
      <c r="AE118" t="s">
        <v>110</v>
      </c>
      <c r="AF118" t="s">
        <v>110</v>
      </c>
      <c r="AG118" t="s">
        <v>110</v>
      </c>
      <c r="AH118" t="s">
        <v>99</v>
      </c>
      <c r="AI118" t="s">
        <v>99</v>
      </c>
      <c r="AJ118" t="s">
        <v>99</v>
      </c>
      <c r="AK118" t="s">
        <v>99</v>
      </c>
      <c r="AL118">
        <v>96.5</v>
      </c>
      <c r="AM118">
        <v>180</v>
      </c>
      <c r="AN118">
        <v>100</v>
      </c>
      <c r="AO118">
        <v>114</v>
      </c>
      <c r="AP118">
        <v>30.6</v>
      </c>
      <c r="AQ118">
        <v>11</v>
      </c>
      <c r="AR118">
        <v>33.9</v>
      </c>
      <c r="AS118">
        <v>58</v>
      </c>
      <c r="AT118">
        <v>29.8</v>
      </c>
      <c r="AU118" t="s">
        <v>1712</v>
      </c>
      <c r="AV118" t="s">
        <v>1713</v>
      </c>
      <c r="AW118" t="s">
        <v>322</v>
      </c>
      <c r="AX118" s="33" t="s">
        <v>1714</v>
      </c>
      <c r="AY118" s="33" t="s">
        <v>1715</v>
      </c>
      <c r="AZ118" s="33" t="s">
        <v>1716</v>
      </c>
      <c r="BA118" t="s">
        <v>375</v>
      </c>
      <c r="BE118" t="s">
        <v>322</v>
      </c>
      <c r="BF118" t="s">
        <v>110</v>
      </c>
      <c r="BG118" t="s">
        <v>110</v>
      </c>
      <c r="BH118" t="s">
        <v>110</v>
      </c>
      <c r="BI118" t="s">
        <v>110</v>
      </c>
      <c r="BJ118" t="s">
        <v>110</v>
      </c>
      <c r="BK118" t="s">
        <v>110</v>
      </c>
      <c r="BL118" t="s">
        <v>322</v>
      </c>
      <c r="BQ118" t="s">
        <v>99</v>
      </c>
      <c r="BU118" t="s">
        <v>110</v>
      </c>
      <c r="BY118" t="s">
        <v>162</v>
      </c>
      <c r="BZ118" t="s">
        <v>162</v>
      </c>
      <c r="CA118" t="s">
        <v>162</v>
      </c>
      <c r="CB118" t="s">
        <v>162</v>
      </c>
      <c r="CC118" t="s">
        <v>162</v>
      </c>
      <c r="CD118" t="s">
        <v>162</v>
      </c>
      <c r="CE118" t="s">
        <v>162</v>
      </c>
      <c r="CF118" t="s">
        <v>162</v>
      </c>
      <c r="CG118" t="s">
        <v>162</v>
      </c>
      <c r="CH118" t="s">
        <v>162</v>
      </c>
      <c r="CI118" t="s">
        <v>162</v>
      </c>
      <c r="CJ118" t="s">
        <v>162</v>
      </c>
      <c r="CK118" t="s">
        <v>162</v>
      </c>
      <c r="CL118" t="s">
        <v>162</v>
      </c>
      <c r="CM118" t="s">
        <v>162</v>
      </c>
      <c r="CN118" t="s">
        <v>162</v>
      </c>
      <c r="CO118" t="s">
        <v>162</v>
      </c>
      <c r="CP118" t="s">
        <v>162</v>
      </c>
      <c r="CQ118" t="s">
        <v>162</v>
      </c>
      <c r="CR118" t="s">
        <v>162</v>
      </c>
      <c r="CS118" t="s">
        <v>162</v>
      </c>
      <c r="CT118" t="s">
        <v>162</v>
      </c>
      <c r="CU118" t="s">
        <v>162</v>
      </c>
      <c r="CV118" t="s">
        <v>162</v>
      </c>
      <c r="CW118" t="s">
        <v>162</v>
      </c>
      <c r="CX118" t="s">
        <v>162</v>
      </c>
      <c r="CY118" t="s">
        <v>162</v>
      </c>
      <c r="CZ118" t="s">
        <v>162</v>
      </c>
      <c r="DA118" t="s">
        <v>162</v>
      </c>
      <c r="DB118" t="s">
        <v>162</v>
      </c>
      <c r="DC118">
        <v>91</v>
      </c>
      <c r="DD118">
        <v>1.03</v>
      </c>
      <c r="DE118">
        <v>177</v>
      </c>
      <c r="DF118">
        <v>94</v>
      </c>
      <c r="DG118" s="9">
        <f t="shared" si="1"/>
        <v>4.5270771443934272</v>
      </c>
      <c r="DH118">
        <v>18.8</v>
      </c>
      <c r="DI118">
        <v>6.31</v>
      </c>
      <c r="DL118">
        <v>47.8</v>
      </c>
      <c r="DM118">
        <v>110.4</v>
      </c>
    </row>
    <row r="119" spans="1:157" customFormat="1" x14ac:dyDescent="0.2">
      <c r="A119" s="70" t="s">
        <v>1717</v>
      </c>
      <c r="B119" s="69">
        <v>43795</v>
      </c>
      <c r="C119" s="29" t="s">
        <v>675</v>
      </c>
      <c r="D119" s="29">
        <v>19</v>
      </c>
      <c r="E119" s="29" t="s">
        <v>100</v>
      </c>
      <c r="F119" s="69">
        <v>43840</v>
      </c>
      <c r="G119" s="29" t="s">
        <v>1718</v>
      </c>
      <c r="H119" s="29" t="s">
        <v>1667</v>
      </c>
      <c r="I119" s="29"/>
      <c r="J119" s="29"/>
      <c r="K119" s="29"/>
      <c r="L119" s="29"/>
      <c r="M119" s="29" t="s">
        <v>99</v>
      </c>
      <c r="N119" s="29" t="s">
        <v>99</v>
      </c>
      <c r="O119" s="29" t="s">
        <v>99</v>
      </c>
      <c r="P119" s="29" t="s">
        <v>99</v>
      </c>
      <c r="Q119" s="29" t="s">
        <v>99</v>
      </c>
      <c r="R119" s="29" t="s">
        <v>99</v>
      </c>
      <c r="S119" s="29" t="s">
        <v>99</v>
      </c>
      <c r="T119" s="29" t="s">
        <v>1719</v>
      </c>
      <c r="U119" s="29" t="s">
        <v>99</v>
      </c>
      <c r="V119" s="29" t="s">
        <v>99</v>
      </c>
      <c r="W119" s="29" t="s">
        <v>1720</v>
      </c>
      <c r="X119" s="29"/>
      <c r="Y119" s="29"/>
      <c r="Z119" s="29"/>
      <c r="AA119" s="29" t="s">
        <v>100</v>
      </c>
      <c r="AB119" s="29" t="s">
        <v>1123</v>
      </c>
      <c r="AC119" s="29" t="s">
        <v>840</v>
      </c>
      <c r="AD119" s="29" t="s">
        <v>1123</v>
      </c>
      <c r="AE119" s="29" t="s">
        <v>1721</v>
      </c>
      <c r="AF119" s="29" t="s">
        <v>1721</v>
      </c>
      <c r="AG119" s="29" t="s">
        <v>1722</v>
      </c>
      <c r="AH119" s="29" t="s">
        <v>99</v>
      </c>
      <c r="AI119" s="29" t="s">
        <v>99</v>
      </c>
      <c r="AJ119" s="29" t="s">
        <v>1723</v>
      </c>
      <c r="AK119" s="29" t="s">
        <v>99</v>
      </c>
      <c r="AL119" s="29">
        <v>69.5</v>
      </c>
      <c r="AM119" s="29">
        <v>173</v>
      </c>
      <c r="AN119" s="29">
        <v>82</v>
      </c>
      <c r="AO119" s="29">
        <v>103</v>
      </c>
      <c r="AP119" s="29">
        <v>23.9</v>
      </c>
      <c r="AQ119" s="29">
        <v>6</v>
      </c>
      <c r="AR119" s="29">
        <v>37.799999999999997</v>
      </c>
      <c r="AS119" s="29">
        <v>29</v>
      </c>
      <c r="AT119" s="70">
        <v>23.2</v>
      </c>
      <c r="AU119" s="29">
        <v>98</v>
      </c>
      <c r="AV119" s="29">
        <v>72</v>
      </c>
      <c r="AW119" s="29"/>
      <c r="AX119" s="29" t="s">
        <v>1600</v>
      </c>
      <c r="AY119" s="29"/>
      <c r="AZ119" s="29"/>
      <c r="BA119" s="29"/>
      <c r="BB119" s="29"/>
      <c r="BC119" s="29"/>
      <c r="BD119" s="29"/>
      <c r="BE119" s="29"/>
      <c r="BF119" s="29" t="s">
        <v>350</v>
      </c>
      <c r="BG119" s="29" t="s">
        <v>350</v>
      </c>
      <c r="BH119" s="29" t="s">
        <v>350</v>
      </c>
      <c r="BI119" s="29" t="s">
        <v>350</v>
      </c>
      <c r="BJ119" s="29" t="s">
        <v>350</v>
      </c>
      <c r="BK119" s="29" t="s">
        <v>350</v>
      </c>
      <c r="BL119" s="29" t="s">
        <v>1724</v>
      </c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 t="s">
        <v>182</v>
      </c>
      <c r="CA119" s="29" t="s">
        <v>183</v>
      </c>
      <c r="CB119" s="29" t="s">
        <v>577</v>
      </c>
      <c r="CC119" s="29"/>
      <c r="CD119" s="29"/>
      <c r="CE119" s="29"/>
      <c r="CF119" s="29"/>
      <c r="CG119" s="29"/>
      <c r="CH119" s="29"/>
      <c r="CI119" s="29"/>
      <c r="CJ119" s="29"/>
      <c r="CK119" s="29"/>
      <c r="CL119" s="29" t="s">
        <v>980</v>
      </c>
      <c r="CM119" s="29" t="s">
        <v>1180</v>
      </c>
      <c r="CN119" s="29"/>
      <c r="CO119" s="29"/>
      <c r="CP119" s="29"/>
      <c r="CQ119" s="29"/>
      <c r="CR119" s="29"/>
      <c r="CS119" s="29"/>
      <c r="CT119" s="29" t="s">
        <v>363</v>
      </c>
      <c r="CU119" s="29" t="s">
        <v>1725</v>
      </c>
      <c r="CV119" s="29"/>
      <c r="CW119" s="29">
        <v>3</v>
      </c>
      <c r="CX119" s="29" t="s">
        <v>110</v>
      </c>
      <c r="CY119" s="29" t="s">
        <v>99</v>
      </c>
      <c r="CZ119" s="29">
        <v>30</v>
      </c>
      <c r="DA119" s="29">
        <v>5</v>
      </c>
      <c r="DB119" s="29">
        <v>65</v>
      </c>
      <c r="DC119" s="29">
        <v>68.400000000000006</v>
      </c>
      <c r="DD119" s="29">
        <v>0.89</v>
      </c>
      <c r="DE119" s="29">
        <v>147</v>
      </c>
      <c r="DF119" s="29">
        <v>119</v>
      </c>
      <c r="DG119" s="9">
        <f t="shared" si="1"/>
        <v>4.5022481588700174</v>
      </c>
      <c r="DH119" s="29">
        <v>23.8</v>
      </c>
      <c r="DI119" s="29">
        <v>5.81</v>
      </c>
      <c r="DJ119" s="29"/>
      <c r="DK119" s="29"/>
      <c r="DL119" s="29">
        <v>48.8</v>
      </c>
      <c r="DM119" s="29">
        <v>74.400000000000006</v>
      </c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29"/>
      <c r="EX119" s="29"/>
      <c r="EY119" s="29"/>
      <c r="EZ119" s="29"/>
      <c r="FA119" s="29"/>
    </row>
    <row r="120" spans="1:157" customFormat="1" x14ac:dyDescent="0.2">
      <c r="A120" s="29" t="s">
        <v>1726</v>
      </c>
      <c r="B120" s="69">
        <v>43795</v>
      </c>
      <c r="C120" s="29" t="s">
        <v>675</v>
      </c>
      <c r="D120" s="29">
        <v>20</v>
      </c>
      <c r="E120" s="29" t="s">
        <v>100</v>
      </c>
      <c r="F120" s="69">
        <v>36329</v>
      </c>
      <c r="G120" s="29"/>
      <c r="H120" s="29" t="s">
        <v>1727</v>
      </c>
      <c r="I120" s="29"/>
      <c r="J120" s="29"/>
      <c r="K120" s="29"/>
      <c r="L120" s="29"/>
      <c r="M120" s="29" t="s">
        <v>99</v>
      </c>
      <c r="N120" s="29" t="s">
        <v>99</v>
      </c>
      <c r="O120" s="29" t="s">
        <v>99</v>
      </c>
      <c r="P120" s="29" t="s">
        <v>99</v>
      </c>
      <c r="Q120" s="29" t="s">
        <v>1571</v>
      </c>
      <c r="R120" s="29" t="s">
        <v>99</v>
      </c>
      <c r="S120" s="29"/>
      <c r="T120" s="29"/>
      <c r="U120" s="29"/>
      <c r="V120" s="29"/>
      <c r="W120" s="29"/>
      <c r="X120" s="29"/>
      <c r="Y120" s="29"/>
      <c r="Z120" s="29"/>
      <c r="AA120" s="29" t="s">
        <v>1460</v>
      </c>
      <c r="AB120" s="29"/>
      <c r="AC120" s="29"/>
      <c r="AD120" s="29"/>
      <c r="AE120" s="29" t="s">
        <v>99</v>
      </c>
      <c r="AF120" s="29" t="s">
        <v>99</v>
      </c>
      <c r="AG120" s="29" t="s">
        <v>99</v>
      </c>
      <c r="AH120" s="29" t="s">
        <v>99</v>
      </c>
      <c r="AI120" s="29" t="s">
        <v>1728</v>
      </c>
      <c r="AJ120" s="29" t="s">
        <v>99</v>
      </c>
      <c r="AK120" s="29" t="s">
        <v>99</v>
      </c>
      <c r="AL120" s="29">
        <v>71.599999999999994</v>
      </c>
      <c r="AM120" s="29">
        <v>169</v>
      </c>
      <c r="AN120" s="29">
        <v>84</v>
      </c>
      <c r="AO120" s="29">
        <v>102</v>
      </c>
      <c r="AP120" s="29">
        <v>25.9</v>
      </c>
      <c r="AQ120" s="29">
        <v>7</v>
      </c>
      <c r="AR120" s="29">
        <v>37.4</v>
      </c>
      <c r="AS120" s="29">
        <v>32</v>
      </c>
      <c r="AT120" s="29">
        <v>25.1</v>
      </c>
      <c r="AU120" s="29">
        <v>97</v>
      </c>
      <c r="AV120" s="29">
        <v>58</v>
      </c>
      <c r="AW120" s="29"/>
      <c r="AX120" s="29" t="s">
        <v>573</v>
      </c>
      <c r="AY120" s="29" t="s">
        <v>574</v>
      </c>
      <c r="AZ120" s="29" t="s">
        <v>1729</v>
      </c>
      <c r="BA120" s="29"/>
      <c r="BB120" s="29" t="s">
        <v>749</v>
      </c>
      <c r="BC120" s="29" t="s">
        <v>1130</v>
      </c>
      <c r="BD120" s="29" t="s">
        <v>750</v>
      </c>
      <c r="BE120" s="29"/>
      <c r="BF120" s="29" t="s">
        <v>351</v>
      </c>
      <c r="BG120" s="29" t="s">
        <v>350</v>
      </c>
      <c r="BH120" s="29" t="s">
        <v>350</v>
      </c>
      <c r="BI120" s="29" t="s">
        <v>350</v>
      </c>
      <c r="BJ120" s="29" t="s">
        <v>351</v>
      </c>
      <c r="BK120" s="29" t="s">
        <v>350</v>
      </c>
      <c r="BL120" s="29"/>
      <c r="BM120" s="29"/>
      <c r="BN120" s="29" t="s">
        <v>125</v>
      </c>
      <c r="BO120" s="29" t="s">
        <v>219</v>
      </c>
      <c r="BP120" s="29" t="s">
        <v>178</v>
      </c>
      <c r="BQ120" s="29"/>
      <c r="BR120" s="29"/>
      <c r="BS120" s="29"/>
      <c r="BT120" s="29"/>
      <c r="BU120" s="29"/>
      <c r="BV120" s="29"/>
      <c r="BW120" s="29"/>
      <c r="BX120" s="29"/>
      <c r="BY120" s="29"/>
      <c r="BZ120" s="29" t="s">
        <v>709</v>
      </c>
      <c r="CA120" s="29" t="s">
        <v>1730</v>
      </c>
      <c r="CB120" s="29" t="s">
        <v>182</v>
      </c>
      <c r="CC120" s="29"/>
      <c r="CD120" s="29"/>
      <c r="CE120" s="29"/>
      <c r="CF120" s="29"/>
      <c r="CG120" s="29"/>
      <c r="CH120" s="29" t="s">
        <v>1137</v>
      </c>
      <c r="CI120" s="29"/>
      <c r="CJ120" s="29"/>
      <c r="CK120" s="29"/>
      <c r="CL120" s="29" t="s">
        <v>980</v>
      </c>
      <c r="CM120" s="29" t="s">
        <v>1731</v>
      </c>
      <c r="CN120" s="29" t="s">
        <v>579</v>
      </c>
      <c r="CO120" s="29"/>
      <c r="CP120" s="29"/>
      <c r="CQ120" s="29"/>
      <c r="CR120" s="29"/>
      <c r="CS120" s="29"/>
      <c r="CT120" s="29" t="s">
        <v>1732</v>
      </c>
      <c r="CU120" s="29" t="s">
        <v>1725</v>
      </c>
      <c r="CV120" s="29" t="s">
        <v>1733</v>
      </c>
      <c r="CW120" s="29">
        <v>3</v>
      </c>
      <c r="CX120" s="29" t="s">
        <v>99</v>
      </c>
      <c r="CY120" s="29" t="s">
        <v>110</v>
      </c>
      <c r="CZ120" s="29">
        <v>10</v>
      </c>
      <c r="DA120" s="29">
        <v>30</v>
      </c>
      <c r="DB120" s="29">
        <v>60</v>
      </c>
      <c r="DC120" s="29">
        <v>71.8</v>
      </c>
      <c r="DD120" s="29">
        <v>0.71</v>
      </c>
      <c r="DE120" s="29">
        <v>129</v>
      </c>
      <c r="DF120" s="29">
        <v>98</v>
      </c>
      <c r="DG120" s="9">
        <f t="shared" si="1"/>
        <v>4.4294259773623752</v>
      </c>
      <c r="DH120" s="29">
        <v>19.600000000000001</v>
      </c>
      <c r="DI120" s="48">
        <v>7.36</v>
      </c>
      <c r="DJ120" s="29"/>
      <c r="DK120" s="29"/>
      <c r="DL120" s="48">
        <v>37.1</v>
      </c>
      <c r="DM120" s="29">
        <v>73.3</v>
      </c>
      <c r="DN120" s="29"/>
      <c r="DO120" s="29"/>
      <c r="DP120" s="29"/>
      <c r="DQ120" s="29"/>
      <c r="DR120" s="29">
        <v>2</v>
      </c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29"/>
      <c r="EZ120" s="29"/>
      <c r="FA120" s="29"/>
    </row>
    <row r="121" spans="1:157" customFormat="1" x14ac:dyDescent="0.2">
      <c r="A121" s="29" t="s">
        <v>1734</v>
      </c>
      <c r="B121" s="69">
        <v>43795</v>
      </c>
      <c r="C121" s="29" t="s">
        <v>675</v>
      </c>
      <c r="D121" s="29">
        <v>20</v>
      </c>
      <c r="E121" s="29" t="s">
        <v>100</v>
      </c>
      <c r="F121" s="69">
        <v>36157</v>
      </c>
      <c r="G121" s="29" t="s">
        <v>1718</v>
      </c>
      <c r="H121" s="29" t="s">
        <v>1735</v>
      </c>
      <c r="I121" s="29"/>
      <c r="J121" s="29"/>
      <c r="K121" s="29"/>
      <c r="L121" s="29"/>
      <c r="M121" s="29" t="s">
        <v>110</v>
      </c>
      <c r="N121" s="29" t="s">
        <v>110</v>
      </c>
      <c r="O121" s="29" t="s">
        <v>99</v>
      </c>
      <c r="P121" s="29" t="s">
        <v>99</v>
      </c>
      <c r="Q121" s="29" t="s">
        <v>1736</v>
      </c>
      <c r="R121" s="29" t="s">
        <v>110</v>
      </c>
      <c r="S121" s="29" t="s">
        <v>99</v>
      </c>
      <c r="T121" s="29" t="s">
        <v>99</v>
      </c>
      <c r="U121" s="29" t="s">
        <v>99</v>
      </c>
      <c r="V121" s="29" t="s">
        <v>99</v>
      </c>
      <c r="W121" s="29" t="s">
        <v>1737</v>
      </c>
      <c r="X121" s="29" t="s">
        <v>99</v>
      </c>
      <c r="Y121" s="29" t="s">
        <v>99</v>
      </c>
      <c r="Z121" s="29" t="s">
        <v>99</v>
      </c>
      <c r="AA121" s="29" t="s">
        <v>840</v>
      </c>
      <c r="AB121" s="29" t="s">
        <v>1738</v>
      </c>
      <c r="AC121" s="29" t="s">
        <v>1739</v>
      </c>
      <c r="AD121" s="29" t="s">
        <v>1738</v>
      </c>
      <c r="AE121" s="29" t="s">
        <v>1721</v>
      </c>
      <c r="AF121" s="29" t="s">
        <v>110</v>
      </c>
      <c r="AG121" s="29" t="s">
        <v>99</v>
      </c>
      <c r="AH121" s="29" t="s">
        <v>99</v>
      </c>
      <c r="AI121" s="29" t="s">
        <v>99</v>
      </c>
      <c r="AJ121" s="29" t="s">
        <v>99</v>
      </c>
      <c r="AK121" s="29" t="s">
        <v>99</v>
      </c>
      <c r="AL121" s="29">
        <v>130</v>
      </c>
      <c r="AM121" s="29">
        <v>180</v>
      </c>
      <c r="AN121" s="29">
        <v>134</v>
      </c>
      <c r="AO121" s="29">
        <v>120</v>
      </c>
      <c r="AP121" s="29">
        <v>37.200000000000003</v>
      </c>
      <c r="AQ121" s="29">
        <v>17</v>
      </c>
      <c r="AR121" s="29">
        <v>29.9</v>
      </c>
      <c r="AS121" s="29">
        <v>80</v>
      </c>
      <c r="AT121" s="74">
        <v>40.4</v>
      </c>
      <c r="AU121" s="29">
        <v>104</v>
      </c>
      <c r="AV121" s="29">
        <v>67</v>
      </c>
      <c r="AW121" s="29" t="s">
        <v>350</v>
      </c>
      <c r="AX121" s="29" t="s">
        <v>573</v>
      </c>
      <c r="AY121" s="29" t="s">
        <v>592</v>
      </c>
      <c r="AZ121" s="29"/>
      <c r="BA121" s="29" t="s">
        <v>350</v>
      </c>
      <c r="BB121" s="29"/>
      <c r="BC121" s="29"/>
      <c r="BD121" s="29"/>
      <c r="BE121" s="29"/>
      <c r="BF121" s="29" t="s">
        <v>350</v>
      </c>
      <c r="BG121" s="29" t="s">
        <v>351</v>
      </c>
      <c r="BH121" s="29" t="s">
        <v>350</v>
      </c>
      <c r="BI121" s="29" t="s">
        <v>350</v>
      </c>
      <c r="BJ121" s="29" t="s">
        <v>350</v>
      </c>
      <c r="BK121" s="29" t="s">
        <v>1740</v>
      </c>
      <c r="BL121" s="29"/>
      <c r="BM121" s="29"/>
      <c r="BN121" s="29" t="s">
        <v>1741</v>
      </c>
      <c r="BO121" s="29" t="s">
        <v>219</v>
      </c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 t="s">
        <v>1742</v>
      </c>
      <c r="CA121" s="29" t="s">
        <v>1743</v>
      </c>
      <c r="CB121" s="29" t="s">
        <v>1744</v>
      </c>
      <c r="CC121" s="29"/>
      <c r="CD121" s="29"/>
      <c r="CE121" s="29"/>
      <c r="CF121" s="29"/>
      <c r="CG121" s="29"/>
      <c r="CH121" s="29"/>
      <c r="CI121" s="29"/>
      <c r="CJ121" s="29"/>
      <c r="CK121" s="29"/>
      <c r="CL121" s="29" t="s">
        <v>358</v>
      </c>
      <c r="CM121" s="29" t="s">
        <v>1745</v>
      </c>
      <c r="CN121" s="29" t="s">
        <v>1746</v>
      </c>
      <c r="CO121" s="29"/>
      <c r="CP121" s="29"/>
      <c r="CQ121" s="29"/>
      <c r="CR121" s="29"/>
      <c r="CS121" s="29"/>
      <c r="CT121" s="29" t="s">
        <v>830</v>
      </c>
      <c r="CU121" s="29" t="s">
        <v>1747</v>
      </c>
      <c r="CV121" s="29" t="s">
        <v>1729</v>
      </c>
      <c r="CW121" s="29">
        <v>2</v>
      </c>
      <c r="CX121" s="29" t="s">
        <v>110</v>
      </c>
      <c r="CY121" s="29" t="s">
        <v>99</v>
      </c>
      <c r="CZ121" s="29">
        <v>40</v>
      </c>
      <c r="DA121" s="29">
        <v>40</v>
      </c>
      <c r="DB121" s="29">
        <v>20</v>
      </c>
      <c r="DC121" s="29">
        <v>78.599999999999994</v>
      </c>
      <c r="DD121" s="29">
        <v>0.67</v>
      </c>
      <c r="DE121" s="29">
        <v>140</v>
      </c>
      <c r="DF121" s="29">
        <v>62</v>
      </c>
      <c r="DG121" s="9">
        <f t="shared" si="1"/>
        <v>4.2457530422401266</v>
      </c>
      <c r="DH121" s="29">
        <v>12.4</v>
      </c>
      <c r="DI121" s="29">
        <v>6.36</v>
      </c>
      <c r="DJ121" s="29"/>
      <c r="DK121" s="29"/>
      <c r="DL121" s="48">
        <v>36.200000000000003</v>
      </c>
      <c r="DM121" s="29">
        <v>91.4</v>
      </c>
      <c r="DN121" s="29"/>
      <c r="DO121" s="29"/>
      <c r="DP121" s="29">
        <v>3</v>
      </c>
      <c r="DQ121" s="29"/>
      <c r="DR121" s="29">
        <v>2</v>
      </c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29"/>
      <c r="EZ121" s="29"/>
      <c r="FA121" s="29"/>
    </row>
    <row r="122" spans="1:157" customFormat="1" x14ac:dyDescent="0.2">
      <c r="A122" t="s">
        <v>1748</v>
      </c>
      <c r="B122" s="26">
        <v>43795</v>
      </c>
      <c r="C122" t="s">
        <v>95</v>
      </c>
      <c r="D122" t="s">
        <v>1387</v>
      </c>
      <c r="E122" t="s">
        <v>313</v>
      </c>
      <c r="F122" s="26">
        <v>27841</v>
      </c>
      <c r="G122" t="s">
        <v>1749</v>
      </c>
      <c r="H122" t="s">
        <v>262</v>
      </c>
      <c r="K122">
        <v>2015</v>
      </c>
      <c r="L122">
        <v>2</v>
      </c>
      <c r="M122" t="s">
        <v>263</v>
      </c>
      <c r="N122" t="s">
        <v>263</v>
      </c>
      <c r="O122" t="s">
        <v>263</v>
      </c>
      <c r="P122" t="s">
        <v>263</v>
      </c>
      <c r="Q122" t="s">
        <v>1750</v>
      </c>
      <c r="R122" t="s">
        <v>1751</v>
      </c>
      <c r="S122" t="s">
        <v>263</v>
      </c>
      <c r="T122" t="s">
        <v>263</v>
      </c>
      <c r="U122" t="s">
        <v>263</v>
      </c>
      <c r="V122" t="s">
        <v>263</v>
      </c>
      <c r="W122" t="s">
        <v>263</v>
      </c>
      <c r="X122" t="s">
        <v>263</v>
      </c>
      <c r="AA122" t="s">
        <v>318</v>
      </c>
      <c r="AB122" t="s">
        <v>318</v>
      </c>
      <c r="AC122" t="s">
        <v>1752</v>
      </c>
      <c r="AD122" t="s">
        <v>267</v>
      </c>
      <c r="AE122" t="s">
        <v>1409</v>
      </c>
      <c r="AF122" t="s">
        <v>263</v>
      </c>
      <c r="AG122" t="s">
        <v>263</v>
      </c>
      <c r="AH122" t="s">
        <v>263</v>
      </c>
      <c r="AI122" t="s">
        <v>263</v>
      </c>
      <c r="AJ122" t="s">
        <v>263</v>
      </c>
      <c r="AK122" t="s">
        <v>263</v>
      </c>
      <c r="AL122">
        <v>74.8</v>
      </c>
      <c r="AM122">
        <v>1.66</v>
      </c>
      <c r="AN122">
        <v>92</v>
      </c>
      <c r="AO122">
        <v>106</v>
      </c>
      <c r="AP122">
        <v>38.5</v>
      </c>
      <c r="AQ122">
        <v>7</v>
      </c>
      <c r="AR122">
        <v>26.9</v>
      </c>
      <c r="AS122">
        <v>49</v>
      </c>
      <c r="AT122">
        <v>27.1</v>
      </c>
      <c r="AU122">
        <v>104</v>
      </c>
      <c r="AV122">
        <v>59</v>
      </c>
      <c r="AX122" t="s">
        <v>1753</v>
      </c>
      <c r="AY122" t="s">
        <v>1754</v>
      </c>
      <c r="AZ122" t="s">
        <v>1107</v>
      </c>
      <c r="BB122" t="s">
        <v>1412</v>
      </c>
      <c r="BF122" t="s">
        <v>1755</v>
      </c>
      <c r="BG122" t="s">
        <v>1756</v>
      </c>
      <c r="BH122" t="s">
        <v>1757</v>
      </c>
      <c r="BI122" t="s">
        <v>1758</v>
      </c>
      <c r="BJ122" t="s">
        <v>1759</v>
      </c>
      <c r="BK122" t="s">
        <v>1760</v>
      </c>
      <c r="BN122" t="s">
        <v>328</v>
      </c>
      <c r="BO122" t="s">
        <v>1761</v>
      </c>
      <c r="BP122" t="s">
        <v>1211</v>
      </c>
      <c r="BV122" t="s">
        <v>1762</v>
      </c>
      <c r="BW122" t="s">
        <v>1763</v>
      </c>
      <c r="BZ122" t="s">
        <v>278</v>
      </c>
      <c r="CA122" t="s">
        <v>1150</v>
      </c>
      <c r="CB122" t="s">
        <v>1764</v>
      </c>
      <c r="CL122" t="s">
        <v>955</v>
      </c>
      <c r="CP122" t="s">
        <v>1765</v>
      </c>
      <c r="CT122" t="s">
        <v>1027</v>
      </c>
      <c r="CU122" t="s">
        <v>1071</v>
      </c>
      <c r="CW122" t="s">
        <v>1766</v>
      </c>
      <c r="CX122" t="s">
        <v>263</v>
      </c>
      <c r="CY122" t="s">
        <v>263</v>
      </c>
      <c r="CZ122">
        <v>50</v>
      </c>
      <c r="DA122">
        <v>60</v>
      </c>
      <c r="DB122">
        <v>40</v>
      </c>
      <c r="DC122">
        <v>90</v>
      </c>
      <c r="DD122">
        <v>0.84</v>
      </c>
      <c r="DE122">
        <v>217</v>
      </c>
      <c r="DF122">
        <v>100</v>
      </c>
      <c r="DG122" s="9">
        <f t="shared" si="1"/>
        <v>4.5524899281591784</v>
      </c>
      <c r="DH122">
        <v>20</v>
      </c>
      <c r="DI122">
        <v>4.3499999999999996</v>
      </c>
      <c r="DL122">
        <v>57.8</v>
      </c>
      <c r="DM122">
        <v>139.19999999999999</v>
      </c>
    </row>
    <row r="123" spans="1:157" customFormat="1" x14ac:dyDescent="0.2">
      <c r="A123" t="s">
        <v>1767</v>
      </c>
      <c r="B123" s="26">
        <v>43795</v>
      </c>
      <c r="C123" t="s">
        <v>107</v>
      </c>
      <c r="D123">
        <v>27</v>
      </c>
      <c r="E123" t="s">
        <v>1330</v>
      </c>
      <c r="F123" s="26">
        <v>43747</v>
      </c>
      <c r="H123" t="s">
        <v>1432</v>
      </c>
      <c r="M123" t="s">
        <v>263</v>
      </c>
      <c r="N123" t="s">
        <v>263</v>
      </c>
      <c r="O123" t="s">
        <v>263</v>
      </c>
      <c r="P123" t="s">
        <v>1768</v>
      </c>
      <c r="Q123" t="s">
        <v>1769</v>
      </c>
      <c r="R123" t="s">
        <v>1770</v>
      </c>
      <c r="S123" t="s">
        <v>263</v>
      </c>
      <c r="T123" t="s">
        <v>263</v>
      </c>
      <c r="U123" t="s">
        <v>263</v>
      </c>
      <c r="V123" t="s">
        <v>263</v>
      </c>
      <c r="W123" t="s">
        <v>1771</v>
      </c>
      <c r="X123" t="s">
        <v>263</v>
      </c>
      <c r="Z123" t="s">
        <v>1772</v>
      </c>
      <c r="AA123" t="s">
        <v>1773</v>
      </c>
      <c r="AB123" t="s">
        <v>1773</v>
      </c>
      <c r="AC123" t="s">
        <v>1773</v>
      </c>
      <c r="AD123" t="s">
        <v>1773</v>
      </c>
      <c r="AE123" t="s">
        <v>1774</v>
      </c>
      <c r="AF123" t="s">
        <v>1774</v>
      </c>
      <c r="AG123" t="s">
        <v>263</v>
      </c>
      <c r="AH123" t="s">
        <v>263</v>
      </c>
      <c r="AI123" t="s">
        <v>263</v>
      </c>
      <c r="AJ123" t="s">
        <v>263</v>
      </c>
      <c r="AK123" t="s">
        <v>263</v>
      </c>
      <c r="AL123">
        <v>77.3</v>
      </c>
      <c r="AM123">
        <v>1.7</v>
      </c>
      <c r="AN123">
        <v>93</v>
      </c>
      <c r="AO123">
        <v>103</v>
      </c>
      <c r="AP123">
        <v>29.6</v>
      </c>
      <c r="AQ123">
        <v>10</v>
      </c>
      <c r="AR123">
        <v>34.4</v>
      </c>
      <c r="AS123">
        <v>42</v>
      </c>
      <c r="AT123">
        <v>26.7</v>
      </c>
      <c r="AU123">
        <v>104</v>
      </c>
      <c r="AV123">
        <v>79</v>
      </c>
      <c r="AX123" t="s">
        <v>1775</v>
      </c>
      <c r="BB123" t="s">
        <v>1776</v>
      </c>
      <c r="BC123" t="s">
        <v>1777</v>
      </c>
      <c r="BF123" t="s">
        <v>375</v>
      </c>
      <c r="BG123" t="s">
        <v>375</v>
      </c>
      <c r="BH123" t="s">
        <v>375</v>
      </c>
      <c r="BI123" t="s">
        <v>323</v>
      </c>
      <c r="BJ123" t="s">
        <v>322</v>
      </c>
      <c r="BK123" t="s">
        <v>1778</v>
      </c>
      <c r="BN123" t="s">
        <v>1779</v>
      </c>
      <c r="BZ123" t="s">
        <v>940</v>
      </c>
      <c r="CA123" t="s">
        <v>415</v>
      </c>
      <c r="CD123" t="s">
        <v>64</v>
      </c>
      <c r="CH123" t="s">
        <v>1780</v>
      </c>
      <c r="CL123" t="s">
        <v>1781</v>
      </c>
      <c r="CP123" t="s">
        <v>375</v>
      </c>
      <c r="CT123" t="s">
        <v>336</v>
      </c>
      <c r="CU123" t="s">
        <v>1146</v>
      </c>
      <c r="CW123">
        <v>3</v>
      </c>
      <c r="CY123" t="s">
        <v>368</v>
      </c>
      <c r="CZ123">
        <v>30</v>
      </c>
      <c r="DA123">
        <v>40</v>
      </c>
      <c r="DB123">
        <v>30</v>
      </c>
      <c r="DC123">
        <v>84.5</v>
      </c>
      <c r="DD123">
        <v>1.1599999999999999</v>
      </c>
      <c r="DE123">
        <v>161</v>
      </c>
      <c r="DF123">
        <v>161</v>
      </c>
      <c r="DG123" s="9">
        <f t="shared" si="1"/>
        <v>4.7590779496737952</v>
      </c>
      <c r="DH123">
        <v>32.200000000000003</v>
      </c>
      <c r="DI123">
        <v>8.9600000000000009</v>
      </c>
      <c r="DL123">
        <v>60.6</v>
      </c>
      <c r="DR123">
        <v>3</v>
      </c>
    </row>
    <row r="124" spans="1:157" customFormat="1" x14ac:dyDescent="0.2">
      <c r="A124" t="s">
        <v>1782</v>
      </c>
      <c r="B124" s="26">
        <v>43795</v>
      </c>
      <c r="C124" t="s">
        <v>95</v>
      </c>
      <c r="D124" t="s">
        <v>1783</v>
      </c>
      <c r="E124" t="s">
        <v>96</v>
      </c>
      <c r="F124" s="26">
        <v>36667</v>
      </c>
      <c r="G124" t="s">
        <v>97</v>
      </c>
      <c r="H124" t="s">
        <v>1784</v>
      </c>
      <c r="M124" t="s">
        <v>263</v>
      </c>
      <c r="N124" t="s">
        <v>263</v>
      </c>
      <c r="O124" t="s">
        <v>263</v>
      </c>
      <c r="P124" t="s">
        <v>263</v>
      </c>
      <c r="Q124" t="s">
        <v>263</v>
      </c>
      <c r="R124" t="s">
        <v>285</v>
      </c>
      <c r="AA124" t="s">
        <v>289</v>
      </c>
      <c r="AB124" t="s">
        <v>1785</v>
      </c>
      <c r="AD124" t="s">
        <v>1785</v>
      </c>
      <c r="AE124" t="s">
        <v>263</v>
      </c>
      <c r="AF124" t="s">
        <v>263</v>
      </c>
      <c r="AG124" t="s">
        <v>1409</v>
      </c>
      <c r="AH124" t="s">
        <v>263</v>
      </c>
      <c r="AI124" t="s">
        <v>263</v>
      </c>
      <c r="AJ124" t="s">
        <v>263</v>
      </c>
      <c r="AK124" t="s">
        <v>263</v>
      </c>
      <c r="AL124">
        <v>80.16</v>
      </c>
      <c r="AM124">
        <v>1.69</v>
      </c>
      <c r="AN124">
        <v>87</v>
      </c>
      <c r="AO124">
        <v>112</v>
      </c>
      <c r="AP124">
        <v>42.9</v>
      </c>
      <c r="AQ124">
        <v>5</v>
      </c>
      <c r="AR124">
        <v>24.8</v>
      </c>
      <c r="AS124">
        <v>39</v>
      </c>
      <c r="AT124">
        <v>28</v>
      </c>
      <c r="AU124">
        <v>116</v>
      </c>
      <c r="AV124">
        <v>79</v>
      </c>
      <c r="AX124" t="s">
        <v>1786</v>
      </c>
      <c r="AY124" t="s">
        <v>1787</v>
      </c>
      <c r="AZ124" t="s">
        <v>1788</v>
      </c>
      <c r="BB124" t="s">
        <v>1789</v>
      </c>
      <c r="BF124" t="s">
        <v>1790</v>
      </c>
      <c r="BG124" t="s">
        <v>263</v>
      </c>
      <c r="BH124" t="s">
        <v>1791</v>
      </c>
      <c r="BI124" t="s">
        <v>1792</v>
      </c>
      <c r="BJ124" t="s">
        <v>1793</v>
      </c>
      <c r="BK124" t="s">
        <v>1407</v>
      </c>
      <c r="BN124" t="s">
        <v>904</v>
      </c>
      <c r="BO124" t="s">
        <v>376</v>
      </c>
      <c r="BZ124" t="s">
        <v>1794</v>
      </c>
      <c r="CA124" t="s">
        <v>941</v>
      </c>
      <c r="CB124" t="s">
        <v>1213</v>
      </c>
      <c r="CL124" t="s">
        <v>1238</v>
      </c>
      <c r="CM124" t="s">
        <v>1795</v>
      </c>
      <c r="CP124" t="s">
        <v>1054</v>
      </c>
      <c r="CQ124" t="s">
        <v>309</v>
      </c>
      <c r="CR124" t="s">
        <v>1796</v>
      </c>
      <c r="CT124" t="s">
        <v>1797</v>
      </c>
      <c r="CW124">
        <v>3</v>
      </c>
      <c r="CX124" t="s">
        <v>1798</v>
      </c>
      <c r="CY124" t="s">
        <v>285</v>
      </c>
      <c r="DC124">
        <v>74</v>
      </c>
      <c r="DD124">
        <v>0.4</v>
      </c>
      <c r="DE124">
        <v>119</v>
      </c>
      <c r="DF124">
        <v>42</v>
      </c>
      <c r="DG124" s="9">
        <f t="shared" si="1"/>
        <v>4.0208673557437686</v>
      </c>
      <c r="DH124">
        <v>8.4</v>
      </c>
      <c r="DI124">
        <v>3.05</v>
      </c>
      <c r="DL124">
        <v>49.2</v>
      </c>
      <c r="DM124">
        <v>61.4</v>
      </c>
      <c r="DR124">
        <v>3</v>
      </c>
    </row>
    <row r="125" spans="1:157" s="33" customFormat="1" x14ac:dyDescent="0.2">
      <c r="A125" s="31" t="s">
        <v>1799</v>
      </c>
      <c r="B125" s="32">
        <v>43795</v>
      </c>
      <c r="C125" s="31" t="s">
        <v>675</v>
      </c>
      <c r="D125" s="31">
        <v>49</v>
      </c>
      <c r="E125" s="31" t="s">
        <v>840</v>
      </c>
      <c r="F125" s="32">
        <v>25892</v>
      </c>
      <c r="G125" s="31" t="s">
        <v>481</v>
      </c>
      <c r="H125" s="31" t="s">
        <v>1510</v>
      </c>
      <c r="I125" s="31"/>
      <c r="J125" s="31"/>
      <c r="K125" s="31"/>
      <c r="L125" s="31"/>
      <c r="M125" s="31" t="s">
        <v>99</v>
      </c>
      <c r="N125" s="31" t="s">
        <v>99</v>
      </c>
      <c r="O125" s="31" t="s">
        <v>99</v>
      </c>
      <c r="P125" s="31" t="s">
        <v>99</v>
      </c>
      <c r="Q125" s="31" t="s">
        <v>1736</v>
      </c>
      <c r="R125" s="31" t="s">
        <v>99</v>
      </c>
      <c r="S125" s="31" t="s">
        <v>110</v>
      </c>
      <c r="T125" s="31" t="s">
        <v>99</v>
      </c>
      <c r="U125" s="31" t="s">
        <v>99</v>
      </c>
      <c r="V125" s="31" t="s">
        <v>99</v>
      </c>
      <c r="W125" s="31" t="s">
        <v>99</v>
      </c>
      <c r="X125" s="31" t="s">
        <v>99</v>
      </c>
      <c r="Y125" s="31" t="s">
        <v>99</v>
      </c>
      <c r="Z125" s="31" t="s">
        <v>99</v>
      </c>
      <c r="AA125" s="31" t="s">
        <v>840</v>
      </c>
      <c r="AB125" s="31" t="s">
        <v>100</v>
      </c>
      <c r="AC125" s="31" t="s">
        <v>840</v>
      </c>
      <c r="AD125" s="31" t="s">
        <v>840</v>
      </c>
      <c r="AE125" s="31" t="s">
        <v>99</v>
      </c>
      <c r="AF125" s="31" t="s">
        <v>99</v>
      </c>
      <c r="AG125" s="31" t="s">
        <v>99</v>
      </c>
      <c r="AH125" s="31" t="s">
        <v>99</v>
      </c>
      <c r="AI125" s="31" t="s">
        <v>99</v>
      </c>
      <c r="AJ125" s="31" t="s">
        <v>99</v>
      </c>
      <c r="AK125" s="31" t="s">
        <v>99</v>
      </c>
      <c r="AL125" s="31">
        <v>74</v>
      </c>
      <c r="AM125" s="31">
        <v>171</v>
      </c>
      <c r="AN125" s="31">
        <v>87</v>
      </c>
      <c r="AO125" s="31">
        <v>100</v>
      </c>
      <c r="AP125" s="31">
        <v>18.7</v>
      </c>
      <c r="AQ125" s="31">
        <v>9</v>
      </c>
      <c r="AR125" s="31">
        <v>38.5</v>
      </c>
      <c r="AS125" s="31">
        <v>45</v>
      </c>
      <c r="AT125" s="31">
        <v>25.3</v>
      </c>
      <c r="AU125" s="31">
        <v>98</v>
      </c>
      <c r="AV125" s="31">
        <v>68</v>
      </c>
      <c r="AW125" s="31" t="s">
        <v>351</v>
      </c>
      <c r="AX125" s="31" t="s">
        <v>1128</v>
      </c>
      <c r="AY125" s="31" t="s">
        <v>1800</v>
      </c>
      <c r="AZ125" s="31" t="s">
        <v>1801</v>
      </c>
      <c r="BA125" s="31"/>
      <c r="BB125" s="31" t="s">
        <v>749</v>
      </c>
      <c r="BC125" s="31"/>
      <c r="BD125" s="31"/>
      <c r="BE125" s="31"/>
      <c r="BF125" s="31" t="s">
        <v>1802</v>
      </c>
      <c r="BG125" s="31"/>
      <c r="BH125" s="31" t="s">
        <v>1803</v>
      </c>
      <c r="BI125" s="31" t="s">
        <v>1804</v>
      </c>
      <c r="BJ125" s="31"/>
      <c r="BK125" s="31"/>
      <c r="BL125" s="31"/>
      <c r="BM125" s="31"/>
      <c r="BN125" s="31" t="s">
        <v>1664</v>
      </c>
      <c r="BO125" s="31" t="s">
        <v>352</v>
      </c>
      <c r="BP125" s="31" t="s">
        <v>179</v>
      </c>
      <c r="BQ125" s="31"/>
      <c r="BR125" s="31"/>
      <c r="BS125" s="31"/>
      <c r="BT125" s="31"/>
      <c r="BU125" s="31"/>
      <c r="BV125" s="31" t="s">
        <v>1573</v>
      </c>
      <c r="BW125" s="31" t="s">
        <v>1805</v>
      </c>
      <c r="BX125" s="31"/>
      <c r="BY125" s="31"/>
      <c r="BZ125" s="31" t="s">
        <v>182</v>
      </c>
      <c r="CA125" s="31" t="s">
        <v>709</v>
      </c>
      <c r="CB125" s="31" t="s">
        <v>183</v>
      </c>
      <c r="CC125" s="31"/>
      <c r="CD125" s="31"/>
      <c r="CE125" s="31"/>
      <c r="CF125" s="31"/>
      <c r="CG125" s="31"/>
      <c r="CH125" s="31"/>
      <c r="CI125" s="31"/>
      <c r="CJ125" s="31"/>
      <c r="CK125" s="31"/>
      <c r="CL125" s="31" t="s">
        <v>980</v>
      </c>
      <c r="CM125" s="31"/>
      <c r="CN125" s="31"/>
      <c r="CO125" s="31"/>
      <c r="CP125" s="31"/>
      <c r="CQ125" s="31"/>
      <c r="CR125" s="31"/>
      <c r="CS125" s="31"/>
      <c r="CT125" s="31" t="s">
        <v>1729</v>
      </c>
      <c r="CU125" s="31" t="s">
        <v>1806</v>
      </c>
      <c r="CV125" s="31"/>
      <c r="CW125" s="31">
        <v>2</v>
      </c>
      <c r="CX125" s="31" t="s">
        <v>99</v>
      </c>
      <c r="CY125" s="31" t="s">
        <v>110</v>
      </c>
      <c r="CZ125" s="31"/>
      <c r="DA125" s="31"/>
      <c r="DB125" s="31"/>
      <c r="DC125">
        <v>72.900000000000006</v>
      </c>
      <c r="DD125" s="31">
        <v>0.73</v>
      </c>
      <c r="DE125" s="48">
        <v>210</v>
      </c>
      <c r="DF125" s="31">
        <v>32</v>
      </c>
      <c r="DG125" s="9">
        <f t="shared" si="1"/>
        <v>3.8774122709071697</v>
      </c>
      <c r="DH125" s="31">
        <v>6.4</v>
      </c>
      <c r="DI125" s="31">
        <v>5.2</v>
      </c>
      <c r="DJ125" s="31"/>
      <c r="DK125" s="31"/>
      <c r="DL125" s="31">
        <v>60.2</v>
      </c>
      <c r="DM125" s="31">
        <v>143.4</v>
      </c>
      <c r="DN125" s="31"/>
      <c r="DO125" s="31"/>
      <c r="DP125" s="31"/>
      <c r="DQ125" s="31"/>
      <c r="DR125" s="31">
        <v>3</v>
      </c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</row>
    <row r="126" spans="1:157" customFormat="1" x14ac:dyDescent="0.2">
      <c r="A126" s="72" t="s">
        <v>1807</v>
      </c>
      <c r="B126" s="26">
        <v>43795</v>
      </c>
      <c r="C126" t="s">
        <v>107</v>
      </c>
      <c r="D126">
        <v>21</v>
      </c>
      <c r="E126" t="s">
        <v>96</v>
      </c>
      <c r="F126" s="26">
        <v>36109</v>
      </c>
      <c r="G126" t="s">
        <v>97</v>
      </c>
      <c r="H126" t="s">
        <v>1808</v>
      </c>
      <c r="K126" s="26"/>
      <c r="M126" t="s">
        <v>99</v>
      </c>
      <c r="N126" t="s">
        <v>99</v>
      </c>
      <c r="O126" t="s">
        <v>99</v>
      </c>
      <c r="P126" s="29" t="s">
        <v>99</v>
      </c>
      <c r="Q126" s="29" t="s">
        <v>1809</v>
      </c>
      <c r="R126" s="29" t="s">
        <v>99</v>
      </c>
      <c r="S126" s="29" t="s">
        <v>99</v>
      </c>
      <c r="T126" s="29" t="s">
        <v>99</v>
      </c>
      <c r="U126" s="29" t="s">
        <v>99</v>
      </c>
      <c r="V126" s="29" t="s">
        <v>99</v>
      </c>
      <c r="W126" s="29" t="s">
        <v>99</v>
      </c>
      <c r="X126" s="29" t="s">
        <v>99</v>
      </c>
      <c r="Y126" s="29"/>
      <c r="Z126" s="29"/>
      <c r="AA126" s="29" t="s">
        <v>100</v>
      </c>
      <c r="AB126" s="29" t="s">
        <v>100</v>
      </c>
      <c r="AC126" s="29" t="s">
        <v>100</v>
      </c>
      <c r="AD126" s="29" t="s">
        <v>100</v>
      </c>
      <c r="AE126" s="29" t="s">
        <v>1810</v>
      </c>
      <c r="AF126" s="29" t="s">
        <v>1811</v>
      </c>
      <c r="AG126" s="29" t="s">
        <v>99</v>
      </c>
      <c r="AH126" s="29" t="s">
        <v>99</v>
      </c>
      <c r="AI126" s="29" t="s">
        <v>99</v>
      </c>
      <c r="AJ126" s="29" t="s">
        <v>99</v>
      </c>
      <c r="AK126" s="29" t="s">
        <v>99</v>
      </c>
      <c r="AL126">
        <v>63.9</v>
      </c>
      <c r="AM126">
        <v>170</v>
      </c>
      <c r="AN126">
        <v>80</v>
      </c>
      <c r="AO126">
        <v>98</v>
      </c>
      <c r="AP126">
        <v>23.1</v>
      </c>
      <c r="AQ126">
        <v>5</v>
      </c>
      <c r="AR126">
        <v>36.9</v>
      </c>
      <c r="AS126">
        <v>27</v>
      </c>
      <c r="AT126">
        <v>22.1</v>
      </c>
      <c r="AU126" t="s">
        <v>1812</v>
      </c>
      <c r="AV126" t="s">
        <v>1813</v>
      </c>
      <c r="AW126" t="s">
        <v>322</v>
      </c>
      <c r="AX126" t="s">
        <v>1107</v>
      </c>
      <c r="AY126" t="s">
        <v>1814</v>
      </c>
      <c r="AZ126" t="s">
        <v>1815</v>
      </c>
      <c r="BA126" t="s">
        <v>322</v>
      </c>
      <c r="BB126" t="s">
        <v>515</v>
      </c>
      <c r="BC126" t="s">
        <v>1816</v>
      </c>
      <c r="BE126" t="s">
        <v>322</v>
      </c>
      <c r="BF126" t="s">
        <v>1817</v>
      </c>
      <c r="BG126" t="s">
        <v>1818</v>
      </c>
      <c r="BH126" t="s">
        <v>99</v>
      </c>
      <c r="BI126" t="s">
        <v>99</v>
      </c>
      <c r="BJ126" t="s">
        <v>99</v>
      </c>
      <c r="BK126" t="s">
        <v>99</v>
      </c>
      <c r="BN126" t="s">
        <v>1819</v>
      </c>
      <c r="BO126" t="s">
        <v>1820</v>
      </c>
      <c r="BP126" t="s">
        <v>1821</v>
      </c>
      <c r="BU126" t="s">
        <v>1426</v>
      </c>
      <c r="BZ126" t="s">
        <v>557</v>
      </c>
      <c r="CA126" t="s">
        <v>1051</v>
      </c>
      <c r="CL126" t="s">
        <v>504</v>
      </c>
      <c r="CM126" t="s">
        <v>450</v>
      </c>
      <c r="CN126" t="s">
        <v>505</v>
      </c>
      <c r="CS126" t="s">
        <v>1426</v>
      </c>
      <c r="CW126">
        <v>3</v>
      </c>
      <c r="CX126" t="s">
        <v>110</v>
      </c>
      <c r="CY126" t="s">
        <v>110</v>
      </c>
      <c r="CZ126">
        <v>66</v>
      </c>
      <c r="DA126">
        <v>33</v>
      </c>
      <c r="DC126">
        <v>87.4</v>
      </c>
      <c r="DD126">
        <v>0.75</v>
      </c>
      <c r="DE126">
        <v>167</v>
      </c>
      <c r="DF126">
        <v>147</v>
      </c>
      <c r="DG126" s="9">
        <f t="shared" si="1"/>
        <v>4.7304639347201132</v>
      </c>
      <c r="DH126">
        <v>29.4</v>
      </c>
      <c r="DI126">
        <v>7.74</v>
      </c>
      <c r="DL126">
        <v>46.8</v>
      </c>
      <c r="DM126">
        <v>90.8</v>
      </c>
      <c r="DR126">
        <v>2</v>
      </c>
    </row>
    <row r="127" spans="1:157" customFormat="1" x14ac:dyDescent="0.2">
      <c r="A127" s="33" t="s">
        <v>1822</v>
      </c>
      <c r="B127" s="26">
        <v>43795</v>
      </c>
      <c r="C127" t="s">
        <v>95</v>
      </c>
      <c r="D127">
        <v>18</v>
      </c>
      <c r="E127" t="s">
        <v>1330</v>
      </c>
      <c r="F127" s="26">
        <v>36895</v>
      </c>
      <c r="G127" t="s">
        <v>1823</v>
      </c>
      <c r="H127" t="s">
        <v>1824</v>
      </c>
      <c r="M127" t="s">
        <v>263</v>
      </c>
      <c r="N127" t="s">
        <v>263</v>
      </c>
      <c r="O127" t="s">
        <v>263</v>
      </c>
      <c r="P127" t="s">
        <v>263</v>
      </c>
      <c r="Q127" t="s">
        <v>263</v>
      </c>
      <c r="R127" t="s">
        <v>263</v>
      </c>
      <c r="S127" t="s">
        <v>263</v>
      </c>
      <c r="T127" t="s">
        <v>263</v>
      </c>
      <c r="U127" t="s">
        <v>263</v>
      </c>
      <c r="V127" t="s">
        <v>263</v>
      </c>
      <c r="W127" t="s">
        <v>263</v>
      </c>
      <c r="X127" t="s">
        <v>263</v>
      </c>
      <c r="Y127" t="s">
        <v>263</v>
      </c>
      <c r="Z127" t="s">
        <v>263</v>
      </c>
      <c r="AA127" t="s">
        <v>289</v>
      </c>
      <c r="AB127" t="s">
        <v>289</v>
      </c>
      <c r="AC127" t="s">
        <v>1825</v>
      </c>
      <c r="AD127" t="s">
        <v>289</v>
      </c>
      <c r="AE127" t="s">
        <v>263</v>
      </c>
      <c r="AF127" t="s">
        <v>263</v>
      </c>
      <c r="AG127" t="s">
        <v>263</v>
      </c>
      <c r="AH127" t="s">
        <v>263</v>
      </c>
      <c r="AI127" t="s">
        <v>263</v>
      </c>
      <c r="AJ127" t="s">
        <v>263</v>
      </c>
      <c r="AK127" t="s">
        <v>263</v>
      </c>
      <c r="AL127">
        <v>51.7</v>
      </c>
      <c r="AM127">
        <v>1.64</v>
      </c>
      <c r="AN127">
        <v>64</v>
      </c>
      <c r="AO127">
        <v>96</v>
      </c>
      <c r="AP127">
        <v>27.9</v>
      </c>
      <c r="AQ127">
        <v>2</v>
      </c>
      <c r="AR127">
        <v>27.5</v>
      </c>
      <c r="AS127">
        <v>18</v>
      </c>
      <c r="AT127">
        <v>19.2</v>
      </c>
      <c r="AU127">
        <v>87</v>
      </c>
      <c r="AV127">
        <v>55</v>
      </c>
      <c r="AX127" t="s">
        <v>1826</v>
      </c>
      <c r="AY127" t="s">
        <v>1827</v>
      </c>
      <c r="AZ127" t="s">
        <v>1828</v>
      </c>
      <c r="BB127" t="s">
        <v>1829</v>
      </c>
      <c r="BC127" t="s">
        <v>1830</v>
      </c>
      <c r="BD127" t="s">
        <v>58</v>
      </c>
      <c r="BF127" t="s">
        <v>1831</v>
      </c>
      <c r="BG127" t="s">
        <v>322</v>
      </c>
      <c r="BH127" t="s">
        <v>276</v>
      </c>
      <c r="BI127" t="s">
        <v>323</v>
      </c>
      <c r="BJ127" t="s">
        <v>323</v>
      </c>
      <c r="BK127" t="s">
        <v>323</v>
      </c>
      <c r="BN127" t="s">
        <v>499</v>
      </c>
      <c r="BO127" t="s">
        <v>904</v>
      </c>
      <c r="BP127" t="s">
        <v>376</v>
      </c>
      <c r="BV127" t="s">
        <v>1152</v>
      </c>
      <c r="BW127" t="s">
        <v>1762</v>
      </c>
      <c r="BX127" t="s">
        <v>1832</v>
      </c>
      <c r="BZ127" t="s">
        <v>330</v>
      </c>
      <c r="CA127" t="s">
        <v>1833</v>
      </c>
      <c r="CB127" t="s">
        <v>1834</v>
      </c>
      <c r="CL127" t="s">
        <v>1238</v>
      </c>
      <c r="CM127" t="s">
        <v>1835</v>
      </c>
      <c r="CN127" t="s">
        <v>1836</v>
      </c>
      <c r="CP127" t="s">
        <v>1837</v>
      </c>
      <c r="CQ127" t="s">
        <v>1838</v>
      </c>
      <c r="CT127" t="s">
        <v>1839</v>
      </c>
      <c r="CU127" t="s">
        <v>1840</v>
      </c>
      <c r="CV127" t="s">
        <v>1841</v>
      </c>
      <c r="CW127" t="s">
        <v>1842</v>
      </c>
      <c r="CX127" t="s">
        <v>1843</v>
      </c>
      <c r="CY127" t="s">
        <v>368</v>
      </c>
      <c r="CZ127">
        <v>50</v>
      </c>
      <c r="DA127">
        <v>30</v>
      </c>
      <c r="DB127">
        <v>20</v>
      </c>
      <c r="DC127">
        <v>87.1</v>
      </c>
      <c r="DD127">
        <v>1.1200000000000001</v>
      </c>
      <c r="DE127">
        <v>158</v>
      </c>
      <c r="DF127">
        <v>163</v>
      </c>
      <c r="DG127" s="9">
        <f t="shared" si="1"/>
        <v>4.7804035423326097</v>
      </c>
      <c r="DH127">
        <v>32.6</v>
      </c>
      <c r="DI127">
        <v>8.39</v>
      </c>
      <c r="DL127">
        <v>37</v>
      </c>
      <c r="DM127">
        <v>88.4</v>
      </c>
      <c r="DR127">
        <v>2</v>
      </c>
    </row>
    <row r="128" spans="1:157" customFormat="1" x14ac:dyDescent="0.2">
      <c r="A128" t="s">
        <v>1844</v>
      </c>
      <c r="B128" s="26">
        <v>43795</v>
      </c>
      <c r="C128" t="s">
        <v>258</v>
      </c>
      <c r="D128" t="s">
        <v>1845</v>
      </c>
      <c r="E128" t="s">
        <v>313</v>
      </c>
      <c r="F128" s="26">
        <v>34603</v>
      </c>
      <c r="G128" t="s">
        <v>777</v>
      </c>
      <c r="H128" t="s">
        <v>1846</v>
      </c>
      <c r="M128" t="s">
        <v>263</v>
      </c>
      <c r="N128" t="s">
        <v>263</v>
      </c>
      <c r="O128" t="s">
        <v>263</v>
      </c>
      <c r="P128" t="s">
        <v>263</v>
      </c>
      <c r="Q128" t="s">
        <v>1847</v>
      </c>
      <c r="U128" t="s">
        <v>263</v>
      </c>
      <c r="V128" t="s">
        <v>263</v>
      </c>
      <c r="W128" t="s">
        <v>263</v>
      </c>
      <c r="AA128" t="s">
        <v>1848</v>
      </c>
      <c r="AB128" t="s">
        <v>1848</v>
      </c>
      <c r="AG128" t="s">
        <v>1311</v>
      </c>
      <c r="AL128">
        <v>81</v>
      </c>
      <c r="AM128">
        <v>1.72</v>
      </c>
      <c r="AN128">
        <v>97</v>
      </c>
      <c r="AO128">
        <v>105</v>
      </c>
      <c r="AP128">
        <v>32.5</v>
      </c>
      <c r="AQ128">
        <v>10</v>
      </c>
      <c r="AR128">
        <v>32.299999999999997</v>
      </c>
      <c r="AS128">
        <v>48</v>
      </c>
      <c r="AT128">
        <v>27.4</v>
      </c>
      <c r="AU128">
        <v>117</v>
      </c>
      <c r="AV128">
        <v>75</v>
      </c>
      <c r="AX128" t="s">
        <v>952</v>
      </c>
      <c r="AY128" t="s">
        <v>1107</v>
      </c>
      <c r="AZ128" t="s">
        <v>951</v>
      </c>
      <c r="BB128" t="s">
        <v>1849</v>
      </c>
      <c r="BC128" t="s">
        <v>1255</v>
      </c>
      <c r="BD128" t="s">
        <v>785</v>
      </c>
      <c r="BF128" t="s">
        <v>375</v>
      </c>
      <c r="BG128" t="s">
        <v>323</v>
      </c>
      <c r="BH128" t="s">
        <v>325</v>
      </c>
      <c r="BK128" t="s">
        <v>375</v>
      </c>
      <c r="BN128" t="s">
        <v>1244</v>
      </c>
      <c r="BO128" t="s">
        <v>376</v>
      </c>
      <c r="BP128" t="s">
        <v>1850</v>
      </c>
      <c r="BZ128" t="s">
        <v>330</v>
      </c>
      <c r="CA128" t="s">
        <v>1851</v>
      </c>
      <c r="CB128" t="s">
        <v>941</v>
      </c>
      <c r="CL128" t="s">
        <v>1316</v>
      </c>
      <c r="CM128" t="s">
        <v>1852</v>
      </c>
      <c r="CN128" t="s">
        <v>1853</v>
      </c>
      <c r="CT128" t="s">
        <v>375</v>
      </c>
      <c r="CW128">
        <v>3</v>
      </c>
      <c r="CX128" t="s">
        <v>285</v>
      </c>
      <c r="CY128" t="s">
        <v>285</v>
      </c>
      <c r="DC128">
        <v>87.6</v>
      </c>
      <c r="DD128">
        <v>0.99</v>
      </c>
      <c r="DE128">
        <v>177</v>
      </c>
      <c r="DF128">
        <v>137</v>
      </c>
      <c r="DG128" s="9">
        <f t="shared" si="1"/>
        <v>4.696380961885235</v>
      </c>
      <c r="DH128">
        <v>27.4</v>
      </c>
      <c r="DI128">
        <v>7.21</v>
      </c>
      <c r="DL128">
        <v>50.8</v>
      </c>
      <c r="DM128">
        <v>98.8</v>
      </c>
    </row>
    <row r="129" spans="1:157" customFormat="1" x14ac:dyDescent="0.2">
      <c r="A129" s="73" t="s">
        <v>1854</v>
      </c>
      <c r="B129" s="26">
        <v>43795</v>
      </c>
      <c r="C129" t="s">
        <v>95</v>
      </c>
      <c r="D129">
        <v>38</v>
      </c>
      <c r="E129" t="s">
        <v>96</v>
      </c>
      <c r="F129" s="26">
        <v>29742</v>
      </c>
      <c r="G129" t="s">
        <v>1855</v>
      </c>
      <c r="H129" t="s">
        <v>1856</v>
      </c>
      <c r="I129" s="26">
        <v>33559</v>
      </c>
      <c r="K129" s="26"/>
      <c r="M129" t="s">
        <v>99</v>
      </c>
      <c r="O129" t="s">
        <v>99</v>
      </c>
      <c r="P129" s="29" t="s">
        <v>99</v>
      </c>
      <c r="Q129" s="29"/>
      <c r="R129" s="29" t="s">
        <v>110</v>
      </c>
      <c r="S129" s="29"/>
      <c r="T129" s="29"/>
      <c r="U129" t="s">
        <v>1857</v>
      </c>
      <c r="V129" s="29" t="s">
        <v>1858</v>
      </c>
      <c r="W129" s="29" t="s">
        <v>1859</v>
      </c>
      <c r="X129" s="29" t="s">
        <v>99</v>
      </c>
      <c r="Y129" s="29" t="s">
        <v>99</v>
      </c>
      <c r="Z129" s="29" t="s">
        <v>99</v>
      </c>
      <c r="AA129" s="29" t="s">
        <v>100</v>
      </c>
      <c r="AB129" s="29" t="s">
        <v>100</v>
      </c>
      <c r="AC129" s="29" t="s">
        <v>100</v>
      </c>
      <c r="AD129" s="29" t="s">
        <v>100</v>
      </c>
      <c r="AE129" s="29" t="s">
        <v>1480</v>
      </c>
      <c r="AF129" s="29" t="s">
        <v>1860</v>
      </c>
      <c r="AG129" s="29" t="s">
        <v>1861</v>
      </c>
      <c r="AH129" s="29" t="s">
        <v>1420</v>
      </c>
      <c r="AI129" s="29"/>
      <c r="AJ129" s="29"/>
      <c r="AK129" s="29"/>
      <c r="AL129">
        <v>80.099999999999994</v>
      </c>
      <c r="AM129">
        <v>152</v>
      </c>
      <c r="AN129">
        <v>106</v>
      </c>
      <c r="AO129">
        <v>117</v>
      </c>
      <c r="AP129">
        <v>51.2</v>
      </c>
      <c r="AQ129">
        <v>10</v>
      </c>
      <c r="AR129">
        <v>21.1</v>
      </c>
      <c r="AS129">
        <v>65</v>
      </c>
      <c r="AT129">
        <v>34.700000000000003</v>
      </c>
      <c r="AU129" t="s">
        <v>1862</v>
      </c>
      <c r="AV129" t="s">
        <v>1863</v>
      </c>
      <c r="AW129" t="s">
        <v>375</v>
      </c>
      <c r="BA129" t="s">
        <v>322</v>
      </c>
      <c r="BB129" t="s">
        <v>1864</v>
      </c>
      <c r="BC129" t="s">
        <v>171</v>
      </c>
      <c r="BE129" t="s">
        <v>322</v>
      </c>
      <c r="BF129" t="s">
        <v>110</v>
      </c>
      <c r="BG129" t="s">
        <v>110</v>
      </c>
      <c r="BH129" t="s">
        <v>110</v>
      </c>
      <c r="BI129" t="s">
        <v>110</v>
      </c>
      <c r="BJ129" t="s">
        <v>110</v>
      </c>
      <c r="BK129" t="s">
        <v>110</v>
      </c>
      <c r="BL129" t="s">
        <v>322</v>
      </c>
      <c r="BN129" t="s">
        <v>953</v>
      </c>
      <c r="BO129" t="s">
        <v>1072</v>
      </c>
      <c r="BP129" t="s">
        <v>918</v>
      </c>
      <c r="BY129" t="s">
        <v>322</v>
      </c>
      <c r="BZ129" t="s">
        <v>277</v>
      </c>
      <c r="CA129" t="s">
        <v>1236</v>
      </c>
      <c r="CB129" t="s">
        <v>1865</v>
      </c>
      <c r="CL129" t="s">
        <v>1866</v>
      </c>
      <c r="CM129" t="s">
        <v>1237</v>
      </c>
      <c r="CN129" t="s">
        <v>1867</v>
      </c>
      <c r="CO129" t="s">
        <v>322</v>
      </c>
      <c r="CS129" t="s">
        <v>322</v>
      </c>
      <c r="CT129" t="s">
        <v>1868</v>
      </c>
      <c r="CU129" t="s">
        <v>1437</v>
      </c>
      <c r="CV129" t="s">
        <v>1869</v>
      </c>
      <c r="CW129">
        <v>3</v>
      </c>
      <c r="CY129" t="s">
        <v>99</v>
      </c>
      <c r="CZ129">
        <v>20</v>
      </c>
      <c r="DA129">
        <v>20</v>
      </c>
      <c r="DB129">
        <v>60</v>
      </c>
      <c r="DC129">
        <v>96</v>
      </c>
      <c r="DD129">
        <v>0.6</v>
      </c>
      <c r="DE129">
        <v>326</v>
      </c>
      <c r="DF129">
        <v>700</v>
      </c>
      <c r="DG129" s="9">
        <f t="shared" si="1"/>
        <v>5.5577142632556207</v>
      </c>
      <c r="DH129" t="s">
        <v>1870</v>
      </c>
      <c r="DI129">
        <v>16.39</v>
      </c>
      <c r="DL129">
        <v>40.4</v>
      </c>
      <c r="DM129" t="s">
        <v>1870</v>
      </c>
      <c r="DR129">
        <v>2</v>
      </c>
    </row>
    <row r="130" spans="1:157" customFormat="1" x14ac:dyDescent="0.2">
      <c r="A130" t="s">
        <v>1871</v>
      </c>
      <c r="B130" s="26">
        <v>43795</v>
      </c>
      <c r="C130" t="s">
        <v>95</v>
      </c>
      <c r="D130">
        <v>32</v>
      </c>
      <c r="E130" t="s">
        <v>96</v>
      </c>
      <c r="F130" s="26">
        <v>32109</v>
      </c>
      <c r="G130" t="s">
        <v>1855</v>
      </c>
      <c r="H130" t="s">
        <v>1872</v>
      </c>
      <c r="I130" t="s">
        <v>1321</v>
      </c>
      <c r="K130" s="26">
        <v>42353</v>
      </c>
      <c r="L130">
        <v>1</v>
      </c>
      <c r="M130" t="s">
        <v>99</v>
      </c>
      <c r="N130" t="s">
        <v>99</v>
      </c>
      <c r="O130" t="s">
        <v>99</v>
      </c>
      <c r="P130" s="29" t="s">
        <v>1873</v>
      </c>
      <c r="Q130" s="29" t="s">
        <v>1874</v>
      </c>
      <c r="R130" s="29" t="s">
        <v>110</v>
      </c>
      <c r="S130" s="29"/>
      <c r="T130" s="29"/>
      <c r="U130" s="29" t="s">
        <v>1875</v>
      </c>
      <c r="V130" s="29" t="s">
        <v>99</v>
      </c>
      <c r="W130" s="29" t="s">
        <v>1876</v>
      </c>
      <c r="X130" s="29" t="s">
        <v>99</v>
      </c>
      <c r="Y130" s="29" t="s">
        <v>99</v>
      </c>
      <c r="Z130" s="29"/>
      <c r="AA130" s="29" t="s">
        <v>1419</v>
      </c>
      <c r="AB130" s="29" t="s">
        <v>440</v>
      </c>
      <c r="AC130" s="29" t="s">
        <v>1419</v>
      </c>
      <c r="AD130" s="29" t="s">
        <v>440</v>
      </c>
      <c r="AE130" s="29" t="s">
        <v>1877</v>
      </c>
      <c r="AF130" s="29" t="s">
        <v>1878</v>
      </c>
      <c r="AG130" s="29" t="s">
        <v>1879</v>
      </c>
      <c r="AH130" s="29" t="s">
        <v>1861</v>
      </c>
      <c r="AI130" s="29" t="s">
        <v>99</v>
      </c>
      <c r="AJ130" s="29" t="s">
        <v>99</v>
      </c>
      <c r="AK130" s="29"/>
      <c r="AL130">
        <v>80.400000000000006</v>
      </c>
      <c r="AM130">
        <v>169</v>
      </c>
      <c r="AN130">
        <v>104</v>
      </c>
      <c r="AO130">
        <v>110</v>
      </c>
      <c r="AP130">
        <v>42.3</v>
      </c>
      <c r="AQ130">
        <v>7</v>
      </c>
      <c r="AR130">
        <v>25.1</v>
      </c>
      <c r="AS130">
        <v>46</v>
      </c>
      <c r="AT130">
        <v>28.1</v>
      </c>
      <c r="AU130" t="s">
        <v>1880</v>
      </c>
      <c r="AV130" t="s">
        <v>1881</v>
      </c>
      <c r="AW130" t="s">
        <v>276</v>
      </c>
      <c r="BA130" t="s">
        <v>322</v>
      </c>
      <c r="BE130" t="s">
        <v>322</v>
      </c>
      <c r="BF130" t="s">
        <v>1882</v>
      </c>
      <c r="BH130" t="s">
        <v>1883</v>
      </c>
      <c r="BI130" t="s">
        <v>1884</v>
      </c>
      <c r="BJ130" t="s">
        <v>1885</v>
      </c>
      <c r="BL130" t="s">
        <v>322</v>
      </c>
      <c r="BN130" t="s">
        <v>953</v>
      </c>
      <c r="BO130" t="s">
        <v>1886</v>
      </c>
      <c r="BP130" t="s">
        <v>1072</v>
      </c>
      <c r="BV130" t="s">
        <v>1887</v>
      </c>
      <c r="BY130" t="s">
        <v>375</v>
      </c>
      <c r="BZ130" t="s">
        <v>277</v>
      </c>
      <c r="CH130" t="s">
        <v>1888</v>
      </c>
      <c r="CK130" t="s">
        <v>322</v>
      </c>
      <c r="CL130" t="s">
        <v>1866</v>
      </c>
      <c r="CM130" t="s">
        <v>1237</v>
      </c>
      <c r="CO130" t="s">
        <v>322</v>
      </c>
      <c r="CP130" t="s">
        <v>1054</v>
      </c>
      <c r="CQ130" t="s">
        <v>1796</v>
      </c>
      <c r="CS130" t="s">
        <v>322</v>
      </c>
      <c r="CT130" t="s">
        <v>1829</v>
      </c>
      <c r="CU130" t="s">
        <v>1889</v>
      </c>
      <c r="CW130" t="s">
        <v>1890</v>
      </c>
      <c r="CX130" t="s">
        <v>99</v>
      </c>
      <c r="CY130" t="s">
        <v>110</v>
      </c>
      <c r="CZ130" s="33">
        <v>40</v>
      </c>
      <c r="DA130" s="33">
        <v>10</v>
      </c>
      <c r="DB130" s="33">
        <v>60</v>
      </c>
      <c r="DC130">
        <v>72.2</v>
      </c>
      <c r="DD130">
        <v>0.75</v>
      </c>
      <c r="DE130">
        <v>203</v>
      </c>
      <c r="DF130">
        <v>110</v>
      </c>
      <c r="DG130" s="9">
        <f t="shared" si="1"/>
        <v>4.4899602058455983</v>
      </c>
      <c r="DH130">
        <v>22</v>
      </c>
      <c r="DI130">
        <v>4.71</v>
      </c>
      <c r="DL130">
        <v>65.8</v>
      </c>
      <c r="DM130">
        <v>115.2</v>
      </c>
      <c r="DR130">
        <v>3</v>
      </c>
    </row>
    <row r="131" spans="1:157" customFormat="1" x14ac:dyDescent="0.2">
      <c r="A131" t="s">
        <v>1891</v>
      </c>
      <c r="B131" s="26">
        <v>43796</v>
      </c>
      <c r="C131" t="s">
        <v>95</v>
      </c>
      <c r="D131">
        <v>45</v>
      </c>
      <c r="E131" t="s">
        <v>96</v>
      </c>
      <c r="F131" s="26">
        <v>27041</v>
      </c>
      <c r="G131" t="s">
        <v>1892</v>
      </c>
      <c r="H131" t="s">
        <v>1893</v>
      </c>
      <c r="K131" s="26" t="s">
        <v>1894</v>
      </c>
      <c r="L131">
        <v>3</v>
      </c>
      <c r="M131" t="s">
        <v>99</v>
      </c>
      <c r="N131" t="s">
        <v>99</v>
      </c>
      <c r="P131" s="29" t="s">
        <v>99</v>
      </c>
      <c r="Q131" s="29" t="s">
        <v>99</v>
      </c>
      <c r="R131" s="29"/>
      <c r="S131" s="29"/>
      <c r="T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>
        <v>63.2</v>
      </c>
      <c r="AM131">
        <v>160</v>
      </c>
      <c r="AN131">
        <v>81</v>
      </c>
      <c r="AO131">
        <v>99</v>
      </c>
      <c r="AP131">
        <v>37.299999999999997</v>
      </c>
      <c r="AQ131">
        <v>7</v>
      </c>
      <c r="AR131">
        <v>26.2</v>
      </c>
      <c r="AS131">
        <v>47</v>
      </c>
      <c r="AT131">
        <v>24.7</v>
      </c>
      <c r="AU131" t="s">
        <v>1895</v>
      </c>
      <c r="AV131" t="s">
        <v>1896</v>
      </c>
      <c r="BF131" t="s">
        <v>1897</v>
      </c>
      <c r="BG131" t="s">
        <v>1897</v>
      </c>
      <c r="BI131" t="s">
        <v>1897</v>
      </c>
      <c r="BK131" t="s">
        <v>1898</v>
      </c>
      <c r="CO131" t="s">
        <v>322</v>
      </c>
      <c r="CW131">
        <v>3</v>
      </c>
      <c r="CX131" t="s">
        <v>110</v>
      </c>
      <c r="CY131" t="s">
        <v>99</v>
      </c>
      <c r="DC131">
        <v>77.2</v>
      </c>
      <c r="DD131">
        <v>0.91</v>
      </c>
      <c r="DE131">
        <v>160</v>
      </c>
      <c r="DF131">
        <v>213</v>
      </c>
      <c r="DG131" s="9">
        <f t="shared" ref="DG131:DG194" si="2">LN(DF131*DC131)/2</f>
        <v>4.8538458113700775</v>
      </c>
      <c r="DH131">
        <v>42.6</v>
      </c>
      <c r="DI131">
        <v>5.13</v>
      </c>
      <c r="DL131">
        <v>41.6</v>
      </c>
      <c r="DM131">
        <v>75.8</v>
      </c>
    </row>
    <row r="132" spans="1:157" customFormat="1" x14ac:dyDescent="0.2">
      <c r="A132" s="29" t="s">
        <v>1899</v>
      </c>
      <c r="B132" s="69">
        <v>43795</v>
      </c>
      <c r="C132" s="29" t="s">
        <v>196</v>
      </c>
      <c r="D132" s="29">
        <v>47</v>
      </c>
      <c r="E132" s="29" t="s">
        <v>203</v>
      </c>
      <c r="F132" s="69">
        <v>26466</v>
      </c>
      <c r="G132" s="29" t="s">
        <v>339</v>
      </c>
      <c r="H132" s="29" t="s">
        <v>1667</v>
      </c>
      <c r="I132" s="29" t="s">
        <v>236</v>
      </c>
      <c r="J132" s="29"/>
      <c r="K132" s="29">
        <v>2005</v>
      </c>
      <c r="L132" s="29">
        <v>5</v>
      </c>
      <c r="M132" s="29" t="s">
        <v>99</v>
      </c>
      <c r="N132" s="29" t="s">
        <v>1900</v>
      </c>
      <c r="O132" s="29" t="s">
        <v>1901</v>
      </c>
      <c r="P132" s="29" t="s">
        <v>99</v>
      </c>
      <c r="Q132" s="29" t="s">
        <v>99</v>
      </c>
      <c r="R132" s="29" t="s">
        <v>110</v>
      </c>
      <c r="S132" s="29" t="s">
        <v>110</v>
      </c>
      <c r="T132" s="29" t="s">
        <v>99</v>
      </c>
      <c r="U132" s="29" t="s">
        <v>1902</v>
      </c>
      <c r="V132" s="29"/>
      <c r="W132" s="29" t="s">
        <v>1046</v>
      </c>
      <c r="X132" s="29" t="s">
        <v>99</v>
      </c>
      <c r="Y132" s="29"/>
      <c r="Z132" s="29" t="s">
        <v>1903</v>
      </c>
      <c r="AA132" s="29" t="s">
        <v>100</v>
      </c>
      <c r="AB132" s="29" t="s">
        <v>203</v>
      </c>
      <c r="AC132" s="29" t="s">
        <v>100</v>
      </c>
      <c r="AD132" s="29" t="s">
        <v>203</v>
      </c>
      <c r="AE132" s="29" t="s">
        <v>1904</v>
      </c>
      <c r="AF132" s="29" t="s">
        <v>1905</v>
      </c>
      <c r="AG132" s="29" t="s">
        <v>99</v>
      </c>
      <c r="AH132" s="29" t="s">
        <v>343</v>
      </c>
      <c r="AI132" s="29" t="s">
        <v>1906</v>
      </c>
      <c r="AJ132" s="29" t="s">
        <v>1511</v>
      </c>
      <c r="AK132" s="29" t="s">
        <v>99</v>
      </c>
      <c r="AL132" s="29">
        <v>93.9</v>
      </c>
      <c r="AM132" s="29"/>
      <c r="AN132" s="29">
        <v>116</v>
      </c>
      <c r="AO132" s="29">
        <v>119</v>
      </c>
      <c r="AP132" s="29">
        <v>50.3</v>
      </c>
      <c r="AQ132" s="29">
        <v>12</v>
      </c>
      <c r="AR132" s="29">
        <v>22.3</v>
      </c>
      <c r="AS132" s="29">
        <v>71</v>
      </c>
      <c r="AT132" s="29">
        <v>37.6</v>
      </c>
      <c r="AU132" s="29">
        <v>114</v>
      </c>
      <c r="AV132" s="29">
        <v>88</v>
      </c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>
        <v>83.5</v>
      </c>
      <c r="DD132" s="29">
        <v>0.57999999999999996</v>
      </c>
      <c r="DE132" s="48">
        <v>222</v>
      </c>
      <c r="DF132" s="48">
        <v>166</v>
      </c>
      <c r="DG132" s="9">
        <f t="shared" si="2"/>
        <v>4.7684172101066764</v>
      </c>
      <c r="DH132" s="29">
        <v>33.200000000000003</v>
      </c>
      <c r="DI132" s="29">
        <v>5.6</v>
      </c>
      <c r="DJ132" s="29"/>
      <c r="DK132" s="29"/>
      <c r="DL132" s="29">
        <v>50.4</v>
      </c>
      <c r="DM132" s="29">
        <v>138.4</v>
      </c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  <c r="EP132" s="29"/>
      <c r="EQ132" s="29"/>
      <c r="ER132" s="29"/>
      <c r="ES132" s="29"/>
      <c r="ET132" s="29"/>
      <c r="EU132" s="29"/>
      <c r="EV132" s="29"/>
      <c r="EW132" s="29"/>
      <c r="EX132" s="29"/>
      <c r="EY132" s="29"/>
      <c r="EZ132" s="29"/>
      <c r="FA132" s="29"/>
    </row>
    <row r="133" spans="1:157" customFormat="1" x14ac:dyDescent="0.2">
      <c r="A133" s="73" t="s">
        <v>1907</v>
      </c>
      <c r="B133" s="26">
        <v>43795</v>
      </c>
      <c r="C133" t="s">
        <v>95</v>
      </c>
      <c r="D133">
        <v>57</v>
      </c>
      <c r="E133" t="s">
        <v>96</v>
      </c>
      <c r="F133" s="26">
        <v>22700</v>
      </c>
      <c r="G133" t="s">
        <v>1908</v>
      </c>
      <c r="H133" t="s">
        <v>1909</v>
      </c>
      <c r="K133" s="26">
        <v>31906</v>
      </c>
      <c r="L133">
        <v>3</v>
      </c>
      <c r="M133" t="s">
        <v>1910</v>
      </c>
      <c r="N133" t="s">
        <v>99</v>
      </c>
      <c r="P133" s="29" t="s">
        <v>99</v>
      </c>
      <c r="Q133" s="29" t="s">
        <v>1911</v>
      </c>
      <c r="R133" s="29" t="s">
        <v>110</v>
      </c>
      <c r="S133" s="29" t="s">
        <v>99</v>
      </c>
      <c r="T133" s="29" t="s">
        <v>99</v>
      </c>
      <c r="V133" s="29" t="s">
        <v>99</v>
      </c>
      <c r="W133" s="29" t="s">
        <v>99</v>
      </c>
      <c r="X133" s="29" t="s">
        <v>99</v>
      </c>
      <c r="Y133" s="29" t="s">
        <v>99</v>
      </c>
      <c r="Z133" s="29" t="s">
        <v>99</v>
      </c>
      <c r="AA133" s="29" t="s">
        <v>100</v>
      </c>
      <c r="AB133" s="29" t="s">
        <v>100</v>
      </c>
      <c r="AC133" s="29"/>
      <c r="AD133" s="29" t="s">
        <v>100</v>
      </c>
      <c r="AE133" s="29" t="s">
        <v>1912</v>
      </c>
      <c r="AF133" s="29" t="s">
        <v>110</v>
      </c>
      <c r="AG133" s="29" t="s">
        <v>99</v>
      </c>
      <c r="AH133" s="29" t="s">
        <v>110</v>
      </c>
      <c r="AI133" s="29" t="s">
        <v>99</v>
      </c>
      <c r="AJ133" s="29" t="s">
        <v>99</v>
      </c>
      <c r="AK133" s="29" t="s">
        <v>99</v>
      </c>
      <c r="AL133">
        <v>86.9</v>
      </c>
      <c r="AM133">
        <v>161</v>
      </c>
      <c r="AN133">
        <v>106</v>
      </c>
      <c r="AO133">
        <v>117</v>
      </c>
      <c r="AP133">
        <v>48.7</v>
      </c>
      <c r="AQ133">
        <v>12</v>
      </c>
      <c r="AR133">
        <v>22.3</v>
      </c>
      <c r="AS133">
        <v>71</v>
      </c>
      <c r="AT133">
        <v>33.5</v>
      </c>
      <c r="AU133" t="s">
        <v>1913</v>
      </c>
      <c r="AV133" t="s">
        <v>1914</v>
      </c>
      <c r="AW133" t="s">
        <v>375</v>
      </c>
      <c r="BA133" t="s">
        <v>375</v>
      </c>
      <c r="BE133" t="s">
        <v>322</v>
      </c>
      <c r="BF133" t="s">
        <v>110</v>
      </c>
      <c r="BG133" t="s">
        <v>110</v>
      </c>
      <c r="BH133" t="s">
        <v>110</v>
      </c>
      <c r="BI133" t="s">
        <v>110</v>
      </c>
      <c r="BJ133" t="s">
        <v>110</v>
      </c>
      <c r="BK133" t="s">
        <v>110</v>
      </c>
      <c r="BL133" t="s">
        <v>322</v>
      </c>
      <c r="BN133" t="s">
        <v>918</v>
      </c>
      <c r="BO133" t="s">
        <v>1886</v>
      </c>
      <c r="BP133" t="s">
        <v>1073</v>
      </c>
      <c r="BZ133" t="s">
        <v>277</v>
      </c>
      <c r="CA133" t="s">
        <v>1865</v>
      </c>
      <c r="CB133" t="s">
        <v>1764</v>
      </c>
      <c r="CL133" t="s">
        <v>1238</v>
      </c>
      <c r="CM133" t="s">
        <v>1237</v>
      </c>
      <c r="CN133" t="s">
        <v>1155</v>
      </c>
      <c r="CW133">
        <v>3</v>
      </c>
      <c r="CX133" t="s">
        <v>110</v>
      </c>
      <c r="CY133" t="s">
        <v>99</v>
      </c>
      <c r="CZ133">
        <v>30</v>
      </c>
      <c r="DC133">
        <v>131.80000000000001</v>
      </c>
      <c r="DD133">
        <v>0.44</v>
      </c>
      <c r="DE133">
        <v>229</v>
      </c>
      <c r="DF133">
        <v>246</v>
      </c>
      <c r="DG133" s="9">
        <f t="shared" si="2"/>
        <v>5.1933085790003846</v>
      </c>
      <c r="DH133">
        <v>49.2</v>
      </c>
      <c r="DI133">
        <v>5.94</v>
      </c>
      <c r="DL133">
        <v>48.5</v>
      </c>
      <c r="DM133">
        <v>131.30000000000001</v>
      </c>
      <c r="DP133">
        <v>3</v>
      </c>
      <c r="DR133">
        <v>3</v>
      </c>
    </row>
    <row r="134" spans="1:157" customFormat="1" x14ac:dyDescent="0.2">
      <c r="A134" t="s">
        <v>1915</v>
      </c>
      <c r="B134" s="26">
        <v>43795</v>
      </c>
      <c r="C134" t="s">
        <v>107</v>
      </c>
      <c r="D134">
        <v>40</v>
      </c>
      <c r="E134" t="s">
        <v>96</v>
      </c>
      <c r="F134" s="26">
        <v>28785</v>
      </c>
      <c r="G134" t="s">
        <v>508</v>
      </c>
      <c r="H134" t="s">
        <v>1916</v>
      </c>
      <c r="I134" s="29" t="s">
        <v>162</v>
      </c>
      <c r="J134" s="29" t="s">
        <v>162</v>
      </c>
      <c r="K134" s="29" t="s">
        <v>162</v>
      </c>
      <c r="L134" s="29" t="s">
        <v>162</v>
      </c>
      <c r="M134" s="29" t="s">
        <v>162</v>
      </c>
      <c r="N134" s="29" t="s">
        <v>1917</v>
      </c>
      <c r="O134" s="29" t="s">
        <v>162</v>
      </c>
      <c r="P134" s="29" t="s">
        <v>1918</v>
      </c>
      <c r="Q134" s="29" t="s">
        <v>162</v>
      </c>
      <c r="R134" s="29" t="s">
        <v>162</v>
      </c>
      <c r="S134" s="29" t="s">
        <v>162</v>
      </c>
      <c r="T134" s="29" t="s">
        <v>162</v>
      </c>
      <c r="U134" s="29" t="s">
        <v>162</v>
      </c>
      <c r="V134" s="29" t="s">
        <v>162</v>
      </c>
      <c r="W134" s="29" t="s">
        <v>162</v>
      </c>
      <c r="X134" s="29" t="s">
        <v>162</v>
      </c>
      <c r="Y134" s="29" t="s">
        <v>162</v>
      </c>
      <c r="Z134" s="29" t="s">
        <v>162</v>
      </c>
      <c r="AA134" s="29" t="s">
        <v>100</v>
      </c>
      <c r="AB134" s="29" t="s">
        <v>100</v>
      </c>
      <c r="AC134" s="29" t="s">
        <v>100</v>
      </c>
      <c r="AD134" s="29" t="s">
        <v>100</v>
      </c>
      <c r="AE134" s="29" t="s">
        <v>1919</v>
      </c>
      <c r="AF134" s="29" t="s">
        <v>1920</v>
      </c>
      <c r="AG134" s="29" t="s">
        <v>1420</v>
      </c>
      <c r="AH134" s="29" t="s">
        <v>1919</v>
      </c>
      <c r="AI134" s="29" t="s">
        <v>162</v>
      </c>
      <c r="AJ134" s="29" t="s">
        <v>162</v>
      </c>
      <c r="AK134" s="29" t="s">
        <v>162</v>
      </c>
      <c r="AX134" t="s">
        <v>1921</v>
      </c>
      <c r="BB134" t="s">
        <v>409</v>
      </c>
      <c r="BF134" t="s">
        <v>1922</v>
      </c>
      <c r="BG134" t="s">
        <v>968</v>
      </c>
      <c r="BH134" t="s">
        <v>162</v>
      </c>
      <c r="BI134" t="s">
        <v>1923</v>
      </c>
      <c r="BJ134" t="s">
        <v>1924</v>
      </c>
      <c r="BK134" t="s">
        <v>276</v>
      </c>
      <c r="BM134" t="s">
        <v>1922</v>
      </c>
      <c r="BQ134" t="s">
        <v>1923</v>
      </c>
      <c r="BU134" t="s">
        <v>276</v>
      </c>
      <c r="BY134" t="s">
        <v>1314</v>
      </c>
      <c r="CK134" t="s">
        <v>322</v>
      </c>
      <c r="CO134" t="s">
        <v>1922</v>
      </c>
      <c r="CS134" t="s">
        <v>1923</v>
      </c>
      <c r="CW134">
        <v>3</v>
      </c>
      <c r="CX134" t="s">
        <v>99</v>
      </c>
      <c r="CY134" t="s">
        <v>99</v>
      </c>
      <c r="DG134" s="9" t="e">
        <f t="shared" si="2"/>
        <v>#NUM!</v>
      </c>
      <c r="DR134">
        <v>3</v>
      </c>
    </row>
    <row r="135" spans="1:157" customFormat="1" x14ac:dyDescent="0.2">
      <c r="A135" t="s">
        <v>1925</v>
      </c>
      <c r="B135" s="26">
        <v>43796</v>
      </c>
      <c r="C135" t="s">
        <v>95</v>
      </c>
      <c r="D135">
        <v>42</v>
      </c>
      <c r="E135" t="s">
        <v>1926</v>
      </c>
      <c r="F135" s="26">
        <v>28117</v>
      </c>
      <c r="G135" t="s">
        <v>162</v>
      </c>
      <c r="H135" t="s">
        <v>162</v>
      </c>
      <c r="I135" t="s">
        <v>162</v>
      </c>
      <c r="J135" t="s">
        <v>162</v>
      </c>
      <c r="K135" t="s">
        <v>162</v>
      </c>
      <c r="L135">
        <v>0</v>
      </c>
      <c r="M135" t="s">
        <v>99</v>
      </c>
      <c r="N135" t="s">
        <v>99</v>
      </c>
      <c r="O135" t="s">
        <v>162</v>
      </c>
      <c r="P135" t="s">
        <v>1927</v>
      </c>
      <c r="Q135" t="s">
        <v>1672</v>
      </c>
      <c r="R135" t="s">
        <v>99</v>
      </c>
      <c r="S135" t="s">
        <v>99</v>
      </c>
      <c r="T135" t="s">
        <v>99</v>
      </c>
      <c r="U135" t="s">
        <v>1928</v>
      </c>
      <c r="V135" s="33" t="s">
        <v>1929</v>
      </c>
      <c r="W135" t="s">
        <v>162</v>
      </c>
      <c r="X135" t="s">
        <v>99</v>
      </c>
      <c r="Y135" t="s">
        <v>1930</v>
      </c>
      <c r="Z135" t="s">
        <v>1931</v>
      </c>
      <c r="AA135" t="s">
        <v>100</v>
      </c>
      <c r="AB135" t="s">
        <v>100</v>
      </c>
      <c r="AC135" t="s">
        <v>100</v>
      </c>
      <c r="AD135" t="s">
        <v>100</v>
      </c>
      <c r="AE135" t="s">
        <v>99</v>
      </c>
      <c r="AF135" t="s">
        <v>1125</v>
      </c>
      <c r="AG135" t="s">
        <v>99</v>
      </c>
      <c r="AH135" t="s">
        <v>1932</v>
      </c>
      <c r="AI135" t="s">
        <v>99</v>
      </c>
      <c r="AJ135" t="s">
        <v>99</v>
      </c>
      <c r="AK135" t="s">
        <v>162</v>
      </c>
      <c r="AL135">
        <v>74.400000000000006</v>
      </c>
      <c r="AM135">
        <v>170</v>
      </c>
      <c r="AN135">
        <v>96</v>
      </c>
      <c r="AO135">
        <v>110</v>
      </c>
      <c r="AP135">
        <v>40.799999999999997</v>
      </c>
      <c r="AQ135">
        <v>7</v>
      </c>
      <c r="AR135">
        <v>24.7</v>
      </c>
      <c r="AS135">
        <v>45</v>
      </c>
      <c r="AT135">
        <v>25.7</v>
      </c>
      <c r="AU135" t="s">
        <v>1933</v>
      </c>
      <c r="AV135" t="s">
        <v>1934</v>
      </c>
      <c r="AW135" t="s">
        <v>322</v>
      </c>
      <c r="AX135" t="s">
        <v>1437</v>
      </c>
      <c r="AY135" t="s">
        <v>1436</v>
      </c>
      <c r="AZ135" t="s">
        <v>1152</v>
      </c>
      <c r="BA135" t="s">
        <v>322</v>
      </c>
      <c r="BB135" t="s">
        <v>171</v>
      </c>
      <c r="BC135" t="s">
        <v>1148</v>
      </c>
      <c r="BD135" t="s">
        <v>1935</v>
      </c>
      <c r="BE135" t="s">
        <v>322</v>
      </c>
      <c r="BF135" t="s">
        <v>1936</v>
      </c>
      <c r="BG135" t="s">
        <v>1923</v>
      </c>
      <c r="BH135" t="s">
        <v>1937</v>
      </c>
      <c r="BI135" t="s">
        <v>322</v>
      </c>
      <c r="BJ135" t="s">
        <v>375</v>
      </c>
      <c r="BK135" t="s">
        <v>162</v>
      </c>
      <c r="BL135" t="s">
        <v>375</v>
      </c>
      <c r="BN135" t="s">
        <v>1886</v>
      </c>
      <c r="BO135" t="s">
        <v>918</v>
      </c>
      <c r="BP135" t="s">
        <v>162</v>
      </c>
      <c r="BQ135" t="s">
        <v>162</v>
      </c>
      <c r="BR135" t="s">
        <v>162</v>
      </c>
      <c r="BS135" t="s">
        <v>162</v>
      </c>
      <c r="BT135" t="s">
        <v>162</v>
      </c>
      <c r="BU135" t="s">
        <v>276</v>
      </c>
      <c r="BV135" t="s">
        <v>1762</v>
      </c>
      <c r="BW135" t="s">
        <v>162</v>
      </c>
      <c r="BX135" t="s">
        <v>162</v>
      </c>
      <c r="BY135" t="s">
        <v>375</v>
      </c>
      <c r="BZ135" t="s">
        <v>1039</v>
      </c>
      <c r="CA135" t="s">
        <v>1938</v>
      </c>
      <c r="CB135" t="s">
        <v>1939</v>
      </c>
      <c r="CC135" t="s">
        <v>162</v>
      </c>
      <c r="CD135" t="s">
        <v>162</v>
      </c>
      <c r="CE135" t="s">
        <v>162</v>
      </c>
      <c r="CF135" t="s">
        <v>162</v>
      </c>
      <c r="CG135" t="s">
        <v>162</v>
      </c>
      <c r="CH135" t="s">
        <v>162</v>
      </c>
      <c r="CI135" t="s">
        <v>162</v>
      </c>
      <c r="CJ135" t="s">
        <v>162</v>
      </c>
      <c r="CL135" t="s">
        <v>1940</v>
      </c>
      <c r="CM135" t="s">
        <v>333</v>
      </c>
      <c r="CN135" t="s">
        <v>162</v>
      </c>
      <c r="CO135" t="s">
        <v>323</v>
      </c>
      <c r="CP135" t="s">
        <v>637</v>
      </c>
      <c r="CQ135" t="s">
        <v>309</v>
      </c>
      <c r="CR135" t="s">
        <v>1796</v>
      </c>
      <c r="CS135" t="s">
        <v>322</v>
      </c>
      <c r="CT135" t="s">
        <v>1027</v>
      </c>
      <c r="CU135" t="s">
        <v>1941</v>
      </c>
      <c r="CV135" t="s">
        <v>162</v>
      </c>
      <c r="CW135">
        <v>2</v>
      </c>
      <c r="CX135" t="s">
        <v>162</v>
      </c>
      <c r="CY135" t="s">
        <v>99</v>
      </c>
      <c r="CZ135">
        <v>20</v>
      </c>
      <c r="DA135">
        <v>30</v>
      </c>
      <c r="DB135">
        <v>50</v>
      </c>
      <c r="DC135">
        <v>79.900000000000006</v>
      </c>
      <c r="DD135">
        <v>1.32</v>
      </c>
      <c r="DE135">
        <v>175</v>
      </c>
      <c r="DF135">
        <v>125</v>
      </c>
      <c r="DG135" s="9">
        <f t="shared" si="2"/>
        <v>4.6045447950372651</v>
      </c>
      <c r="DH135">
        <v>25</v>
      </c>
      <c r="DI135">
        <v>7.13</v>
      </c>
      <c r="DL135">
        <v>69.099999999999994</v>
      </c>
      <c r="DM135">
        <v>80.900000000000006</v>
      </c>
      <c r="DP135">
        <v>3</v>
      </c>
      <c r="DR135">
        <v>2</v>
      </c>
      <c r="DU135">
        <v>4.17</v>
      </c>
    </row>
    <row r="136" spans="1:157" customFormat="1" x14ac:dyDescent="0.2">
      <c r="A136" s="72" t="s">
        <v>1942</v>
      </c>
      <c r="B136" s="26">
        <v>43796</v>
      </c>
      <c r="C136" t="s">
        <v>95</v>
      </c>
      <c r="D136">
        <v>21</v>
      </c>
      <c r="E136" t="s">
        <v>96</v>
      </c>
      <c r="F136" s="26">
        <v>36080</v>
      </c>
      <c r="K136" s="26"/>
      <c r="L136">
        <v>0</v>
      </c>
      <c r="M136" t="s">
        <v>99</v>
      </c>
      <c r="N136" t="s">
        <v>99</v>
      </c>
      <c r="P136" s="29" t="s">
        <v>99</v>
      </c>
      <c r="Q136" s="29" t="s">
        <v>99</v>
      </c>
      <c r="R136" s="29" t="s">
        <v>99</v>
      </c>
      <c r="S136" s="29" t="s">
        <v>99</v>
      </c>
      <c r="T136" s="29" t="s">
        <v>99</v>
      </c>
      <c r="U136" s="29" t="s">
        <v>99</v>
      </c>
      <c r="V136" s="29" t="s">
        <v>99</v>
      </c>
      <c r="W136" s="29" t="s">
        <v>1943</v>
      </c>
      <c r="X136" s="29" t="s">
        <v>99</v>
      </c>
      <c r="AA136" s="29" t="s">
        <v>100</v>
      </c>
      <c r="AB136" s="29" t="s">
        <v>100</v>
      </c>
      <c r="AC136" s="29" t="s">
        <v>100</v>
      </c>
      <c r="AD136" s="29" t="s">
        <v>100</v>
      </c>
      <c r="AE136" s="31" t="s">
        <v>1944</v>
      </c>
      <c r="AF136" s="31" t="s">
        <v>1945</v>
      </c>
      <c r="AG136" s="29" t="s">
        <v>99</v>
      </c>
      <c r="AH136" s="29" t="s">
        <v>99</v>
      </c>
      <c r="AI136" s="29" t="s">
        <v>99</v>
      </c>
      <c r="AJ136" s="29" t="s">
        <v>99</v>
      </c>
      <c r="AL136">
        <v>61.6</v>
      </c>
      <c r="AM136">
        <v>159</v>
      </c>
      <c r="AN136">
        <v>73</v>
      </c>
      <c r="AO136">
        <v>99</v>
      </c>
      <c r="AP136">
        <v>36.4</v>
      </c>
      <c r="AQ136">
        <v>5</v>
      </c>
      <c r="AR136">
        <v>27</v>
      </c>
      <c r="AS136">
        <v>34</v>
      </c>
      <c r="AT136">
        <v>24.4</v>
      </c>
      <c r="AU136">
        <v>98</v>
      </c>
      <c r="AV136">
        <v>72</v>
      </c>
      <c r="AX136" t="s">
        <v>1946</v>
      </c>
      <c r="AY136" t="s">
        <v>1947</v>
      </c>
      <c r="AZ136" t="s">
        <v>1948</v>
      </c>
      <c r="BB136" t="s">
        <v>515</v>
      </c>
      <c r="BF136" t="s">
        <v>1949</v>
      </c>
      <c r="BG136" t="s">
        <v>1922</v>
      </c>
      <c r="BH136" t="s">
        <v>1923</v>
      </c>
      <c r="BI136" t="s">
        <v>1922</v>
      </c>
      <c r="BJ136" t="s">
        <v>1922</v>
      </c>
      <c r="BK136" t="s">
        <v>1818</v>
      </c>
      <c r="BU136" t="s">
        <v>1923</v>
      </c>
      <c r="BZ136" t="s">
        <v>1950</v>
      </c>
      <c r="CA136" t="s">
        <v>1951</v>
      </c>
      <c r="CB136" t="s">
        <v>1952</v>
      </c>
      <c r="CL136" t="s">
        <v>1953</v>
      </c>
      <c r="CP136" t="s">
        <v>452</v>
      </c>
      <c r="CT136" t="s">
        <v>1954</v>
      </c>
      <c r="CU136" t="s">
        <v>1955</v>
      </c>
      <c r="CV136" t="s">
        <v>1953</v>
      </c>
      <c r="CW136">
        <v>3</v>
      </c>
      <c r="DC136">
        <v>71.5</v>
      </c>
      <c r="DD136">
        <v>0.74</v>
      </c>
      <c r="DE136">
        <v>168</v>
      </c>
      <c r="DF136">
        <v>79</v>
      </c>
      <c r="DG136" s="9">
        <f t="shared" si="2"/>
        <v>4.319572651083492</v>
      </c>
      <c r="DH136">
        <v>15.8</v>
      </c>
      <c r="DI136">
        <v>4.1399999999999997</v>
      </c>
      <c r="DL136">
        <v>66.099999999999994</v>
      </c>
      <c r="DM136">
        <v>86.1</v>
      </c>
      <c r="DR136">
        <v>2</v>
      </c>
    </row>
    <row r="137" spans="1:157" customFormat="1" x14ac:dyDescent="0.2">
      <c r="A137" s="72" t="s">
        <v>1956</v>
      </c>
      <c r="B137" s="26">
        <v>43796</v>
      </c>
      <c r="C137" t="s">
        <v>95</v>
      </c>
      <c r="D137">
        <v>24</v>
      </c>
      <c r="F137" s="26">
        <v>34892</v>
      </c>
      <c r="H137" t="s">
        <v>1957</v>
      </c>
      <c r="K137" s="26">
        <v>43487</v>
      </c>
      <c r="L137">
        <v>1</v>
      </c>
      <c r="M137" t="s">
        <v>99</v>
      </c>
      <c r="N137" t="s">
        <v>99</v>
      </c>
      <c r="O137" t="s">
        <v>99</v>
      </c>
      <c r="P137" s="29" t="s">
        <v>99</v>
      </c>
      <c r="Q137" s="29" t="s">
        <v>99</v>
      </c>
      <c r="R137" s="29" t="s">
        <v>110</v>
      </c>
      <c r="S137" s="29" t="s">
        <v>99</v>
      </c>
      <c r="T137" s="29" t="s">
        <v>99</v>
      </c>
      <c r="Z137" s="29" t="s">
        <v>1958</v>
      </c>
      <c r="AA137" s="29" t="s">
        <v>100</v>
      </c>
      <c r="AB137" s="29" t="s">
        <v>100</v>
      </c>
      <c r="AC137" s="29" t="s">
        <v>100</v>
      </c>
      <c r="AD137" s="29" t="s">
        <v>100</v>
      </c>
      <c r="AE137" s="29" t="s">
        <v>99</v>
      </c>
      <c r="AF137" s="29" t="s">
        <v>99</v>
      </c>
      <c r="AG137" s="29" t="s">
        <v>99</v>
      </c>
      <c r="AH137" s="29" t="s">
        <v>1959</v>
      </c>
      <c r="AI137" s="29" t="s">
        <v>99</v>
      </c>
      <c r="AJ137" s="29" t="s">
        <v>99</v>
      </c>
      <c r="AK137" s="29" t="s">
        <v>99</v>
      </c>
      <c r="AL137">
        <v>62.1</v>
      </c>
      <c r="AM137">
        <v>159</v>
      </c>
      <c r="AN137">
        <v>71</v>
      </c>
      <c r="AO137">
        <v>101</v>
      </c>
      <c r="AP137">
        <v>40</v>
      </c>
      <c r="AQ137">
        <v>5</v>
      </c>
      <c r="AR137">
        <v>24.1</v>
      </c>
      <c r="AS137">
        <v>36</v>
      </c>
      <c r="AT137">
        <v>24.6</v>
      </c>
      <c r="AU137" t="s">
        <v>1960</v>
      </c>
      <c r="AV137" t="s">
        <v>1961</v>
      </c>
      <c r="AX137" t="s">
        <v>168</v>
      </c>
      <c r="AY137" t="s">
        <v>1962</v>
      </c>
      <c r="AZ137" t="s">
        <v>1963</v>
      </c>
      <c r="BF137" t="s">
        <v>322</v>
      </c>
      <c r="BG137" t="s">
        <v>375</v>
      </c>
      <c r="BH137" t="s">
        <v>375</v>
      </c>
      <c r="BI137" t="s">
        <v>375</v>
      </c>
      <c r="BJ137" t="s">
        <v>322</v>
      </c>
      <c r="BN137" t="s">
        <v>519</v>
      </c>
      <c r="BO137" t="s">
        <v>517</v>
      </c>
      <c r="BV137" s="33" t="s">
        <v>1152</v>
      </c>
      <c r="BW137" t="s">
        <v>1964</v>
      </c>
      <c r="BZ137" t="s">
        <v>277</v>
      </c>
      <c r="CA137" t="s">
        <v>1965</v>
      </c>
      <c r="CB137" t="s">
        <v>1865</v>
      </c>
      <c r="CL137" t="s">
        <v>1966</v>
      </c>
      <c r="CM137" t="s">
        <v>1237</v>
      </c>
      <c r="CN137" t="s">
        <v>1967</v>
      </c>
      <c r="CW137">
        <v>3</v>
      </c>
      <c r="CX137" t="s">
        <v>110</v>
      </c>
      <c r="CY137" t="s">
        <v>99</v>
      </c>
      <c r="DC137">
        <v>75.7</v>
      </c>
      <c r="DD137">
        <v>0.56000000000000005</v>
      </c>
      <c r="DE137">
        <v>159</v>
      </c>
      <c r="DF137">
        <v>106</v>
      </c>
      <c r="DG137" s="9">
        <f t="shared" si="2"/>
        <v>4.4951086272777347</v>
      </c>
      <c r="DH137">
        <v>21.2</v>
      </c>
      <c r="DI137">
        <v>5.23</v>
      </c>
      <c r="DL137">
        <v>59.6</v>
      </c>
      <c r="DM137">
        <v>78.2</v>
      </c>
      <c r="DP137">
        <v>1</v>
      </c>
      <c r="DR137">
        <v>2</v>
      </c>
      <c r="DU137">
        <v>5.7</v>
      </c>
    </row>
    <row r="138" spans="1:157" customFormat="1" x14ac:dyDescent="0.2">
      <c r="A138" s="29" t="s">
        <v>1968</v>
      </c>
      <c r="B138" s="69">
        <v>43796</v>
      </c>
      <c r="C138" s="29" t="s">
        <v>675</v>
      </c>
      <c r="D138" s="29">
        <v>57</v>
      </c>
      <c r="E138" s="29" t="s">
        <v>203</v>
      </c>
      <c r="F138" s="69">
        <v>22846</v>
      </c>
      <c r="G138" s="29" t="s">
        <v>1969</v>
      </c>
      <c r="H138" s="29" t="s">
        <v>1970</v>
      </c>
      <c r="I138" s="29"/>
      <c r="J138" s="29"/>
      <c r="K138" s="29"/>
      <c r="L138" s="29"/>
      <c r="M138" s="29" t="s">
        <v>99</v>
      </c>
      <c r="N138" s="29" t="s">
        <v>99</v>
      </c>
      <c r="O138" s="29" t="s">
        <v>99</v>
      </c>
      <c r="P138" s="29" t="s">
        <v>99</v>
      </c>
      <c r="Q138" s="29" t="s">
        <v>99</v>
      </c>
      <c r="R138" s="29" t="s">
        <v>99</v>
      </c>
      <c r="S138" s="29" t="s">
        <v>1971</v>
      </c>
      <c r="T138" s="29" t="s">
        <v>1972</v>
      </c>
      <c r="U138" s="29" t="s">
        <v>1973</v>
      </c>
      <c r="V138" s="29" t="s">
        <v>99</v>
      </c>
      <c r="W138" s="29" t="s">
        <v>1974</v>
      </c>
      <c r="X138" s="29" t="s">
        <v>99</v>
      </c>
      <c r="Y138" s="29" t="s">
        <v>99</v>
      </c>
      <c r="Z138" s="29" t="s">
        <v>99</v>
      </c>
      <c r="AA138" s="29" t="s">
        <v>840</v>
      </c>
      <c r="AB138" s="29" t="s">
        <v>840</v>
      </c>
      <c r="AC138" s="29" t="s">
        <v>203</v>
      </c>
      <c r="AD138" s="29" t="s">
        <v>840</v>
      </c>
      <c r="AE138" s="29" t="s">
        <v>99</v>
      </c>
      <c r="AF138" s="29" t="s">
        <v>246</v>
      </c>
      <c r="AG138" s="29" t="s">
        <v>1975</v>
      </c>
      <c r="AH138" s="29" t="s">
        <v>99</v>
      </c>
      <c r="AI138" s="29" t="s">
        <v>99</v>
      </c>
      <c r="AJ138" s="29" t="s">
        <v>99</v>
      </c>
      <c r="AK138" s="29" t="s">
        <v>99</v>
      </c>
      <c r="AL138" s="29">
        <v>75.900000000000006</v>
      </c>
      <c r="AM138" s="29">
        <v>176</v>
      </c>
      <c r="AN138" s="29">
        <v>91</v>
      </c>
      <c r="AO138" s="29">
        <v>96</v>
      </c>
      <c r="AP138" s="29">
        <v>17.600000000000001</v>
      </c>
      <c r="AQ138" s="29">
        <v>9</v>
      </c>
      <c r="AR138" s="29">
        <v>37.799999999999997</v>
      </c>
      <c r="AS138" s="29">
        <v>51</v>
      </c>
      <c r="AT138" s="29">
        <v>24.5</v>
      </c>
      <c r="AU138" s="29">
        <v>103</v>
      </c>
      <c r="AV138" s="29">
        <v>70</v>
      </c>
      <c r="AW138" s="29"/>
      <c r="AX138" s="29" t="s">
        <v>1976</v>
      </c>
      <c r="AY138" s="29" t="s">
        <v>1977</v>
      </c>
      <c r="AZ138" s="29" t="s">
        <v>1978</v>
      </c>
      <c r="BA138" s="29"/>
      <c r="BB138" s="29" t="s">
        <v>750</v>
      </c>
      <c r="BC138" s="29" t="s">
        <v>1130</v>
      </c>
      <c r="BD138" s="29"/>
      <c r="BE138" s="29"/>
      <c r="BF138" s="29" t="s">
        <v>350</v>
      </c>
      <c r="BG138" s="29" t="s">
        <v>350</v>
      </c>
      <c r="BH138" s="29" t="s">
        <v>1979</v>
      </c>
      <c r="BI138" s="29" t="s">
        <v>1979</v>
      </c>
      <c r="BJ138" s="29" t="s">
        <v>1979</v>
      </c>
      <c r="BK138" s="29" t="s">
        <v>350</v>
      </c>
      <c r="BL138" s="29"/>
      <c r="BM138" s="29"/>
      <c r="BN138" s="29" t="s">
        <v>1980</v>
      </c>
      <c r="BO138" s="29" t="s">
        <v>1981</v>
      </c>
      <c r="BP138" s="29" t="s">
        <v>1982</v>
      </c>
      <c r="BQ138" s="29"/>
      <c r="BR138" s="29"/>
      <c r="BS138" s="29"/>
      <c r="BT138" s="29"/>
      <c r="BU138" s="29"/>
      <c r="BV138" s="29"/>
      <c r="BW138" s="29"/>
      <c r="BX138" s="29"/>
      <c r="BY138" s="29"/>
      <c r="BZ138" s="29" t="s">
        <v>1983</v>
      </c>
      <c r="CA138" s="29" t="s">
        <v>1984</v>
      </c>
      <c r="CB138" s="29" t="s">
        <v>1742</v>
      </c>
      <c r="CC138" s="29"/>
      <c r="CD138" s="29"/>
      <c r="CE138" s="29"/>
      <c r="CF138" s="29"/>
      <c r="CG138" s="29"/>
      <c r="CH138" s="29"/>
      <c r="CI138" s="29"/>
      <c r="CJ138" s="29"/>
      <c r="CK138" s="29"/>
      <c r="CL138" s="29" t="s">
        <v>1985</v>
      </c>
      <c r="CM138" s="29" t="s">
        <v>1180</v>
      </c>
      <c r="CN138" s="29"/>
      <c r="CO138" s="29" t="s">
        <v>756</v>
      </c>
      <c r="CP138" s="29"/>
      <c r="CQ138" s="29"/>
      <c r="CR138" s="29"/>
      <c r="CS138" s="29"/>
      <c r="CT138" s="29" t="s">
        <v>363</v>
      </c>
      <c r="CU138" s="29"/>
      <c r="CV138" s="29"/>
      <c r="CW138" s="29">
        <v>3</v>
      </c>
      <c r="CX138" s="29" t="s">
        <v>99</v>
      </c>
      <c r="CY138" s="29" t="s">
        <v>110</v>
      </c>
      <c r="CZ138" s="29"/>
      <c r="DA138" s="29">
        <v>50</v>
      </c>
      <c r="DB138" s="29">
        <v>50</v>
      </c>
      <c r="DC138" s="29">
        <v>88</v>
      </c>
      <c r="DD138" s="29">
        <v>1.28</v>
      </c>
      <c r="DE138" s="48">
        <v>245</v>
      </c>
      <c r="DF138" s="29">
        <v>135</v>
      </c>
      <c r="DG138" s="9">
        <f t="shared" si="2"/>
        <v>4.6913057964583178</v>
      </c>
      <c r="DH138" s="29">
        <v>27</v>
      </c>
      <c r="DI138" s="29">
        <v>6.38</v>
      </c>
      <c r="DJ138" s="29"/>
      <c r="DK138" s="29"/>
      <c r="DL138" s="29">
        <v>53.2</v>
      </c>
      <c r="DM138" s="29">
        <v>164.8</v>
      </c>
      <c r="DN138" s="29"/>
      <c r="DO138" s="29"/>
      <c r="DP138" s="29">
        <v>1</v>
      </c>
      <c r="DQ138" s="29"/>
      <c r="DR138" s="29">
        <v>2</v>
      </c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  <c r="EP138" s="29"/>
      <c r="EQ138" s="29"/>
      <c r="ER138" s="29"/>
      <c r="ES138" s="29"/>
      <c r="ET138" s="29"/>
      <c r="EU138" s="29"/>
      <c r="EV138" s="29"/>
      <c r="EW138" s="29"/>
      <c r="EX138" s="29"/>
      <c r="EY138" s="29"/>
      <c r="EZ138" s="29"/>
      <c r="FA138" s="29"/>
    </row>
    <row r="139" spans="1:157" customFormat="1" x14ac:dyDescent="0.2">
      <c r="A139" t="s">
        <v>1986</v>
      </c>
      <c r="B139" s="26">
        <v>43794</v>
      </c>
      <c r="C139" t="s">
        <v>107</v>
      </c>
      <c r="D139">
        <v>22</v>
      </c>
      <c r="E139" t="s">
        <v>96</v>
      </c>
      <c r="F139" s="26">
        <v>35662</v>
      </c>
      <c r="G139" t="s">
        <v>97</v>
      </c>
      <c r="H139" t="s">
        <v>1987</v>
      </c>
      <c r="I139" s="29" t="s">
        <v>162</v>
      </c>
      <c r="J139" s="29" t="s">
        <v>162</v>
      </c>
      <c r="K139" s="29" t="s">
        <v>162</v>
      </c>
      <c r="L139" s="29" t="s">
        <v>162</v>
      </c>
      <c r="M139" s="31" t="s">
        <v>1988</v>
      </c>
      <c r="N139" s="29" t="s">
        <v>99</v>
      </c>
      <c r="O139" s="29" t="s">
        <v>99</v>
      </c>
      <c r="P139" s="29" t="s">
        <v>1989</v>
      </c>
      <c r="Q139" s="29" t="s">
        <v>1990</v>
      </c>
      <c r="R139" s="29" t="s">
        <v>1991</v>
      </c>
      <c r="S139" s="29" t="s">
        <v>99</v>
      </c>
      <c r="T139" s="29" t="s">
        <v>1992</v>
      </c>
      <c r="U139" s="29" t="s">
        <v>99</v>
      </c>
      <c r="V139" s="29" t="s">
        <v>99</v>
      </c>
      <c r="W139" s="29" t="s">
        <v>99</v>
      </c>
      <c r="X139" s="29" t="s">
        <v>99</v>
      </c>
      <c r="Y139" s="29" t="s">
        <v>162</v>
      </c>
      <c r="Z139" s="29" t="s">
        <v>162</v>
      </c>
      <c r="AA139" s="29" t="s">
        <v>100</v>
      </c>
      <c r="AB139" s="29" t="s">
        <v>100</v>
      </c>
      <c r="AC139" s="29" t="s">
        <v>100</v>
      </c>
      <c r="AD139" s="29" t="s">
        <v>100</v>
      </c>
      <c r="AE139" s="29" t="s">
        <v>1993</v>
      </c>
      <c r="AF139" s="29" t="s">
        <v>1994</v>
      </c>
      <c r="AG139" s="29" t="s">
        <v>99</v>
      </c>
      <c r="AH139" s="29" t="s">
        <v>99</v>
      </c>
      <c r="AI139" s="29" t="s">
        <v>99</v>
      </c>
      <c r="AJ139" s="29" t="s">
        <v>99</v>
      </c>
      <c r="AK139" s="29" t="s">
        <v>1995</v>
      </c>
      <c r="AL139">
        <v>85.2</v>
      </c>
      <c r="AM139">
        <v>175</v>
      </c>
      <c r="AN139">
        <v>97</v>
      </c>
      <c r="AO139">
        <v>105</v>
      </c>
      <c r="AP139">
        <v>27</v>
      </c>
      <c r="AQ139">
        <v>9</v>
      </c>
      <c r="AR139">
        <v>36.5</v>
      </c>
      <c r="AS139">
        <v>46</v>
      </c>
      <c r="AT139">
        <v>27.8</v>
      </c>
      <c r="AU139" t="s">
        <v>1996</v>
      </c>
      <c r="AV139" t="s">
        <v>1997</v>
      </c>
      <c r="AX139" t="s">
        <v>1998</v>
      </c>
      <c r="AY139" t="s">
        <v>1999</v>
      </c>
      <c r="AZ139" t="s">
        <v>162</v>
      </c>
      <c r="BB139" t="s">
        <v>2000</v>
      </c>
      <c r="BC139" t="s">
        <v>162</v>
      </c>
      <c r="BD139" t="s">
        <v>162</v>
      </c>
      <c r="BF139" t="s">
        <v>2001</v>
      </c>
      <c r="BG139" t="s">
        <v>322</v>
      </c>
      <c r="BH139" t="s">
        <v>2002</v>
      </c>
      <c r="BI139" t="s">
        <v>1922</v>
      </c>
      <c r="BJ139" t="s">
        <v>2003</v>
      </c>
      <c r="BK139" t="s">
        <v>2004</v>
      </c>
      <c r="BL139" t="s">
        <v>322</v>
      </c>
      <c r="BN139" t="s">
        <v>954</v>
      </c>
      <c r="BO139" t="s">
        <v>521</v>
      </c>
      <c r="BP139" t="s">
        <v>953</v>
      </c>
      <c r="BQ139" s="29" t="s">
        <v>162</v>
      </c>
      <c r="BR139" s="29" t="s">
        <v>162</v>
      </c>
      <c r="BS139" s="29" t="s">
        <v>162</v>
      </c>
      <c r="BT139" s="29" t="s">
        <v>162</v>
      </c>
      <c r="BU139" s="29" t="s">
        <v>162</v>
      </c>
      <c r="BV139" s="29" t="s">
        <v>162</v>
      </c>
      <c r="BW139" s="29" t="s">
        <v>162</v>
      </c>
      <c r="BX139" s="29" t="s">
        <v>162</v>
      </c>
      <c r="BY139" s="29" t="s">
        <v>322</v>
      </c>
      <c r="BZ139" s="29" t="s">
        <v>277</v>
      </c>
      <c r="CA139" s="29" t="s">
        <v>1865</v>
      </c>
      <c r="CB139" s="29" t="s">
        <v>1764</v>
      </c>
      <c r="CC139" s="29" t="s">
        <v>162</v>
      </c>
      <c r="CD139" s="29" t="s">
        <v>162</v>
      </c>
      <c r="CE139" s="29" t="s">
        <v>162</v>
      </c>
      <c r="CF139" s="29" t="s">
        <v>162</v>
      </c>
      <c r="CG139" s="29" t="s">
        <v>162</v>
      </c>
      <c r="CH139" s="29" t="s">
        <v>162</v>
      </c>
      <c r="CI139" s="29" t="s">
        <v>162</v>
      </c>
      <c r="CJ139" s="29" t="s">
        <v>162</v>
      </c>
      <c r="CL139" s="29" t="s">
        <v>1155</v>
      </c>
      <c r="CM139" s="29" t="s">
        <v>1238</v>
      </c>
      <c r="CN139" s="29" t="s">
        <v>2005</v>
      </c>
      <c r="CO139" s="29" t="s">
        <v>322</v>
      </c>
      <c r="CP139" s="29" t="s">
        <v>1054</v>
      </c>
      <c r="CQ139" s="29" t="s">
        <v>309</v>
      </c>
      <c r="CR139" s="29" t="s">
        <v>162</v>
      </c>
      <c r="CS139" s="29" t="s">
        <v>162</v>
      </c>
      <c r="CT139" s="29" t="s">
        <v>162</v>
      </c>
      <c r="CU139" s="29" t="s">
        <v>162</v>
      </c>
      <c r="CV139" s="29" t="s">
        <v>162</v>
      </c>
      <c r="CW139" s="29" t="s">
        <v>2006</v>
      </c>
      <c r="CX139" s="29" t="s">
        <v>2007</v>
      </c>
      <c r="CY139" s="29" t="s">
        <v>110</v>
      </c>
      <c r="CZ139">
        <v>50</v>
      </c>
      <c r="DA139">
        <v>10</v>
      </c>
      <c r="DB139">
        <v>40</v>
      </c>
      <c r="DC139">
        <v>74.7</v>
      </c>
      <c r="DD139">
        <v>0.57999999999999996</v>
      </c>
      <c r="DE139">
        <v>186</v>
      </c>
      <c r="DF139">
        <v>56</v>
      </c>
      <c r="DG139" s="9">
        <f t="shared" si="2"/>
        <v>4.1694158914369606</v>
      </c>
      <c r="DH139">
        <v>11.2</v>
      </c>
      <c r="DI139">
        <v>6.16</v>
      </c>
      <c r="DL139">
        <v>53.2</v>
      </c>
      <c r="DM139">
        <v>121.6</v>
      </c>
      <c r="DR139">
        <v>2</v>
      </c>
    </row>
    <row r="140" spans="1:157" customFormat="1" x14ac:dyDescent="0.2">
      <c r="A140" t="s">
        <v>2008</v>
      </c>
      <c r="B140" s="26">
        <v>43796</v>
      </c>
      <c r="C140" t="s">
        <v>95</v>
      </c>
      <c r="D140">
        <v>45</v>
      </c>
      <c r="E140" t="s">
        <v>96</v>
      </c>
      <c r="F140" s="26">
        <v>27149</v>
      </c>
      <c r="G140" t="s">
        <v>314</v>
      </c>
      <c r="K140" s="26">
        <v>39913</v>
      </c>
      <c r="L140">
        <v>3</v>
      </c>
      <c r="M140" t="s">
        <v>99</v>
      </c>
      <c r="N140" t="s">
        <v>99</v>
      </c>
      <c r="P140" s="29" t="s">
        <v>2009</v>
      </c>
      <c r="Q140" s="29" t="s">
        <v>99</v>
      </c>
      <c r="R140" s="29" t="s">
        <v>110</v>
      </c>
      <c r="W140" t="s">
        <v>2010</v>
      </c>
      <c r="AA140" s="29" t="s">
        <v>100</v>
      </c>
      <c r="AB140" s="29" t="s">
        <v>100</v>
      </c>
      <c r="AC140" s="29" t="s">
        <v>2011</v>
      </c>
      <c r="AE140" s="29" t="s">
        <v>2012</v>
      </c>
      <c r="AF140" s="29" t="s">
        <v>2013</v>
      </c>
      <c r="AG140" s="29" t="s">
        <v>2014</v>
      </c>
      <c r="AK140" t="s">
        <v>2015</v>
      </c>
      <c r="AL140">
        <v>86.7</v>
      </c>
      <c r="AM140">
        <v>163</v>
      </c>
      <c r="AN140">
        <v>98</v>
      </c>
      <c r="AO140">
        <v>118</v>
      </c>
      <c r="AP140">
        <v>48.9</v>
      </c>
      <c r="AQ140">
        <v>10</v>
      </c>
      <c r="AR140">
        <v>22</v>
      </c>
      <c r="AS140">
        <v>63</v>
      </c>
      <c r="AT140">
        <v>32.6</v>
      </c>
      <c r="AU140" t="s">
        <v>2016</v>
      </c>
      <c r="AV140" t="s">
        <v>2017</v>
      </c>
      <c r="DC140">
        <v>92.1</v>
      </c>
      <c r="DD140">
        <v>0.95</v>
      </c>
      <c r="DE140">
        <v>146</v>
      </c>
      <c r="DF140">
        <v>126</v>
      </c>
      <c r="DG140" s="9">
        <f t="shared" si="2"/>
        <v>4.6795784251063699</v>
      </c>
      <c r="DH140">
        <v>25.2</v>
      </c>
      <c r="DI140">
        <v>4.37</v>
      </c>
      <c r="DL140">
        <v>40.4</v>
      </c>
      <c r="DM140">
        <v>80.400000000000006</v>
      </c>
      <c r="DR140">
        <v>3</v>
      </c>
    </row>
    <row r="141" spans="1:157" customFormat="1" x14ac:dyDescent="0.2">
      <c r="A141" s="72" t="s">
        <v>2018</v>
      </c>
      <c r="B141" s="26">
        <v>43796</v>
      </c>
      <c r="C141" t="s">
        <v>95</v>
      </c>
      <c r="D141">
        <v>61</v>
      </c>
      <c r="E141" t="s">
        <v>96</v>
      </c>
      <c r="F141" s="26">
        <v>21375</v>
      </c>
      <c r="G141" t="s">
        <v>1320</v>
      </c>
      <c r="H141" t="s">
        <v>2019</v>
      </c>
      <c r="I141" t="s">
        <v>2020</v>
      </c>
      <c r="J141" t="s">
        <v>2021</v>
      </c>
      <c r="K141" s="75" t="s">
        <v>2022</v>
      </c>
      <c r="L141">
        <v>1</v>
      </c>
      <c r="M141" t="s">
        <v>99</v>
      </c>
      <c r="N141" t="s">
        <v>99</v>
      </c>
      <c r="O141" t="s">
        <v>99</v>
      </c>
      <c r="Q141" s="29" t="s">
        <v>99</v>
      </c>
      <c r="S141" t="s">
        <v>2023</v>
      </c>
      <c r="U141">
        <v>1</v>
      </c>
      <c r="V141" s="29" t="s">
        <v>99</v>
      </c>
      <c r="W141" t="s">
        <v>99</v>
      </c>
      <c r="X141" s="29" t="s">
        <v>99</v>
      </c>
      <c r="Y141" s="29" t="s">
        <v>99</v>
      </c>
      <c r="Z141" s="29" t="s">
        <v>99</v>
      </c>
      <c r="AA141" s="29" t="s">
        <v>100</v>
      </c>
      <c r="AB141" s="29" t="s">
        <v>100</v>
      </c>
      <c r="AC141" s="29" t="s">
        <v>100</v>
      </c>
      <c r="AD141" s="29" t="s">
        <v>100</v>
      </c>
      <c r="AE141" s="76" t="s">
        <v>110</v>
      </c>
      <c r="AF141" s="29" t="s">
        <v>2024</v>
      </c>
      <c r="AG141" s="29" t="s">
        <v>1480</v>
      </c>
      <c r="AH141" s="29" t="s">
        <v>99</v>
      </c>
      <c r="AI141" s="29" t="s">
        <v>99</v>
      </c>
      <c r="AJ141" s="29" t="s">
        <v>99</v>
      </c>
      <c r="AK141" s="29" t="s">
        <v>99</v>
      </c>
      <c r="AL141">
        <v>43.6</v>
      </c>
      <c r="AM141">
        <v>159</v>
      </c>
      <c r="AN141">
        <v>68.5</v>
      </c>
      <c r="AO141">
        <v>86.5</v>
      </c>
      <c r="AP141">
        <v>12.1</v>
      </c>
      <c r="AQ141">
        <v>2</v>
      </c>
      <c r="AR141">
        <v>36.299999999999997</v>
      </c>
      <c r="AS141">
        <v>24</v>
      </c>
      <c r="AT141">
        <v>17.2</v>
      </c>
      <c r="AU141" t="s">
        <v>2025</v>
      </c>
      <c r="AV141" t="s">
        <v>2026</v>
      </c>
      <c r="AX141" t="s">
        <v>2027</v>
      </c>
      <c r="AY141" t="s">
        <v>1234</v>
      </c>
      <c r="AZ141" t="s">
        <v>2028</v>
      </c>
      <c r="BB141" t="s">
        <v>1148</v>
      </c>
      <c r="BF141" t="s">
        <v>322</v>
      </c>
      <c r="BG141" t="s">
        <v>322</v>
      </c>
      <c r="BH141" t="s">
        <v>99</v>
      </c>
      <c r="BI141" t="s">
        <v>99</v>
      </c>
      <c r="BJ141" t="s">
        <v>99</v>
      </c>
      <c r="BK141" s="33" t="s">
        <v>2029</v>
      </c>
      <c r="BM141" t="s">
        <v>1072</v>
      </c>
      <c r="BZ141" t="s">
        <v>277</v>
      </c>
      <c r="CA141" t="s">
        <v>2030</v>
      </c>
      <c r="CB141" t="s">
        <v>1764</v>
      </c>
      <c r="CG141" t="s">
        <v>99</v>
      </c>
      <c r="CL141" t="s">
        <v>2031</v>
      </c>
      <c r="CO141" t="s">
        <v>99</v>
      </c>
      <c r="CS141" t="s">
        <v>2032</v>
      </c>
      <c r="CZ141" s="33">
        <v>80</v>
      </c>
      <c r="DA141" s="33">
        <v>50</v>
      </c>
      <c r="DB141" s="33">
        <v>3</v>
      </c>
      <c r="DC141">
        <v>69.8</v>
      </c>
      <c r="DD141">
        <v>0.38</v>
      </c>
      <c r="DE141">
        <v>204</v>
      </c>
      <c r="DF141">
        <v>116</v>
      </c>
      <c r="DG141" s="9">
        <f t="shared" si="2"/>
        <v>4.4996121004373455</v>
      </c>
      <c r="DH141">
        <v>23.2</v>
      </c>
      <c r="DI141">
        <v>3.15</v>
      </c>
      <c r="DL141">
        <v>53.6</v>
      </c>
      <c r="DM141">
        <v>127.2</v>
      </c>
      <c r="DP141">
        <v>3</v>
      </c>
      <c r="DR141">
        <v>3</v>
      </c>
    </row>
    <row r="142" spans="1:157" customFormat="1" x14ac:dyDescent="0.2">
      <c r="A142" s="72" t="s">
        <v>2033</v>
      </c>
      <c r="B142" s="26">
        <v>43796</v>
      </c>
      <c r="C142" t="s">
        <v>107</v>
      </c>
      <c r="D142">
        <v>31</v>
      </c>
      <c r="E142" t="s">
        <v>96</v>
      </c>
      <c r="F142" s="26">
        <v>32349</v>
      </c>
      <c r="G142" s="29" t="s">
        <v>162</v>
      </c>
      <c r="H142" s="29" t="s">
        <v>1846</v>
      </c>
      <c r="I142" s="29" t="s">
        <v>162</v>
      </c>
      <c r="J142" s="29" t="s">
        <v>162</v>
      </c>
      <c r="K142" s="29" t="s">
        <v>162</v>
      </c>
      <c r="L142" s="29" t="s">
        <v>162</v>
      </c>
      <c r="M142" s="29" t="s">
        <v>99</v>
      </c>
      <c r="N142" s="29" t="s">
        <v>99</v>
      </c>
      <c r="O142" s="29" t="s">
        <v>99</v>
      </c>
      <c r="P142" s="29" t="s">
        <v>99</v>
      </c>
      <c r="Q142" s="29" t="s">
        <v>2034</v>
      </c>
      <c r="R142" s="29" t="s">
        <v>99</v>
      </c>
      <c r="S142" s="29" t="s">
        <v>99</v>
      </c>
      <c r="T142" s="29" t="s">
        <v>99</v>
      </c>
      <c r="U142" s="29" t="s">
        <v>99</v>
      </c>
      <c r="V142" s="29" t="s">
        <v>99</v>
      </c>
      <c r="W142" s="29" t="s">
        <v>99</v>
      </c>
      <c r="X142" s="29" t="s">
        <v>99</v>
      </c>
      <c r="Y142" s="29" t="s">
        <v>162</v>
      </c>
      <c r="Z142" s="29" t="s">
        <v>162</v>
      </c>
      <c r="AA142" s="29" t="s">
        <v>100</v>
      </c>
      <c r="AB142" s="29" t="s">
        <v>100</v>
      </c>
      <c r="AC142" s="29" t="s">
        <v>100</v>
      </c>
      <c r="AD142" s="29" t="s">
        <v>100</v>
      </c>
      <c r="AE142" s="29" t="s">
        <v>99</v>
      </c>
      <c r="AF142" s="29" t="s">
        <v>1932</v>
      </c>
      <c r="AG142" s="29" t="s">
        <v>2035</v>
      </c>
      <c r="AH142" s="29" t="s">
        <v>99</v>
      </c>
      <c r="AI142" s="29" t="s">
        <v>2024</v>
      </c>
      <c r="AJ142" s="29" t="s">
        <v>99</v>
      </c>
      <c r="AK142" s="29" t="s">
        <v>162</v>
      </c>
      <c r="AL142">
        <v>77.3</v>
      </c>
      <c r="AM142">
        <v>178</v>
      </c>
      <c r="AN142">
        <v>93</v>
      </c>
      <c r="AO142">
        <v>100</v>
      </c>
      <c r="AP142">
        <v>25.9</v>
      </c>
      <c r="AQ142">
        <v>7</v>
      </c>
      <c r="AR142">
        <v>35.200000000000003</v>
      </c>
      <c r="AS142">
        <v>44</v>
      </c>
      <c r="AT142">
        <v>24.4</v>
      </c>
      <c r="AU142" t="s">
        <v>2036</v>
      </c>
      <c r="AV142" t="s">
        <v>2037</v>
      </c>
      <c r="AW142" s="29" t="s">
        <v>375</v>
      </c>
      <c r="AX142" s="29" t="s">
        <v>2038</v>
      </c>
      <c r="AY142" s="29" t="s">
        <v>162</v>
      </c>
      <c r="AZ142" s="29" t="s">
        <v>162</v>
      </c>
      <c r="BA142" s="29" t="s">
        <v>2039</v>
      </c>
      <c r="BB142" s="29" t="s">
        <v>162</v>
      </c>
      <c r="BC142" s="29" t="s">
        <v>162</v>
      </c>
      <c r="BD142" s="29" t="s">
        <v>162</v>
      </c>
      <c r="BF142" s="29" t="s">
        <v>322</v>
      </c>
      <c r="BG142" s="29" t="s">
        <v>375</v>
      </c>
      <c r="BH142" s="29" t="s">
        <v>162</v>
      </c>
      <c r="BI142" s="29" t="s">
        <v>375</v>
      </c>
      <c r="BJ142" s="29" t="s">
        <v>375</v>
      </c>
      <c r="BK142" s="29" t="s">
        <v>276</v>
      </c>
      <c r="BL142" s="29" t="s">
        <v>322</v>
      </c>
      <c r="BN142" s="29" t="s">
        <v>1886</v>
      </c>
      <c r="BO142" s="29" t="s">
        <v>1072</v>
      </c>
      <c r="BP142" s="29" t="s">
        <v>162</v>
      </c>
      <c r="BQ142" s="29" t="s">
        <v>375</v>
      </c>
      <c r="BR142" s="29" t="s">
        <v>162</v>
      </c>
      <c r="BS142" s="29" t="s">
        <v>162</v>
      </c>
      <c r="BT142" s="29" t="s">
        <v>162</v>
      </c>
      <c r="BU142" s="29" t="s">
        <v>375</v>
      </c>
      <c r="BV142" s="29" t="s">
        <v>2040</v>
      </c>
      <c r="BW142" s="29" t="s">
        <v>162</v>
      </c>
      <c r="BX142" s="29" t="s">
        <v>162</v>
      </c>
      <c r="BY142" s="29" t="s">
        <v>322</v>
      </c>
      <c r="BZ142" s="29" t="s">
        <v>277</v>
      </c>
      <c r="CA142" s="29" t="s">
        <v>1865</v>
      </c>
      <c r="CB142" s="29" t="s">
        <v>162</v>
      </c>
      <c r="CC142" s="29" t="s">
        <v>162</v>
      </c>
      <c r="CD142" s="29" t="s">
        <v>162</v>
      </c>
      <c r="CE142" s="29" t="s">
        <v>162</v>
      </c>
      <c r="CF142" s="29" t="s">
        <v>162</v>
      </c>
      <c r="CH142" s="29" t="s">
        <v>1110</v>
      </c>
      <c r="CI142" s="29" t="s">
        <v>162</v>
      </c>
      <c r="CJ142" s="29" t="s">
        <v>162</v>
      </c>
      <c r="CK142" s="29" t="s">
        <v>322</v>
      </c>
      <c r="CL142" s="29" t="s">
        <v>1237</v>
      </c>
      <c r="CM142" s="29" t="s">
        <v>2041</v>
      </c>
      <c r="CN142" s="29" t="s">
        <v>162</v>
      </c>
      <c r="CO142" s="29" t="s">
        <v>162</v>
      </c>
      <c r="CP142" s="29" t="s">
        <v>162</v>
      </c>
      <c r="CQ142" s="29" t="s">
        <v>162</v>
      </c>
      <c r="CR142" s="29" t="s">
        <v>162</v>
      </c>
      <c r="CT142" s="29" t="s">
        <v>2042</v>
      </c>
      <c r="CU142" s="29" t="s">
        <v>162</v>
      </c>
      <c r="CV142" s="29" t="s">
        <v>162</v>
      </c>
      <c r="CW142" s="29">
        <v>3</v>
      </c>
      <c r="CX142" s="29" t="s">
        <v>110</v>
      </c>
      <c r="CY142" s="29" t="s">
        <v>1426</v>
      </c>
      <c r="CZ142" s="29" t="s">
        <v>162</v>
      </c>
      <c r="DA142" s="29" t="s">
        <v>162</v>
      </c>
      <c r="DB142" s="29" t="s">
        <v>162</v>
      </c>
      <c r="DC142">
        <v>82.2</v>
      </c>
      <c r="DD142">
        <v>0.23</v>
      </c>
      <c r="DE142">
        <v>197</v>
      </c>
      <c r="DF142">
        <v>96</v>
      </c>
      <c r="DG142" s="9">
        <f t="shared" si="2"/>
        <v>4.4867517467649849</v>
      </c>
      <c r="DH142">
        <v>19.2</v>
      </c>
      <c r="DI142">
        <v>6.25</v>
      </c>
      <c r="DL142">
        <v>48.1</v>
      </c>
      <c r="DM142">
        <v>129.69999999999999</v>
      </c>
      <c r="DP142">
        <v>3</v>
      </c>
      <c r="DR142">
        <v>3</v>
      </c>
    </row>
    <row r="143" spans="1:157" x14ac:dyDescent="0.2">
      <c r="A143" s="9" t="s">
        <v>2043</v>
      </c>
      <c r="B143" s="17"/>
      <c r="F143" s="17"/>
      <c r="DC143">
        <v>81.8</v>
      </c>
      <c r="DD143">
        <v>0.91</v>
      </c>
      <c r="DE143">
        <v>205</v>
      </c>
      <c r="DF143">
        <v>111</v>
      </c>
      <c r="DG143" s="9">
        <f t="shared" si="2"/>
        <v>4.5569037224605173</v>
      </c>
      <c r="DH143">
        <v>22.2</v>
      </c>
      <c r="DI143">
        <v>6.3</v>
      </c>
      <c r="DJ143"/>
      <c r="DK143"/>
      <c r="DL143">
        <v>65</v>
      </c>
      <c r="DM143">
        <v>117.8</v>
      </c>
      <c r="DP143" s="11">
        <v>3</v>
      </c>
      <c r="DR143" s="9">
        <v>2</v>
      </c>
      <c r="DU143" s="9">
        <v>5.85</v>
      </c>
    </row>
    <row r="144" spans="1:157" customFormat="1" x14ac:dyDescent="0.2">
      <c r="A144" s="71" t="s">
        <v>2044</v>
      </c>
      <c r="B144" s="69">
        <v>43795</v>
      </c>
      <c r="C144" s="29" t="s">
        <v>675</v>
      </c>
      <c r="D144" s="29">
        <v>41</v>
      </c>
      <c r="E144" s="29" t="s">
        <v>100</v>
      </c>
      <c r="F144" s="69">
        <v>28548</v>
      </c>
      <c r="G144" s="29" t="s">
        <v>339</v>
      </c>
      <c r="H144" s="29"/>
      <c r="I144" s="29"/>
      <c r="J144" s="29"/>
      <c r="K144" s="29"/>
      <c r="L144" s="29"/>
      <c r="M144" s="29" t="s">
        <v>99</v>
      </c>
      <c r="N144" s="29" t="s">
        <v>2045</v>
      </c>
      <c r="O144" s="29" t="s">
        <v>110</v>
      </c>
      <c r="P144" s="29" t="s">
        <v>99</v>
      </c>
      <c r="Q144" s="29" t="s">
        <v>1736</v>
      </c>
      <c r="R144" s="29" t="s">
        <v>2046</v>
      </c>
      <c r="S144" s="29"/>
      <c r="T144" s="29"/>
      <c r="U144" s="29" t="s">
        <v>99</v>
      </c>
      <c r="V144" s="29" t="s">
        <v>99</v>
      </c>
      <c r="W144" s="29"/>
      <c r="X144" s="29"/>
      <c r="Y144" s="29"/>
      <c r="Z144" s="29" t="s">
        <v>1222</v>
      </c>
      <c r="AA144" s="29" t="s">
        <v>100</v>
      </c>
      <c r="AB144" s="29" t="s">
        <v>1123</v>
      </c>
      <c r="AC144" s="29" t="s">
        <v>1123</v>
      </c>
      <c r="AD144" s="29" t="s">
        <v>1123</v>
      </c>
      <c r="AE144" s="29" t="s">
        <v>2047</v>
      </c>
      <c r="AF144" s="29" t="s">
        <v>1127</v>
      </c>
      <c r="AG144" s="29" t="s">
        <v>343</v>
      </c>
      <c r="AH144" s="29" t="s">
        <v>2048</v>
      </c>
      <c r="AI144" s="29" t="s">
        <v>2048</v>
      </c>
      <c r="AJ144" s="29" t="s">
        <v>99</v>
      </c>
      <c r="AK144" s="29" t="s">
        <v>99</v>
      </c>
      <c r="AL144" s="29">
        <v>113.8</v>
      </c>
      <c r="AM144" s="29">
        <v>169</v>
      </c>
      <c r="AN144" s="29">
        <v>119</v>
      </c>
      <c r="AO144" s="29">
        <v>119</v>
      </c>
      <c r="AP144" s="29">
        <v>37.6</v>
      </c>
      <c r="AQ144" s="29">
        <v>22</v>
      </c>
      <c r="AR144" s="29">
        <v>29</v>
      </c>
      <c r="AS144" s="29">
        <v>76</v>
      </c>
      <c r="AT144" s="29">
        <v>39.799999999999997</v>
      </c>
      <c r="AU144" s="29">
        <v>120</v>
      </c>
      <c r="AV144" s="29">
        <v>76</v>
      </c>
      <c r="AW144" s="29"/>
      <c r="AX144" s="29" t="s">
        <v>2049</v>
      </c>
      <c r="AY144" s="29" t="s">
        <v>2050</v>
      </c>
      <c r="AZ144" s="29" t="s">
        <v>2051</v>
      </c>
      <c r="BA144" s="29"/>
      <c r="BB144" s="29" t="s">
        <v>2052</v>
      </c>
      <c r="BC144" s="29" t="s">
        <v>346</v>
      </c>
      <c r="BD144" s="29" t="s">
        <v>2053</v>
      </c>
      <c r="BE144" s="29"/>
      <c r="BF144" s="29" t="s">
        <v>351</v>
      </c>
      <c r="BG144" s="29" t="s">
        <v>350</v>
      </c>
      <c r="BH144" s="29" t="s">
        <v>350</v>
      </c>
      <c r="BI144" s="29" t="s">
        <v>351</v>
      </c>
      <c r="BJ144" s="29" t="s">
        <v>351</v>
      </c>
      <c r="BK144" s="29" t="s">
        <v>1513</v>
      </c>
      <c r="BL144" s="29" t="s">
        <v>350</v>
      </c>
      <c r="BM144" s="29"/>
      <c r="BN144" s="29" t="s">
        <v>180</v>
      </c>
      <c r="BO144" s="29" t="s">
        <v>178</v>
      </c>
      <c r="BP144" s="29" t="s">
        <v>125</v>
      </c>
      <c r="BQ144" s="29"/>
      <c r="BR144" s="29"/>
      <c r="BS144" s="29"/>
      <c r="BT144" s="29"/>
      <c r="BU144" s="29"/>
      <c r="BV144" s="29" t="s">
        <v>734</v>
      </c>
      <c r="BW144" s="29"/>
      <c r="BX144" s="29"/>
      <c r="BY144" s="29"/>
      <c r="BZ144" s="29" t="s">
        <v>182</v>
      </c>
      <c r="CA144" s="29" t="s">
        <v>709</v>
      </c>
      <c r="CB144" s="29" t="s">
        <v>183</v>
      </c>
      <c r="CC144" s="29"/>
      <c r="CD144" s="29"/>
      <c r="CE144" s="29"/>
      <c r="CF144" s="29"/>
      <c r="CG144" s="29"/>
      <c r="CH144" s="29" t="s">
        <v>1137</v>
      </c>
      <c r="CI144" s="29"/>
      <c r="CJ144" s="29"/>
      <c r="CK144" s="29"/>
      <c r="CL144" s="29" t="s">
        <v>980</v>
      </c>
      <c r="CM144" s="29" t="s">
        <v>581</v>
      </c>
      <c r="CN144" s="29" t="s">
        <v>579</v>
      </c>
      <c r="CO144" s="29"/>
      <c r="CP144" s="29" t="s">
        <v>362</v>
      </c>
      <c r="CQ144" s="29" t="s">
        <v>716</v>
      </c>
      <c r="CR144" s="29"/>
      <c r="CS144" s="29"/>
      <c r="CT144" s="29" t="s">
        <v>2054</v>
      </c>
      <c r="CU144" s="29" t="s">
        <v>2055</v>
      </c>
      <c r="CV144" s="29"/>
      <c r="CW144" s="29">
        <v>3</v>
      </c>
      <c r="CX144" s="29" t="s">
        <v>99</v>
      </c>
      <c r="CY144" s="29" t="s">
        <v>110</v>
      </c>
      <c r="CZ144" s="29"/>
      <c r="DA144" s="29"/>
      <c r="DB144" s="29"/>
      <c r="DC144" s="29">
        <v>85.6</v>
      </c>
      <c r="DD144" s="29">
        <v>1.1599999999999999</v>
      </c>
      <c r="DE144" s="48">
        <v>186</v>
      </c>
      <c r="DF144" s="48">
        <v>183</v>
      </c>
      <c r="DG144" s="9">
        <f t="shared" si="2"/>
        <v>4.8295857179945587</v>
      </c>
      <c r="DH144" s="29">
        <v>36.6</v>
      </c>
      <c r="DI144" s="29">
        <v>7.38</v>
      </c>
      <c r="DJ144" s="29"/>
      <c r="DK144" s="29"/>
      <c r="DL144" s="48">
        <v>35.6</v>
      </c>
      <c r="DM144" s="29">
        <v>113.8</v>
      </c>
      <c r="DN144" s="29"/>
      <c r="DO144" s="29"/>
      <c r="DP144" s="29">
        <v>1</v>
      </c>
      <c r="DQ144" s="29"/>
      <c r="DR144" s="29">
        <v>3</v>
      </c>
      <c r="DS144" s="29"/>
      <c r="DT144" s="29"/>
      <c r="DU144" s="29">
        <v>4.7</v>
      </c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  <c r="EP144" s="29"/>
      <c r="EQ144" s="29"/>
      <c r="ER144" s="29"/>
      <c r="ES144" s="29"/>
      <c r="ET144" s="29"/>
      <c r="EU144" s="29"/>
      <c r="EV144" s="29"/>
      <c r="EW144" s="29"/>
      <c r="EX144" s="29"/>
      <c r="EY144" s="29"/>
      <c r="EZ144" s="29"/>
      <c r="FA144" s="29"/>
    </row>
    <row r="145" spans="1:157" customFormat="1" x14ac:dyDescent="0.2">
      <c r="A145" t="s">
        <v>2056</v>
      </c>
      <c r="B145" s="26">
        <v>43796</v>
      </c>
      <c r="C145" t="s">
        <v>95</v>
      </c>
      <c r="D145">
        <v>48</v>
      </c>
      <c r="E145" t="s">
        <v>1330</v>
      </c>
      <c r="F145" s="26">
        <v>25985</v>
      </c>
      <c r="G145" t="s">
        <v>1855</v>
      </c>
      <c r="H145" t="s">
        <v>960</v>
      </c>
      <c r="K145">
        <v>2001</v>
      </c>
      <c r="L145">
        <v>2</v>
      </c>
      <c r="M145" t="s">
        <v>263</v>
      </c>
      <c r="N145" t="s">
        <v>263</v>
      </c>
      <c r="O145" t="s">
        <v>263</v>
      </c>
      <c r="P145" t="s">
        <v>2057</v>
      </c>
      <c r="Q145" t="s">
        <v>2058</v>
      </c>
      <c r="U145" t="s">
        <v>263</v>
      </c>
      <c r="V145" t="s">
        <v>263</v>
      </c>
      <c r="W145" t="s">
        <v>263</v>
      </c>
      <c r="X145" t="s">
        <v>263</v>
      </c>
      <c r="Y145" t="s">
        <v>2059</v>
      </c>
      <c r="Z145" t="s">
        <v>263</v>
      </c>
      <c r="AA145" t="s">
        <v>2060</v>
      </c>
      <c r="AB145" t="s">
        <v>151</v>
      </c>
      <c r="AC145" t="s">
        <v>2061</v>
      </c>
      <c r="AD145" t="s">
        <v>151</v>
      </c>
      <c r="AE145" t="s">
        <v>2062</v>
      </c>
      <c r="AF145" t="s">
        <v>263</v>
      </c>
      <c r="AG145" t="s">
        <v>263</v>
      </c>
      <c r="AH145" t="s">
        <v>263</v>
      </c>
      <c r="AI145" t="s">
        <v>263</v>
      </c>
      <c r="AJ145" t="s">
        <v>263</v>
      </c>
      <c r="AK145" t="s">
        <v>263</v>
      </c>
      <c r="AL145">
        <v>82.7</v>
      </c>
      <c r="AM145">
        <v>1.6</v>
      </c>
      <c r="AN145">
        <v>110</v>
      </c>
      <c r="AO145">
        <v>117</v>
      </c>
      <c r="AP145">
        <v>38.6</v>
      </c>
      <c r="AQ145">
        <v>11</v>
      </c>
      <c r="AR145">
        <v>28</v>
      </c>
      <c r="AS145">
        <v>60</v>
      </c>
      <c r="AT145">
        <v>32.299999999999997</v>
      </c>
      <c r="AU145">
        <v>98</v>
      </c>
      <c r="AV145">
        <v>58</v>
      </c>
      <c r="AX145" t="s">
        <v>375</v>
      </c>
      <c r="BB145" t="s">
        <v>322</v>
      </c>
      <c r="BF145" t="s">
        <v>368</v>
      </c>
      <c r="BG145" t="s">
        <v>368</v>
      </c>
      <c r="BH145" t="s">
        <v>368</v>
      </c>
      <c r="BI145" t="s">
        <v>368</v>
      </c>
      <c r="BN145" t="s">
        <v>2063</v>
      </c>
      <c r="BR145" t="s">
        <v>263</v>
      </c>
      <c r="BV145" t="s">
        <v>2064</v>
      </c>
      <c r="BZ145" t="s">
        <v>322</v>
      </c>
      <c r="CD145" t="s">
        <v>263</v>
      </c>
      <c r="CH145" t="s">
        <v>263</v>
      </c>
      <c r="CP145" t="s">
        <v>322</v>
      </c>
      <c r="CT145" t="s">
        <v>323</v>
      </c>
      <c r="CW145">
        <v>3</v>
      </c>
      <c r="CX145" t="s">
        <v>263</v>
      </c>
      <c r="CY145" t="s">
        <v>283</v>
      </c>
      <c r="DC145">
        <v>103.1</v>
      </c>
      <c r="DD145">
        <v>0.86</v>
      </c>
      <c r="DE145">
        <v>212</v>
      </c>
      <c r="DF145">
        <v>83</v>
      </c>
      <c r="DG145" s="9">
        <f t="shared" si="2"/>
        <v>4.5272699994097563</v>
      </c>
      <c r="DH145">
        <v>16.600000000000001</v>
      </c>
      <c r="DI145">
        <v>5.8</v>
      </c>
      <c r="DL145">
        <v>62.3</v>
      </c>
      <c r="DM145">
        <v>133.1</v>
      </c>
      <c r="DR145">
        <v>2</v>
      </c>
    </row>
    <row r="146" spans="1:157" customFormat="1" x14ac:dyDescent="0.2">
      <c r="A146" t="s">
        <v>2065</v>
      </c>
      <c r="B146" s="26">
        <v>43796</v>
      </c>
      <c r="C146" t="s">
        <v>258</v>
      </c>
      <c r="D146" t="s">
        <v>2066</v>
      </c>
      <c r="E146" t="s">
        <v>2067</v>
      </c>
      <c r="F146" s="26">
        <v>31049</v>
      </c>
      <c r="G146" t="s">
        <v>777</v>
      </c>
      <c r="H146" t="s">
        <v>2068</v>
      </c>
      <c r="Q146" t="s">
        <v>2069</v>
      </c>
      <c r="R146" t="s">
        <v>285</v>
      </c>
      <c r="U146" t="s">
        <v>2070</v>
      </c>
      <c r="Z146" t="s">
        <v>2071</v>
      </c>
      <c r="AA146" t="s">
        <v>96</v>
      </c>
      <c r="AB146" t="s">
        <v>2072</v>
      </c>
      <c r="AC146" t="s">
        <v>96</v>
      </c>
      <c r="AD146" t="s">
        <v>2072</v>
      </c>
      <c r="AE146" t="s">
        <v>292</v>
      </c>
      <c r="AI146" t="s">
        <v>292</v>
      </c>
      <c r="AL146">
        <v>81.5</v>
      </c>
      <c r="AM146">
        <v>1.73</v>
      </c>
      <c r="AN146">
        <v>92</v>
      </c>
      <c r="AO146">
        <v>105</v>
      </c>
      <c r="AP146">
        <v>26.2</v>
      </c>
      <c r="AQ146">
        <v>10</v>
      </c>
      <c r="AR146">
        <v>35.799999999999997</v>
      </c>
      <c r="AS146">
        <v>48</v>
      </c>
      <c r="AT146">
        <v>27.2</v>
      </c>
      <c r="AU146">
        <v>155</v>
      </c>
      <c r="AV146">
        <v>87</v>
      </c>
      <c r="AX146" t="s">
        <v>2073</v>
      </c>
      <c r="AY146" t="s">
        <v>2074</v>
      </c>
      <c r="AZ146" t="s">
        <v>1146</v>
      </c>
      <c r="BB146" t="s">
        <v>785</v>
      </c>
      <c r="BC146" t="s">
        <v>1411</v>
      </c>
      <c r="BF146" t="s">
        <v>375</v>
      </c>
      <c r="BG146" t="s">
        <v>323</v>
      </c>
      <c r="BH146" t="s">
        <v>325</v>
      </c>
      <c r="BI146" t="s">
        <v>375</v>
      </c>
      <c r="BJ146" t="s">
        <v>375</v>
      </c>
      <c r="BK146" t="s">
        <v>375</v>
      </c>
      <c r="BN146" t="s">
        <v>2075</v>
      </c>
      <c r="BO146" t="s">
        <v>498</v>
      </c>
      <c r="BP146" t="s">
        <v>2076</v>
      </c>
      <c r="BZ146" t="s">
        <v>332</v>
      </c>
      <c r="CA146" t="s">
        <v>415</v>
      </c>
      <c r="CB146" t="s">
        <v>2077</v>
      </c>
      <c r="CH146" t="s">
        <v>2078</v>
      </c>
      <c r="CL146" t="s">
        <v>306</v>
      </c>
      <c r="CM146" t="s">
        <v>2079</v>
      </c>
      <c r="CN146" t="s">
        <v>1076</v>
      </c>
      <c r="CP146" t="s">
        <v>2080</v>
      </c>
      <c r="CQ146" t="s">
        <v>2081</v>
      </c>
      <c r="CT146" t="s">
        <v>263</v>
      </c>
      <c r="CW146" t="s">
        <v>969</v>
      </c>
      <c r="CX146" t="s">
        <v>285</v>
      </c>
      <c r="CY146" t="s">
        <v>2082</v>
      </c>
      <c r="CZ146">
        <v>25</v>
      </c>
      <c r="DA146">
        <v>35</v>
      </c>
      <c r="DB146">
        <v>40</v>
      </c>
      <c r="DC146">
        <v>84.5</v>
      </c>
      <c r="DD146">
        <v>0.88</v>
      </c>
      <c r="DE146">
        <v>174</v>
      </c>
      <c r="DF146">
        <v>65</v>
      </c>
      <c r="DG146" s="9">
        <f t="shared" si="2"/>
        <v>4.3055694021293824</v>
      </c>
      <c r="DH146">
        <v>13</v>
      </c>
      <c r="DI146">
        <v>4.38</v>
      </c>
      <c r="DL146">
        <v>66</v>
      </c>
      <c r="DM146">
        <v>95</v>
      </c>
      <c r="DR146">
        <v>3</v>
      </c>
    </row>
    <row r="147" spans="1:157" customFormat="1" x14ac:dyDescent="0.2">
      <c r="A147" t="s">
        <v>2083</v>
      </c>
      <c r="B147" s="26">
        <v>43796</v>
      </c>
      <c r="C147" t="s">
        <v>258</v>
      </c>
      <c r="D147" t="s">
        <v>2084</v>
      </c>
      <c r="E147" t="s">
        <v>2085</v>
      </c>
      <c r="F147" s="26">
        <v>31652</v>
      </c>
      <c r="G147" t="s">
        <v>777</v>
      </c>
      <c r="H147" t="s">
        <v>2086</v>
      </c>
      <c r="AL147">
        <v>96.7</v>
      </c>
      <c r="AM147">
        <v>1.86</v>
      </c>
      <c r="AN147">
        <v>101</v>
      </c>
      <c r="AO147">
        <v>110</v>
      </c>
      <c r="AP147">
        <v>30.5</v>
      </c>
      <c r="AQ147">
        <v>11</v>
      </c>
      <c r="AR147">
        <v>32.6</v>
      </c>
      <c r="AS147">
        <v>64</v>
      </c>
      <c r="AT147">
        <v>28</v>
      </c>
      <c r="AU147">
        <v>125</v>
      </c>
      <c r="AV147">
        <v>77</v>
      </c>
      <c r="DC147">
        <v>85.5</v>
      </c>
      <c r="DD147">
        <v>1.05</v>
      </c>
      <c r="DE147">
        <v>229</v>
      </c>
      <c r="DF147">
        <v>70</v>
      </c>
      <c r="DG147" s="9">
        <f t="shared" si="2"/>
        <v>4.3485058089960367</v>
      </c>
      <c r="DH147">
        <v>14</v>
      </c>
      <c r="DI147">
        <v>7.99</v>
      </c>
      <c r="DL147">
        <v>55.5</v>
      </c>
      <c r="DM147">
        <v>159.5</v>
      </c>
      <c r="DR147">
        <v>2</v>
      </c>
    </row>
    <row r="148" spans="1:157" customFormat="1" x14ac:dyDescent="0.2">
      <c r="A148" s="70" t="s">
        <v>2087</v>
      </c>
      <c r="B148" s="69">
        <v>43796</v>
      </c>
      <c r="C148" s="29" t="s">
        <v>196</v>
      </c>
      <c r="D148" s="29">
        <v>40</v>
      </c>
      <c r="E148" s="29" t="s">
        <v>203</v>
      </c>
      <c r="F148" s="69">
        <v>29023</v>
      </c>
      <c r="G148" s="29" t="s">
        <v>2088</v>
      </c>
      <c r="H148" s="29" t="s">
        <v>2089</v>
      </c>
      <c r="I148" s="29"/>
      <c r="J148" s="29"/>
      <c r="K148" s="29">
        <v>2007</v>
      </c>
      <c r="L148" s="29">
        <v>2</v>
      </c>
      <c r="M148" s="29" t="s">
        <v>99</v>
      </c>
      <c r="N148" s="29" t="s">
        <v>99</v>
      </c>
      <c r="O148" s="29" t="s">
        <v>99</v>
      </c>
      <c r="P148" s="29" t="s">
        <v>2090</v>
      </c>
      <c r="Q148" s="29" t="s">
        <v>2091</v>
      </c>
      <c r="R148" s="29" t="s">
        <v>2092</v>
      </c>
      <c r="S148" s="29" t="s">
        <v>110</v>
      </c>
      <c r="T148" s="29" t="s">
        <v>99</v>
      </c>
      <c r="U148" s="29" t="s">
        <v>99</v>
      </c>
      <c r="V148" s="29" t="s">
        <v>99</v>
      </c>
      <c r="W148" s="29" t="s">
        <v>99</v>
      </c>
      <c r="X148" s="29" t="s">
        <v>99</v>
      </c>
      <c r="Y148" s="29" t="s">
        <v>99</v>
      </c>
      <c r="Z148" s="29" t="s">
        <v>99</v>
      </c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>
        <v>59.4</v>
      </c>
      <c r="AM148" s="29">
        <v>166</v>
      </c>
      <c r="AN148" s="29">
        <v>78</v>
      </c>
      <c r="AO148" s="29">
        <v>100</v>
      </c>
      <c r="AP148" s="29">
        <v>32.5</v>
      </c>
      <c r="AQ148" s="29">
        <v>5</v>
      </c>
      <c r="AR148" s="29">
        <v>27.2</v>
      </c>
      <c r="AS148" s="29">
        <v>32</v>
      </c>
      <c r="AT148" s="70">
        <v>21.6</v>
      </c>
      <c r="AU148" s="29">
        <v>85</v>
      </c>
      <c r="AV148" s="29">
        <v>46</v>
      </c>
      <c r="AW148" s="29"/>
      <c r="AX148" s="29" t="s">
        <v>592</v>
      </c>
      <c r="AY148" s="29" t="s">
        <v>1656</v>
      </c>
      <c r="AZ148" s="29" t="s">
        <v>573</v>
      </c>
      <c r="BA148" s="29" t="s">
        <v>351</v>
      </c>
      <c r="BB148" s="29" t="s">
        <v>749</v>
      </c>
      <c r="BC148" s="29" t="s">
        <v>1130</v>
      </c>
      <c r="BD148" s="29" t="s">
        <v>750</v>
      </c>
      <c r="BE148" s="29"/>
      <c r="BF148" s="29" t="s">
        <v>2093</v>
      </c>
      <c r="BG148" s="29"/>
      <c r="BH148" s="29" t="s">
        <v>1513</v>
      </c>
      <c r="BI148" s="29" t="s">
        <v>2094</v>
      </c>
      <c r="BJ148" s="29"/>
      <c r="BK148" s="29" t="s">
        <v>2095</v>
      </c>
      <c r="BL148" s="29"/>
      <c r="BM148" s="29"/>
      <c r="BN148" s="29" t="s">
        <v>180</v>
      </c>
      <c r="BO148" s="29" t="s">
        <v>125</v>
      </c>
      <c r="BP148" s="29" t="s">
        <v>178</v>
      </c>
      <c r="BQ148" s="29"/>
      <c r="BR148" s="29"/>
      <c r="BS148" s="29"/>
      <c r="BT148" s="29"/>
      <c r="BU148" s="29"/>
      <c r="BV148" s="29"/>
      <c r="BW148" s="29"/>
      <c r="BX148" s="29"/>
      <c r="BY148" s="29"/>
      <c r="BZ148" s="29" t="s">
        <v>182</v>
      </c>
      <c r="CA148" s="29" t="s">
        <v>577</v>
      </c>
      <c r="CB148" s="29" t="s">
        <v>2096</v>
      </c>
      <c r="CC148" s="29"/>
      <c r="CD148" s="29"/>
      <c r="CE148" s="29"/>
      <c r="CF148" s="29"/>
      <c r="CG148" s="29"/>
      <c r="CH148" s="29"/>
      <c r="CI148" s="29"/>
      <c r="CJ148" s="29"/>
      <c r="CK148" s="29"/>
      <c r="CL148" s="29" t="s">
        <v>1181</v>
      </c>
      <c r="CM148" s="29" t="s">
        <v>2097</v>
      </c>
      <c r="CN148" s="29"/>
      <c r="CO148" s="29"/>
      <c r="CP148" s="29" t="s">
        <v>362</v>
      </c>
      <c r="CQ148" s="29" t="s">
        <v>716</v>
      </c>
      <c r="CR148" s="29" t="s">
        <v>2098</v>
      </c>
      <c r="CS148" s="29"/>
      <c r="CT148" s="29" t="s">
        <v>363</v>
      </c>
      <c r="CU148" s="29"/>
      <c r="CV148" s="29"/>
      <c r="CW148" s="29">
        <v>4</v>
      </c>
      <c r="CX148" s="29" t="s">
        <v>110</v>
      </c>
      <c r="CY148" s="29" t="s">
        <v>110</v>
      </c>
      <c r="CZ148" s="29">
        <v>20</v>
      </c>
      <c r="DA148" s="29">
        <v>30</v>
      </c>
      <c r="DB148" s="29">
        <v>50</v>
      </c>
      <c r="DC148" s="29">
        <v>81.2</v>
      </c>
      <c r="DD148" s="48">
        <v>1.17</v>
      </c>
      <c r="DE148" s="29">
        <v>125</v>
      </c>
      <c r="DF148" s="29">
        <v>65</v>
      </c>
      <c r="DG148" s="9">
        <f t="shared" si="2"/>
        <v>4.2856512585316349</v>
      </c>
      <c r="DH148" s="29">
        <v>13</v>
      </c>
      <c r="DI148" s="29">
        <v>3.71</v>
      </c>
      <c r="DJ148" s="29"/>
      <c r="DK148" s="29"/>
      <c r="DL148" s="48">
        <v>48.5</v>
      </c>
      <c r="DM148" s="29"/>
      <c r="DN148" s="29"/>
      <c r="DO148" s="29"/>
      <c r="DP148" s="29"/>
      <c r="DQ148" s="29"/>
      <c r="DR148" s="29">
        <v>3</v>
      </c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</row>
    <row r="149" spans="1:157" customFormat="1" x14ac:dyDescent="0.2">
      <c r="A149" s="33" t="s">
        <v>2099</v>
      </c>
      <c r="B149" s="26">
        <v>43796</v>
      </c>
      <c r="C149" t="s">
        <v>107</v>
      </c>
      <c r="D149">
        <v>49</v>
      </c>
      <c r="E149" t="s">
        <v>2100</v>
      </c>
      <c r="F149" s="26">
        <v>43512</v>
      </c>
      <c r="M149" t="s">
        <v>263</v>
      </c>
      <c r="N149" t="s">
        <v>263</v>
      </c>
      <c r="O149" t="s">
        <v>263</v>
      </c>
      <c r="P149" t="s">
        <v>2101</v>
      </c>
      <c r="Q149" t="s">
        <v>2102</v>
      </c>
      <c r="R149" t="s">
        <v>263</v>
      </c>
      <c r="S149" t="s">
        <v>263</v>
      </c>
      <c r="T149" t="s">
        <v>263</v>
      </c>
      <c r="U149" t="s">
        <v>263</v>
      </c>
      <c r="V149" t="s">
        <v>263</v>
      </c>
      <c r="W149" t="s">
        <v>2103</v>
      </c>
      <c r="X149" t="s">
        <v>263</v>
      </c>
      <c r="Z149" t="s">
        <v>2104</v>
      </c>
      <c r="AA149" t="s">
        <v>2100</v>
      </c>
      <c r="AB149" t="s">
        <v>2100</v>
      </c>
      <c r="AC149" t="s">
        <v>2100</v>
      </c>
      <c r="AD149" t="s">
        <v>2100</v>
      </c>
      <c r="AE149" t="s">
        <v>263</v>
      </c>
      <c r="AF149" t="s">
        <v>263</v>
      </c>
      <c r="AG149" t="s">
        <v>2105</v>
      </c>
      <c r="AH149" t="s">
        <v>263</v>
      </c>
      <c r="AI149" t="s">
        <v>263</v>
      </c>
      <c r="AJ149" t="s">
        <v>263</v>
      </c>
      <c r="AK149" t="s">
        <v>2106</v>
      </c>
      <c r="AL149">
        <v>64.5</v>
      </c>
      <c r="AM149">
        <v>1.68</v>
      </c>
      <c r="AN149">
        <v>89.5</v>
      </c>
      <c r="AO149">
        <v>97.5</v>
      </c>
      <c r="AP149">
        <v>21.9</v>
      </c>
      <c r="AQ149">
        <v>7</v>
      </c>
      <c r="AR149">
        <v>35.4</v>
      </c>
      <c r="AS149">
        <v>38</v>
      </c>
      <c r="AT149">
        <v>22.9</v>
      </c>
      <c r="AU149">
        <v>101</v>
      </c>
      <c r="AV149">
        <v>53</v>
      </c>
      <c r="BB149" t="s">
        <v>2107</v>
      </c>
      <c r="BF149" t="s">
        <v>322</v>
      </c>
      <c r="BG149" t="s">
        <v>375</v>
      </c>
      <c r="BH149" t="s">
        <v>375</v>
      </c>
      <c r="BI149" t="s">
        <v>276</v>
      </c>
      <c r="BJ149" t="s">
        <v>323</v>
      </c>
      <c r="BK149" t="s">
        <v>325</v>
      </c>
      <c r="BN149" t="s">
        <v>2108</v>
      </c>
      <c r="BR149" t="s">
        <v>2109</v>
      </c>
      <c r="BV149" t="s">
        <v>263</v>
      </c>
      <c r="BZ149" t="s">
        <v>283</v>
      </c>
      <c r="CD149" t="s">
        <v>263</v>
      </c>
      <c r="CH149" t="s">
        <v>263</v>
      </c>
      <c r="CL149" t="s">
        <v>1237</v>
      </c>
      <c r="CM149" t="s">
        <v>1155</v>
      </c>
      <c r="CP149" t="s">
        <v>2110</v>
      </c>
      <c r="CQ149" t="s">
        <v>2111</v>
      </c>
      <c r="CR149" t="s">
        <v>2112</v>
      </c>
      <c r="CT149" t="s">
        <v>2042</v>
      </c>
      <c r="CU149" t="s">
        <v>2113</v>
      </c>
      <c r="CW149">
        <v>2</v>
      </c>
      <c r="CX149" t="s">
        <v>263</v>
      </c>
      <c r="CY149" t="s">
        <v>283</v>
      </c>
      <c r="CZ149">
        <v>10</v>
      </c>
      <c r="DA149">
        <v>0</v>
      </c>
      <c r="DB149">
        <v>50</v>
      </c>
      <c r="DC149">
        <v>78.599999999999994</v>
      </c>
      <c r="DD149">
        <v>0.8</v>
      </c>
      <c r="DE149">
        <v>211</v>
      </c>
      <c r="DF149">
        <v>116</v>
      </c>
      <c r="DG149" s="9">
        <f t="shared" si="2"/>
        <v>4.558980945270763</v>
      </c>
      <c r="DH149">
        <v>23.2</v>
      </c>
      <c r="DI149">
        <v>5.72</v>
      </c>
      <c r="DR149">
        <v>3</v>
      </c>
    </row>
    <row r="150" spans="1:157" customFormat="1" x14ac:dyDescent="0.2">
      <c r="A150" t="s">
        <v>2114</v>
      </c>
      <c r="B150" s="26">
        <v>43796</v>
      </c>
      <c r="C150" t="s">
        <v>95</v>
      </c>
      <c r="D150">
        <v>41</v>
      </c>
      <c r="E150" t="s">
        <v>1330</v>
      </c>
      <c r="F150" s="26">
        <v>28734</v>
      </c>
      <c r="G150" t="s">
        <v>1892</v>
      </c>
      <c r="H150" t="s">
        <v>2115</v>
      </c>
      <c r="I150" t="s">
        <v>263</v>
      </c>
      <c r="J150" t="s">
        <v>263</v>
      </c>
      <c r="K150" s="26">
        <v>40451</v>
      </c>
      <c r="L150">
        <v>4</v>
      </c>
      <c r="M150" t="s">
        <v>263</v>
      </c>
      <c r="N150" t="s">
        <v>263</v>
      </c>
      <c r="O150" t="s">
        <v>263</v>
      </c>
      <c r="P150" t="s">
        <v>263</v>
      </c>
      <c r="Q150" t="s">
        <v>2116</v>
      </c>
      <c r="R150" t="s">
        <v>2117</v>
      </c>
      <c r="S150" t="s">
        <v>263</v>
      </c>
      <c r="T150" t="s">
        <v>263</v>
      </c>
      <c r="U150" t="s">
        <v>2118</v>
      </c>
      <c r="V150" t="s">
        <v>263</v>
      </c>
      <c r="W150" t="s">
        <v>263</v>
      </c>
      <c r="X150" t="s">
        <v>263</v>
      </c>
      <c r="Y150" t="s">
        <v>263</v>
      </c>
      <c r="Z150" t="s">
        <v>263</v>
      </c>
      <c r="AA150" t="s">
        <v>2119</v>
      </c>
      <c r="AB150" t="s">
        <v>2119</v>
      </c>
      <c r="AC150" t="s">
        <v>2119</v>
      </c>
      <c r="AD150" t="s">
        <v>2119</v>
      </c>
      <c r="AE150" t="s">
        <v>2105</v>
      </c>
      <c r="AF150" t="s">
        <v>263</v>
      </c>
      <c r="AG150" t="s">
        <v>263</v>
      </c>
      <c r="AH150" t="s">
        <v>263</v>
      </c>
      <c r="AI150" t="s">
        <v>263</v>
      </c>
      <c r="AJ150" t="s">
        <v>263</v>
      </c>
      <c r="AK150" t="s">
        <v>2120</v>
      </c>
      <c r="AL150">
        <v>82.9</v>
      </c>
      <c r="AM150">
        <v>1.62</v>
      </c>
      <c r="AN150">
        <v>105</v>
      </c>
      <c r="AO150">
        <v>109</v>
      </c>
      <c r="AP150">
        <v>51.3</v>
      </c>
      <c r="AQ150">
        <v>10</v>
      </c>
      <c r="AR150">
        <v>20.100000000000001</v>
      </c>
      <c r="AS150">
        <v>62</v>
      </c>
      <c r="AT150">
        <v>32.4</v>
      </c>
      <c r="AU150">
        <v>98</v>
      </c>
      <c r="AV150">
        <v>70</v>
      </c>
      <c r="AX150" t="s">
        <v>2121</v>
      </c>
      <c r="AY150" t="s">
        <v>2122</v>
      </c>
      <c r="AZ150" t="s">
        <v>2123</v>
      </c>
      <c r="BB150" t="s">
        <v>2124</v>
      </c>
      <c r="BC150" t="s">
        <v>2125</v>
      </c>
      <c r="BF150" t="s">
        <v>2126</v>
      </c>
      <c r="BG150" t="s">
        <v>2127</v>
      </c>
      <c r="BI150" t="s">
        <v>2128</v>
      </c>
      <c r="BJ150" t="s">
        <v>2129</v>
      </c>
      <c r="BK150" t="s">
        <v>2130</v>
      </c>
      <c r="BN150" t="s">
        <v>2131</v>
      </c>
      <c r="BR150" t="s">
        <v>2132</v>
      </c>
      <c r="BV150" t="s">
        <v>2133</v>
      </c>
      <c r="BZ150" t="s">
        <v>2131</v>
      </c>
      <c r="CP150" t="s">
        <v>263</v>
      </c>
      <c r="CQ150" t="s">
        <v>2134</v>
      </c>
      <c r="CT150" t="s">
        <v>2133</v>
      </c>
      <c r="CW150">
        <v>2</v>
      </c>
      <c r="CY150" t="s">
        <v>263</v>
      </c>
      <c r="DC150">
        <v>88</v>
      </c>
      <c r="DD150">
        <v>0.56000000000000005</v>
      </c>
      <c r="DE150">
        <v>136</v>
      </c>
      <c r="DF150">
        <v>104</v>
      </c>
      <c r="DG150" s="9">
        <f t="shared" si="2"/>
        <v>4.5608638568097897</v>
      </c>
      <c r="DH150">
        <v>20.8</v>
      </c>
      <c r="DI150">
        <v>3.53</v>
      </c>
    </row>
    <row r="151" spans="1:157" customFormat="1" x14ac:dyDescent="0.2">
      <c r="A151" t="s">
        <v>2135</v>
      </c>
      <c r="B151" s="26">
        <v>43796</v>
      </c>
      <c r="C151" t="s">
        <v>107</v>
      </c>
      <c r="D151">
        <v>60</v>
      </c>
      <c r="E151" t="s">
        <v>2136</v>
      </c>
      <c r="F151" s="26">
        <v>43655</v>
      </c>
      <c r="G151" t="s">
        <v>1892</v>
      </c>
      <c r="H151" t="s">
        <v>2137</v>
      </c>
      <c r="I151" t="s">
        <v>2020</v>
      </c>
      <c r="J151" t="s">
        <v>2138</v>
      </c>
      <c r="K151">
        <v>1996</v>
      </c>
      <c r="L151" t="s">
        <v>2139</v>
      </c>
      <c r="M151" t="s">
        <v>263</v>
      </c>
      <c r="N151" t="s">
        <v>263</v>
      </c>
      <c r="O151" t="s">
        <v>1334</v>
      </c>
      <c r="P151" t="s">
        <v>263</v>
      </c>
      <c r="Q151" t="s">
        <v>263</v>
      </c>
      <c r="R151" t="s">
        <v>263</v>
      </c>
      <c r="S151" t="s">
        <v>2140</v>
      </c>
      <c r="T151" t="s">
        <v>2141</v>
      </c>
      <c r="U151" t="s">
        <v>263</v>
      </c>
      <c r="V151" t="s">
        <v>263</v>
      </c>
      <c r="W151" t="s">
        <v>2142</v>
      </c>
      <c r="X151" t="s">
        <v>263</v>
      </c>
      <c r="Y151" t="s">
        <v>263</v>
      </c>
      <c r="Z151" t="s">
        <v>2143</v>
      </c>
      <c r="AA151" t="s">
        <v>2144</v>
      </c>
      <c r="AB151" t="s">
        <v>2136</v>
      </c>
      <c r="AC151" t="s">
        <v>2136</v>
      </c>
      <c r="AD151" t="s">
        <v>2136</v>
      </c>
      <c r="AE151" t="s">
        <v>2145</v>
      </c>
      <c r="AF151" t="s">
        <v>2146</v>
      </c>
      <c r="AG151" t="s">
        <v>263</v>
      </c>
      <c r="AH151" t="s">
        <v>2147</v>
      </c>
      <c r="AI151" t="s">
        <v>2148</v>
      </c>
      <c r="AJ151" t="s">
        <v>263</v>
      </c>
      <c r="AK151" t="s">
        <v>263</v>
      </c>
      <c r="AL151">
        <v>54.8</v>
      </c>
      <c r="AM151">
        <v>1.47</v>
      </c>
      <c r="AN151">
        <v>83</v>
      </c>
      <c r="AO151">
        <v>95.5</v>
      </c>
      <c r="AP151">
        <v>40.200000000000003</v>
      </c>
      <c r="AQ151">
        <v>9</v>
      </c>
      <c r="AR151">
        <v>23.6</v>
      </c>
      <c r="AS151">
        <v>60</v>
      </c>
      <c r="AT151">
        <v>25.4</v>
      </c>
      <c r="AU151">
        <v>110</v>
      </c>
      <c r="AV151">
        <v>69</v>
      </c>
      <c r="AX151" t="s">
        <v>2149</v>
      </c>
      <c r="BB151" t="s">
        <v>2150</v>
      </c>
      <c r="BC151" t="s">
        <v>2151</v>
      </c>
      <c r="BF151" t="s">
        <v>2152</v>
      </c>
      <c r="BG151" t="s">
        <v>263</v>
      </c>
      <c r="BH151" t="s">
        <v>263</v>
      </c>
      <c r="BI151" t="s">
        <v>2153</v>
      </c>
      <c r="BJ151" t="s">
        <v>2154</v>
      </c>
      <c r="BK151" t="s">
        <v>325</v>
      </c>
      <c r="BN151" t="s">
        <v>2155</v>
      </c>
      <c r="BO151" t="s">
        <v>2156</v>
      </c>
      <c r="BP151" t="s">
        <v>2157</v>
      </c>
      <c r="BZ151" t="s">
        <v>2158</v>
      </c>
      <c r="CA151" t="s">
        <v>2159</v>
      </c>
      <c r="CB151" t="s">
        <v>2160</v>
      </c>
      <c r="CL151" t="s">
        <v>2161</v>
      </c>
      <c r="CP151" t="s">
        <v>281</v>
      </c>
      <c r="CT151" t="s">
        <v>281</v>
      </c>
      <c r="CW151">
        <v>3</v>
      </c>
      <c r="CX151" t="s">
        <v>263</v>
      </c>
      <c r="CY151" t="s">
        <v>368</v>
      </c>
      <c r="CZ151" t="s">
        <v>368</v>
      </c>
      <c r="DA151" t="s">
        <v>368</v>
      </c>
      <c r="DB151" t="s">
        <v>368</v>
      </c>
      <c r="DC151">
        <v>85.7</v>
      </c>
      <c r="DD151">
        <v>0.99</v>
      </c>
      <c r="DE151">
        <v>259</v>
      </c>
      <c r="DF151">
        <v>211</v>
      </c>
      <c r="DG151" s="9">
        <f t="shared" si="2"/>
        <v>4.9013554795398999</v>
      </c>
      <c r="DH151">
        <v>42.2</v>
      </c>
      <c r="DI151">
        <v>5.04</v>
      </c>
    </row>
    <row r="152" spans="1:157" x14ac:dyDescent="0.2">
      <c r="A152" s="9" t="s">
        <v>2162</v>
      </c>
      <c r="B152" s="17"/>
      <c r="F152" s="17"/>
      <c r="DG152" s="9" t="e">
        <f t="shared" si="2"/>
        <v>#NUM!</v>
      </c>
    </row>
    <row r="153" spans="1:157" x14ac:dyDescent="0.2">
      <c r="A153" s="9" t="s">
        <v>2163</v>
      </c>
      <c r="B153" s="17"/>
      <c r="F153" s="17"/>
      <c r="DG153" s="9" t="e">
        <f t="shared" si="2"/>
        <v>#NUM!</v>
      </c>
    </row>
    <row r="154" spans="1:157" x14ac:dyDescent="0.2">
      <c r="A154" s="9" t="s">
        <v>2164</v>
      </c>
      <c r="B154" s="17"/>
      <c r="F154" s="17"/>
      <c r="DG154" s="9" t="e">
        <f t="shared" si="2"/>
        <v>#NUM!</v>
      </c>
    </row>
    <row r="155" spans="1:157" x14ac:dyDescent="0.2">
      <c r="A155" s="9" t="s">
        <v>2165</v>
      </c>
      <c r="B155" s="17"/>
      <c r="F155" s="17"/>
      <c r="DG155" s="9" t="e">
        <f t="shared" si="2"/>
        <v>#NUM!</v>
      </c>
    </row>
    <row r="156" spans="1:157" x14ac:dyDescent="0.2">
      <c r="A156" s="9" t="s">
        <v>2166</v>
      </c>
      <c r="B156" s="17"/>
      <c r="F156" s="17"/>
      <c r="DG156" s="9" t="e">
        <f t="shared" si="2"/>
        <v>#NUM!</v>
      </c>
    </row>
    <row r="157" spans="1:157" x14ac:dyDescent="0.2">
      <c r="A157" s="9" t="s">
        <v>2167</v>
      </c>
      <c r="B157" s="17"/>
      <c r="F157" s="17"/>
      <c r="DG157" s="9" t="e">
        <f t="shared" si="2"/>
        <v>#NUM!</v>
      </c>
    </row>
    <row r="158" spans="1:157" x14ac:dyDescent="0.2">
      <c r="A158" s="9" t="s">
        <v>2168</v>
      </c>
      <c r="B158" s="17"/>
      <c r="F158" s="17"/>
      <c r="DG158" s="9" t="e">
        <f t="shared" si="2"/>
        <v>#NUM!</v>
      </c>
    </row>
    <row r="159" spans="1:157" x14ac:dyDescent="0.2">
      <c r="A159" s="9" t="s">
        <v>2169</v>
      </c>
      <c r="B159" s="17"/>
      <c r="F159" s="17"/>
      <c r="DG159" s="9" t="e">
        <f t="shared" si="2"/>
        <v>#NUM!</v>
      </c>
    </row>
    <row r="160" spans="1:157" x14ac:dyDescent="0.2">
      <c r="A160" s="9" t="s">
        <v>2170</v>
      </c>
      <c r="B160" s="17"/>
      <c r="F160" s="17"/>
      <c r="DG160" s="9" t="e">
        <f t="shared" si="2"/>
        <v>#NUM!</v>
      </c>
    </row>
    <row r="161" spans="1:122" x14ac:dyDescent="0.2">
      <c r="A161" s="9" t="s">
        <v>2171</v>
      </c>
      <c r="B161" s="17"/>
      <c r="F161" s="17"/>
      <c r="DG161" s="9" t="e">
        <f t="shared" si="2"/>
        <v>#NUM!</v>
      </c>
    </row>
    <row r="162" spans="1:122" x14ac:dyDescent="0.2">
      <c r="A162" s="9" t="s">
        <v>2172</v>
      </c>
      <c r="B162" s="17"/>
      <c r="F162" s="17"/>
      <c r="DG162" s="9" t="e">
        <f t="shared" si="2"/>
        <v>#NUM!</v>
      </c>
    </row>
    <row r="163" spans="1:122" x14ac:dyDescent="0.2">
      <c r="A163" s="9" t="s">
        <v>2173</v>
      </c>
      <c r="B163" s="17"/>
      <c r="F163" s="17"/>
      <c r="DG163" s="9" t="e">
        <f t="shared" si="2"/>
        <v>#NUM!</v>
      </c>
    </row>
    <row r="164" spans="1:122" x14ac:dyDescent="0.2">
      <c r="A164" s="9" t="s">
        <v>2174</v>
      </c>
      <c r="B164" s="17"/>
      <c r="F164" s="17"/>
      <c r="DG164" s="9" t="e">
        <f t="shared" si="2"/>
        <v>#NUM!</v>
      </c>
      <c r="DR164" s="9">
        <v>3</v>
      </c>
    </row>
    <row r="165" spans="1:122" x14ac:dyDescent="0.2">
      <c r="A165" s="9" t="s">
        <v>2175</v>
      </c>
      <c r="B165" s="17"/>
      <c r="F165" s="17"/>
      <c r="DG165" s="9" t="e">
        <f t="shared" si="2"/>
        <v>#NUM!</v>
      </c>
    </row>
    <row r="166" spans="1:122" x14ac:dyDescent="0.2">
      <c r="A166" s="9" t="s">
        <v>2176</v>
      </c>
      <c r="B166" s="17"/>
      <c r="F166" s="17"/>
      <c r="DG166" s="9" t="e">
        <f t="shared" si="2"/>
        <v>#NUM!</v>
      </c>
    </row>
    <row r="167" spans="1:122" x14ac:dyDescent="0.2">
      <c r="A167" s="9" t="s">
        <v>2177</v>
      </c>
      <c r="B167" s="17"/>
      <c r="F167" s="17"/>
      <c r="DG167" s="9" t="e">
        <f t="shared" si="2"/>
        <v>#NUM!</v>
      </c>
    </row>
    <row r="168" spans="1:122" x14ac:dyDescent="0.2">
      <c r="A168" s="9" t="s">
        <v>2178</v>
      </c>
      <c r="B168" s="17"/>
      <c r="F168" s="17"/>
      <c r="DG168" s="9" t="e">
        <f t="shared" si="2"/>
        <v>#NUM!</v>
      </c>
      <c r="DR168" s="9">
        <v>3</v>
      </c>
    </row>
    <row r="169" spans="1:122" x14ac:dyDescent="0.2">
      <c r="A169" s="9" t="s">
        <v>2179</v>
      </c>
      <c r="B169" s="17"/>
      <c r="F169" s="17"/>
      <c r="DG169" s="9" t="e">
        <f t="shared" si="2"/>
        <v>#NUM!</v>
      </c>
    </row>
    <row r="170" spans="1:122" x14ac:dyDescent="0.2">
      <c r="A170" s="9" t="s">
        <v>2180</v>
      </c>
      <c r="B170" s="17"/>
      <c r="F170" s="17"/>
      <c r="DG170" s="9" t="e">
        <f t="shared" si="2"/>
        <v>#NUM!</v>
      </c>
    </row>
    <row r="171" spans="1:122" x14ac:dyDescent="0.2">
      <c r="A171" s="9" t="s">
        <v>2181</v>
      </c>
      <c r="B171" s="17"/>
      <c r="F171" s="17"/>
      <c r="DG171" s="9" t="e">
        <f t="shared" si="2"/>
        <v>#NUM!</v>
      </c>
    </row>
    <row r="172" spans="1:122" x14ac:dyDescent="0.2">
      <c r="A172" s="9" t="s">
        <v>2182</v>
      </c>
      <c r="B172" s="17"/>
      <c r="F172" s="17"/>
      <c r="DG172" s="9" t="e">
        <f t="shared" si="2"/>
        <v>#NUM!</v>
      </c>
    </row>
    <row r="173" spans="1:122" x14ac:dyDescent="0.2">
      <c r="A173" s="9" t="s">
        <v>2183</v>
      </c>
      <c r="B173" s="17"/>
      <c r="F173" s="17"/>
      <c r="DG173" s="9" t="e">
        <f t="shared" si="2"/>
        <v>#NUM!</v>
      </c>
    </row>
    <row r="174" spans="1:122" x14ac:dyDescent="0.2">
      <c r="A174" s="9" t="s">
        <v>2184</v>
      </c>
      <c r="B174" s="17"/>
      <c r="F174" s="17"/>
      <c r="DG174" s="9" t="e">
        <f t="shared" si="2"/>
        <v>#NUM!</v>
      </c>
      <c r="DR174" s="9">
        <v>2</v>
      </c>
    </row>
    <row r="175" spans="1:122" x14ac:dyDescent="0.2">
      <c r="A175" s="9" t="s">
        <v>2185</v>
      </c>
      <c r="B175" s="17"/>
      <c r="F175" s="17"/>
      <c r="DG175" s="9" t="e">
        <f t="shared" si="2"/>
        <v>#NUM!</v>
      </c>
      <c r="DR175" s="9">
        <v>3</v>
      </c>
    </row>
    <row r="176" spans="1:122" x14ac:dyDescent="0.2">
      <c r="A176" s="9" t="s">
        <v>2186</v>
      </c>
      <c r="B176" s="17"/>
      <c r="F176" s="17"/>
      <c r="DG176" s="9" t="e">
        <f t="shared" si="2"/>
        <v>#NUM!</v>
      </c>
    </row>
    <row r="177" spans="1:157" x14ac:dyDescent="0.2">
      <c r="A177" s="9" t="s">
        <v>2187</v>
      </c>
      <c r="B177" s="17"/>
      <c r="F177" s="17"/>
      <c r="DG177" s="9" t="e">
        <f t="shared" si="2"/>
        <v>#NUM!</v>
      </c>
    </row>
    <row r="178" spans="1:157" customFormat="1" x14ac:dyDescent="0.2">
      <c r="A178" s="29" t="s">
        <v>2188</v>
      </c>
      <c r="B178" s="69">
        <v>43796</v>
      </c>
      <c r="C178" s="29" t="s">
        <v>675</v>
      </c>
      <c r="D178" s="29">
        <v>36</v>
      </c>
      <c r="E178" s="29" t="s">
        <v>100</v>
      </c>
      <c r="F178" s="69">
        <v>30453</v>
      </c>
      <c r="G178" s="29" t="s">
        <v>2189</v>
      </c>
      <c r="H178" s="29" t="s">
        <v>2190</v>
      </c>
      <c r="I178" s="29"/>
      <c r="J178" s="29"/>
      <c r="K178" s="29"/>
      <c r="L178" s="29"/>
      <c r="M178" s="29" t="s">
        <v>99</v>
      </c>
      <c r="N178" s="29" t="s">
        <v>99</v>
      </c>
      <c r="O178" s="29" t="s">
        <v>99</v>
      </c>
      <c r="P178" s="29" t="s">
        <v>99</v>
      </c>
      <c r="Q178" s="29" t="s">
        <v>2191</v>
      </c>
      <c r="R178" s="29" t="s">
        <v>99</v>
      </c>
      <c r="S178" s="29" t="s">
        <v>99</v>
      </c>
      <c r="T178" s="29" t="s">
        <v>99</v>
      </c>
      <c r="U178" s="29" t="s">
        <v>99</v>
      </c>
      <c r="V178" s="29" t="s">
        <v>99</v>
      </c>
      <c r="W178" s="29" t="s">
        <v>99</v>
      </c>
      <c r="X178" s="29"/>
      <c r="Y178" s="29"/>
      <c r="Z178" s="29" t="s">
        <v>2192</v>
      </c>
      <c r="AA178" s="29" t="s">
        <v>100</v>
      </c>
      <c r="AB178" s="29" t="s">
        <v>100</v>
      </c>
      <c r="AC178" s="29" t="s">
        <v>100</v>
      </c>
      <c r="AD178" s="29" t="s">
        <v>100</v>
      </c>
      <c r="AE178" s="29" t="s">
        <v>99</v>
      </c>
      <c r="AF178" s="29" t="s">
        <v>343</v>
      </c>
      <c r="AG178" s="29" t="s">
        <v>1723</v>
      </c>
      <c r="AH178" s="29" t="s">
        <v>99</v>
      </c>
      <c r="AI178" s="29" t="s">
        <v>99</v>
      </c>
      <c r="AJ178" s="29" t="s">
        <v>99</v>
      </c>
      <c r="AK178" s="29" t="s">
        <v>99</v>
      </c>
      <c r="AL178" s="29">
        <v>79.5</v>
      </c>
      <c r="AM178" s="29">
        <v>185</v>
      </c>
      <c r="AN178" s="48">
        <v>92</v>
      </c>
      <c r="AO178" s="29">
        <v>101</v>
      </c>
      <c r="AP178" s="29">
        <v>29.6</v>
      </c>
      <c r="AQ178" s="29">
        <v>8</v>
      </c>
      <c r="AR178" s="29">
        <v>29</v>
      </c>
      <c r="AS178" s="29">
        <v>62</v>
      </c>
      <c r="AT178" s="70">
        <v>23.2</v>
      </c>
      <c r="AU178" s="29">
        <v>107</v>
      </c>
      <c r="AV178" s="29">
        <v>59</v>
      </c>
      <c r="AW178" s="29"/>
      <c r="AX178" s="29" t="s">
        <v>592</v>
      </c>
      <c r="AY178" s="29" t="s">
        <v>573</v>
      </c>
      <c r="AZ178" s="29" t="s">
        <v>1656</v>
      </c>
      <c r="BA178" s="29"/>
      <c r="BB178" s="29" t="s">
        <v>750</v>
      </c>
      <c r="BC178" s="29" t="s">
        <v>1130</v>
      </c>
      <c r="BD178" s="29" t="s">
        <v>749</v>
      </c>
      <c r="BE178" s="29"/>
      <c r="BF178" s="29" t="s">
        <v>350</v>
      </c>
      <c r="BG178" s="29" t="s">
        <v>350</v>
      </c>
      <c r="BH178" s="29" t="s">
        <v>350</v>
      </c>
      <c r="BI178" s="29" t="s">
        <v>350</v>
      </c>
      <c r="BJ178" s="29" t="s">
        <v>351</v>
      </c>
      <c r="BK178" s="29" t="s">
        <v>1513</v>
      </c>
      <c r="BL178" s="29"/>
      <c r="BM178" s="29"/>
      <c r="BN178" s="29" t="s">
        <v>219</v>
      </c>
      <c r="BO178" s="29" t="s">
        <v>179</v>
      </c>
      <c r="BP178" s="29" t="s">
        <v>180</v>
      </c>
      <c r="BQ178" s="29"/>
      <c r="BR178" s="29"/>
      <c r="BS178" s="29"/>
      <c r="BT178" s="29"/>
      <c r="BU178" s="29"/>
      <c r="BV178" s="29"/>
      <c r="BW178" s="29"/>
      <c r="BX178" s="29"/>
      <c r="BY178" s="29"/>
      <c r="BZ178" s="29" t="s">
        <v>182</v>
      </c>
      <c r="CA178" s="29" t="s">
        <v>183</v>
      </c>
      <c r="CB178" s="29" t="s">
        <v>184</v>
      </c>
      <c r="CC178" s="29"/>
      <c r="CD178" s="29"/>
      <c r="CE178" s="29"/>
      <c r="CF178" s="29"/>
      <c r="CG178" s="29"/>
      <c r="CH178" s="29"/>
      <c r="CI178" s="29"/>
      <c r="CJ178" s="29"/>
      <c r="CK178" s="29"/>
      <c r="CL178" s="29" t="s">
        <v>2193</v>
      </c>
      <c r="CM178" s="29" t="s">
        <v>2194</v>
      </c>
      <c r="CN178" s="29" t="s">
        <v>2195</v>
      </c>
      <c r="CO178" s="29"/>
      <c r="CP178" s="29" t="s">
        <v>716</v>
      </c>
      <c r="CQ178" s="29" t="s">
        <v>362</v>
      </c>
      <c r="CR178" s="29" t="s">
        <v>826</v>
      </c>
      <c r="CS178" s="29"/>
      <c r="CT178" s="29" t="s">
        <v>1732</v>
      </c>
      <c r="CU178" s="29" t="s">
        <v>1661</v>
      </c>
      <c r="CV178" s="29"/>
      <c r="CW178" s="29">
        <v>3</v>
      </c>
      <c r="CX178" s="29" t="s">
        <v>110</v>
      </c>
      <c r="CY178" s="29" t="s">
        <v>99</v>
      </c>
      <c r="CZ178" s="29"/>
      <c r="DA178" s="29"/>
      <c r="DB178" s="29"/>
      <c r="DC178" s="29">
        <v>84.7</v>
      </c>
      <c r="DD178" s="48">
        <v>1.56</v>
      </c>
      <c r="DE178" s="48">
        <v>262</v>
      </c>
      <c r="DF178" s="48">
        <v>196</v>
      </c>
      <c r="DG178" s="9">
        <f t="shared" si="2"/>
        <v>4.8586151304442629</v>
      </c>
      <c r="DH178" s="29">
        <v>39.200000000000003</v>
      </c>
      <c r="DI178" s="29">
        <v>6.03</v>
      </c>
      <c r="DJ178" s="29"/>
      <c r="DK178" s="29"/>
      <c r="DL178" s="48">
        <v>39.6</v>
      </c>
      <c r="DM178" s="29">
        <v>183.2</v>
      </c>
      <c r="DN178" s="29"/>
      <c r="DO178" s="29"/>
      <c r="DP178" s="29"/>
      <c r="DQ178" s="29"/>
      <c r="DR178" s="29">
        <v>2</v>
      </c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  <c r="EP178" s="29"/>
      <c r="EQ178" s="29"/>
      <c r="ER178" s="29"/>
      <c r="ES178" s="29"/>
      <c r="ET178" s="29"/>
      <c r="EU178" s="29"/>
      <c r="EV178" s="29"/>
      <c r="EW178" s="29"/>
      <c r="EX178" s="29"/>
      <c r="EY178" s="29"/>
      <c r="EZ178" s="29"/>
      <c r="FA178" s="29"/>
    </row>
    <row r="179" spans="1:157" customFormat="1" x14ac:dyDescent="0.2">
      <c r="A179" t="s">
        <v>2196</v>
      </c>
      <c r="B179" s="26">
        <v>43796</v>
      </c>
      <c r="C179" t="s">
        <v>95</v>
      </c>
      <c r="D179" t="s">
        <v>2197</v>
      </c>
      <c r="E179" t="s">
        <v>313</v>
      </c>
      <c r="F179" s="26">
        <v>30471</v>
      </c>
      <c r="G179" t="s">
        <v>959</v>
      </c>
      <c r="H179" t="s">
        <v>2198</v>
      </c>
      <c r="I179">
        <v>1996</v>
      </c>
      <c r="L179">
        <v>0</v>
      </c>
      <c r="M179" t="s">
        <v>263</v>
      </c>
      <c r="N179" t="s">
        <v>263</v>
      </c>
      <c r="O179" t="s">
        <v>263</v>
      </c>
      <c r="P179" t="s">
        <v>263</v>
      </c>
      <c r="Q179" t="s">
        <v>2199</v>
      </c>
      <c r="R179" t="s">
        <v>2200</v>
      </c>
      <c r="S179" t="s">
        <v>2201</v>
      </c>
      <c r="T179" t="s">
        <v>2202</v>
      </c>
      <c r="U179" t="s">
        <v>2203</v>
      </c>
      <c r="AA179" t="s">
        <v>2204</v>
      </c>
      <c r="AB179" t="s">
        <v>2205</v>
      </c>
      <c r="AE179" t="s">
        <v>1409</v>
      </c>
      <c r="AF179" t="s">
        <v>2206</v>
      </c>
      <c r="AG179" t="s">
        <v>2207</v>
      </c>
      <c r="AH179" t="s">
        <v>263</v>
      </c>
      <c r="AI179" t="s">
        <v>263</v>
      </c>
      <c r="AJ179" t="s">
        <v>263</v>
      </c>
      <c r="AK179" t="s">
        <v>263</v>
      </c>
      <c r="AM179">
        <v>1.7</v>
      </c>
      <c r="AN179">
        <v>97</v>
      </c>
      <c r="AO179">
        <v>102</v>
      </c>
      <c r="AU179">
        <v>110</v>
      </c>
      <c r="AV179">
        <v>76</v>
      </c>
      <c r="AX179" t="s">
        <v>2208</v>
      </c>
      <c r="AY179" t="s">
        <v>1146</v>
      </c>
      <c r="BB179" t="s">
        <v>785</v>
      </c>
      <c r="BC179" t="s">
        <v>2209</v>
      </c>
      <c r="BF179" t="s">
        <v>2210</v>
      </c>
      <c r="BG179" t="s">
        <v>2211</v>
      </c>
      <c r="BH179" t="s">
        <v>276</v>
      </c>
      <c r="BI179" t="s">
        <v>2211</v>
      </c>
      <c r="BJ179" t="s">
        <v>2212</v>
      </c>
      <c r="BK179" t="s">
        <v>323</v>
      </c>
      <c r="BN179" t="s">
        <v>2213</v>
      </c>
      <c r="BO179" t="s">
        <v>2214</v>
      </c>
      <c r="BP179" t="s">
        <v>2215</v>
      </c>
      <c r="BZ179" t="s">
        <v>332</v>
      </c>
      <c r="CA179" t="s">
        <v>1453</v>
      </c>
      <c r="CB179" t="s">
        <v>2216</v>
      </c>
      <c r="CH179" t="s">
        <v>2217</v>
      </c>
      <c r="CL179" t="s">
        <v>2218</v>
      </c>
      <c r="CM179" t="s">
        <v>2079</v>
      </c>
      <c r="CN179" t="s">
        <v>2219</v>
      </c>
      <c r="CP179" t="s">
        <v>2220</v>
      </c>
      <c r="CQ179" t="s">
        <v>309</v>
      </c>
      <c r="CT179" t="s">
        <v>263</v>
      </c>
      <c r="CW179" s="68" t="s">
        <v>969</v>
      </c>
      <c r="CX179" t="s">
        <v>285</v>
      </c>
      <c r="CY179" t="s">
        <v>285</v>
      </c>
      <c r="CZ179">
        <v>50</v>
      </c>
      <c r="DA179">
        <v>20</v>
      </c>
      <c r="DB179">
        <v>30</v>
      </c>
      <c r="DC179">
        <v>80.8</v>
      </c>
      <c r="DD179">
        <v>0.71</v>
      </c>
      <c r="DE179">
        <v>159</v>
      </c>
      <c r="DF179">
        <v>71</v>
      </c>
      <c r="DG179" s="9">
        <f t="shared" si="2"/>
        <v>4.3273284212841823</v>
      </c>
      <c r="DH179">
        <v>14.2</v>
      </c>
      <c r="DI179">
        <v>3.38</v>
      </c>
      <c r="DL179">
        <v>53.2</v>
      </c>
      <c r="DM179">
        <v>91.6</v>
      </c>
      <c r="DR179" s="29">
        <v>3</v>
      </c>
    </row>
    <row r="180" spans="1:157" x14ac:dyDescent="0.2">
      <c r="A180" s="6" t="s">
        <v>2221</v>
      </c>
      <c r="B180" s="8">
        <v>42191</v>
      </c>
      <c r="C180" s="6" t="s">
        <v>95</v>
      </c>
      <c r="D180" s="6">
        <v>18</v>
      </c>
      <c r="E180" s="6" t="s">
        <v>100</v>
      </c>
      <c r="F180" s="17"/>
      <c r="G180" s="6" t="s">
        <v>115</v>
      </c>
      <c r="H180" s="6" t="s">
        <v>109</v>
      </c>
      <c r="L180" s="6"/>
      <c r="M180" s="6" t="s">
        <v>116</v>
      </c>
      <c r="N180" s="6" t="s">
        <v>115</v>
      </c>
      <c r="O180" s="6" t="s">
        <v>116</v>
      </c>
      <c r="P180" s="6" t="s">
        <v>116</v>
      </c>
      <c r="Q180" s="6" t="s">
        <v>116</v>
      </c>
      <c r="R180" s="6" t="s">
        <v>110</v>
      </c>
      <c r="S180" s="6" t="s">
        <v>114</v>
      </c>
      <c r="T180" s="6" t="s">
        <v>116</v>
      </c>
      <c r="U180" s="6" t="s">
        <v>116</v>
      </c>
      <c r="W180" s="6" t="s">
        <v>115</v>
      </c>
      <c r="X180" s="6"/>
      <c r="Y180" s="6" t="s">
        <v>116</v>
      </c>
      <c r="AB180" s="6" t="s">
        <v>100</v>
      </c>
      <c r="AC180" s="6" t="s">
        <v>100</v>
      </c>
      <c r="AE180" s="15" t="s">
        <v>2222</v>
      </c>
      <c r="AF180" s="15" t="s">
        <v>110</v>
      </c>
      <c r="AG180" s="6" t="s">
        <v>116</v>
      </c>
      <c r="AH180" s="6" t="s">
        <v>116</v>
      </c>
      <c r="AI180" s="6" t="s">
        <v>116</v>
      </c>
      <c r="AJ180" s="6" t="s">
        <v>116</v>
      </c>
      <c r="AK180" s="6" t="s">
        <v>116</v>
      </c>
      <c r="AL180" s="6">
        <v>69.599999999999994</v>
      </c>
      <c r="AM180" s="9">
        <v>155</v>
      </c>
      <c r="AN180" s="15">
        <v>96</v>
      </c>
      <c r="AO180" s="6">
        <v>100</v>
      </c>
      <c r="AP180" s="6">
        <v>45.3</v>
      </c>
      <c r="AQ180" s="6"/>
      <c r="AR180" s="6"/>
      <c r="AS180" s="6"/>
      <c r="AT180" s="6">
        <v>29</v>
      </c>
      <c r="AU180" s="6">
        <v>105</v>
      </c>
      <c r="AV180" s="6">
        <v>80</v>
      </c>
      <c r="DC180" s="6">
        <v>85</v>
      </c>
      <c r="DD180" s="6"/>
      <c r="DE180" s="6">
        <v>173</v>
      </c>
      <c r="DF180" s="6">
        <v>108</v>
      </c>
      <c r="DG180" s="9">
        <f t="shared" si="2"/>
        <v>4.5623912418072683</v>
      </c>
      <c r="DH180" s="6"/>
      <c r="DI180" s="6"/>
      <c r="DJ180" s="6"/>
      <c r="DK180" s="6"/>
      <c r="DL180" s="6"/>
      <c r="DM180" s="6"/>
      <c r="DN180" s="6"/>
      <c r="DP180" s="11">
        <v>2</v>
      </c>
      <c r="DQ180" s="77" t="s">
        <v>105</v>
      </c>
    </row>
    <row r="181" spans="1:157" x14ac:dyDescent="0.2">
      <c r="A181" s="16">
        <v>102</v>
      </c>
      <c r="B181" s="8">
        <v>42191</v>
      </c>
      <c r="C181" s="6" t="s">
        <v>95</v>
      </c>
      <c r="D181" s="6">
        <v>53</v>
      </c>
      <c r="E181" s="6" t="s">
        <v>100</v>
      </c>
      <c r="F181" s="17">
        <v>22769</v>
      </c>
      <c r="G181" s="6" t="s">
        <v>116</v>
      </c>
      <c r="H181" s="6" t="s">
        <v>109</v>
      </c>
      <c r="J181" s="10">
        <v>2014</v>
      </c>
      <c r="L181" s="6"/>
      <c r="M181" s="6" t="s">
        <v>116</v>
      </c>
      <c r="N181" s="6" t="s">
        <v>114</v>
      </c>
      <c r="O181" s="6" t="s">
        <v>114</v>
      </c>
      <c r="P181" s="6" t="s">
        <v>115</v>
      </c>
      <c r="Q181" s="6" t="s">
        <v>116</v>
      </c>
      <c r="R181" s="6" t="s">
        <v>110</v>
      </c>
      <c r="S181" s="6" t="s">
        <v>116</v>
      </c>
      <c r="T181" s="6" t="s">
        <v>116</v>
      </c>
      <c r="U181" s="6" t="s">
        <v>116</v>
      </c>
      <c r="W181" s="6" t="s">
        <v>116</v>
      </c>
      <c r="X181" s="6"/>
      <c r="Y181" s="6" t="s">
        <v>115</v>
      </c>
      <c r="AB181" s="6" t="s">
        <v>100</v>
      </c>
      <c r="AC181" s="6" t="s">
        <v>100</v>
      </c>
      <c r="AE181" s="6" t="s">
        <v>116</v>
      </c>
      <c r="AF181" s="6" t="s">
        <v>116</v>
      </c>
      <c r="AG181" s="6" t="s">
        <v>116</v>
      </c>
      <c r="AH181" s="6" t="s">
        <v>116</v>
      </c>
      <c r="AI181" s="6" t="s">
        <v>116</v>
      </c>
      <c r="AJ181" s="6" t="s">
        <v>116</v>
      </c>
      <c r="AK181" s="6" t="s">
        <v>116</v>
      </c>
      <c r="AL181" s="6">
        <v>76.400000000000006</v>
      </c>
      <c r="AM181" s="9">
        <v>156</v>
      </c>
      <c r="AN181" s="15">
        <v>98</v>
      </c>
      <c r="AO181" s="6">
        <v>110</v>
      </c>
      <c r="AP181" s="6">
        <v>49.7</v>
      </c>
      <c r="AQ181" s="6"/>
      <c r="AR181" s="6">
        <v>20.6</v>
      </c>
      <c r="AS181" s="6"/>
      <c r="AT181" s="6">
        <v>31.4</v>
      </c>
      <c r="AU181" s="15">
        <v>133</v>
      </c>
      <c r="AV181" s="15">
        <v>98</v>
      </c>
      <c r="DC181" s="15">
        <v>103</v>
      </c>
      <c r="DD181" s="6"/>
      <c r="DE181" s="15">
        <v>205</v>
      </c>
      <c r="DF181" s="6">
        <v>94</v>
      </c>
      <c r="DG181" s="9">
        <f t="shared" si="2"/>
        <v>4.5890118852498194</v>
      </c>
      <c r="DH181" s="6"/>
      <c r="DI181" s="6"/>
      <c r="DJ181" s="6"/>
      <c r="DK181" s="6"/>
      <c r="DL181" s="6"/>
      <c r="DM181" s="6"/>
      <c r="DN181" s="6"/>
      <c r="DP181" s="11">
        <v>2</v>
      </c>
      <c r="DQ181" s="6" t="s">
        <v>111</v>
      </c>
      <c r="DT181" s="9">
        <v>8.94</v>
      </c>
      <c r="DU181" s="9">
        <v>5.8</v>
      </c>
    </row>
    <row r="182" spans="1:157" x14ac:dyDescent="0.2">
      <c r="A182" s="78">
        <v>103</v>
      </c>
      <c r="B182" s="8">
        <v>42191</v>
      </c>
      <c r="C182" s="6" t="s">
        <v>95</v>
      </c>
      <c r="D182" s="6">
        <v>65</v>
      </c>
      <c r="E182" s="6" t="s">
        <v>100</v>
      </c>
      <c r="F182" s="17">
        <v>18314</v>
      </c>
      <c r="G182" s="6" t="s">
        <v>114</v>
      </c>
      <c r="H182" s="6" t="s">
        <v>109</v>
      </c>
      <c r="J182" s="10">
        <v>1995</v>
      </c>
      <c r="L182" s="6"/>
      <c r="M182" s="6" t="s">
        <v>114</v>
      </c>
      <c r="N182" s="6" t="s">
        <v>114</v>
      </c>
      <c r="O182" s="6" t="s">
        <v>114</v>
      </c>
      <c r="P182" s="15" t="s">
        <v>110</v>
      </c>
      <c r="Q182" s="15" t="s">
        <v>110</v>
      </c>
      <c r="R182" s="6" t="s">
        <v>110</v>
      </c>
      <c r="S182" s="6" t="s">
        <v>114</v>
      </c>
      <c r="T182" s="6" t="s">
        <v>114</v>
      </c>
      <c r="U182" s="6" t="s">
        <v>114</v>
      </c>
      <c r="W182" s="6" t="s">
        <v>114</v>
      </c>
      <c r="X182" s="6"/>
      <c r="Y182" s="6" t="s">
        <v>116</v>
      </c>
      <c r="AB182" s="6" t="s">
        <v>1123</v>
      </c>
      <c r="AC182" s="6" t="s">
        <v>116</v>
      </c>
      <c r="AE182" s="6" t="s">
        <v>115</v>
      </c>
      <c r="AF182" s="6" t="s">
        <v>114</v>
      </c>
      <c r="AG182" s="6" t="s">
        <v>114</v>
      </c>
      <c r="AH182" s="6" t="s">
        <v>114</v>
      </c>
      <c r="AI182" s="6" t="s">
        <v>114</v>
      </c>
      <c r="AJ182" s="6" t="s">
        <v>114</v>
      </c>
      <c r="AK182" s="6" t="s">
        <v>114</v>
      </c>
      <c r="AL182" s="6">
        <v>71.900000000000006</v>
      </c>
      <c r="AN182" s="15">
        <v>132</v>
      </c>
      <c r="AO182" s="6">
        <v>102</v>
      </c>
      <c r="AP182" s="6">
        <v>38.5</v>
      </c>
      <c r="AQ182" s="6">
        <v>12</v>
      </c>
      <c r="AR182" s="6">
        <v>11.2</v>
      </c>
      <c r="AS182" s="6"/>
      <c r="AT182" s="6">
        <v>28.1</v>
      </c>
      <c r="AU182" s="15">
        <v>133</v>
      </c>
      <c r="AV182" s="15">
        <v>85</v>
      </c>
      <c r="DC182" s="6">
        <v>85</v>
      </c>
      <c r="DD182" s="6">
        <v>0.68</v>
      </c>
      <c r="DE182" s="6">
        <v>163</v>
      </c>
      <c r="DF182" s="15">
        <v>163</v>
      </c>
      <c r="DG182" s="9">
        <f t="shared" si="2"/>
        <v>4.7682007286485391</v>
      </c>
      <c r="DH182" s="6"/>
      <c r="DI182" s="6">
        <v>4.41</v>
      </c>
      <c r="DJ182" s="6"/>
      <c r="DK182" s="6"/>
      <c r="DL182" s="6"/>
      <c r="DM182" s="6"/>
      <c r="DN182" s="6"/>
      <c r="DP182" s="18">
        <v>1</v>
      </c>
      <c r="DQ182" s="6" t="s">
        <v>111</v>
      </c>
      <c r="DT182" s="9">
        <v>8.33</v>
      </c>
      <c r="DU182" s="9">
        <v>11.2</v>
      </c>
    </row>
    <row r="183" spans="1:157" x14ac:dyDescent="0.2">
      <c r="A183" s="16">
        <v>104</v>
      </c>
      <c r="B183" s="8">
        <v>42193</v>
      </c>
      <c r="C183" s="6" t="s">
        <v>95</v>
      </c>
      <c r="D183" s="6">
        <v>75</v>
      </c>
      <c r="E183" s="6" t="s">
        <v>116</v>
      </c>
      <c r="F183" s="17"/>
      <c r="G183" s="6" t="s">
        <v>114</v>
      </c>
      <c r="H183" s="6" t="s">
        <v>109</v>
      </c>
      <c r="K183" s="17"/>
      <c r="L183" s="6"/>
      <c r="M183" s="6" t="s">
        <v>114</v>
      </c>
      <c r="N183" s="6" t="s">
        <v>114</v>
      </c>
      <c r="O183" s="6" t="s">
        <v>114</v>
      </c>
      <c r="P183" s="6" t="s">
        <v>114</v>
      </c>
      <c r="Q183" s="6" t="s">
        <v>116</v>
      </c>
      <c r="R183" s="6" t="s">
        <v>110</v>
      </c>
      <c r="S183" s="6" t="s">
        <v>114</v>
      </c>
      <c r="T183" s="6" t="s">
        <v>114</v>
      </c>
      <c r="U183" s="6" t="s">
        <v>114</v>
      </c>
      <c r="W183" s="6" t="s">
        <v>114</v>
      </c>
      <c r="X183" s="6"/>
      <c r="Y183" s="6" t="s">
        <v>116</v>
      </c>
      <c r="AB183" s="6" t="s">
        <v>116</v>
      </c>
      <c r="AC183" s="6" t="s">
        <v>116</v>
      </c>
      <c r="AE183" s="15" t="s">
        <v>110</v>
      </c>
      <c r="AF183" s="15" t="s">
        <v>110</v>
      </c>
      <c r="AG183" s="15" t="s">
        <v>118</v>
      </c>
      <c r="AH183" s="6" t="s">
        <v>114</v>
      </c>
      <c r="AI183" s="6" t="s">
        <v>116</v>
      </c>
      <c r="AJ183" s="6" t="s">
        <v>114</v>
      </c>
      <c r="AK183" s="6" t="s">
        <v>114</v>
      </c>
      <c r="AL183" s="6">
        <v>80.099999999999994</v>
      </c>
      <c r="AM183" s="9">
        <v>162</v>
      </c>
      <c r="AN183" s="15">
        <v>100</v>
      </c>
      <c r="AO183" s="6">
        <v>128</v>
      </c>
      <c r="AP183" s="6">
        <v>42.1</v>
      </c>
      <c r="AQ183" s="6"/>
      <c r="AR183" s="6">
        <v>25.4</v>
      </c>
      <c r="AS183" s="6"/>
      <c r="AT183" s="6">
        <v>30.5</v>
      </c>
      <c r="AU183" s="15">
        <v>182</v>
      </c>
      <c r="AV183" s="15">
        <v>80</v>
      </c>
      <c r="DC183" s="15">
        <v>120</v>
      </c>
      <c r="DD183" s="6"/>
      <c r="DE183" s="15">
        <v>216</v>
      </c>
      <c r="DF183" s="6">
        <v>108</v>
      </c>
      <c r="DG183" s="9">
        <f t="shared" si="2"/>
        <v>4.7348114849531324</v>
      </c>
      <c r="DH183" s="6"/>
      <c r="DI183" s="6"/>
      <c r="DJ183" s="6"/>
      <c r="DK183" s="6"/>
      <c r="DL183" s="6"/>
      <c r="DM183" s="6"/>
      <c r="DN183" s="6"/>
      <c r="DP183" s="11">
        <v>2</v>
      </c>
      <c r="DQ183" s="6" t="s">
        <v>111</v>
      </c>
      <c r="DU183" s="9">
        <v>5</v>
      </c>
    </row>
    <row r="184" spans="1:157" x14ac:dyDescent="0.2">
      <c r="A184" s="6">
        <v>105</v>
      </c>
      <c r="B184" s="8">
        <v>42193</v>
      </c>
      <c r="C184" s="6" t="s">
        <v>95</v>
      </c>
      <c r="D184" s="6">
        <v>46</v>
      </c>
      <c r="E184" s="6" t="s">
        <v>116</v>
      </c>
      <c r="F184" s="17"/>
      <c r="G184" s="6" t="s">
        <v>114</v>
      </c>
      <c r="H184" s="6" t="s">
        <v>109</v>
      </c>
      <c r="K184" s="17"/>
      <c r="L184" s="6"/>
      <c r="M184" s="6" t="s">
        <v>114</v>
      </c>
      <c r="N184" s="6" t="s">
        <v>114</v>
      </c>
      <c r="O184" s="6" t="s">
        <v>114</v>
      </c>
      <c r="P184" s="6" t="s">
        <v>114</v>
      </c>
      <c r="Q184" s="6" t="s">
        <v>116</v>
      </c>
      <c r="R184" s="6" t="s">
        <v>110</v>
      </c>
      <c r="S184" s="6" t="s">
        <v>114</v>
      </c>
      <c r="T184" s="6" t="s">
        <v>114</v>
      </c>
      <c r="U184" s="6" t="s">
        <v>114</v>
      </c>
      <c r="W184" s="6" t="s">
        <v>114</v>
      </c>
      <c r="X184" s="6"/>
      <c r="Y184" s="6" t="s">
        <v>116</v>
      </c>
      <c r="AB184" s="6" t="s">
        <v>116</v>
      </c>
      <c r="AC184" s="6" t="s">
        <v>116</v>
      </c>
      <c r="AE184" s="15" t="s">
        <v>144</v>
      </c>
      <c r="AF184" s="15" t="s">
        <v>144</v>
      </c>
      <c r="AG184" s="6" t="s">
        <v>114</v>
      </c>
      <c r="AH184" s="6" t="s">
        <v>114</v>
      </c>
      <c r="AI184" s="6" t="s">
        <v>114</v>
      </c>
      <c r="AJ184" s="6" t="s">
        <v>114</v>
      </c>
      <c r="AK184" s="6" t="s">
        <v>114</v>
      </c>
      <c r="AL184" s="6">
        <v>86.4</v>
      </c>
      <c r="AM184" s="9">
        <v>169</v>
      </c>
      <c r="AN184" s="15">
        <v>102</v>
      </c>
      <c r="AO184" s="6">
        <v>118</v>
      </c>
      <c r="AP184" s="6">
        <v>48.2</v>
      </c>
      <c r="AQ184" s="6"/>
      <c r="AR184" s="6">
        <v>21.6</v>
      </c>
      <c r="AS184" s="6"/>
      <c r="AT184" s="6">
        <v>30.5</v>
      </c>
      <c r="AU184" s="6">
        <v>108</v>
      </c>
      <c r="AV184" s="6">
        <v>81</v>
      </c>
      <c r="DC184" s="6">
        <v>95</v>
      </c>
      <c r="DD184" s="6"/>
      <c r="DE184" s="6">
        <v>183</v>
      </c>
      <c r="DF184" s="6">
        <v>69</v>
      </c>
      <c r="DG184" s="9">
        <f t="shared" si="2"/>
        <v>4.3939916980989002</v>
      </c>
      <c r="DH184" s="6"/>
      <c r="DI184" s="6"/>
      <c r="DJ184" s="6"/>
      <c r="DK184" s="6"/>
      <c r="DL184" s="6"/>
      <c r="DM184" s="6"/>
      <c r="DN184" s="6"/>
      <c r="DP184" s="11">
        <v>2</v>
      </c>
      <c r="DQ184" s="6" t="s">
        <v>111</v>
      </c>
    </row>
    <row r="185" spans="1:157" x14ac:dyDescent="0.2">
      <c r="A185" s="6">
        <v>106</v>
      </c>
      <c r="B185" s="8">
        <v>42193</v>
      </c>
      <c r="C185" s="6" t="s">
        <v>95</v>
      </c>
      <c r="D185" s="6">
        <v>51</v>
      </c>
      <c r="E185" s="6" t="s">
        <v>116</v>
      </c>
      <c r="F185" s="17"/>
      <c r="G185" s="6" t="s">
        <v>114</v>
      </c>
      <c r="H185" s="6" t="s">
        <v>109</v>
      </c>
      <c r="L185" s="6"/>
      <c r="M185" s="6" t="s">
        <v>114</v>
      </c>
      <c r="N185" s="6" t="s">
        <v>114</v>
      </c>
      <c r="O185" s="6" t="s">
        <v>114</v>
      </c>
      <c r="P185" s="6" t="s">
        <v>114</v>
      </c>
      <c r="Q185" s="6" t="s">
        <v>116</v>
      </c>
      <c r="R185" s="6" t="s">
        <v>110</v>
      </c>
      <c r="S185" s="6" t="s">
        <v>114</v>
      </c>
      <c r="T185" s="6" t="s">
        <v>114</v>
      </c>
      <c r="U185" s="6" t="s">
        <v>114</v>
      </c>
      <c r="W185" s="6" t="s">
        <v>114</v>
      </c>
      <c r="X185" s="6"/>
      <c r="Y185" s="6" t="s">
        <v>116</v>
      </c>
      <c r="AB185" s="6" t="s">
        <v>116</v>
      </c>
      <c r="AC185" s="6" t="s">
        <v>116</v>
      </c>
      <c r="AE185" s="15" t="s">
        <v>2224</v>
      </c>
      <c r="AF185" s="15" t="s">
        <v>2224</v>
      </c>
      <c r="AG185" s="6" t="s">
        <v>114</v>
      </c>
      <c r="AH185" s="6" t="s">
        <v>114</v>
      </c>
      <c r="AI185" s="6" t="s">
        <v>114</v>
      </c>
      <c r="AJ185" s="6" t="s">
        <v>114</v>
      </c>
      <c r="AK185" s="6" t="s">
        <v>114</v>
      </c>
      <c r="AL185" s="6">
        <v>73.3</v>
      </c>
      <c r="AM185" s="9">
        <v>170</v>
      </c>
      <c r="AN185" s="15">
        <v>98</v>
      </c>
      <c r="AO185" s="6">
        <v>109</v>
      </c>
      <c r="AP185" s="6">
        <v>38.799999999999997</v>
      </c>
      <c r="AQ185" s="6"/>
      <c r="AR185" s="6">
        <v>25.8</v>
      </c>
      <c r="AS185" s="6"/>
      <c r="AT185" s="6">
        <v>25.4</v>
      </c>
      <c r="AU185" s="6">
        <v>107</v>
      </c>
      <c r="AV185" s="6">
        <v>74</v>
      </c>
      <c r="DC185" s="15">
        <v>110</v>
      </c>
      <c r="DD185" s="6"/>
      <c r="DE185" s="6">
        <v>69</v>
      </c>
      <c r="DF185" s="6">
        <v>69</v>
      </c>
      <c r="DG185" s="9">
        <f t="shared" si="2"/>
        <v>4.4672934351948381</v>
      </c>
      <c r="DH185" s="6"/>
      <c r="DI185" s="6"/>
      <c r="DJ185" s="6"/>
      <c r="DK185" s="6"/>
      <c r="DL185" s="6"/>
      <c r="DM185" s="6"/>
      <c r="DN185" s="6"/>
      <c r="DP185" s="11">
        <v>2</v>
      </c>
      <c r="DQ185" s="6" t="s">
        <v>111</v>
      </c>
    </row>
    <row r="186" spans="1:157" x14ac:dyDescent="0.2">
      <c r="A186" s="16">
        <v>107</v>
      </c>
      <c r="B186" s="8">
        <v>42191</v>
      </c>
      <c r="C186" s="6" t="s">
        <v>95</v>
      </c>
      <c r="D186" s="6">
        <v>43</v>
      </c>
      <c r="E186" s="6" t="s">
        <v>116</v>
      </c>
      <c r="F186" s="17"/>
      <c r="G186" s="6" t="s">
        <v>114</v>
      </c>
      <c r="H186" s="6" t="s">
        <v>109</v>
      </c>
      <c r="K186" s="17"/>
      <c r="L186" s="6"/>
      <c r="M186" s="6" t="s">
        <v>114</v>
      </c>
      <c r="N186" s="6" t="s">
        <v>114</v>
      </c>
      <c r="O186" s="6" t="s">
        <v>114</v>
      </c>
      <c r="P186" s="6" t="s">
        <v>114</v>
      </c>
      <c r="Q186" s="6" t="s">
        <v>116</v>
      </c>
      <c r="R186" s="6" t="s">
        <v>110</v>
      </c>
      <c r="S186" s="6" t="s">
        <v>114</v>
      </c>
      <c r="T186" s="6" t="s">
        <v>114</v>
      </c>
      <c r="U186" s="6" t="s">
        <v>114</v>
      </c>
      <c r="W186" s="6" t="s">
        <v>114</v>
      </c>
      <c r="X186" s="6"/>
      <c r="Y186" s="6" t="s">
        <v>116</v>
      </c>
      <c r="AB186" s="6" t="s">
        <v>116</v>
      </c>
      <c r="AC186" s="6" t="s">
        <v>116</v>
      </c>
      <c r="AE186" s="15" t="s">
        <v>144</v>
      </c>
      <c r="AF186" s="15" t="s">
        <v>125</v>
      </c>
      <c r="AG186" s="6" t="s">
        <v>114</v>
      </c>
      <c r="AH186" s="6" t="s">
        <v>114</v>
      </c>
      <c r="AI186" s="6" t="s">
        <v>114</v>
      </c>
      <c r="AJ186" s="6" t="s">
        <v>114</v>
      </c>
      <c r="AK186" s="6" t="s">
        <v>114</v>
      </c>
      <c r="AL186" s="6">
        <v>74</v>
      </c>
      <c r="AM186" s="9">
        <v>160</v>
      </c>
      <c r="AN186" s="15">
        <v>88</v>
      </c>
      <c r="AO186" s="6">
        <v>98</v>
      </c>
      <c r="AP186" s="6">
        <v>46.3</v>
      </c>
      <c r="AQ186" s="6"/>
      <c r="AR186" s="6">
        <v>22.1</v>
      </c>
      <c r="AS186" s="6"/>
      <c r="AT186" s="6">
        <v>28.9</v>
      </c>
      <c r="AU186" s="6">
        <v>107</v>
      </c>
      <c r="AV186" s="6">
        <v>78</v>
      </c>
      <c r="DC186" s="15">
        <v>108</v>
      </c>
      <c r="DD186" s="6"/>
      <c r="DE186" s="6">
        <v>183</v>
      </c>
      <c r="DF186" s="15">
        <v>171</v>
      </c>
      <c r="DG186" s="9">
        <f t="shared" si="2"/>
        <v>4.9118973918134401</v>
      </c>
      <c r="DH186" s="6"/>
      <c r="DI186" s="6"/>
      <c r="DJ186" s="6"/>
      <c r="DK186" s="6"/>
      <c r="DL186" s="6"/>
      <c r="DM186" s="6"/>
      <c r="DN186" s="6"/>
      <c r="DP186" s="11">
        <v>2</v>
      </c>
      <c r="DQ186" s="6" t="s">
        <v>111</v>
      </c>
      <c r="DU186" s="9">
        <v>6.8</v>
      </c>
    </row>
    <row r="187" spans="1:157" x14ac:dyDescent="0.2">
      <c r="A187" s="16">
        <v>108</v>
      </c>
      <c r="B187" s="8">
        <v>42192</v>
      </c>
      <c r="C187" s="6" t="s">
        <v>95</v>
      </c>
      <c r="D187" s="6">
        <v>42</v>
      </c>
      <c r="E187" s="6" t="s">
        <v>100</v>
      </c>
      <c r="F187" s="17">
        <v>26634</v>
      </c>
      <c r="G187" s="6" t="s">
        <v>114</v>
      </c>
      <c r="H187" s="6" t="s">
        <v>109</v>
      </c>
      <c r="L187" s="6"/>
      <c r="M187" s="6" t="s">
        <v>114</v>
      </c>
      <c r="N187" s="6" t="s">
        <v>114</v>
      </c>
      <c r="O187" s="6" t="s">
        <v>114</v>
      </c>
      <c r="P187" s="6" t="s">
        <v>114</v>
      </c>
      <c r="Q187" s="6" t="s">
        <v>114</v>
      </c>
      <c r="R187" s="6" t="s">
        <v>110</v>
      </c>
      <c r="S187" s="6" t="s">
        <v>114</v>
      </c>
      <c r="T187" s="6" t="s">
        <v>114</v>
      </c>
      <c r="U187" s="6" t="s">
        <v>114</v>
      </c>
      <c r="W187" s="6" t="s">
        <v>114</v>
      </c>
      <c r="X187" s="6"/>
      <c r="Y187" s="6" t="s">
        <v>116</v>
      </c>
      <c r="AA187" s="9" t="s">
        <v>100</v>
      </c>
      <c r="AB187" s="16" t="s">
        <v>2225</v>
      </c>
      <c r="AC187" s="6" t="s">
        <v>100</v>
      </c>
      <c r="AE187" s="15" t="s">
        <v>664</v>
      </c>
      <c r="AF187" s="15" t="s">
        <v>123</v>
      </c>
      <c r="AG187" s="6" t="s">
        <v>116</v>
      </c>
      <c r="AH187" s="6" t="s">
        <v>114</v>
      </c>
      <c r="AI187" s="6" t="s">
        <v>114</v>
      </c>
      <c r="AJ187" s="6" t="s">
        <v>114</v>
      </c>
      <c r="AK187" s="6" t="s">
        <v>114</v>
      </c>
      <c r="AL187" s="6">
        <v>118</v>
      </c>
      <c r="AN187" s="15">
        <v>120</v>
      </c>
      <c r="AO187" s="6">
        <v>128</v>
      </c>
      <c r="AP187" s="6">
        <v>48.3</v>
      </c>
      <c r="AQ187" s="6"/>
      <c r="AR187" s="6">
        <v>23.5</v>
      </c>
      <c r="AS187" s="6">
        <v>65</v>
      </c>
      <c r="AT187" s="6">
        <v>39.9</v>
      </c>
      <c r="AU187" s="6">
        <v>110</v>
      </c>
      <c r="AV187" s="6">
        <v>83</v>
      </c>
      <c r="DC187" s="15">
        <v>120</v>
      </c>
      <c r="DD187" s="6"/>
      <c r="DE187" s="6">
        <v>179</v>
      </c>
      <c r="DF187" s="15">
        <v>157</v>
      </c>
      <c r="DG187" s="9">
        <f t="shared" si="2"/>
        <v>4.9218687740651772</v>
      </c>
      <c r="DH187" s="6"/>
      <c r="DI187" s="6"/>
      <c r="DJ187" s="6"/>
      <c r="DK187" s="6"/>
      <c r="DL187" s="6"/>
      <c r="DM187" s="6"/>
      <c r="DN187" s="6"/>
      <c r="DP187" s="11">
        <v>2</v>
      </c>
      <c r="DQ187" s="6" t="s">
        <v>111</v>
      </c>
      <c r="DR187" s="9">
        <v>2</v>
      </c>
      <c r="DU187" s="9">
        <v>13.5</v>
      </c>
    </row>
    <row r="188" spans="1:157" x14ac:dyDescent="0.2">
      <c r="A188" s="16">
        <v>109</v>
      </c>
      <c r="B188" s="8">
        <v>42192</v>
      </c>
      <c r="C188" s="6" t="s">
        <v>95</v>
      </c>
      <c r="D188" s="6">
        <v>83</v>
      </c>
      <c r="E188" s="6" t="s">
        <v>114</v>
      </c>
      <c r="F188" s="17"/>
      <c r="G188" s="6" t="s">
        <v>114</v>
      </c>
      <c r="H188" s="6" t="s">
        <v>109</v>
      </c>
      <c r="L188" s="6"/>
      <c r="M188" s="6" t="s">
        <v>114</v>
      </c>
      <c r="N188" s="15" t="s">
        <v>110</v>
      </c>
      <c r="O188" s="6" t="s">
        <v>114</v>
      </c>
      <c r="P188" s="6" t="s">
        <v>114</v>
      </c>
      <c r="Q188" s="6" t="s">
        <v>114</v>
      </c>
      <c r="R188" s="6" t="s">
        <v>110</v>
      </c>
      <c r="S188" s="6" t="s">
        <v>114</v>
      </c>
      <c r="T188" s="6" t="s">
        <v>114</v>
      </c>
      <c r="U188" s="6" t="s">
        <v>114</v>
      </c>
      <c r="W188" s="16" t="s">
        <v>2226</v>
      </c>
      <c r="X188" s="6"/>
      <c r="Y188" s="6" t="s">
        <v>114</v>
      </c>
      <c r="AB188" s="6" t="s">
        <v>114</v>
      </c>
      <c r="AC188" s="6" t="s">
        <v>114</v>
      </c>
      <c r="AE188" s="15" t="s">
        <v>2227</v>
      </c>
      <c r="AF188" s="6" t="s">
        <v>114</v>
      </c>
      <c r="AG188" s="15" t="s">
        <v>118</v>
      </c>
      <c r="AH188" s="6" t="s">
        <v>114</v>
      </c>
      <c r="AI188" s="6" t="s">
        <v>114</v>
      </c>
      <c r="AJ188" s="6" t="s">
        <v>114</v>
      </c>
      <c r="AK188" s="6" t="s">
        <v>114</v>
      </c>
      <c r="AL188" s="6">
        <v>63.7</v>
      </c>
      <c r="AN188" s="15">
        <v>88</v>
      </c>
      <c r="AO188" s="6">
        <v>106</v>
      </c>
      <c r="AP188" s="6">
        <v>47.9</v>
      </c>
      <c r="AQ188" s="6"/>
      <c r="AR188" s="6">
        <v>20.7</v>
      </c>
      <c r="AS188" s="6">
        <v>80</v>
      </c>
      <c r="AT188" s="6">
        <v>30.3</v>
      </c>
      <c r="AU188" s="15">
        <v>165</v>
      </c>
      <c r="AV188" s="15">
        <v>85</v>
      </c>
      <c r="DC188" s="15">
        <v>102</v>
      </c>
      <c r="DD188" s="6"/>
      <c r="DE188" s="15">
        <v>206</v>
      </c>
      <c r="DF188" s="15">
        <v>245</v>
      </c>
      <c r="DG188" s="9">
        <f t="shared" si="2"/>
        <v>5.063115511914499</v>
      </c>
      <c r="DH188" s="6"/>
      <c r="DI188" s="6"/>
      <c r="DJ188" s="6"/>
      <c r="DK188" s="6"/>
      <c r="DL188" s="6"/>
      <c r="DM188" s="6"/>
      <c r="DN188" s="6"/>
      <c r="DP188" s="11">
        <v>2</v>
      </c>
      <c r="DQ188" s="6" t="s">
        <v>111</v>
      </c>
      <c r="DU188" s="9">
        <v>6.2</v>
      </c>
    </row>
    <row r="189" spans="1:157" x14ac:dyDescent="0.2">
      <c r="A189" s="16">
        <v>110</v>
      </c>
      <c r="B189" s="8">
        <v>42192</v>
      </c>
      <c r="C189" s="6" t="s">
        <v>107</v>
      </c>
      <c r="D189" s="6">
        <v>68</v>
      </c>
      <c r="E189" s="16" t="s">
        <v>2225</v>
      </c>
      <c r="F189" s="17">
        <v>17227</v>
      </c>
      <c r="G189" s="6" t="s">
        <v>114</v>
      </c>
      <c r="H189" s="6" t="s">
        <v>109</v>
      </c>
      <c r="L189" s="6" t="s">
        <v>114</v>
      </c>
      <c r="M189" s="6" t="s">
        <v>114</v>
      </c>
      <c r="N189" s="6" t="s">
        <v>114</v>
      </c>
      <c r="O189" s="6" t="s">
        <v>114</v>
      </c>
      <c r="P189" s="15" t="s">
        <v>110</v>
      </c>
      <c r="Q189" s="15" t="s">
        <v>110</v>
      </c>
      <c r="R189" s="6" t="s">
        <v>110</v>
      </c>
      <c r="S189" s="6" t="s">
        <v>114</v>
      </c>
      <c r="T189" s="6" t="s">
        <v>114</v>
      </c>
      <c r="U189" s="6" t="s">
        <v>114</v>
      </c>
      <c r="W189" s="6" t="s">
        <v>114</v>
      </c>
      <c r="X189" s="6"/>
      <c r="Y189" s="6" t="s">
        <v>114</v>
      </c>
      <c r="AB189" s="6" t="s">
        <v>100</v>
      </c>
      <c r="AC189" s="16" t="s">
        <v>2225</v>
      </c>
      <c r="AE189" s="15" t="s">
        <v>571</v>
      </c>
      <c r="AF189" s="6" t="s">
        <v>114</v>
      </c>
      <c r="AG189" s="15" t="s">
        <v>2228</v>
      </c>
      <c r="AH189" s="6" t="s">
        <v>114</v>
      </c>
      <c r="AI189" s="6" t="s">
        <v>114</v>
      </c>
      <c r="AJ189" s="6" t="s">
        <v>114</v>
      </c>
      <c r="AK189" s="6" t="s">
        <v>114</v>
      </c>
      <c r="AL189" s="6">
        <v>90.5</v>
      </c>
      <c r="AN189" s="15">
        <v>107</v>
      </c>
      <c r="AO189" s="6">
        <v>110</v>
      </c>
      <c r="AP189" s="6">
        <v>33.700000000000003</v>
      </c>
      <c r="AQ189" s="6">
        <v>19</v>
      </c>
      <c r="AR189" s="6">
        <v>28.4</v>
      </c>
      <c r="AS189" s="6">
        <v>70</v>
      </c>
      <c r="AT189" s="6">
        <v>31.3</v>
      </c>
      <c r="AU189" s="15">
        <v>165</v>
      </c>
      <c r="AV189" s="15">
        <v>87</v>
      </c>
      <c r="DC189" s="15">
        <v>108</v>
      </c>
      <c r="DD189" s="6"/>
      <c r="DE189" s="6">
        <v>149</v>
      </c>
      <c r="DF189" s="15">
        <v>161</v>
      </c>
      <c r="DG189" s="9">
        <f t="shared" si="2"/>
        <v>4.8817677960543415</v>
      </c>
      <c r="DH189" s="6"/>
      <c r="DI189" s="6"/>
      <c r="DJ189" s="6"/>
      <c r="DK189" s="6"/>
      <c r="DL189" s="6"/>
      <c r="DM189" s="6"/>
      <c r="DN189" s="6"/>
      <c r="DP189" s="11">
        <v>2</v>
      </c>
      <c r="DQ189" s="6" t="s">
        <v>105</v>
      </c>
      <c r="DU189" s="9">
        <v>6.5</v>
      </c>
    </row>
    <row r="190" spans="1:157" x14ac:dyDescent="0.2">
      <c r="A190" s="6">
        <v>111</v>
      </c>
      <c r="B190" s="8">
        <v>42193</v>
      </c>
      <c r="C190" s="6" t="s">
        <v>95</v>
      </c>
      <c r="D190" s="6">
        <v>50</v>
      </c>
      <c r="E190" s="6" t="s">
        <v>100</v>
      </c>
      <c r="F190" s="17">
        <v>23928</v>
      </c>
      <c r="G190" s="6" t="s">
        <v>114</v>
      </c>
      <c r="H190" s="6" t="s">
        <v>109</v>
      </c>
      <c r="L190" s="6"/>
      <c r="M190" s="6" t="s">
        <v>114</v>
      </c>
      <c r="N190" s="6" t="s">
        <v>114</v>
      </c>
      <c r="O190" s="6" t="s">
        <v>114</v>
      </c>
      <c r="P190" s="6" t="s">
        <v>114</v>
      </c>
      <c r="Q190" s="6" t="s">
        <v>114</v>
      </c>
      <c r="R190" s="6" t="s">
        <v>110</v>
      </c>
      <c r="S190" s="6" t="s">
        <v>114</v>
      </c>
      <c r="T190" s="6" t="s">
        <v>2229</v>
      </c>
      <c r="U190" s="6" t="s">
        <v>114</v>
      </c>
      <c r="W190" s="6" t="s">
        <v>114</v>
      </c>
      <c r="X190" s="6"/>
      <c r="Y190" s="6" t="s">
        <v>114</v>
      </c>
      <c r="AB190" s="16" t="s">
        <v>840</v>
      </c>
      <c r="AC190" s="16" t="s">
        <v>840</v>
      </c>
      <c r="AE190" s="6" t="s">
        <v>114</v>
      </c>
      <c r="AF190" s="6" t="s">
        <v>114</v>
      </c>
      <c r="AG190" s="15" t="s">
        <v>125</v>
      </c>
      <c r="AH190" s="6" t="s">
        <v>114</v>
      </c>
      <c r="AI190" s="6" t="s">
        <v>114</v>
      </c>
      <c r="AJ190" s="6" t="s">
        <v>114</v>
      </c>
      <c r="AK190" s="6" t="s">
        <v>114</v>
      </c>
      <c r="AL190" s="6">
        <v>64.5</v>
      </c>
      <c r="AN190" s="6">
        <v>75.5</v>
      </c>
      <c r="AO190" s="6">
        <v>95</v>
      </c>
      <c r="AP190" s="6">
        <v>38.700000000000003</v>
      </c>
      <c r="AQ190" s="6">
        <v>8</v>
      </c>
      <c r="AR190" s="6">
        <v>26.2</v>
      </c>
      <c r="AS190" s="6">
        <v>56</v>
      </c>
      <c r="AT190" s="6">
        <v>26.5</v>
      </c>
      <c r="AU190" s="6">
        <v>115</v>
      </c>
      <c r="AV190" s="6">
        <v>74</v>
      </c>
      <c r="DC190" s="6">
        <v>91</v>
      </c>
      <c r="DD190" s="6"/>
      <c r="DE190" s="15">
        <v>242</v>
      </c>
      <c r="DF190" s="6">
        <v>69</v>
      </c>
      <c r="DG190" s="9">
        <f t="shared" si="2"/>
        <v>4.3724830055570543</v>
      </c>
      <c r="DH190" s="6"/>
      <c r="DI190" s="6"/>
      <c r="DJ190" s="6"/>
      <c r="DK190" s="6"/>
      <c r="DL190" s="6"/>
      <c r="DM190" s="6"/>
      <c r="DN190" s="6"/>
      <c r="DP190" s="11">
        <v>3</v>
      </c>
      <c r="DQ190" s="6" t="s">
        <v>105</v>
      </c>
      <c r="DR190" s="9">
        <v>3</v>
      </c>
    </row>
    <row r="191" spans="1:157" x14ac:dyDescent="0.2">
      <c r="A191" s="16">
        <v>112</v>
      </c>
      <c r="B191" s="8">
        <v>42193</v>
      </c>
      <c r="C191" s="6" t="s">
        <v>107</v>
      </c>
      <c r="D191" s="6">
        <v>65</v>
      </c>
      <c r="E191" s="16" t="s">
        <v>2230</v>
      </c>
      <c r="F191" s="17"/>
      <c r="G191" s="6" t="s">
        <v>114</v>
      </c>
      <c r="H191" s="6" t="s">
        <v>109</v>
      </c>
      <c r="L191" s="6" t="s">
        <v>114</v>
      </c>
      <c r="M191" s="6" t="s">
        <v>114</v>
      </c>
      <c r="N191" s="15" t="s">
        <v>110</v>
      </c>
      <c r="O191" s="6" t="s">
        <v>114</v>
      </c>
      <c r="P191" s="6" t="s">
        <v>114</v>
      </c>
      <c r="Q191" s="6" t="s">
        <v>114</v>
      </c>
      <c r="R191" s="6" t="s">
        <v>114</v>
      </c>
      <c r="S191" s="6" t="s">
        <v>114</v>
      </c>
      <c r="T191" s="6" t="s">
        <v>114</v>
      </c>
      <c r="U191" s="6" t="s">
        <v>114</v>
      </c>
      <c r="W191" s="6" t="s">
        <v>114</v>
      </c>
      <c r="X191" s="6"/>
      <c r="Y191" s="15" t="s">
        <v>2231</v>
      </c>
      <c r="AB191" s="16" t="s">
        <v>2225</v>
      </c>
      <c r="AC191" s="16" t="s">
        <v>2225</v>
      </c>
      <c r="AE191" s="6" t="s">
        <v>114</v>
      </c>
      <c r="AF191" s="15" t="s">
        <v>110</v>
      </c>
      <c r="AG191" s="6" t="s">
        <v>114</v>
      </c>
      <c r="AH191" s="6" t="s">
        <v>114</v>
      </c>
      <c r="AI191" s="6" t="s">
        <v>114</v>
      </c>
      <c r="AJ191" s="6" t="s">
        <v>114</v>
      </c>
      <c r="AK191" s="6" t="s">
        <v>114</v>
      </c>
      <c r="AL191" s="6">
        <v>77.2</v>
      </c>
      <c r="AM191" s="9">
        <v>180</v>
      </c>
      <c r="AN191" s="19">
        <v>103</v>
      </c>
      <c r="AO191" s="6">
        <v>103</v>
      </c>
      <c r="AP191" s="6">
        <v>19.7</v>
      </c>
      <c r="AQ191" s="6">
        <v>7</v>
      </c>
      <c r="AR191" s="6">
        <v>35.299999999999997</v>
      </c>
      <c r="AS191" s="6">
        <v>57</v>
      </c>
      <c r="AT191" s="19">
        <v>23.8</v>
      </c>
      <c r="AU191" s="15">
        <v>140</v>
      </c>
      <c r="AV191" s="15">
        <v>83</v>
      </c>
      <c r="DC191" s="15">
        <v>116</v>
      </c>
      <c r="DD191" s="6"/>
      <c r="DE191" s="6">
        <v>149</v>
      </c>
      <c r="DF191" s="6">
        <v>102</v>
      </c>
      <c r="DG191" s="9">
        <f t="shared" si="2"/>
        <v>4.6892815021953176</v>
      </c>
      <c r="DH191" s="6"/>
      <c r="DI191" s="6"/>
      <c r="DJ191" s="6"/>
      <c r="DK191" s="6"/>
      <c r="DL191" s="6"/>
      <c r="DM191" s="6"/>
      <c r="DN191" s="6"/>
      <c r="DP191" s="11">
        <v>3</v>
      </c>
      <c r="DQ191" s="6" t="s">
        <v>111</v>
      </c>
      <c r="DR191" s="30">
        <v>1</v>
      </c>
      <c r="DT191" s="9">
        <v>11.8</v>
      </c>
      <c r="DU191" s="9">
        <v>7.7</v>
      </c>
    </row>
    <row r="192" spans="1:157" x14ac:dyDescent="0.2">
      <c r="A192" s="16">
        <v>113</v>
      </c>
      <c r="B192" s="8">
        <v>42193</v>
      </c>
      <c r="C192" s="6" t="s">
        <v>107</v>
      </c>
      <c r="D192" s="6">
        <v>57</v>
      </c>
      <c r="E192" s="6"/>
      <c r="F192" s="17"/>
      <c r="G192" s="6" t="s">
        <v>114</v>
      </c>
      <c r="H192" s="6" t="s">
        <v>109</v>
      </c>
      <c r="L192" s="6" t="s">
        <v>114</v>
      </c>
      <c r="M192" s="6" t="s">
        <v>114</v>
      </c>
      <c r="N192" s="15" t="s">
        <v>2232</v>
      </c>
      <c r="O192" s="15" t="s">
        <v>2233</v>
      </c>
      <c r="P192" s="6" t="s">
        <v>114</v>
      </c>
      <c r="Q192" s="15" t="s">
        <v>176</v>
      </c>
      <c r="R192" s="6" t="s">
        <v>110</v>
      </c>
      <c r="S192" s="6" t="s">
        <v>114</v>
      </c>
      <c r="T192" s="6" t="s">
        <v>114</v>
      </c>
      <c r="U192" s="6" t="s">
        <v>114</v>
      </c>
      <c r="W192" s="6" t="s">
        <v>114</v>
      </c>
      <c r="X192" s="6"/>
      <c r="Y192" s="6" t="s">
        <v>114</v>
      </c>
      <c r="AB192" s="6"/>
      <c r="AC192" s="6" t="s">
        <v>114</v>
      </c>
      <c r="AE192" s="6" t="s">
        <v>114</v>
      </c>
      <c r="AF192" s="15" t="s">
        <v>110</v>
      </c>
      <c r="AG192" s="6" t="s">
        <v>114</v>
      </c>
      <c r="AH192" s="6" t="s">
        <v>114</v>
      </c>
      <c r="AI192" s="6" t="s">
        <v>114</v>
      </c>
      <c r="AJ192" s="6" t="s">
        <v>114</v>
      </c>
      <c r="AK192" s="6" t="s">
        <v>114</v>
      </c>
      <c r="AL192" s="6">
        <v>75.3</v>
      </c>
      <c r="AN192" s="15">
        <v>94</v>
      </c>
      <c r="AO192" s="6">
        <v>102</v>
      </c>
      <c r="AP192" s="6">
        <v>23.4</v>
      </c>
      <c r="AQ192" s="6">
        <v>12</v>
      </c>
      <c r="AR192" s="6">
        <v>35.200000000000003</v>
      </c>
      <c r="AS192" s="6">
        <v>51</v>
      </c>
      <c r="AT192" s="6">
        <v>26.7</v>
      </c>
      <c r="AU192" s="15">
        <v>152</v>
      </c>
      <c r="AV192" s="15">
        <v>109</v>
      </c>
      <c r="DC192" s="15">
        <v>110</v>
      </c>
      <c r="DD192" s="6"/>
      <c r="DE192" s="6">
        <v>189</v>
      </c>
      <c r="DF192" s="6">
        <v>120</v>
      </c>
      <c r="DG192" s="9">
        <f t="shared" si="2"/>
        <v>4.7439860542872312</v>
      </c>
      <c r="DH192" s="6"/>
      <c r="DI192" s="6"/>
      <c r="DJ192" s="6"/>
      <c r="DK192" s="6"/>
      <c r="DL192" s="6"/>
      <c r="DM192" s="6"/>
      <c r="DN192" s="6"/>
      <c r="DQ192" s="6" t="s">
        <v>105</v>
      </c>
      <c r="DU192" s="9">
        <v>6.2</v>
      </c>
    </row>
    <row r="193" spans="1:125" x14ac:dyDescent="0.2">
      <c r="A193" s="78">
        <v>114</v>
      </c>
      <c r="B193" s="8">
        <v>42193</v>
      </c>
      <c r="C193" s="6" t="s">
        <v>107</v>
      </c>
      <c r="D193" s="6">
        <v>54</v>
      </c>
      <c r="E193" s="6" t="s">
        <v>100</v>
      </c>
      <c r="F193" s="17"/>
      <c r="G193" s="6" t="s">
        <v>114</v>
      </c>
      <c r="H193" s="6" t="s">
        <v>109</v>
      </c>
      <c r="L193" s="6" t="s">
        <v>114</v>
      </c>
      <c r="M193" s="6" t="s">
        <v>114</v>
      </c>
      <c r="N193" s="6" t="s">
        <v>114</v>
      </c>
      <c r="O193" s="6" t="s">
        <v>114</v>
      </c>
      <c r="P193" s="6" t="s">
        <v>114</v>
      </c>
      <c r="Q193" s="6" t="s">
        <v>114</v>
      </c>
      <c r="R193" s="6" t="s">
        <v>110</v>
      </c>
      <c r="S193" s="6" t="s">
        <v>114</v>
      </c>
      <c r="T193" s="6" t="s">
        <v>114</v>
      </c>
      <c r="U193" s="6" t="s">
        <v>114</v>
      </c>
      <c r="W193" s="6" t="s">
        <v>114</v>
      </c>
      <c r="X193" s="6"/>
      <c r="Y193" s="6" t="s">
        <v>114</v>
      </c>
      <c r="AB193" s="6" t="s">
        <v>2234</v>
      </c>
      <c r="AC193" s="6" t="s">
        <v>2234</v>
      </c>
      <c r="AE193" s="6" t="s">
        <v>114</v>
      </c>
      <c r="AF193" s="6" t="s">
        <v>114</v>
      </c>
      <c r="AG193" s="6" t="s">
        <v>114</v>
      </c>
      <c r="AH193" s="6" t="s">
        <v>114</v>
      </c>
      <c r="AI193" s="6" t="s">
        <v>114</v>
      </c>
      <c r="AJ193" s="6" t="s">
        <v>114</v>
      </c>
      <c r="AK193" s="6" t="s">
        <v>114</v>
      </c>
      <c r="AL193" s="6">
        <v>94.6</v>
      </c>
      <c r="AN193" s="15">
        <v>97</v>
      </c>
      <c r="AO193" s="6">
        <v>98</v>
      </c>
      <c r="AP193" s="6">
        <v>31.6</v>
      </c>
      <c r="AQ193" s="6">
        <v>15</v>
      </c>
      <c r="AR193" s="6">
        <v>30.4</v>
      </c>
      <c r="AS193" s="6">
        <v>69</v>
      </c>
      <c r="AT193" s="6">
        <v>29.5</v>
      </c>
      <c r="AU193" s="15">
        <v>138</v>
      </c>
      <c r="AV193" s="15">
        <v>95</v>
      </c>
      <c r="DC193" s="6">
        <v>99</v>
      </c>
      <c r="DD193" s="6"/>
      <c r="DE193" s="15">
        <v>212</v>
      </c>
      <c r="DF193" s="15">
        <v>198</v>
      </c>
      <c r="DG193" s="9">
        <f t="shared" si="2"/>
        <v>4.9416934404145625</v>
      </c>
      <c r="DH193" s="6"/>
      <c r="DI193" s="6"/>
      <c r="DJ193" s="6"/>
      <c r="DK193" s="6"/>
      <c r="DL193" s="6"/>
      <c r="DM193" s="6"/>
      <c r="DN193" s="6"/>
      <c r="DP193" s="11">
        <v>3</v>
      </c>
      <c r="DQ193" s="6" t="s">
        <v>111</v>
      </c>
      <c r="DR193" s="9">
        <v>2</v>
      </c>
      <c r="DU193" s="9">
        <v>9.4</v>
      </c>
    </row>
    <row r="194" spans="1:125" x14ac:dyDescent="0.2">
      <c r="A194" s="16">
        <v>115</v>
      </c>
      <c r="B194" s="8">
        <v>42193</v>
      </c>
      <c r="C194" s="6" t="s">
        <v>95</v>
      </c>
      <c r="D194" s="6">
        <v>72</v>
      </c>
      <c r="E194" s="6" t="s">
        <v>100</v>
      </c>
      <c r="F194" s="17">
        <v>13882</v>
      </c>
      <c r="G194" s="6" t="s">
        <v>114</v>
      </c>
      <c r="H194" s="6" t="s">
        <v>109</v>
      </c>
      <c r="K194" s="8"/>
      <c r="L194" s="6"/>
      <c r="M194" s="15" t="s">
        <v>110</v>
      </c>
      <c r="N194" s="15" t="s">
        <v>110</v>
      </c>
      <c r="O194" s="6" t="s">
        <v>114</v>
      </c>
      <c r="P194" s="6" t="s">
        <v>114</v>
      </c>
      <c r="Q194" s="6" t="s">
        <v>114</v>
      </c>
      <c r="R194" s="6" t="s">
        <v>110</v>
      </c>
      <c r="S194" s="6" t="s">
        <v>114</v>
      </c>
      <c r="T194" s="6" t="s">
        <v>114</v>
      </c>
      <c r="U194" s="6" t="s">
        <v>114</v>
      </c>
      <c r="W194" s="6" t="s">
        <v>114</v>
      </c>
      <c r="X194" s="6"/>
      <c r="Y194" s="15" t="s">
        <v>2235</v>
      </c>
      <c r="AB194" s="6" t="s">
        <v>114</v>
      </c>
      <c r="AC194" s="6" t="s">
        <v>114</v>
      </c>
      <c r="AE194" s="15" t="s">
        <v>118</v>
      </c>
      <c r="AF194" s="15" t="s">
        <v>118</v>
      </c>
      <c r="AG194" s="15" t="s">
        <v>125</v>
      </c>
      <c r="AH194" s="15" t="s">
        <v>110</v>
      </c>
      <c r="AI194" s="15" t="s">
        <v>110</v>
      </c>
      <c r="AJ194" s="6" t="s">
        <v>114</v>
      </c>
      <c r="AK194" s="6" t="s">
        <v>114</v>
      </c>
      <c r="AL194" s="6">
        <v>85.6</v>
      </c>
      <c r="AN194" s="15">
        <v>110</v>
      </c>
      <c r="AO194" s="6">
        <v>113</v>
      </c>
      <c r="AP194" s="6">
        <v>50.2</v>
      </c>
      <c r="AQ194" s="6">
        <v>14</v>
      </c>
      <c r="AR194" s="6">
        <v>21.8</v>
      </c>
      <c r="AS194" s="6">
        <v>80</v>
      </c>
      <c r="AT194" s="6">
        <v>36.1</v>
      </c>
      <c r="AU194" s="6">
        <v>129</v>
      </c>
      <c r="AV194" s="6">
        <v>80</v>
      </c>
      <c r="DC194" s="16">
        <v>149</v>
      </c>
      <c r="DD194" s="6"/>
      <c r="DE194" s="6">
        <v>194</v>
      </c>
      <c r="DF194" s="15">
        <v>162</v>
      </c>
      <c r="DG194" s="9">
        <f t="shared" si="2"/>
        <v>5.0457713205889219</v>
      </c>
      <c r="DH194" s="6"/>
      <c r="DI194" s="6"/>
      <c r="DJ194" s="6"/>
      <c r="DK194" s="6"/>
      <c r="DL194" s="6"/>
      <c r="DM194" s="6"/>
      <c r="DN194" s="6"/>
      <c r="DP194" s="11">
        <v>2</v>
      </c>
      <c r="DQ194" s="6" t="s">
        <v>105</v>
      </c>
      <c r="DR194" s="9">
        <v>2</v>
      </c>
      <c r="DU194" s="9">
        <v>4.8</v>
      </c>
    </row>
    <row r="195" spans="1:125" x14ac:dyDescent="0.2">
      <c r="A195" s="16">
        <v>116</v>
      </c>
      <c r="B195" s="8">
        <v>42193</v>
      </c>
      <c r="C195" s="6" t="s">
        <v>95</v>
      </c>
      <c r="D195" s="6">
        <v>71</v>
      </c>
      <c r="E195" s="80" t="s">
        <v>1203</v>
      </c>
      <c r="F195" s="17">
        <v>15973</v>
      </c>
      <c r="G195" s="6" t="s">
        <v>114</v>
      </c>
      <c r="H195" s="6" t="s">
        <v>109</v>
      </c>
      <c r="L195" s="6"/>
      <c r="M195" s="6" t="s">
        <v>114</v>
      </c>
      <c r="N195" s="6" t="s">
        <v>114</v>
      </c>
      <c r="O195" s="6" t="s">
        <v>114</v>
      </c>
      <c r="P195" s="6" t="s">
        <v>114</v>
      </c>
      <c r="Q195" s="6" t="s">
        <v>114</v>
      </c>
      <c r="R195" s="6" t="s">
        <v>110</v>
      </c>
      <c r="S195" s="6" t="s">
        <v>114</v>
      </c>
      <c r="T195" s="6" t="s">
        <v>114</v>
      </c>
      <c r="U195" s="6" t="s">
        <v>114</v>
      </c>
      <c r="W195" s="6" t="s">
        <v>114</v>
      </c>
      <c r="X195" s="6"/>
      <c r="Y195" s="6" t="s">
        <v>114</v>
      </c>
      <c r="AB195" s="16" t="s">
        <v>840</v>
      </c>
      <c r="AC195" s="6" t="s">
        <v>114</v>
      </c>
      <c r="AE195" s="6" t="s">
        <v>116</v>
      </c>
      <c r="AF195" s="6" t="s">
        <v>116</v>
      </c>
      <c r="AG195" s="6" t="s">
        <v>116</v>
      </c>
      <c r="AH195" s="6" t="s">
        <v>116</v>
      </c>
      <c r="AI195" s="6" t="s">
        <v>116</v>
      </c>
      <c r="AJ195" s="6" t="s">
        <v>116</v>
      </c>
      <c r="AK195" s="6" t="s">
        <v>114</v>
      </c>
      <c r="AL195" s="6">
        <v>74</v>
      </c>
      <c r="AN195" s="15">
        <v>102</v>
      </c>
      <c r="AO195" s="6">
        <v>110</v>
      </c>
      <c r="AP195" s="6">
        <v>46.7</v>
      </c>
      <c r="AQ195" s="6">
        <v>12</v>
      </c>
      <c r="AR195" s="6">
        <v>22.6</v>
      </c>
      <c r="AS195" s="6">
        <v>74</v>
      </c>
      <c r="AT195" s="6">
        <v>31.2</v>
      </c>
      <c r="AU195" s="15">
        <v>145</v>
      </c>
      <c r="AV195" s="15">
        <v>90</v>
      </c>
      <c r="DC195" s="16">
        <v>130</v>
      </c>
      <c r="DD195" s="6"/>
      <c r="DE195" s="6">
        <v>192</v>
      </c>
      <c r="DF195" s="15">
        <v>277</v>
      </c>
      <c r="DG195" s="9">
        <f t="shared" ref="DG195:DG258" si="3">LN(DF195*DC195)/2</f>
        <v>5.2457759783214604</v>
      </c>
      <c r="DH195" s="6"/>
      <c r="DI195" s="6"/>
      <c r="DJ195" s="6"/>
      <c r="DK195" s="6"/>
      <c r="DL195" s="6"/>
      <c r="DM195" s="6"/>
      <c r="DN195" s="6"/>
      <c r="DP195" s="11">
        <v>3</v>
      </c>
      <c r="DQ195" s="6" t="s">
        <v>111</v>
      </c>
      <c r="DR195" s="9">
        <v>2</v>
      </c>
      <c r="DU195" s="9">
        <v>5.0999999999999996</v>
      </c>
    </row>
    <row r="196" spans="1:125" x14ac:dyDescent="0.2">
      <c r="A196" s="78">
        <v>117</v>
      </c>
      <c r="B196" s="8">
        <v>42193</v>
      </c>
      <c r="C196" s="6" t="s">
        <v>95</v>
      </c>
      <c r="D196" s="6">
        <v>62</v>
      </c>
      <c r="E196" s="6" t="s">
        <v>100</v>
      </c>
      <c r="F196" s="17">
        <v>19220</v>
      </c>
      <c r="G196" s="6" t="s">
        <v>114</v>
      </c>
      <c r="H196" s="6" t="s">
        <v>109</v>
      </c>
      <c r="L196" s="6"/>
      <c r="M196" s="6" t="s">
        <v>114</v>
      </c>
      <c r="N196" s="6" t="s">
        <v>114</v>
      </c>
      <c r="O196" s="6" t="s">
        <v>114</v>
      </c>
      <c r="P196" s="6" t="s">
        <v>114</v>
      </c>
      <c r="Q196" s="15" t="s">
        <v>110</v>
      </c>
      <c r="R196" s="6" t="s">
        <v>110</v>
      </c>
      <c r="S196" s="6" t="s">
        <v>114</v>
      </c>
      <c r="T196" s="6" t="s">
        <v>114</v>
      </c>
      <c r="U196" s="6" t="s">
        <v>114</v>
      </c>
      <c r="W196" s="6" t="s">
        <v>114</v>
      </c>
      <c r="X196" s="6"/>
      <c r="Y196" s="6" t="s">
        <v>114</v>
      </c>
      <c r="AB196" s="6" t="s">
        <v>100</v>
      </c>
      <c r="AC196" s="6" t="s">
        <v>114</v>
      </c>
      <c r="AE196" s="15" t="s">
        <v>664</v>
      </c>
      <c r="AF196" s="15" t="s">
        <v>110</v>
      </c>
      <c r="AG196" s="6" t="s">
        <v>114</v>
      </c>
      <c r="AH196" s="6" t="s">
        <v>114</v>
      </c>
      <c r="AI196" s="6" t="s">
        <v>114</v>
      </c>
      <c r="AJ196" s="6" t="s">
        <v>114</v>
      </c>
      <c r="AK196" s="6" t="s">
        <v>114</v>
      </c>
      <c r="AL196" s="6">
        <v>75</v>
      </c>
      <c r="AN196" s="6">
        <v>90</v>
      </c>
      <c r="AO196" s="6">
        <v>100.5</v>
      </c>
      <c r="AP196" s="6">
        <v>22.7</v>
      </c>
      <c r="AQ196" s="6">
        <v>8</v>
      </c>
      <c r="AR196" s="6">
        <v>33.6</v>
      </c>
      <c r="AS196" s="6">
        <v>55</v>
      </c>
      <c r="AT196" s="79">
        <v>23.7</v>
      </c>
      <c r="AU196" s="15">
        <v>134</v>
      </c>
      <c r="AV196" s="15">
        <v>91</v>
      </c>
      <c r="DC196" s="6">
        <v>96</v>
      </c>
      <c r="DD196" s="6"/>
      <c r="DE196" s="15">
        <v>276</v>
      </c>
      <c r="DF196" s="15">
        <v>217</v>
      </c>
      <c r="DG196" s="9">
        <f t="shared" si="3"/>
        <v>4.9721227725041475</v>
      </c>
      <c r="DH196" s="6"/>
      <c r="DI196" s="6"/>
      <c r="DJ196" s="6"/>
      <c r="DK196" s="6"/>
      <c r="DL196" s="6"/>
      <c r="DM196" s="6"/>
      <c r="DN196" s="6"/>
      <c r="DP196" s="11">
        <v>2</v>
      </c>
      <c r="DQ196" s="6" t="s">
        <v>111</v>
      </c>
      <c r="DR196" s="9">
        <v>3</v>
      </c>
      <c r="DU196" s="9">
        <v>4.8</v>
      </c>
    </row>
    <row r="197" spans="1:125" x14ac:dyDescent="0.2">
      <c r="A197" s="6" t="s">
        <v>2236</v>
      </c>
      <c r="B197" s="8">
        <v>42265</v>
      </c>
      <c r="C197" s="6" t="s">
        <v>95</v>
      </c>
      <c r="D197" s="6">
        <v>49</v>
      </c>
      <c r="E197" s="6" t="s">
        <v>100</v>
      </c>
      <c r="F197" s="8">
        <v>24338</v>
      </c>
      <c r="G197" s="6" t="s">
        <v>197</v>
      </c>
      <c r="H197" s="6" t="s">
        <v>109</v>
      </c>
      <c r="L197" s="81" t="s">
        <v>2237</v>
      </c>
      <c r="M197" s="6" t="s">
        <v>114</v>
      </c>
      <c r="N197" s="6" t="s">
        <v>114</v>
      </c>
      <c r="O197" s="6" t="s">
        <v>114</v>
      </c>
      <c r="P197" s="6" t="s">
        <v>114</v>
      </c>
      <c r="Q197" s="6" t="s">
        <v>114</v>
      </c>
      <c r="R197" s="6" t="s">
        <v>110</v>
      </c>
      <c r="S197" s="6" t="s">
        <v>114</v>
      </c>
      <c r="T197" s="6" t="s">
        <v>114</v>
      </c>
      <c r="U197" s="6" t="s">
        <v>114</v>
      </c>
      <c r="W197" s="6" t="s">
        <v>114</v>
      </c>
      <c r="X197" s="6"/>
      <c r="Y197" s="15" t="s">
        <v>2238</v>
      </c>
      <c r="AB197" s="6" t="s">
        <v>100</v>
      </c>
      <c r="AC197" s="6" t="s">
        <v>100</v>
      </c>
      <c r="AE197" s="15" t="s">
        <v>125</v>
      </c>
      <c r="AF197" s="6" t="s">
        <v>114</v>
      </c>
      <c r="AG197" s="6" t="s">
        <v>114</v>
      </c>
      <c r="AH197" s="15" t="s">
        <v>2239</v>
      </c>
      <c r="AI197" s="15" t="s">
        <v>570</v>
      </c>
      <c r="AJ197" s="6" t="s">
        <v>114</v>
      </c>
      <c r="AK197" s="6" t="s">
        <v>114</v>
      </c>
      <c r="AL197" s="6">
        <v>88.4</v>
      </c>
      <c r="AN197" s="6"/>
      <c r="AO197" s="6"/>
      <c r="AP197" s="6">
        <v>44.2</v>
      </c>
      <c r="AQ197" s="6"/>
      <c r="AR197" s="6">
        <v>36.1</v>
      </c>
      <c r="AS197" s="6"/>
      <c r="AT197" s="6">
        <v>35.4</v>
      </c>
      <c r="AU197" s="6"/>
      <c r="AV197" s="6"/>
      <c r="DC197" s="6">
        <v>98.7</v>
      </c>
      <c r="DD197" s="6">
        <v>0.48</v>
      </c>
      <c r="DE197" s="6">
        <v>190</v>
      </c>
      <c r="DF197" s="15">
        <v>166</v>
      </c>
      <c r="DG197" s="9">
        <f t="shared" si="3"/>
        <v>4.8520363673979894</v>
      </c>
      <c r="DH197" s="6"/>
      <c r="DI197" s="6">
        <v>7.32</v>
      </c>
      <c r="DJ197" s="6">
        <v>20.8</v>
      </c>
      <c r="DK197" s="6">
        <v>20.2</v>
      </c>
      <c r="DL197" s="6">
        <v>97.1</v>
      </c>
      <c r="DM197" s="6"/>
      <c r="DN197" s="6"/>
      <c r="DP197" s="11">
        <v>2</v>
      </c>
      <c r="DQ197" s="6" t="s">
        <v>111</v>
      </c>
    </row>
    <row r="198" spans="1:125" x14ac:dyDescent="0.2">
      <c r="A198" s="16" t="s">
        <v>2240</v>
      </c>
      <c r="B198" s="17"/>
      <c r="C198" s="6" t="s">
        <v>95</v>
      </c>
      <c r="D198" s="82">
        <v>60</v>
      </c>
      <c r="E198" s="6" t="s">
        <v>100</v>
      </c>
      <c r="F198" s="17"/>
      <c r="G198" s="6" t="s">
        <v>2088</v>
      </c>
      <c r="H198" s="6" t="s">
        <v>2241</v>
      </c>
      <c r="L198" s="6"/>
      <c r="M198" s="15" t="s">
        <v>110</v>
      </c>
      <c r="N198" s="15" t="s">
        <v>110</v>
      </c>
      <c r="O198" s="15" t="s">
        <v>110</v>
      </c>
      <c r="P198" s="6" t="s">
        <v>114</v>
      </c>
      <c r="Q198" s="6" t="s">
        <v>114</v>
      </c>
      <c r="R198" s="6" t="s">
        <v>110</v>
      </c>
      <c r="S198" s="6" t="s">
        <v>114</v>
      </c>
      <c r="T198" s="6" t="s">
        <v>2229</v>
      </c>
      <c r="U198" s="6" t="s">
        <v>114</v>
      </c>
      <c r="W198" s="6" t="s">
        <v>114</v>
      </c>
      <c r="X198" s="6"/>
      <c r="Y198" s="15" t="s">
        <v>110</v>
      </c>
      <c r="AB198" s="6" t="s">
        <v>100</v>
      </c>
      <c r="AC198" s="6" t="s">
        <v>100</v>
      </c>
      <c r="AE198" s="15" t="s">
        <v>110</v>
      </c>
      <c r="AF198" s="15" t="s">
        <v>110</v>
      </c>
      <c r="AG198" s="6" t="s">
        <v>114</v>
      </c>
      <c r="AH198" s="6" t="s">
        <v>114</v>
      </c>
      <c r="AI198" s="6" t="s">
        <v>114</v>
      </c>
      <c r="AJ198" s="6" t="s">
        <v>116</v>
      </c>
      <c r="AK198" s="15" t="s">
        <v>2242</v>
      </c>
      <c r="AL198" s="6"/>
      <c r="AN198" s="6"/>
      <c r="AO198" s="6"/>
      <c r="AP198" s="6"/>
      <c r="AQ198" s="6"/>
      <c r="AR198" s="6"/>
      <c r="AS198" s="6"/>
      <c r="AT198" s="6"/>
      <c r="AU198" s="6"/>
      <c r="AV198" s="6"/>
      <c r="DC198" s="6"/>
      <c r="DD198" s="6">
        <v>0.48</v>
      </c>
      <c r="DE198" s="15">
        <v>219</v>
      </c>
      <c r="DF198" s="6">
        <v>101</v>
      </c>
      <c r="DG198" s="9" t="e">
        <f t="shared" si="3"/>
        <v>#NUM!</v>
      </c>
      <c r="DH198" s="6">
        <v>20.2</v>
      </c>
      <c r="DI198" s="6">
        <v>5.82</v>
      </c>
      <c r="DJ198" s="6">
        <v>26.4</v>
      </c>
      <c r="DK198" s="6">
        <v>20.7</v>
      </c>
      <c r="DL198" s="6">
        <v>65.400000000000006</v>
      </c>
      <c r="DM198" s="6">
        <v>133.4</v>
      </c>
      <c r="DN198" s="6"/>
      <c r="DP198" s="11">
        <v>2</v>
      </c>
      <c r="DQ198" s="6" t="s">
        <v>111</v>
      </c>
      <c r="DU198" s="9">
        <v>8.1999999999999993</v>
      </c>
    </row>
    <row r="199" spans="1:125" x14ac:dyDescent="0.2">
      <c r="A199" s="81" t="s">
        <v>2243</v>
      </c>
      <c r="B199" s="8">
        <v>42273</v>
      </c>
      <c r="C199" s="6" t="s">
        <v>95</v>
      </c>
      <c r="D199" s="6">
        <v>54</v>
      </c>
      <c r="E199" s="16" t="s">
        <v>840</v>
      </c>
      <c r="F199" s="83">
        <v>22409</v>
      </c>
      <c r="G199" s="6" t="s">
        <v>114</v>
      </c>
      <c r="H199" s="83" t="s">
        <v>146</v>
      </c>
      <c r="L199" s="6"/>
      <c r="M199" s="15" t="s">
        <v>110</v>
      </c>
      <c r="N199" s="15" t="s">
        <v>2244</v>
      </c>
      <c r="O199" s="15" t="s">
        <v>2245</v>
      </c>
      <c r="P199" s="15" t="s">
        <v>2246</v>
      </c>
      <c r="Q199" s="15" t="s">
        <v>2247</v>
      </c>
      <c r="R199" s="6" t="s">
        <v>110</v>
      </c>
      <c r="S199" s="6" t="s">
        <v>242</v>
      </c>
      <c r="T199" s="6" t="s">
        <v>2229</v>
      </c>
      <c r="U199" s="6" t="s">
        <v>114</v>
      </c>
      <c r="W199" s="6" t="s">
        <v>114</v>
      </c>
      <c r="X199" s="6"/>
      <c r="Y199" s="84" t="s">
        <v>2248</v>
      </c>
      <c r="AB199" s="16" t="s">
        <v>840</v>
      </c>
      <c r="AC199" s="16" t="s">
        <v>840</v>
      </c>
      <c r="AE199" s="15" t="s">
        <v>2249</v>
      </c>
      <c r="AF199" s="15" t="s">
        <v>125</v>
      </c>
      <c r="AG199" s="6" t="s">
        <v>114</v>
      </c>
      <c r="AH199" s="15" t="s">
        <v>125</v>
      </c>
      <c r="AI199" s="6" t="s">
        <v>114</v>
      </c>
      <c r="AJ199" s="6" t="s">
        <v>114</v>
      </c>
      <c r="AK199" s="6" t="s">
        <v>114</v>
      </c>
      <c r="AL199" s="6">
        <v>87.9</v>
      </c>
      <c r="AN199" s="15">
        <v>116</v>
      </c>
      <c r="AO199" s="6"/>
      <c r="AP199" s="6">
        <v>46.9</v>
      </c>
      <c r="AQ199" s="6"/>
      <c r="AR199" s="6">
        <v>46.7</v>
      </c>
      <c r="AS199" s="6"/>
      <c r="AT199" s="6">
        <v>31.1</v>
      </c>
      <c r="AU199" s="15">
        <v>174</v>
      </c>
      <c r="AV199" s="15">
        <v>94</v>
      </c>
      <c r="DC199" s="16">
        <v>308.7</v>
      </c>
      <c r="DD199" s="6">
        <v>0.47</v>
      </c>
      <c r="DE199" s="15">
        <v>252</v>
      </c>
      <c r="DF199" s="6">
        <v>140</v>
      </c>
      <c r="DG199" s="9">
        <f t="shared" si="3"/>
        <v>5.3370061770587087</v>
      </c>
      <c r="DH199" s="6">
        <v>28</v>
      </c>
      <c r="DI199" s="6">
        <v>4.6500000000000004</v>
      </c>
      <c r="DJ199" s="6">
        <v>7.3</v>
      </c>
      <c r="DK199" s="6">
        <v>8.3000000000000007</v>
      </c>
      <c r="DL199" s="6">
        <v>95.5</v>
      </c>
      <c r="DM199" s="6">
        <v>127.5</v>
      </c>
      <c r="DN199" s="6"/>
      <c r="DP199" s="11">
        <v>2</v>
      </c>
      <c r="DQ199" s="6" t="s">
        <v>105</v>
      </c>
      <c r="DR199" s="9">
        <v>3</v>
      </c>
      <c r="DU199" s="9">
        <v>8.8000000000000007</v>
      </c>
    </row>
    <row r="200" spans="1:125" x14ac:dyDescent="0.2">
      <c r="A200" s="16" t="s">
        <v>2250</v>
      </c>
      <c r="B200" s="8">
        <v>42275</v>
      </c>
      <c r="C200" s="6" t="s">
        <v>107</v>
      </c>
      <c r="D200" s="6">
        <v>54</v>
      </c>
      <c r="E200" s="6" t="s">
        <v>100</v>
      </c>
      <c r="F200" s="17">
        <v>22468</v>
      </c>
      <c r="G200" s="6" t="s">
        <v>114</v>
      </c>
      <c r="H200" s="6" t="s">
        <v>2251</v>
      </c>
      <c r="L200" s="6"/>
      <c r="M200" s="6" t="s">
        <v>114</v>
      </c>
      <c r="N200" s="6" t="s">
        <v>114</v>
      </c>
      <c r="O200" s="6" t="s">
        <v>114</v>
      </c>
      <c r="P200" s="15" t="s">
        <v>110</v>
      </c>
      <c r="Q200" s="15" t="s">
        <v>110</v>
      </c>
      <c r="R200" s="6" t="s">
        <v>99</v>
      </c>
      <c r="S200" s="6" t="s">
        <v>114</v>
      </c>
      <c r="T200" s="6"/>
      <c r="U200" s="6" t="s">
        <v>114</v>
      </c>
      <c r="W200" s="6" t="s">
        <v>114</v>
      </c>
      <c r="X200" s="6"/>
      <c r="Y200" s="6" t="s">
        <v>114</v>
      </c>
      <c r="AB200" s="85" t="s">
        <v>1654</v>
      </c>
      <c r="AC200" s="85" t="s">
        <v>1001</v>
      </c>
      <c r="AE200" s="6" t="s">
        <v>114</v>
      </c>
      <c r="AF200" s="6" t="s">
        <v>114</v>
      </c>
      <c r="AG200" s="6" t="s">
        <v>114</v>
      </c>
      <c r="AH200" s="15" t="s">
        <v>2252</v>
      </c>
      <c r="AI200" s="6" t="s">
        <v>114</v>
      </c>
      <c r="AJ200" s="6" t="s">
        <v>114</v>
      </c>
      <c r="AK200" s="6" t="s">
        <v>114</v>
      </c>
      <c r="AL200" s="6">
        <v>85.1</v>
      </c>
      <c r="AN200" s="6">
        <v>94</v>
      </c>
      <c r="AO200" s="6">
        <v>98</v>
      </c>
      <c r="AP200" s="6">
        <v>28.5</v>
      </c>
      <c r="AQ200" s="6">
        <v>11</v>
      </c>
      <c r="AR200" s="6">
        <v>31.6</v>
      </c>
      <c r="AS200" s="6">
        <v>62</v>
      </c>
      <c r="AT200" s="6">
        <v>26.3</v>
      </c>
      <c r="AU200" s="15">
        <v>130</v>
      </c>
      <c r="AV200" s="15">
        <v>91</v>
      </c>
      <c r="DC200" s="15">
        <v>108</v>
      </c>
      <c r="DD200" s="6"/>
      <c r="DE200" s="6">
        <v>159</v>
      </c>
      <c r="DF200" s="15">
        <v>159</v>
      </c>
      <c r="DG200" s="9">
        <f t="shared" si="3"/>
        <v>4.8755177146722257</v>
      </c>
      <c r="DH200" s="6"/>
      <c r="DI200" s="6"/>
      <c r="DJ200" s="6"/>
      <c r="DK200" s="6"/>
      <c r="DL200" s="6"/>
      <c r="DM200" s="6"/>
      <c r="DN200" s="6"/>
      <c r="DP200" s="11">
        <v>3</v>
      </c>
      <c r="DQ200" s="6" t="s">
        <v>105</v>
      </c>
      <c r="DR200" s="9">
        <v>2</v>
      </c>
      <c r="DU200" s="9">
        <v>8</v>
      </c>
    </row>
    <row r="201" spans="1:125" x14ac:dyDescent="0.2">
      <c r="A201" s="19" t="s">
        <v>2253</v>
      </c>
      <c r="B201" s="8">
        <v>42275</v>
      </c>
      <c r="C201" s="6" t="s">
        <v>95</v>
      </c>
      <c r="D201" s="6">
        <v>46</v>
      </c>
      <c r="E201" s="6" t="s">
        <v>100</v>
      </c>
      <c r="F201" s="17">
        <v>25206</v>
      </c>
      <c r="G201" s="6" t="s">
        <v>114</v>
      </c>
      <c r="H201" s="6" t="s">
        <v>2251</v>
      </c>
      <c r="L201" s="6"/>
      <c r="M201" s="6" t="s">
        <v>116</v>
      </c>
      <c r="N201" s="6" t="s">
        <v>114</v>
      </c>
      <c r="O201" s="15" t="s">
        <v>2254</v>
      </c>
      <c r="P201" s="6" t="s">
        <v>99</v>
      </c>
      <c r="Q201" s="15" t="s">
        <v>110</v>
      </c>
      <c r="R201" s="79" t="s">
        <v>99</v>
      </c>
      <c r="S201" s="6" t="s">
        <v>114</v>
      </c>
      <c r="T201" s="6" t="s">
        <v>114</v>
      </c>
      <c r="U201" s="6" t="s">
        <v>114</v>
      </c>
      <c r="W201" s="6" t="s">
        <v>114</v>
      </c>
      <c r="X201" s="6"/>
      <c r="Y201" s="6" t="s">
        <v>114</v>
      </c>
      <c r="AA201" s="6" t="s">
        <v>100</v>
      </c>
      <c r="AB201" s="6" t="s">
        <v>100</v>
      </c>
      <c r="AC201" s="6" t="s">
        <v>100</v>
      </c>
      <c r="AD201" s="6" t="s">
        <v>100</v>
      </c>
      <c r="AE201" s="6" t="s">
        <v>114</v>
      </c>
      <c r="AF201" s="6" t="s">
        <v>123</v>
      </c>
      <c r="AG201" s="6" t="s">
        <v>114</v>
      </c>
      <c r="AH201" s="6" t="s">
        <v>114</v>
      </c>
      <c r="AI201" s="6" t="s">
        <v>114</v>
      </c>
      <c r="AJ201" s="6" t="s">
        <v>114</v>
      </c>
      <c r="AK201" s="6" t="s">
        <v>114</v>
      </c>
      <c r="AL201" s="6">
        <v>64.5</v>
      </c>
      <c r="AM201" s="9">
        <v>161</v>
      </c>
      <c r="AN201" s="15">
        <v>82</v>
      </c>
      <c r="AO201" s="6">
        <v>90</v>
      </c>
      <c r="AP201" s="6">
        <v>37.9</v>
      </c>
      <c r="AQ201" s="6">
        <v>7</v>
      </c>
      <c r="AR201" s="6">
        <v>26</v>
      </c>
      <c r="AS201" s="6">
        <v>48</v>
      </c>
      <c r="AT201" s="79">
        <v>24.9</v>
      </c>
      <c r="AU201" s="6">
        <v>122</v>
      </c>
      <c r="AV201" s="6">
        <v>81</v>
      </c>
      <c r="DC201" s="15">
        <v>107</v>
      </c>
      <c r="DD201" s="6"/>
      <c r="DE201" s="6">
        <v>149</v>
      </c>
      <c r="DF201" s="6">
        <v>143</v>
      </c>
      <c r="DG201" s="9">
        <f t="shared" si="3"/>
        <v>4.8178367323609068</v>
      </c>
      <c r="DH201" s="6"/>
      <c r="DI201" s="6"/>
      <c r="DJ201" s="6"/>
      <c r="DK201" s="6"/>
      <c r="DL201" s="6"/>
      <c r="DM201" s="6"/>
      <c r="DN201" s="6"/>
      <c r="DP201" s="11">
        <v>2</v>
      </c>
      <c r="DQ201" s="6" t="s">
        <v>105</v>
      </c>
      <c r="DR201" s="9">
        <v>2</v>
      </c>
      <c r="DU201" s="9">
        <v>6</v>
      </c>
    </row>
    <row r="202" spans="1:125" x14ac:dyDescent="0.2">
      <c r="A202" s="6" t="s">
        <v>2255</v>
      </c>
      <c r="B202" s="8">
        <v>42275</v>
      </c>
      <c r="C202" s="6" t="s">
        <v>107</v>
      </c>
      <c r="D202" s="6">
        <v>43</v>
      </c>
      <c r="E202" s="6" t="s">
        <v>100</v>
      </c>
      <c r="F202" s="17"/>
      <c r="G202" s="6"/>
      <c r="H202" s="6" t="s">
        <v>2251</v>
      </c>
      <c r="L202" s="6"/>
      <c r="M202" s="6"/>
      <c r="N202" s="6" t="s">
        <v>114</v>
      </c>
      <c r="O202" s="6"/>
      <c r="P202" s="6" t="s">
        <v>99</v>
      </c>
      <c r="Q202" s="6" t="s">
        <v>99</v>
      </c>
      <c r="R202" s="6"/>
      <c r="S202" s="6"/>
      <c r="T202" s="6"/>
      <c r="U202" s="6"/>
      <c r="W202" s="6"/>
      <c r="X202" s="6"/>
      <c r="Y202" s="6" t="s">
        <v>114</v>
      </c>
      <c r="AA202" s="6" t="s">
        <v>100</v>
      </c>
      <c r="AB202" s="6" t="s">
        <v>100</v>
      </c>
      <c r="AC202" s="6" t="s">
        <v>100</v>
      </c>
      <c r="AD202" s="6" t="s">
        <v>100</v>
      </c>
      <c r="AE202" s="15" t="s">
        <v>534</v>
      </c>
      <c r="AF202" s="6"/>
      <c r="AG202" s="6"/>
      <c r="AH202" s="6"/>
      <c r="AI202" s="6"/>
      <c r="AJ202" s="6"/>
      <c r="AK202" s="6"/>
      <c r="AL202" s="6">
        <v>88.6</v>
      </c>
      <c r="AN202" s="15">
        <v>98</v>
      </c>
      <c r="AO202" s="6">
        <v>100</v>
      </c>
      <c r="AP202" s="6">
        <v>28.9</v>
      </c>
      <c r="AQ202" s="6">
        <v>11</v>
      </c>
      <c r="AR202" s="6">
        <v>32.799999999999997</v>
      </c>
      <c r="AS202" s="6">
        <v>60</v>
      </c>
      <c r="AT202" s="6">
        <v>27.3</v>
      </c>
      <c r="AU202" s="6">
        <v>115</v>
      </c>
      <c r="AV202" s="6">
        <v>75</v>
      </c>
      <c r="DC202" s="15">
        <v>105</v>
      </c>
      <c r="DD202" s="6"/>
      <c r="DE202" s="6">
        <v>192</v>
      </c>
      <c r="DF202" s="6">
        <v>106</v>
      </c>
      <c r="DG202" s="9">
        <f t="shared" si="3"/>
        <v>4.658699722134795</v>
      </c>
      <c r="DH202" s="6"/>
      <c r="DI202" s="6"/>
      <c r="DJ202" s="6"/>
      <c r="DK202" s="6"/>
      <c r="DL202" s="6"/>
      <c r="DM202" s="6"/>
      <c r="DN202" s="6"/>
      <c r="DP202" s="11">
        <v>2</v>
      </c>
      <c r="DQ202" s="6" t="s">
        <v>105</v>
      </c>
      <c r="DU202" s="9">
        <v>4.3</v>
      </c>
    </row>
    <row r="203" spans="1:125" x14ac:dyDescent="0.2">
      <c r="A203" s="79" t="s">
        <v>2256</v>
      </c>
      <c r="B203" s="8">
        <v>42275</v>
      </c>
      <c r="C203" s="6" t="s">
        <v>95</v>
      </c>
      <c r="D203" s="6">
        <v>42</v>
      </c>
      <c r="E203" s="6" t="s">
        <v>100</v>
      </c>
      <c r="F203" s="17">
        <v>26742</v>
      </c>
      <c r="G203" s="6"/>
      <c r="H203" s="6" t="s">
        <v>2251</v>
      </c>
      <c r="L203" s="6"/>
      <c r="M203" s="6" t="s">
        <v>483</v>
      </c>
      <c r="N203" s="6" t="s">
        <v>483</v>
      </c>
      <c r="O203" s="6" t="s">
        <v>99</v>
      </c>
      <c r="P203" s="6" t="s">
        <v>99</v>
      </c>
      <c r="Q203" s="6" t="s">
        <v>99</v>
      </c>
      <c r="R203" s="79" t="s">
        <v>99</v>
      </c>
      <c r="S203" s="6"/>
      <c r="T203" s="6"/>
      <c r="U203" s="6"/>
      <c r="W203" s="6"/>
      <c r="X203" s="6"/>
      <c r="Y203" s="15" t="s">
        <v>2257</v>
      </c>
      <c r="AA203" s="6" t="s">
        <v>100</v>
      </c>
      <c r="AB203" s="6" t="s">
        <v>100</v>
      </c>
      <c r="AC203" s="6" t="s">
        <v>100</v>
      </c>
      <c r="AD203" s="6" t="s">
        <v>100</v>
      </c>
      <c r="AE203" s="6" t="s">
        <v>571</v>
      </c>
      <c r="AF203" s="6"/>
      <c r="AG203" s="6" t="s">
        <v>2258</v>
      </c>
      <c r="AH203" s="6"/>
      <c r="AI203" s="6"/>
      <c r="AJ203" s="6"/>
      <c r="AK203" s="6"/>
      <c r="AL203" s="6">
        <v>54.9</v>
      </c>
      <c r="AN203" s="6">
        <v>68</v>
      </c>
      <c r="AO203" s="6">
        <v>83</v>
      </c>
      <c r="AP203" s="6">
        <v>26.8</v>
      </c>
      <c r="AQ203" s="6">
        <v>3</v>
      </c>
      <c r="AR203" s="6"/>
      <c r="AS203" s="6"/>
      <c r="AT203" s="79">
        <v>19.2</v>
      </c>
      <c r="AU203" s="6">
        <v>98</v>
      </c>
      <c r="AV203" s="6">
        <v>68</v>
      </c>
      <c r="DC203" s="6">
        <v>99</v>
      </c>
      <c r="DD203" s="6"/>
      <c r="DE203" s="6">
        <v>198</v>
      </c>
      <c r="DF203" s="6">
        <v>89</v>
      </c>
      <c r="DG203" s="9">
        <f t="shared" si="3"/>
        <v>4.5418781099333652</v>
      </c>
      <c r="DH203" s="6"/>
      <c r="DI203" s="6"/>
      <c r="DJ203" s="6"/>
      <c r="DK203" s="6"/>
      <c r="DL203" s="6"/>
      <c r="DM203" s="6"/>
      <c r="DN203" s="6"/>
      <c r="DP203" s="11">
        <v>3</v>
      </c>
      <c r="DQ203" s="6" t="s">
        <v>105</v>
      </c>
      <c r="DU203" s="9">
        <v>6</v>
      </c>
    </row>
    <row r="204" spans="1:125" x14ac:dyDescent="0.2">
      <c r="A204" s="16" t="s">
        <v>2259</v>
      </c>
      <c r="B204" s="8">
        <v>42275</v>
      </c>
      <c r="C204" s="6" t="s">
        <v>95</v>
      </c>
      <c r="D204" s="6">
        <v>67</v>
      </c>
      <c r="E204" s="6" t="s">
        <v>100</v>
      </c>
      <c r="F204" s="17"/>
      <c r="G204" s="6"/>
      <c r="H204" s="6" t="s">
        <v>2251</v>
      </c>
      <c r="L204" s="6"/>
      <c r="M204" s="6"/>
      <c r="N204" s="6"/>
      <c r="O204" s="15" t="s">
        <v>2260</v>
      </c>
      <c r="P204" s="6"/>
      <c r="Q204" s="6"/>
      <c r="R204" s="6" t="s">
        <v>110</v>
      </c>
      <c r="S204" s="6"/>
      <c r="T204" s="6"/>
      <c r="U204" s="6"/>
      <c r="W204" s="6"/>
      <c r="X204" s="6"/>
      <c r="Y204" s="6" t="s">
        <v>110</v>
      </c>
      <c r="AA204" s="6" t="s">
        <v>100</v>
      </c>
      <c r="AB204" s="6" t="s">
        <v>100</v>
      </c>
      <c r="AC204" s="6" t="s">
        <v>100</v>
      </c>
      <c r="AD204" s="6" t="s">
        <v>100</v>
      </c>
      <c r="AE204" s="6" t="s">
        <v>110</v>
      </c>
      <c r="AF204" s="6" t="s">
        <v>110</v>
      </c>
      <c r="AG204" s="6"/>
      <c r="AH204" s="6"/>
      <c r="AI204" s="6"/>
      <c r="AJ204" s="6"/>
      <c r="AK204" s="6"/>
      <c r="AL204" s="6">
        <v>72.099999999999994</v>
      </c>
      <c r="AM204" s="9">
        <v>153</v>
      </c>
      <c r="AN204" s="15">
        <v>98</v>
      </c>
      <c r="AO204" s="6">
        <v>102</v>
      </c>
      <c r="AP204" s="6">
        <v>44.3</v>
      </c>
      <c r="AQ204" s="6">
        <v>12</v>
      </c>
      <c r="AR204" s="6"/>
      <c r="AS204" s="6"/>
      <c r="AT204" s="6">
        <v>38.799999999999997</v>
      </c>
      <c r="AU204" s="6">
        <v>118</v>
      </c>
      <c r="AV204" s="6">
        <v>80</v>
      </c>
      <c r="DC204" s="15">
        <v>105</v>
      </c>
      <c r="DD204" s="6"/>
      <c r="DE204" s="15">
        <v>219</v>
      </c>
      <c r="DF204" s="15">
        <v>224</v>
      </c>
      <c r="DG204" s="9">
        <f t="shared" si="3"/>
        <v>5.0328032010062813</v>
      </c>
      <c r="DH204" s="6"/>
      <c r="DI204" s="6"/>
      <c r="DJ204" s="6"/>
      <c r="DK204" s="6"/>
      <c r="DL204" s="6"/>
      <c r="DM204" s="6"/>
      <c r="DN204" s="6"/>
      <c r="DP204" s="11">
        <v>3</v>
      </c>
      <c r="DQ204" s="6" t="s">
        <v>105</v>
      </c>
      <c r="DU204" s="9">
        <v>8</v>
      </c>
    </row>
    <row r="205" spans="1:125" x14ac:dyDescent="0.2">
      <c r="A205" s="6">
        <v>126</v>
      </c>
      <c r="B205" s="8">
        <v>42275</v>
      </c>
      <c r="C205" s="6" t="s">
        <v>95</v>
      </c>
      <c r="D205" s="6">
        <v>60</v>
      </c>
      <c r="E205" s="6"/>
      <c r="F205" s="17"/>
      <c r="G205" s="6"/>
      <c r="H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W205" s="6"/>
      <c r="X205" s="6"/>
      <c r="Y205" s="6"/>
      <c r="AB205" s="6"/>
      <c r="AC205" s="6"/>
      <c r="AE205" s="6"/>
      <c r="AF205" s="6"/>
      <c r="AG205" s="6"/>
      <c r="AH205" s="6"/>
      <c r="AI205" s="6"/>
      <c r="AJ205" s="6"/>
      <c r="AK205" s="6"/>
      <c r="AL205" s="6">
        <v>52.7</v>
      </c>
      <c r="AN205" s="6">
        <v>62</v>
      </c>
      <c r="AO205" s="6">
        <v>74</v>
      </c>
      <c r="AP205" s="6">
        <v>29.1</v>
      </c>
      <c r="AQ205" s="6">
        <v>5</v>
      </c>
      <c r="AR205" s="6">
        <v>26.9</v>
      </c>
      <c r="AS205" s="6">
        <v>35</v>
      </c>
      <c r="AT205" s="79">
        <v>19.8</v>
      </c>
      <c r="AU205" s="6">
        <v>110</v>
      </c>
      <c r="AV205" s="6">
        <v>72</v>
      </c>
      <c r="DC205" s="15">
        <v>102</v>
      </c>
      <c r="DD205" s="6"/>
      <c r="DE205" s="6">
        <v>192</v>
      </c>
      <c r="DF205" s="15">
        <v>174</v>
      </c>
      <c r="DG205" s="9">
        <f t="shared" si="3"/>
        <v>4.8920140562494003</v>
      </c>
      <c r="DH205" s="6"/>
      <c r="DI205" s="6"/>
      <c r="DJ205" s="6"/>
      <c r="DK205" s="6"/>
      <c r="DL205" s="6"/>
      <c r="DM205" s="6"/>
      <c r="DN205" s="6"/>
      <c r="DO205" s="9" t="s">
        <v>2261</v>
      </c>
      <c r="DQ205" s="6" t="s">
        <v>99</v>
      </c>
    </row>
    <row r="206" spans="1:125" x14ac:dyDescent="0.2">
      <c r="A206" s="78" t="s">
        <v>2262</v>
      </c>
      <c r="B206" s="8">
        <v>42275</v>
      </c>
      <c r="C206" s="6" t="s">
        <v>95</v>
      </c>
      <c r="D206" s="6">
        <v>46</v>
      </c>
      <c r="E206" s="6" t="s">
        <v>100</v>
      </c>
      <c r="F206" s="17"/>
      <c r="G206" s="6"/>
      <c r="H206" s="6" t="s">
        <v>2251</v>
      </c>
      <c r="L206" s="6"/>
      <c r="M206" s="6" t="s">
        <v>99</v>
      </c>
      <c r="N206" s="6" t="s">
        <v>99</v>
      </c>
      <c r="O206" s="6" t="s">
        <v>99</v>
      </c>
      <c r="P206" s="6"/>
      <c r="Q206" s="6" t="s">
        <v>99</v>
      </c>
      <c r="R206" s="6"/>
      <c r="S206" s="6"/>
      <c r="T206" s="6"/>
      <c r="U206" s="6"/>
      <c r="W206" s="6"/>
      <c r="X206" s="6"/>
      <c r="Y206" s="6"/>
      <c r="AA206" s="6" t="s">
        <v>100</v>
      </c>
      <c r="AB206" s="6" t="s">
        <v>100</v>
      </c>
      <c r="AC206" s="6" t="s">
        <v>100</v>
      </c>
      <c r="AD206" s="6" t="s">
        <v>100</v>
      </c>
      <c r="AE206" s="6" t="s">
        <v>118</v>
      </c>
      <c r="AF206" s="6"/>
      <c r="AG206" s="6"/>
      <c r="AH206" s="6"/>
      <c r="AI206" s="6"/>
      <c r="AJ206" s="6"/>
      <c r="AK206" s="6"/>
      <c r="AL206" s="6">
        <v>60.7</v>
      </c>
      <c r="AM206" s="9">
        <v>156</v>
      </c>
      <c r="AN206" s="15">
        <v>82</v>
      </c>
      <c r="AO206" s="6">
        <v>87</v>
      </c>
      <c r="AP206" s="6">
        <v>24.1</v>
      </c>
      <c r="AQ206" s="6">
        <v>7</v>
      </c>
      <c r="AR206" s="6">
        <v>39.799999999999997</v>
      </c>
      <c r="AS206" s="6">
        <v>49</v>
      </c>
      <c r="AT206" s="79">
        <v>24.9</v>
      </c>
      <c r="AU206" s="6">
        <v>120</v>
      </c>
      <c r="AV206" s="6">
        <v>90</v>
      </c>
      <c r="DC206" s="15">
        <v>106</v>
      </c>
      <c r="DD206" s="6"/>
      <c r="DE206" s="15">
        <v>211</v>
      </c>
      <c r="DF206" s="15">
        <v>178</v>
      </c>
      <c r="DG206" s="9">
        <f t="shared" si="3"/>
        <v>4.9226113222020764</v>
      </c>
      <c r="DH206" s="6"/>
      <c r="DI206" s="6"/>
      <c r="DJ206" s="6"/>
      <c r="DK206" s="6"/>
      <c r="DL206" s="6"/>
      <c r="DM206" s="6"/>
      <c r="DN206" s="6"/>
      <c r="DP206" s="11">
        <v>2</v>
      </c>
      <c r="DQ206" s="6" t="s">
        <v>105</v>
      </c>
      <c r="DR206" s="9">
        <v>2</v>
      </c>
      <c r="DU206" s="9">
        <v>10.199999999999999</v>
      </c>
    </row>
    <row r="207" spans="1:125" x14ac:dyDescent="0.2">
      <c r="A207" s="19" t="s">
        <v>2263</v>
      </c>
      <c r="B207" s="8">
        <v>42275</v>
      </c>
      <c r="C207" s="6" t="s">
        <v>95</v>
      </c>
      <c r="D207" s="6">
        <v>42</v>
      </c>
      <c r="E207" s="6" t="s">
        <v>100</v>
      </c>
      <c r="F207" s="17">
        <v>26643</v>
      </c>
      <c r="G207" s="6"/>
      <c r="H207" s="6" t="s">
        <v>2251</v>
      </c>
      <c r="L207" s="6"/>
      <c r="M207" s="6"/>
      <c r="N207" s="6"/>
      <c r="O207" s="6"/>
      <c r="P207" s="6" t="s">
        <v>99</v>
      </c>
      <c r="Q207" s="6" t="s">
        <v>99</v>
      </c>
      <c r="R207" s="6" t="s">
        <v>110</v>
      </c>
      <c r="S207" s="6"/>
      <c r="T207" s="6"/>
      <c r="U207" s="6"/>
      <c r="W207" s="6"/>
      <c r="X207" s="6"/>
      <c r="Y207" s="6"/>
      <c r="AA207" s="6" t="s">
        <v>100</v>
      </c>
      <c r="AB207" s="6" t="s">
        <v>100</v>
      </c>
      <c r="AC207" s="6" t="s">
        <v>100</v>
      </c>
      <c r="AD207" s="6" t="s">
        <v>100</v>
      </c>
      <c r="AE207" s="6" t="s">
        <v>125</v>
      </c>
      <c r="AF207" s="6" t="s">
        <v>118</v>
      </c>
      <c r="AG207" s="6" t="s">
        <v>2264</v>
      </c>
      <c r="AH207" s="6" t="s">
        <v>2265</v>
      </c>
      <c r="AI207" s="6"/>
      <c r="AJ207" s="6"/>
      <c r="AK207" s="6"/>
      <c r="AL207" s="6">
        <v>63.8</v>
      </c>
      <c r="AM207" s="9">
        <v>162</v>
      </c>
      <c r="AN207" s="6">
        <v>79</v>
      </c>
      <c r="AO207" s="6">
        <v>89</v>
      </c>
      <c r="AP207" s="6">
        <v>38.299999999999997</v>
      </c>
      <c r="AQ207" s="6">
        <v>6</v>
      </c>
      <c r="AR207" s="6">
        <v>25.2</v>
      </c>
      <c r="AS207" s="6">
        <v>44</v>
      </c>
      <c r="AT207" s="79">
        <v>24.3</v>
      </c>
      <c r="AU207" s="6">
        <v>108</v>
      </c>
      <c r="AV207" s="6">
        <v>78</v>
      </c>
      <c r="DC207" s="6">
        <v>96</v>
      </c>
      <c r="DD207" s="6"/>
      <c r="DE207" s="15">
        <v>203</v>
      </c>
      <c r="DF207" s="6">
        <v>92</v>
      </c>
      <c r="DG207" s="9">
        <f t="shared" si="3"/>
        <v>4.5430683842584383</v>
      </c>
      <c r="DH207" s="6"/>
      <c r="DI207" s="6"/>
      <c r="DJ207" s="6"/>
      <c r="DK207" s="6"/>
      <c r="DL207" s="6"/>
      <c r="DM207" s="6"/>
      <c r="DN207" s="6"/>
      <c r="DP207" s="11">
        <v>2</v>
      </c>
      <c r="DQ207" s="6" t="s">
        <v>111</v>
      </c>
      <c r="DU207" s="9">
        <v>9.6999999999999993</v>
      </c>
    </row>
    <row r="208" spans="1:125" x14ac:dyDescent="0.2">
      <c r="A208" s="6">
        <v>129</v>
      </c>
      <c r="B208" s="8">
        <v>42275</v>
      </c>
      <c r="C208" s="6" t="s">
        <v>107</v>
      </c>
      <c r="D208" s="6">
        <v>31</v>
      </c>
      <c r="E208" s="6" t="s">
        <v>100</v>
      </c>
      <c r="F208" s="17">
        <v>30708</v>
      </c>
      <c r="G208" s="6" t="s">
        <v>2266</v>
      </c>
      <c r="H208" s="6" t="s">
        <v>2251</v>
      </c>
      <c r="L208" s="6"/>
      <c r="M208" s="6"/>
      <c r="N208" s="6"/>
      <c r="O208" s="6"/>
      <c r="P208" s="15" t="s">
        <v>110</v>
      </c>
      <c r="Q208" s="15" t="s">
        <v>110</v>
      </c>
      <c r="R208" s="79" t="s">
        <v>99</v>
      </c>
      <c r="S208" s="6"/>
      <c r="T208" s="6"/>
      <c r="U208" s="6"/>
      <c r="W208" s="6"/>
      <c r="X208" s="6"/>
      <c r="Y208" s="6"/>
      <c r="AA208" s="6" t="s">
        <v>100</v>
      </c>
      <c r="AB208" s="6" t="s">
        <v>100</v>
      </c>
      <c r="AC208" s="6" t="s">
        <v>100</v>
      </c>
      <c r="AD208" s="6" t="s">
        <v>100</v>
      </c>
      <c r="AE208" s="87" t="s">
        <v>99</v>
      </c>
      <c r="AF208" s="6" t="s">
        <v>99</v>
      </c>
      <c r="AG208" s="87" t="s">
        <v>99</v>
      </c>
      <c r="AH208" s="6" t="s">
        <v>99</v>
      </c>
      <c r="AI208" s="87" t="s">
        <v>99</v>
      </c>
      <c r="AJ208" s="6" t="s">
        <v>99</v>
      </c>
      <c r="AK208" s="6"/>
      <c r="AL208" s="6">
        <v>88.1</v>
      </c>
      <c r="AM208" s="9">
        <v>177</v>
      </c>
      <c r="AN208" s="15">
        <v>96</v>
      </c>
      <c r="AO208" s="6">
        <v>92</v>
      </c>
      <c r="AP208" s="6">
        <v>26.4</v>
      </c>
      <c r="AQ208" s="6">
        <v>12</v>
      </c>
      <c r="AR208" s="6">
        <v>34.9</v>
      </c>
      <c r="AS208" s="6">
        <v>56</v>
      </c>
      <c r="AT208" s="6">
        <v>28.1</v>
      </c>
      <c r="AU208" s="6">
        <v>115</v>
      </c>
      <c r="AV208" s="6">
        <v>85</v>
      </c>
      <c r="DC208" s="15">
        <v>110</v>
      </c>
      <c r="DD208" s="6">
        <v>1.41</v>
      </c>
      <c r="DE208" s="15">
        <v>219</v>
      </c>
      <c r="DF208" s="6">
        <v>136</v>
      </c>
      <c r="DG208" s="9">
        <f t="shared" si="3"/>
        <v>4.8065676257642345</v>
      </c>
      <c r="DH208" s="6"/>
      <c r="DI208" s="6">
        <v>4.9000000000000004</v>
      </c>
      <c r="DJ208" s="6"/>
      <c r="DK208" s="6"/>
      <c r="DL208" s="6"/>
      <c r="DM208" s="6"/>
      <c r="DN208" s="6"/>
      <c r="DP208" s="11">
        <v>3</v>
      </c>
      <c r="DQ208" s="6" t="s">
        <v>105</v>
      </c>
      <c r="DR208" s="9">
        <v>3</v>
      </c>
    </row>
    <row r="209" spans="1:125" x14ac:dyDescent="0.2">
      <c r="A209" s="16">
        <v>130</v>
      </c>
      <c r="B209" s="8">
        <v>42276</v>
      </c>
      <c r="C209" s="6" t="s">
        <v>107</v>
      </c>
      <c r="D209" s="6">
        <v>38</v>
      </c>
      <c r="E209" s="86" t="s">
        <v>155</v>
      </c>
      <c r="F209" s="17">
        <v>28433</v>
      </c>
      <c r="G209" s="6"/>
      <c r="H209" s="6" t="s">
        <v>2251</v>
      </c>
      <c r="L209" s="6"/>
      <c r="M209" s="6"/>
      <c r="N209" s="6"/>
      <c r="O209" s="6"/>
      <c r="P209" s="6" t="s">
        <v>99</v>
      </c>
      <c r="Q209" s="15" t="s">
        <v>110</v>
      </c>
      <c r="R209" s="6"/>
      <c r="S209" s="6"/>
      <c r="T209" s="6"/>
      <c r="U209" s="6"/>
      <c r="W209" s="6"/>
      <c r="X209" s="6"/>
      <c r="Y209" s="6"/>
      <c r="AA209" s="37" t="s">
        <v>1203</v>
      </c>
      <c r="AB209" s="16" t="s">
        <v>2267</v>
      </c>
      <c r="AC209" s="88" t="s">
        <v>1203</v>
      </c>
      <c r="AE209" s="6" t="s">
        <v>2268</v>
      </c>
      <c r="AF209" s="6"/>
      <c r="AG209" s="6"/>
      <c r="AH209" s="6"/>
      <c r="AI209" s="6"/>
      <c r="AJ209" s="6"/>
      <c r="AK209" s="6"/>
      <c r="AL209" s="6">
        <v>97.7</v>
      </c>
      <c r="AM209" s="9">
        <v>170</v>
      </c>
      <c r="AN209" s="15">
        <v>107</v>
      </c>
      <c r="AO209" s="6">
        <v>100</v>
      </c>
      <c r="AP209" s="6">
        <v>30.8</v>
      </c>
      <c r="AQ209" s="6">
        <v>17</v>
      </c>
      <c r="AR209" s="6">
        <v>33.1</v>
      </c>
      <c r="AS209" s="6">
        <v>64</v>
      </c>
      <c r="AT209" s="6">
        <v>33.799999999999997</v>
      </c>
      <c r="AU209" s="6">
        <v>112</v>
      </c>
      <c r="AV209" s="6">
        <v>81</v>
      </c>
      <c r="DC209" s="15" t="s">
        <v>2269</v>
      </c>
      <c r="DD209" s="6"/>
      <c r="DE209" s="6">
        <v>185</v>
      </c>
      <c r="DF209" s="15">
        <v>245</v>
      </c>
      <c r="DG209" s="9" t="e">
        <f t="shared" si="3"/>
        <v>#VALUE!</v>
      </c>
      <c r="DH209" s="6"/>
      <c r="DI209" s="6"/>
      <c r="DJ209" s="6"/>
      <c r="DK209" s="6"/>
      <c r="DL209" s="6"/>
      <c r="DM209" s="6"/>
      <c r="DN209" s="6"/>
      <c r="DP209" s="11">
        <v>2</v>
      </c>
      <c r="DQ209" s="6" t="s">
        <v>105</v>
      </c>
      <c r="DR209" s="9">
        <v>2</v>
      </c>
      <c r="DU209" s="9">
        <v>6.5</v>
      </c>
    </row>
    <row r="210" spans="1:125" x14ac:dyDescent="0.2">
      <c r="A210" s="19">
        <v>131</v>
      </c>
      <c r="B210" s="8">
        <v>42276</v>
      </c>
      <c r="C210" s="6" t="s">
        <v>95</v>
      </c>
      <c r="D210" s="6">
        <v>31</v>
      </c>
      <c r="E210" s="6" t="s">
        <v>100</v>
      </c>
      <c r="F210" s="17">
        <v>30733</v>
      </c>
      <c r="G210" s="6"/>
      <c r="H210" s="6" t="s">
        <v>2251</v>
      </c>
      <c r="L210" s="6"/>
      <c r="M210" s="6"/>
      <c r="N210" s="6"/>
      <c r="O210" s="6"/>
      <c r="P210" s="6"/>
      <c r="Q210" s="15" t="s">
        <v>110</v>
      </c>
      <c r="R210" s="79" t="s">
        <v>99</v>
      </c>
      <c r="S210" s="6"/>
      <c r="T210" s="6"/>
      <c r="U210" s="6"/>
      <c r="W210" s="6"/>
      <c r="X210" s="6"/>
      <c r="Y210" s="6"/>
      <c r="AA210" s="6" t="s">
        <v>100</v>
      </c>
      <c r="AB210" s="6" t="s">
        <v>100</v>
      </c>
      <c r="AC210" s="6" t="s">
        <v>100</v>
      </c>
      <c r="AD210" s="6" t="s">
        <v>100</v>
      </c>
      <c r="AE210" s="6" t="s">
        <v>99</v>
      </c>
      <c r="AF210" s="6" t="s">
        <v>99</v>
      </c>
      <c r="AG210" s="6" t="s">
        <v>2270</v>
      </c>
      <c r="AH210" s="6"/>
      <c r="AI210" s="6"/>
      <c r="AJ210" s="6"/>
      <c r="AK210" s="6"/>
      <c r="AL210" s="6">
        <v>55</v>
      </c>
      <c r="AM210" s="9">
        <v>157</v>
      </c>
      <c r="AN210" s="6">
        <v>76</v>
      </c>
      <c r="AO210" s="6">
        <v>89</v>
      </c>
      <c r="AP210" s="6">
        <v>32.1</v>
      </c>
      <c r="AQ210" s="6">
        <v>4</v>
      </c>
      <c r="AR210" s="6">
        <v>28.4</v>
      </c>
      <c r="AS210" s="6">
        <v>34</v>
      </c>
      <c r="AT210" s="79">
        <v>22.5</v>
      </c>
      <c r="AU210" s="6">
        <v>86</v>
      </c>
      <c r="AV210" s="6">
        <v>71</v>
      </c>
      <c r="DC210" s="6">
        <v>82.5</v>
      </c>
      <c r="DD210" s="6">
        <v>0.89</v>
      </c>
      <c r="DE210" s="6">
        <v>178</v>
      </c>
      <c r="DF210" s="6">
        <v>143</v>
      </c>
      <c r="DG210" s="9">
        <f t="shared" si="3"/>
        <v>4.6878214618002714</v>
      </c>
      <c r="DH210" s="6">
        <v>28.6</v>
      </c>
      <c r="DI210" s="6">
        <v>4.0999999999999996</v>
      </c>
      <c r="DJ210" s="6"/>
      <c r="DK210" s="6"/>
      <c r="DL210" s="6"/>
      <c r="DM210" s="6"/>
      <c r="DN210" s="6"/>
      <c r="DP210" s="11">
        <v>2</v>
      </c>
      <c r="DQ210" s="6" t="s">
        <v>111</v>
      </c>
      <c r="DU210" s="9">
        <v>8.6999999999999993</v>
      </c>
    </row>
    <row r="211" spans="1:125" x14ac:dyDescent="0.2">
      <c r="A211" s="79" t="s">
        <v>2271</v>
      </c>
      <c r="B211" s="8">
        <v>42276</v>
      </c>
      <c r="C211" s="6" t="s">
        <v>95</v>
      </c>
      <c r="D211" s="6">
        <v>28</v>
      </c>
      <c r="E211" s="85" t="s">
        <v>1001</v>
      </c>
      <c r="F211" s="17">
        <v>31791</v>
      </c>
      <c r="G211" s="6" t="s">
        <v>2272</v>
      </c>
      <c r="H211" s="6" t="s">
        <v>2251</v>
      </c>
      <c r="L211" s="6"/>
      <c r="M211" s="6" t="s">
        <v>99</v>
      </c>
      <c r="N211" s="6" t="s">
        <v>99</v>
      </c>
      <c r="O211" s="6" t="s">
        <v>99</v>
      </c>
      <c r="P211" s="6" t="s">
        <v>99</v>
      </c>
      <c r="Q211" s="15" t="s">
        <v>110</v>
      </c>
      <c r="R211" s="6" t="s">
        <v>110</v>
      </c>
      <c r="S211" s="6"/>
      <c r="T211" s="6"/>
      <c r="U211" s="6"/>
      <c r="W211" s="6"/>
      <c r="X211" s="6"/>
      <c r="Y211" s="6"/>
      <c r="AA211" s="52" t="s">
        <v>1001</v>
      </c>
      <c r="AB211" s="85" t="s">
        <v>1001</v>
      </c>
      <c r="AC211" s="85" t="s">
        <v>2273</v>
      </c>
      <c r="AD211" s="52" t="s">
        <v>1001</v>
      </c>
      <c r="AE211" s="6" t="s">
        <v>2274</v>
      </c>
      <c r="AF211" s="6" t="s">
        <v>135</v>
      </c>
      <c r="AG211" s="6" t="s">
        <v>99</v>
      </c>
      <c r="AH211" s="6" t="s">
        <v>2275</v>
      </c>
      <c r="AI211" s="6" t="s">
        <v>2276</v>
      </c>
      <c r="AJ211" s="6" t="s">
        <v>99</v>
      </c>
      <c r="AK211" s="6" t="s">
        <v>2277</v>
      </c>
      <c r="AL211" s="6">
        <v>62.5</v>
      </c>
      <c r="AM211" s="9">
        <v>160</v>
      </c>
      <c r="AN211" s="6">
        <v>78</v>
      </c>
      <c r="AO211" s="6">
        <v>89</v>
      </c>
      <c r="AP211" s="6">
        <v>37.700000000000003</v>
      </c>
      <c r="AQ211" s="6">
        <v>5</v>
      </c>
      <c r="AR211" s="6">
        <v>26</v>
      </c>
      <c r="AS211" s="6">
        <v>37</v>
      </c>
      <c r="AT211" s="79">
        <v>24.4</v>
      </c>
      <c r="AU211" s="6">
        <v>113</v>
      </c>
      <c r="AV211" s="6">
        <v>77</v>
      </c>
      <c r="DC211" s="6">
        <v>90</v>
      </c>
      <c r="DD211" s="6">
        <v>1.06</v>
      </c>
      <c r="DE211" s="6">
        <v>170</v>
      </c>
      <c r="DF211" s="6">
        <v>99</v>
      </c>
      <c r="DG211" s="9">
        <f t="shared" si="3"/>
        <v>4.5474647602324278</v>
      </c>
      <c r="DH211" s="6"/>
      <c r="DI211" s="6">
        <v>6.05</v>
      </c>
      <c r="DJ211" s="6"/>
      <c r="DK211" s="6"/>
      <c r="DL211" s="6"/>
      <c r="DM211" s="6"/>
      <c r="DN211" s="6"/>
      <c r="DP211" s="18">
        <v>1</v>
      </c>
      <c r="DQ211" s="6" t="s">
        <v>111</v>
      </c>
      <c r="DR211" s="9">
        <v>3</v>
      </c>
      <c r="DT211" s="9">
        <v>8.4</v>
      </c>
      <c r="DU211" s="9">
        <v>5.7</v>
      </c>
    </row>
    <row r="212" spans="1:125" x14ac:dyDescent="0.2">
      <c r="A212" s="6">
        <v>133</v>
      </c>
      <c r="B212" s="8">
        <v>42276</v>
      </c>
      <c r="C212" s="6" t="s">
        <v>107</v>
      </c>
      <c r="D212" s="6">
        <v>40</v>
      </c>
      <c r="E212" s="86" t="s">
        <v>155</v>
      </c>
      <c r="F212" s="17">
        <v>27429</v>
      </c>
      <c r="G212" s="6" t="s">
        <v>2278</v>
      </c>
      <c r="H212" s="6" t="s">
        <v>2251</v>
      </c>
      <c r="L212" s="6"/>
      <c r="M212" s="6" t="s">
        <v>99</v>
      </c>
      <c r="N212" s="6" t="s">
        <v>99</v>
      </c>
      <c r="O212" s="6" t="s">
        <v>99</v>
      </c>
      <c r="P212" s="6"/>
      <c r="Q212" s="15" t="s">
        <v>110</v>
      </c>
      <c r="R212" s="6"/>
      <c r="S212" s="6"/>
      <c r="T212" s="6"/>
      <c r="U212" s="6"/>
      <c r="W212" s="6"/>
      <c r="X212" s="6"/>
      <c r="Y212" s="6"/>
      <c r="AA212" s="35" t="s">
        <v>155</v>
      </c>
      <c r="AB212" s="86" t="s">
        <v>155</v>
      </c>
      <c r="AC212" s="6"/>
      <c r="AE212" s="6" t="s">
        <v>125</v>
      </c>
      <c r="AF212" s="6" t="s">
        <v>99</v>
      </c>
      <c r="AG212" s="6" t="s">
        <v>99</v>
      </c>
      <c r="AH212" s="6" t="s">
        <v>99</v>
      </c>
      <c r="AI212" s="6" t="s">
        <v>1079</v>
      </c>
      <c r="AJ212" s="6" t="s">
        <v>99</v>
      </c>
      <c r="AK212" s="6"/>
      <c r="AL212" s="6">
        <v>73</v>
      </c>
      <c r="AM212" s="9">
        <v>171</v>
      </c>
      <c r="AN212" s="6">
        <v>88</v>
      </c>
      <c r="AO212" s="6">
        <v>91</v>
      </c>
      <c r="AP212" s="6">
        <v>19</v>
      </c>
      <c r="AQ212" s="6">
        <v>8</v>
      </c>
      <c r="AR212" s="6">
        <v>39.4</v>
      </c>
      <c r="AS212" s="6">
        <v>40</v>
      </c>
      <c r="AT212" s="79">
        <v>25</v>
      </c>
      <c r="AU212" s="6">
        <v>111</v>
      </c>
      <c r="AV212" s="6">
        <v>79</v>
      </c>
      <c r="DC212" s="6">
        <v>98</v>
      </c>
      <c r="DD212" s="6">
        <v>1</v>
      </c>
      <c r="DE212" s="6">
        <v>182</v>
      </c>
      <c r="DF212" s="15">
        <v>186</v>
      </c>
      <c r="DG212" s="9">
        <f t="shared" si="3"/>
        <v>4.905357076191887</v>
      </c>
      <c r="DH212" s="6"/>
      <c r="DI212" s="6">
        <v>5.45</v>
      </c>
      <c r="DJ212" s="6"/>
      <c r="DK212" s="6"/>
      <c r="DL212" s="6"/>
      <c r="DM212" s="6"/>
      <c r="DN212" s="6"/>
      <c r="DP212" s="11">
        <v>2</v>
      </c>
      <c r="DQ212" s="6" t="s">
        <v>105</v>
      </c>
    </row>
    <row r="213" spans="1:125" x14ac:dyDescent="0.2">
      <c r="A213" s="79" t="s">
        <v>2279</v>
      </c>
      <c r="B213" s="8">
        <v>42276</v>
      </c>
      <c r="C213" s="6" t="s">
        <v>95</v>
      </c>
      <c r="D213" s="6">
        <v>37</v>
      </c>
      <c r="E213" s="6" t="s">
        <v>100</v>
      </c>
      <c r="F213" s="17">
        <v>28441</v>
      </c>
      <c r="G213" s="6"/>
      <c r="H213" s="6" t="s">
        <v>2251</v>
      </c>
      <c r="L213" s="6"/>
      <c r="M213" s="6"/>
      <c r="N213" s="6"/>
      <c r="O213" s="6"/>
      <c r="P213" s="6" t="s">
        <v>99</v>
      </c>
      <c r="Q213" s="15" t="s">
        <v>110</v>
      </c>
      <c r="R213" s="6" t="s">
        <v>110</v>
      </c>
      <c r="S213" s="6"/>
      <c r="T213" s="6"/>
      <c r="U213" s="6"/>
      <c r="W213" s="6"/>
      <c r="X213" s="6"/>
      <c r="Y213" s="6"/>
      <c r="AA213" s="6" t="s">
        <v>100</v>
      </c>
      <c r="AB213" s="6" t="s">
        <v>100</v>
      </c>
      <c r="AC213" s="6" t="s">
        <v>100</v>
      </c>
      <c r="AD213" s="6" t="s">
        <v>100</v>
      </c>
      <c r="AE213" s="6" t="s">
        <v>125</v>
      </c>
      <c r="AF213" s="6" t="s">
        <v>570</v>
      </c>
      <c r="AG213" s="6" t="s">
        <v>135</v>
      </c>
      <c r="AH213" s="6" t="s">
        <v>99</v>
      </c>
      <c r="AI213" s="6" t="s">
        <v>99</v>
      </c>
      <c r="AJ213" s="6" t="s">
        <v>99</v>
      </c>
      <c r="AK213" s="6"/>
      <c r="AL213" s="6">
        <v>62</v>
      </c>
      <c r="AM213" s="9">
        <v>161</v>
      </c>
      <c r="AN213" s="6">
        <v>80</v>
      </c>
      <c r="AO213" s="6">
        <v>88</v>
      </c>
      <c r="AP213" s="6">
        <v>36.299999999999997</v>
      </c>
      <c r="AQ213" s="6">
        <v>6</v>
      </c>
      <c r="AR213" s="6">
        <v>26.5</v>
      </c>
      <c r="AS213" s="6">
        <v>40</v>
      </c>
      <c r="AT213" s="79">
        <v>23.9</v>
      </c>
      <c r="AU213" s="6">
        <v>90</v>
      </c>
      <c r="AV213" s="6">
        <v>65</v>
      </c>
      <c r="DC213" s="6">
        <v>97</v>
      </c>
      <c r="DD213" s="6">
        <v>0.66</v>
      </c>
      <c r="DE213" s="6">
        <v>168</v>
      </c>
      <c r="DF213" s="6">
        <v>106</v>
      </c>
      <c r="DG213" s="9">
        <f t="shared" si="3"/>
        <v>4.6190750363077253</v>
      </c>
      <c r="DH213" s="6"/>
      <c r="DI213" s="6">
        <v>2.93</v>
      </c>
      <c r="DJ213" s="6"/>
      <c r="DK213" s="6"/>
      <c r="DL213" s="6"/>
      <c r="DM213" s="6"/>
      <c r="DN213" s="6"/>
      <c r="DP213" s="11">
        <v>3</v>
      </c>
      <c r="DQ213" s="6" t="s">
        <v>105</v>
      </c>
      <c r="DR213" s="9">
        <v>2</v>
      </c>
      <c r="DU213" s="9">
        <v>6.2</v>
      </c>
    </row>
    <row r="214" spans="1:125" x14ac:dyDescent="0.2">
      <c r="A214" s="79">
        <v>135</v>
      </c>
      <c r="B214" s="17"/>
      <c r="C214" s="6" t="s">
        <v>95</v>
      </c>
      <c r="D214" s="6">
        <v>30</v>
      </c>
      <c r="E214" s="6"/>
      <c r="F214" s="17"/>
      <c r="G214" s="6"/>
      <c r="H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W214" s="6"/>
      <c r="X214" s="6"/>
      <c r="Y214" s="6"/>
      <c r="AB214" s="6"/>
      <c r="AC214" s="6"/>
      <c r="AE214" s="6"/>
      <c r="AF214" s="6"/>
      <c r="AG214" s="6"/>
      <c r="AH214" s="6"/>
      <c r="AI214" s="6"/>
      <c r="AJ214" s="6"/>
      <c r="AK214" s="6"/>
      <c r="AL214" s="6">
        <v>64.099999999999994</v>
      </c>
      <c r="AN214" s="6">
        <v>77</v>
      </c>
      <c r="AO214" s="6">
        <v>89</v>
      </c>
      <c r="AP214" s="6">
        <v>38</v>
      </c>
      <c r="AQ214" s="6">
        <v>5</v>
      </c>
      <c r="AR214" s="6">
        <v>26.2</v>
      </c>
      <c r="AS214" s="6">
        <v>40</v>
      </c>
      <c r="AT214" s="79">
        <v>24.5</v>
      </c>
      <c r="AU214" s="6">
        <v>95</v>
      </c>
      <c r="AV214" s="6">
        <v>71</v>
      </c>
      <c r="DC214" s="6">
        <v>95</v>
      </c>
      <c r="DD214" s="6">
        <v>0.98</v>
      </c>
      <c r="DE214" s="6">
        <v>177</v>
      </c>
      <c r="DF214" s="6">
        <v>71</v>
      </c>
      <c r="DG214" s="9">
        <f t="shared" si="3"/>
        <v>4.4082783843209281</v>
      </c>
      <c r="DH214" s="6"/>
      <c r="DI214" s="6">
        <v>5.27</v>
      </c>
      <c r="DJ214" s="6"/>
      <c r="DK214" s="6"/>
      <c r="DL214" s="6"/>
      <c r="DM214" s="6"/>
      <c r="DN214" s="6"/>
      <c r="DO214" s="9" t="s">
        <v>2280</v>
      </c>
      <c r="DQ214" s="6" t="s">
        <v>111</v>
      </c>
      <c r="DU214" s="9">
        <v>6</v>
      </c>
    </row>
    <row r="215" spans="1:125" x14ac:dyDescent="0.2">
      <c r="A215" s="16">
        <v>136</v>
      </c>
      <c r="B215" s="8">
        <v>42279</v>
      </c>
      <c r="C215" s="6" t="s">
        <v>95</v>
      </c>
      <c r="D215" s="6">
        <v>54</v>
      </c>
      <c r="E215" s="6" t="s">
        <v>100</v>
      </c>
      <c r="F215" s="17">
        <v>22376</v>
      </c>
      <c r="G215" s="6"/>
      <c r="H215" s="6"/>
      <c r="I215" s="9">
        <v>11</v>
      </c>
      <c r="J215" s="9">
        <v>52</v>
      </c>
      <c r="K215" s="8"/>
      <c r="L215" s="6"/>
      <c r="M215" s="6" t="s">
        <v>99</v>
      </c>
      <c r="N215" s="6" t="s">
        <v>99</v>
      </c>
      <c r="O215" s="6" t="s">
        <v>99</v>
      </c>
      <c r="P215" s="6" t="s">
        <v>99</v>
      </c>
      <c r="Q215" s="15" t="s">
        <v>110</v>
      </c>
      <c r="R215" s="6" t="s">
        <v>110</v>
      </c>
      <c r="S215" s="6" t="s">
        <v>110</v>
      </c>
      <c r="T215" s="6" t="s">
        <v>110</v>
      </c>
      <c r="U215" s="6"/>
      <c r="W215" s="6"/>
      <c r="X215" s="6"/>
      <c r="Y215" s="16" t="s">
        <v>2281</v>
      </c>
      <c r="AA215" s="6" t="s">
        <v>100</v>
      </c>
      <c r="AB215" s="6" t="s">
        <v>100</v>
      </c>
      <c r="AC215" s="6" t="s">
        <v>100</v>
      </c>
      <c r="AD215" s="6" t="s">
        <v>100</v>
      </c>
      <c r="AE215" s="6" t="s">
        <v>118</v>
      </c>
      <c r="AF215" s="6" t="s">
        <v>2282</v>
      </c>
      <c r="AG215" s="6"/>
      <c r="AH215" s="6" t="s">
        <v>125</v>
      </c>
      <c r="AI215" s="6"/>
      <c r="AJ215" s="6"/>
      <c r="AK215" s="6"/>
      <c r="AL215" s="6">
        <v>58</v>
      </c>
      <c r="AM215" s="9">
        <v>152</v>
      </c>
      <c r="AN215" s="6"/>
      <c r="AO215" s="6"/>
      <c r="AP215" s="6">
        <v>37.5</v>
      </c>
      <c r="AQ215" s="6">
        <v>8</v>
      </c>
      <c r="AR215" s="6">
        <v>25.9</v>
      </c>
      <c r="AS215" s="6">
        <v>56</v>
      </c>
      <c r="AT215" s="6">
        <v>25.2</v>
      </c>
      <c r="AU215" s="15">
        <v>145</v>
      </c>
      <c r="AV215" s="15">
        <v>91</v>
      </c>
      <c r="DC215" s="15" t="s">
        <v>2283</v>
      </c>
      <c r="DD215" s="6">
        <v>0.83</v>
      </c>
      <c r="DE215" s="16">
        <v>301</v>
      </c>
      <c r="DF215" s="16">
        <v>230</v>
      </c>
      <c r="DG215" s="9" t="e">
        <f t="shared" si="3"/>
        <v>#VALUE!</v>
      </c>
      <c r="DH215" s="6"/>
      <c r="DI215" s="6">
        <v>5.3</v>
      </c>
      <c r="DJ215" s="6"/>
      <c r="DK215" s="6"/>
      <c r="DL215" s="6"/>
      <c r="DM215" s="6"/>
      <c r="DN215" s="6"/>
      <c r="DP215" s="18">
        <v>1</v>
      </c>
      <c r="DQ215" s="6" t="s">
        <v>111</v>
      </c>
      <c r="DR215" s="9">
        <v>2</v>
      </c>
      <c r="DT215" s="9">
        <v>5</v>
      </c>
      <c r="DU215" s="9">
        <v>7.5</v>
      </c>
    </row>
    <row r="216" spans="1:125" x14ac:dyDescent="0.2">
      <c r="A216" s="6">
        <v>137</v>
      </c>
      <c r="B216" s="8">
        <v>42279</v>
      </c>
      <c r="C216" s="6" t="s">
        <v>95</v>
      </c>
      <c r="D216" s="6">
        <v>44</v>
      </c>
      <c r="E216" s="6" t="s">
        <v>100</v>
      </c>
      <c r="F216" s="17">
        <v>26072</v>
      </c>
      <c r="G216" s="6"/>
      <c r="H216" s="6" t="s">
        <v>146</v>
      </c>
      <c r="I216" s="9">
        <v>9</v>
      </c>
      <c r="L216" s="6"/>
      <c r="M216" s="6" t="s">
        <v>99</v>
      </c>
      <c r="N216" s="6" t="s">
        <v>99</v>
      </c>
      <c r="O216" s="6" t="s">
        <v>99</v>
      </c>
      <c r="P216" s="6" t="s">
        <v>99</v>
      </c>
      <c r="Q216" s="15" t="s">
        <v>110</v>
      </c>
      <c r="R216" s="6" t="s">
        <v>110</v>
      </c>
      <c r="S216" s="6" t="s">
        <v>110</v>
      </c>
      <c r="T216" s="6" t="s">
        <v>110</v>
      </c>
      <c r="U216" s="6"/>
      <c r="W216" s="6"/>
      <c r="X216" s="6"/>
      <c r="Y216" s="16" t="s">
        <v>2284</v>
      </c>
      <c r="AA216" s="9" t="s">
        <v>100</v>
      </c>
      <c r="AB216" s="6" t="s">
        <v>1123</v>
      </c>
      <c r="AC216" s="6" t="s">
        <v>100</v>
      </c>
      <c r="AE216" s="6" t="s">
        <v>2285</v>
      </c>
      <c r="AF216" s="6" t="s">
        <v>2268</v>
      </c>
      <c r="AG216" s="6" t="s">
        <v>2268</v>
      </c>
      <c r="AH216" s="6" t="s">
        <v>99</v>
      </c>
      <c r="AI216" s="6" t="s">
        <v>99</v>
      </c>
      <c r="AJ216" s="6" t="s">
        <v>99</v>
      </c>
      <c r="AK216" s="6" t="s">
        <v>99</v>
      </c>
      <c r="AL216" s="6">
        <v>93.9</v>
      </c>
      <c r="AN216" s="15">
        <v>102</v>
      </c>
      <c r="AO216" s="6">
        <v>115</v>
      </c>
      <c r="AP216" s="6">
        <v>48.4</v>
      </c>
      <c r="AQ216" s="6">
        <v>11</v>
      </c>
      <c r="AR216" s="6">
        <v>23.3</v>
      </c>
      <c r="AS216" s="6">
        <v>68</v>
      </c>
      <c r="AT216" s="6">
        <v>37.1</v>
      </c>
      <c r="AU216" s="6">
        <v>110</v>
      </c>
      <c r="AV216" s="6">
        <v>63</v>
      </c>
      <c r="DC216" s="15">
        <v>107.4</v>
      </c>
      <c r="DD216" s="6">
        <v>0.5</v>
      </c>
      <c r="DE216" s="6">
        <v>156</v>
      </c>
      <c r="DF216" s="6">
        <v>66</v>
      </c>
      <c r="DG216" s="9">
        <f t="shared" si="3"/>
        <v>4.4331074620505948</v>
      </c>
      <c r="DH216" s="6">
        <v>13.2</v>
      </c>
      <c r="DI216" s="6">
        <v>5.17</v>
      </c>
      <c r="DJ216" s="6">
        <v>16</v>
      </c>
      <c r="DK216" s="6">
        <v>11.8</v>
      </c>
      <c r="DL216" s="6"/>
      <c r="DM216" s="6"/>
      <c r="DN216" s="6"/>
      <c r="DP216" s="18">
        <v>1</v>
      </c>
      <c r="DQ216" s="6" t="s">
        <v>111</v>
      </c>
      <c r="DR216" s="9">
        <v>2</v>
      </c>
      <c r="DT216" s="9">
        <v>8.6999999999999993</v>
      </c>
      <c r="DU216" s="9">
        <v>6.7</v>
      </c>
    </row>
    <row r="217" spans="1:125" x14ac:dyDescent="0.2">
      <c r="A217" s="6">
        <v>138</v>
      </c>
      <c r="B217" s="8">
        <v>42280</v>
      </c>
      <c r="C217" s="6" t="s">
        <v>95</v>
      </c>
      <c r="D217" s="6">
        <v>33</v>
      </c>
      <c r="E217" s="6" t="s">
        <v>100</v>
      </c>
      <c r="F217" s="17">
        <v>30063</v>
      </c>
      <c r="G217" s="6"/>
      <c r="H217" s="6" t="s">
        <v>146</v>
      </c>
      <c r="K217" s="17"/>
      <c r="L217" s="6"/>
      <c r="M217" s="6"/>
      <c r="N217" s="6"/>
      <c r="O217" s="6"/>
      <c r="P217" s="15" t="s">
        <v>2286</v>
      </c>
      <c r="Q217" s="15" t="s">
        <v>110</v>
      </c>
      <c r="R217" s="6" t="s">
        <v>110</v>
      </c>
      <c r="S217" s="6" t="s">
        <v>110</v>
      </c>
      <c r="T217" s="6" t="s">
        <v>110</v>
      </c>
      <c r="U217" s="6"/>
      <c r="W217" s="6"/>
      <c r="X217" s="6"/>
      <c r="Y217" s="6"/>
      <c r="AA217" s="6" t="s">
        <v>100</v>
      </c>
      <c r="AB217" s="6" t="s">
        <v>100</v>
      </c>
      <c r="AC217" s="6" t="s">
        <v>100</v>
      </c>
      <c r="AE217" s="6" t="s">
        <v>2287</v>
      </c>
      <c r="AF217" s="6" t="s">
        <v>125</v>
      </c>
      <c r="AG217" s="6" t="s">
        <v>99</v>
      </c>
      <c r="AH217" s="6" t="s">
        <v>2275</v>
      </c>
      <c r="AI217" s="6" t="s">
        <v>99</v>
      </c>
      <c r="AJ217" s="6" t="s">
        <v>99</v>
      </c>
      <c r="AK217" s="6"/>
      <c r="AL217" s="6"/>
      <c r="AN217" s="6"/>
      <c r="AO217" s="6"/>
      <c r="AP217" s="6"/>
      <c r="AQ217" s="6"/>
      <c r="AR217" s="6"/>
      <c r="AS217" s="6"/>
      <c r="AT217" s="6"/>
      <c r="AU217" s="6">
        <v>115</v>
      </c>
      <c r="AV217" s="6">
        <v>69</v>
      </c>
      <c r="DC217" s="15">
        <v>102.3</v>
      </c>
      <c r="DD217" s="6">
        <v>0.14000000000000001</v>
      </c>
      <c r="DE217" s="6">
        <v>141</v>
      </c>
      <c r="DF217" s="6">
        <v>135</v>
      </c>
      <c r="DG217" s="9">
        <f t="shared" si="3"/>
        <v>4.7665922256980053</v>
      </c>
      <c r="DH217" s="6">
        <v>9.8000000000000007</v>
      </c>
      <c r="DI217" s="6">
        <v>6.01</v>
      </c>
      <c r="DJ217" s="6">
        <v>14.2</v>
      </c>
      <c r="DK217" s="6">
        <v>11.8</v>
      </c>
      <c r="DL217" s="6">
        <v>64.5</v>
      </c>
      <c r="DM217" s="6">
        <v>66.7</v>
      </c>
      <c r="DN217" s="6"/>
      <c r="DP217" s="11">
        <v>3</v>
      </c>
      <c r="DQ217" s="6" t="s">
        <v>105</v>
      </c>
    </row>
    <row r="218" spans="1:125" x14ac:dyDescent="0.2">
      <c r="A218" s="6">
        <v>139</v>
      </c>
      <c r="B218" s="17"/>
      <c r="C218" s="6"/>
      <c r="D218" s="6"/>
      <c r="E218" s="6"/>
      <c r="F218" s="17"/>
      <c r="G218" s="6"/>
      <c r="H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W218" s="6"/>
      <c r="X218" s="6"/>
      <c r="Y218" s="6"/>
      <c r="AB218" s="6"/>
      <c r="AC218" s="6"/>
      <c r="AE218" s="6"/>
      <c r="AF218" s="6"/>
      <c r="AG218" s="6"/>
      <c r="AH218" s="6"/>
      <c r="AI218" s="6"/>
      <c r="AJ218" s="6"/>
      <c r="AK218" s="6"/>
      <c r="AL218" s="6"/>
      <c r="AN218" s="6"/>
      <c r="AO218" s="6"/>
      <c r="AP218" s="6"/>
      <c r="AQ218" s="6"/>
      <c r="AR218" s="6"/>
      <c r="AS218" s="6"/>
      <c r="AT218" s="6"/>
      <c r="AU218" s="6"/>
      <c r="AV218" s="6"/>
      <c r="DC218" s="6"/>
      <c r="DD218" s="6"/>
      <c r="DE218" s="6"/>
      <c r="DF218" s="6"/>
      <c r="DG218" s="9" t="e">
        <f t="shared" si="3"/>
        <v>#NUM!</v>
      </c>
      <c r="DH218" s="6"/>
      <c r="DI218" s="6"/>
      <c r="DJ218" s="6"/>
      <c r="DK218" s="6"/>
      <c r="DL218" s="6"/>
      <c r="DM218" s="6"/>
      <c r="DN218" s="6"/>
      <c r="DQ218" s="6" t="s">
        <v>99</v>
      </c>
    </row>
    <row r="219" spans="1:125" x14ac:dyDescent="0.2">
      <c r="A219" s="16">
        <v>140</v>
      </c>
      <c r="B219" s="8">
        <v>42352</v>
      </c>
      <c r="C219" s="6" t="s">
        <v>196</v>
      </c>
      <c r="D219" s="6">
        <v>47</v>
      </c>
      <c r="E219" s="6" t="s">
        <v>100</v>
      </c>
      <c r="F219" s="17">
        <v>25169</v>
      </c>
      <c r="G219" s="6"/>
      <c r="H219" s="6" t="s">
        <v>2288</v>
      </c>
      <c r="K219" s="9">
        <v>1997</v>
      </c>
      <c r="L219" s="6"/>
      <c r="M219" s="6" t="s">
        <v>99</v>
      </c>
      <c r="N219" s="6" t="s">
        <v>99</v>
      </c>
      <c r="O219" s="6" t="s">
        <v>99</v>
      </c>
      <c r="P219" s="6" t="s">
        <v>99</v>
      </c>
      <c r="Q219" s="15" t="s">
        <v>110</v>
      </c>
      <c r="R219" s="6" t="s">
        <v>110</v>
      </c>
      <c r="S219" s="6" t="s">
        <v>110</v>
      </c>
      <c r="T219" s="6" t="s">
        <v>110</v>
      </c>
      <c r="U219" s="15" t="s">
        <v>2289</v>
      </c>
      <c r="W219" s="6" t="s">
        <v>2290</v>
      </c>
      <c r="X219" s="6"/>
      <c r="Y219" s="15" t="s">
        <v>2291</v>
      </c>
      <c r="AA219" s="9" t="s">
        <v>100</v>
      </c>
      <c r="AB219" s="6" t="s">
        <v>100</v>
      </c>
      <c r="AC219" s="6" t="s">
        <v>100</v>
      </c>
      <c r="AD219" s="9" t="s">
        <v>100</v>
      </c>
      <c r="AE219" s="6" t="s">
        <v>99</v>
      </c>
      <c r="AF219" s="6" t="s">
        <v>118</v>
      </c>
      <c r="AG219" s="6" t="s">
        <v>99</v>
      </c>
      <c r="AH219" s="6" t="s">
        <v>2292</v>
      </c>
      <c r="AI219" s="6" t="s">
        <v>99</v>
      </c>
      <c r="AJ219" s="6" t="s">
        <v>99</v>
      </c>
      <c r="AK219" s="6"/>
      <c r="AL219" s="6">
        <v>63.3</v>
      </c>
      <c r="AN219" s="15">
        <v>81.5</v>
      </c>
      <c r="AO219" s="6"/>
      <c r="AP219" s="6">
        <v>36.200000000000003</v>
      </c>
      <c r="AQ219" s="6"/>
      <c r="AR219" s="6">
        <v>40.4</v>
      </c>
      <c r="AS219" s="6"/>
      <c r="AT219" s="6">
        <v>26</v>
      </c>
      <c r="AU219" s="15">
        <v>133</v>
      </c>
      <c r="AV219" s="15">
        <v>86</v>
      </c>
      <c r="DC219" s="15">
        <v>104</v>
      </c>
      <c r="DD219" s="6">
        <v>0.6</v>
      </c>
      <c r="DE219" s="6">
        <v>155</v>
      </c>
      <c r="DF219" s="6">
        <v>101</v>
      </c>
      <c r="DG219" s="9">
        <f t="shared" si="3"/>
        <v>4.6297557079913156</v>
      </c>
      <c r="DH219" s="6"/>
      <c r="DI219" s="6">
        <v>4.82</v>
      </c>
      <c r="DJ219" s="6">
        <v>14.2</v>
      </c>
      <c r="DK219" s="6">
        <v>8.5</v>
      </c>
      <c r="DL219" s="6"/>
      <c r="DM219" s="6"/>
      <c r="DN219" s="6"/>
      <c r="DP219" s="11">
        <v>2</v>
      </c>
      <c r="DQ219" s="6" t="s">
        <v>105</v>
      </c>
      <c r="DR219" s="9">
        <v>2</v>
      </c>
      <c r="DU219" s="9">
        <v>8.1999999999999993</v>
      </c>
    </row>
    <row r="220" spans="1:125" x14ac:dyDescent="0.2">
      <c r="A220" s="6">
        <v>141</v>
      </c>
      <c r="B220" s="8">
        <v>42352</v>
      </c>
      <c r="C220" s="6" t="s">
        <v>675</v>
      </c>
      <c r="D220" s="6">
        <v>43</v>
      </c>
      <c r="E220" s="6" t="s">
        <v>100</v>
      </c>
      <c r="F220" s="17">
        <v>26600</v>
      </c>
      <c r="G220" s="6" t="s">
        <v>2293</v>
      </c>
      <c r="H220" s="6" t="s">
        <v>2288</v>
      </c>
      <c r="L220" s="6"/>
      <c r="M220" s="6" t="s">
        <v>99</v>
      </c>
      <c r="N220" s="6" t="s">
        <v>99</v>
      </c>
      <c r="O220" s="6" t="s">
        <v>99</v>
      </c>
      <c r="P220" s="15" t="s">
        <v>2294</v>
      </c>
      <c r="Q220" s="6" t="s">
        <v>99</v>
      </c>
      <c r="R220" s="6" t="s">
        <v>110</v>
      </c>
      <c r="S220" s="6" t="s">
        <v>110</v>
      </c>
      <c r="T220" s="6" t="s">
        <v>110</v>
      </c>
      <c r="U220" s="15" t="s">
        <v>2295</v>
      </c>
      <c r="W220" s="6"/>
      <c r="X220" s="6"/>
      <c r="Y220" s="15" t="s">
        <v>2296</v>
      </c>
      <c r="AA220" s="14" t="s">
        <v>840</v>
      </c>
      <c r="AB220" s="6" t="s">
        <v>100</v>
      </c>
      <c r="AC220" s="16" t="s">
        <v>840</v>
      </c>
      <c r="AD220" s="9" t="s">
        <v>100</v>
      </c>
      <c r="AE220" s="6" t="s">
        <v>2297</v>
      </c>
      <c r="AF220" s="6" t="s">
        <v>118</v>
      </c>
      <c r="AG220" s="6" t="s">
        <v>1079</v>
      </c>
      <c r="AH220" s="6" t="s">
        <v>2298</v>
      </c>
      <c r="AI220" s="6" t="s">
        <v>2270</v>
      </c>
      <c r="AJ220" s="6" t="s">
        <v>99</v>
      </c>
      <c r="AK220" s="6"/>
      <c r="AL220" s="6">
        <v>94.6</v>
      </c>
      <c r="AM220" s="9">
        <v>174</v>
      </c>
      <c r="AN220" s="15">
        <v>109</v>
      </c>
      <c r="AO220" s="6"/>
      <c r="AP220" s="6">
        <v>30</v>
      </c>
      <c r="AQ220" s="6"/>
      <c r="AR220" s="6">
        <v>66</v>
      </c>
      <c r="AS220" s="6"/>
      <c r="AT220" s="6">
        <v>31.2</v>
      </c>
      <c r="AU220" s="6">
        <v>112</v>
      </c>
      <c r="AV220" s="6">
        <v>75</v>
      </c>
      <c r="DC220" s="15">
        <v>110.5</v>
      </c>
      <c r="DD220" s="6">
        <v>0.66</v>
      </c>
      <c r="DE220" s="6">
        <v>136</v>
      </c>
      <c r="DF220" s="6">
        <v>111</v>
      </c>
      <c r="DG220" s="9">
        <f t="shared" si="3"/>
        <v>4.7072728611350705</v>
      </c>
      <c r="DH220" s="6"/>
      <c r="DI220" s="6">
        <v>5.74</v>
      </c>
      <c r="DJ220" s="6">
        <v>25.3</v>
      </c>
      <c r="DK220" s="6">
        <v>7.8</v>
      </c>
      <c r="DL220" s="6"/>
      <c r="DM220" s="6"/>
      <c r="DN220" s="6"/>
      <c r="DP220" s="11">
        <v>2</v>
      </c>
      <c r="DQ220" s="6" t="s">
        <v>111</v>
      </c>
      <c r="DU220" s="9">
        <v>5.3</v>
      </c>
    </row>
    <row r="221" spans="1:125" x14ac:dyDescent="0.2">
      <c r="A221" s="81" t="s">
        <v>2299</v>
      </c>
      <c r="B221" s="8">
        <v>42354</v>
      </c>
      <c r="C221" s="6" t="s">
        <v>196</v>
      </c>
      <c r="D221" s="6">
        <v>38</v>
      </c>
      <c r="E221" s="6" t="s">
        <v>100</v>
      </c>
      <c r="F221" s="17">
        <v>28408</v>
      </c>
      <c r="G221" s="6" t="s">
        <v>2300</v>
      </c>
      <c r="H221" s="6"/>
      <c r="L221" s="6"/>
      <c r="M221" s="6" t="s">
        <v>99</v>
      </c>
      <c r="N221" s="15" t="s">
        <v>2301</v>
      </c>
      <c r="O221" s="6" t="s">
        <v>99</v>
      </c>
      <c r="P221" s="15" t="s">
        <v>110</v>
      </c>
      <c r="Q221" s="15" t="s">
        <v>110</v>
      </c>
      <c r="R221" s="6" t="s">
        <v>110</v>
      </c>
      <c r="S221" s="6" t="s">
        <v>110</v>
      </c>
      <c r="T221" s="6" t="s">
        <v>110</v>
      </c>
      <c r="U221" s="15" t="s">
        <v>2302</v>
      </c>
      <c r="W221" s="16" t="s">
        <v>2303</v>
      </c>
      <c r="X221" s="6"/>
      <c r="Y221" s="6" t="s">
        <v>110</v>
      </c>
      <c r="AA221" s="9" t="s">
        <v>100</v>
      </c>
      <c r="AB221" s="6" t="s">
        <v>100</v>
      </c>
      <c r="AC221" s="6" t="s">
        <v>100</v>
      </c>
      <c r="AE221" s="6" t="s">
        <v>2304</v>
      </c>
      <c r="AF221" s="6" t="s">
        <v>2305</v>
      </c>
      <c r="AG221" s="6" t="s">
        <v>2252</v>
      </c>
      <c r="AH221" s="6" t="s">
        <v>125</v>
      </c>
      <c r="AI221" s="6" t="s">
        <v>2252</v>
      </c>
      <c r="AJ221" s="6" t="s">
        <v>2306</v>
      </c>
      <c r="AK221" s="6"/>
      <c r="AL221" s="6">
        <v>93.3</v>
      </c>
      <c r="AN221" s="6"/>
      <c r="AO221" s="6">
        <v>117</v>
      </c>
      <c r="AP221" s="6">
        <v>47.1</v>
      </c>
      <c r="AQ221" s="6"/>
      <c r="AR221" s="6">
        <v>49.4</v>
      </c>
      <c r="AS221" s="6"/>
      <c r="AT221" s="6">
        <v>39.299999999999997</v>
      </c>
      <c r="AU221" s="15">
        <v>135</v>
      </c>
      <c r="AV221" s="15">
        <v>99</v>
      </c>
      <c r="DC221" s="15">
        <v>101.7</v>
      </c>
      <c r="DD221" s="6">
        <v>0.42</v>
      </c>
      <c r="DE221" s="15">
        <v>241</v>
      </c>
      <c r="DF221" s="15">
        <v>170</v>
      </c>
      <c r="DG221" s="9">
        <f t="shared" si="3"/>
        <v>4.8789128700523881</v>
      </c>
      <c r="DH221" s="6">
        <v>28</v>
      </c>
      <c r="DI221" s="6">
        <v>5.92</v>
      </c>
      <c r="DJ221" s="6">
        <v>62.8</v>
      </c>
      <c r="DK221" s="6">
        <v>38.700000000000003</v>
      </c>
      <c r="DL221" s="6">
        <v>58.1</v>
      </c>
      <c r="DM221" s="6">
        <v>125.9</v>
      </c>
      <c r="DN221" s="6"/>
      <c r="DP221" s="11">
        <v>2</v>
      </c>
      <c r="DQ221" s="6" t="s">
        <v>105</v>
      </c>
      <c r="DU221" s="9">
        <v>9.3000000000000007</v>
      </c>
    </row>
    <row r="222" spans="1:125" x14ac:dyDescent="0.2">
      <c r="A222" s="6">
        <v>143</v>
      </c>
      <c r="B222" s="8">
        <v>42354</v>
      </c>
      <c r="C222" s="6" t="s">
        <v>95</v>
      </c>
      <c r="D222" s="6">
        <v>37</v>
      </c>
      <c r="E222" s="6" t="s">
        <v>100</v>
      </c>
      <c r="F222" s="17">
        <v>28585</v>
      </c>
      <c r="G222" s="6"/>
      <c r="H222" s="6"/>
      <c r="L222" s="6"/>
      <c r="M222" s="6" t="s">
        <v>99</v>
      </c>
      <c r="N222" s="6" t="s">
        <v>99</v>
      </c>
      <c r="O222" s="15" t="s">
        <v>110</v>
      </c>
      <c r="P222" s="15" t="s">
        <v>2307</v>
      </c>
      <c r="Q222" s="15" t="s">
        <v>110</v>
      </c>
      <c r="R222" s="6" t="s">
        <v>110</v>
      </c>
      <c r="S222" s="6"/>
      <c r="T222" s="6"/>
      <c r="U222" s="6" t="s">
        <v>2308</v>
      </c>
      <c r="W222" s="6"/>
      <c r="X222" s="6"/>
      <c r="Y222" s="6" t="s">
        <v>2309</v>
      </c>
      <c r="AA222" s="9" t="s">
        <v>100</v>
      </c>
      <c r="AB222" s="85" t="s">
        <v>2310</v>
      </c>
      <c r="AC222" s="6" t="s">
        <v>100</v>
      </c>
      <c r="AD222" s="52" t="s">
        <v>2311</v>
      </c>
      <c r="AE222" s="15" t="s">
        <v>2268</v>
      </c>
      <c r="AF222" s="15" t="s">
        <v>125</v>
      </c>
      <c r="AG222" s="15" t="s">
        <v>2270</v>
      </c>
      <c r="AH222" s="15" t="s">
        <v>2268</v>
      </c>
      <c r="AI222" s="6" t="s">
        <v>99</v>
      </c>
      <c r="AJ222" s="6" t="s">
        <v>99</v>
      </c>
      <c r="AK222" s="15" t="s">
        <v>2312</v>
      </c>
      <c r="AL222" s="6">
        <v>100</v>
      </c>
      <c r="AN222" s="15">
        <v>106</v>
      </c>
      <c r="AO222" s="6"/>
      <c r="AP222" s="6">
        <v>45.9</v>
      </c>
      <c r="AQ222" s="6"/>
      <c r="AR222" s="6">
        <v>36</v>
      </c>
      <c r="AS222" s="6"/>
      <c r="AT222" s="6">
        <v>36.799999999999997</v>
      </c>
      <c r="AU222" s="6">
        <v>118</v>
      </c>
      <c r="AV222" s="6">
        <v>84</v>
      </c>
      <c r="DC222" s="15">
        <v>104.9</v>
      </c>
      <c r="DD222" s="6">
        <v>0.4</v>
      </c>
      <c r="DE222" s="15">
        <v>200</v>
      </c>
      <c r="DF222" s="6">
        <v>116</v>
      </c>
      <c r="DG222" s="9">
        <f t="shared" si="3"/>
        <v>4.7032988532543083</v>
      </c>
      <c r="DH222" s="6"/>
      <c r="DI222" s="6">
        <v>4.25</v>
      </c>
      <c r="DJ222" s="6"/>
      <c r="DK222" s="6"/>
      <c r="DL222" s="6"/>
      <c r="DM222" s="6"/>
      <c r="DN222" s="6"/>
      <c r="DP222" s="11">
        <v>2</v>
      </c>
      <c r="DQ222" s="6" t="s">
        <v>111</v>
      </c>
      <c r="DU222" s="9">
        <v>8.1999999999999993</v>
      </c>
    </row>
    <row r="223" spans="1:125" x14ac:dyDescent="0.2">
      <c r="A223" s="6">
        <v>144</v>
      </c>
      <c r="B223" s="8">
        <v>42460</v>
      </c>
      <c r="C223" s="6" t="s">
        <v>107</v>
      </c>
      <c r="D223" s="6">
        <v>37</v>
      </c>
      <c r="E223" s="6" t="s">
        <v>100</v>
      </c>
      <c r="F223" s="17">
        <v>28861</v>
      </c>
      <c r="G223" s="6" t="s">
        <v>2313</v>
      </c>
      <c r="H223" s="6"/>
      <c r="L223" s="6"/>
      <c r="M223" s="6" t="s">
        <v>99</v>
      </c>
      <c r="N223" s="6" t="s">
        <v>99</v>
      </c>
      <c r="O223" s="6" t="s">
        <v>99</v>
      </c>
      <c r="P223" s="15" t="s">
        <v>2314</v>
      </c>
      <c r="Q223" s="15" t="s">
        <v>2315</v>
      </c>
      <c r="R223" s="6" t="s">
        <v>110</v>
      </c>
      <c r="S223" s="6" t="s">
        <v>99</v>
      </c>
      <c r="T223" s="6" t="s">
        <v>99</v>
      </c>
      <c r="U223" s="6"/>
      <c r="W223" s="6" t="s">
        <v>2316</v>
      </c>
      <c r="X223" s="6"/>
      <c r="Y223" s="15" t="s">
        <v>2317</v>
      </c>
      <c r="AA223" s="9" t="s">
        <v>100</v>
      </c>
      <c r="AB223" s="6" t="s">
        <v>100</v>
      </c>
      <c r="AC223" s="6" t="s">
        <v>100</v>
      </c>
      <c r="AD223" s="6" t="s">
        <v>2318</v>
      </c>
      <c r="AE223" s="15" t="s">
        <v>125</v>
      </c>
      <c r="AF223" s="15" t="s">
        <v>125</v>
      </c>
      <c r="AG223" s="15" t="s">
        <v>2319</v>
      </c>
      <c r="AH223" s="15" t="s">
        <v>2320</v>
      </c>
      <c r="AI223" s="6" t="s">
        <v>99</v>
      </c>
      <c r="AJ223" s="6" t="s">
        <v>99</v>
      </c>
      <c r="AK223" s="6"/>
      <c r="AL223" s="6">
        <v>111.4</v>
      </c>
      <c r="AN223" s="6"/>
      <c r="AO223" s="6"/>
      <c r="AP223" s="6">
        <v>34.799999999999997</v>
      </c>
      <c r="AQ223" s="6"/>
      <c r="AR223" s="6">
        <v>72</v>
      </c>
      <c r="AS223" s="6"/>
      <c r="AT223" s="6">
        <v>36</v>
      </c>
      <c r="AU223" s="6"/>
      <c r="AV223" s="6"/>
      <c r="DC223" s="6">
        <v>89.3</v>
      </c>
      <c r="DD223" s="6"/>
      <c r="DE223" s="15">
        <v>211</v>
      </c>
      <c r="DF223" s="15">
        <v>157</v>
      </c>
      <c r="DG223" s="9">
        <f t="shared" si="3"/>
        <v>4.7741236466153811</v>
      </c>
      <c r="DH223" s="6"/>
      <c r="DI223" s="6"/>
      <c r="DJ223" s="6"/>
      <c r="DK223" s="6"/>
      <c r="DL223" s="6"/>
      <c r="DM223" s="6"/>
      <c r="DN223" s="6"/>
      <c r="DP223" s="11">
        <v>3</v>
      </c>
      <c r="DQ223" s="6" t="s">
        <v>105</v>
      </c>
      <c r="DU223" s="9">
        <v>5.6</v>
      </c>
    </row>
    <row r="224" spans="1:125" x14ac:dyDescent="0.2">
      <c r="A224" s="81" t="s">
        <v>2321</v>
      </c>
      <c r="B224" s="8">
        <v>42481</v>
      </c>
      <c r="C224" s="6" t="s">
        <v>107</v>
      </c>
      <c r="D224" s="6">
        <v>52</v>
      </c>
      <c r="E224" s="6" t="s">
        <v>100</v>
      </c>
      <c r="G224" s="6" t="s">
        <v>2322</v>
      </c>
      <c r="H224" s="6"/>
      <c r="L224" s="6"/>
      <c r="M224" s="6" t="s">
        <v>99</v>
      </c>
      <c r="N224" s="6" t="s">
        <v>99</v>
      </c>
      <c r="O224" s="6" t="s">
        <v>99</v>
      </c>
      <c r="P224" s="6" t="s">
        <v>99</v>
      </c>
      <c r="Q224" s="6" t="s">
        <v>99</v>
      </c>
      <c r="R224" s="6" t="s">
        <v>110</v>
      </c>
      <c r="S224" s="6" t="s">
        <v>99</v>
      </c>
      <c r="T224" s="6" t="s">
        <v>99</v>
      </c>
      <c r="U224" s="6" t="s">
        <v>99</v>
      </c>
      <c r="W224" s="6" t="s">
        <v>99</v>
      </c>
      <c r="X224" s="6"/>
      <c r="Y224" s="6" t="s">
        <v>2323</v>
      </c>
      <c r="AA224" s="9" t="s">
        <v>100</v>
      </c>
      <c r="AB224" s="80" t="s">
        <v>2324</v>
      </c>
      <c r="AC224" s="86"/>
      <c r="AD224" s="14" t="s">
        <v>2325</v>
      </c>
      <c r="AE224" s="6" t="s">
        <v>99</v>
      </c>
      <c r="AF224" s="15" t="s">
        <v>363</v>
      </c>
      <c r="AG224" s="6" t="s">
        <v>99</v>
      </c>
      <c r="AH224" s="6" t="s">
        <v>99</v>
      </c>
      <c r="AI224" s="6" t="s">
        <v>99</v>
      </c>
      <c r="AJ224" s="6" t="s">
        <v>99</v>
      </c>
      <c r="AK224" s="6" t="s">
        <v>99</v>
      </c>
      <c r="AL224" s="6">
        <v>96.2</v>
      </c>
      <c r="AN224" s="6"/>
      <c r="AO224" s="6"/>
      <c r="AP224" s="6">
        <v>43.1</v>
      </c>
      <c r="AQ224" s="6"/>
      <c r="AR224" s="6">
        <v>54.7</v>
      </c>
      <c r="AS224" s="6"/>
      <c r="AT224" s="6">
        <v>33.700000000000003</v>
      </c>
      <c r="AU224" s="15">
        <v>130</v>
      </c>
      <c r="AV224" s="15">
        <v>85</v>
      </c>
      <c r="DC224" s="15">
        <v>101.6</v>
      </c>
      <c r="DD224" s="6">
        <v>0.41</v>
      </c>
      <c r="DE224" s="15">
        <v>215</v>
      </c>
      <c r="DF224" s="15">
        <v>215</v>
      </c>
      <c r="DG224" s="9">
        <f t="shared" si="3"/>
        <v>4.995840781636022</v>
      </c>
      <c r="DH224" s="6"/>
      <c r="DI224" s="6">
        <v>7.66</v>
      </c>
      <c r="DJ224" s="6">
        <v>41.1</v>
      </c>
      <c r="DK224" s="6">
        <v>29.9</v>
      </c>
      <c r="DL224" s="6"/>
      <c r="DM224" s="6"/>
      <c r="DN224" s="6"/>
      <c r="DP224" s="11">
        <v>3</v>
      </c>
      <c r="DQ224" s="6" t="s">
        <v>111</v>
      </c>
      <c r="DU224" s="9">
        <v>5.4</v>
      </c>
    </row>
    <row r="225" spans="1:125" x14ac:dyDescent="0.2">
      <c r="A225" s="6">
        <v>146</v>
      </c>
      <c r="B225" s="8">
        <v>42481</v>
      </c>
      <c r="C225" s="6" t="s">
        <v>107</v>
      </c>
      <c r="D225" s="6">
        <v>32</v>
      </c>
      <c r="E225" s="6" t="s">
        <v>100</v>
      </c>
      <c r="F225" s="17">
        <v>31714</v>
      </c>
      <c r="G225" s="6"/>
      <c r="H225" s="6"/>
      <c r="L225" s="6"/>
      <c r="M225" s="6"/>
      <c r="N225" s="6"/>
      <c r="O225" s="6"/>
      <c r="P225" s="15" t="s">
        <v>2326</v>
      </c>
      <c r="Q225" s="15" t="s">
        <v>2326</v>
      </c>
      <c r="R225" s="6" t="s">
        <v>110</v>
      </c>
      <c r="S225" s="6"/>
      <c r="T225" s="6" t="s">
        <v>110</v>
      </c>
      <c r="U225" s="6" t="s">
        <v>2327</v>
      </c>
      <c r="W225" s="6" t="s">
        <v>2328</v>
      </c>
      <c r="X225" s="6" t="s">
        <v>2329</v>
      </c>
      <c r="Y225" s="6" t="s">
        <v>2326</v>
      </c>
      <c r="AA225" s="9" t="s">
        <v>100</v>
      </c>
      <c r="AB225" s="6" t="s">
        <v>100</v>
      </c>
      <c r="AC225" s="6"/>
      <c r="AE225" s="15" t="s">
        <v>2249</v>
      </c>
      <c r="AF225" s="6" t="s">
        <v>99</v>
      </c>
      <c r="AG225" s="15" t="s">
        <v>2330</v>
      </c>
      <c r="AH225" s="6" t="s">
        <v>99</v>
      </c>
      <c r="AI225" s="6" t="s">
        <v>99</v>
      </c>
      <c r="AJ225" s="6" t="s">
        <v>99</v>
      </c>
      <c r="AK225" s="15" t="s">
        <v>2331</v>
      </c>
      <c r="AL225" s="6"/>
      <c r="AN225" s="6"/>
      <c r="AO225" s="6"/>
      <c r="AP225" s="6"/>
      <c r="AQ225" s="6"/>
      <c r="AR225" s="6"/>
      <c r="AS225" s="6"/>
      <c r="AT225" s="6"/>
      <c r="AU225" s="6"/>
      <c r="AV225" s="6"/>
      <c r="DC225" s="6"/>
      <c r="DD225" s="6"/>
      <c r="DE225" s="6"/>
      <c r="DF225" s="6"/>
      <c r="DG225" s="9" t="e">
        <f t="shared" si="3"/>
        <v>#NUM!</v>
      </c>
      <c r="DH225" s="6"/>
      <c r="DI225" s="6"/>
      <c r="DJ225" s="6"/>
      <c r="DK225" s="6"/>
      <c r="DL225" s="6"/>
      <c r="DM225" s="6"/>
      <c r="DN225" s="6"/>
      <c r="DP225" s="11">
        <v>2</v>
      </c>
      <c r="DQ225" s="6" t="s">
        <v>105</v>
      </c>
    </row>
    <row r="226" spans="1:125" x14ac:dyDescent="0.2">
      <c r="A226" s="6">
        <v>147</v>
      </c>
      <c r="B226" s="8">
        <v>42486</v>
      </c>
      <c r="C226" s="6" t="s">
        <v>107</v>
      </c>
      <c r="D226" s="6">
        <v>26</v>
      </c>
      <c r="E226" s="6" t="s">
        <v>100</v>
      </c>
      <c r="F226" s="17">
        <v>32849</v>
      </c>
      <c r="G226" s="6"/>
      <c r="H226" s="6"/>
      <c r="L226" s="6"/>
      <c r="M226" s="6" t="s">
        <v>483</v>
      </c>
      <c r="N226" s="6" t="s">
        <v>99</v>
      </c>
      <c r="O226" s="6" t="s">
        <v>99</v>
      </c>
      <c r="P226" s="6" t="s">
        <v>99</v>
      </c>
      <c r="Q226" s="6" t="s">
        <v>99</v>
      </c>
      <c r="R226" s="6" t="s">
        <v>99</v>
      </c>
      <c r="S226" s="6" t="s">
        <v>99</v>
      </c>
      <c r="T226" s="6" t="s">
        <v>99</v>
      </c>
      <c r="U226" s="6" t="s">
        <v>99</v>
      </c>
      <c r="V226" s="9" t="s">
        <v>99</v>
      </c>
      <c r="W226" s="6"/>
      <c r="X226" s="6"/>
      <c r="Y226" s="6"/>
      <c r="AA226" s="9" t="s">
        <v>100</v>
      </c>
      <c r="AB226" s="88" t="s">
        <v>2332</v>
      </c>
      <c r="AC226" s="6" t="s">
        <v>100</v>
      </c>
      <c r="AD226" s="35" t="s">
        <v>155</v>
      </c>
      <c r="AE226" s="6" t="s">
        <v>2333</v>
      </c>
      <c r="AF226" s="6" t="s">
        <v>2333</v>
      </c>
      <c r="AG226" s="6" t="s">
        <v>99</v>
      </c>
      <c r="AH226" s="6" t="s">
        <v>99</v>
      </c>
      <c r="AI226" s="6" t="s">
        <v>2333</v>
      </c>
      <c r="AJ226" s="6"/>
      <c r="AK226" s="6"/>
      <c r="AL226" s="6"/>
      <c r="AN226" s="6"/>
      <c r="AO226" s="6"/>
      <c r="AP226" s="6"/>
      <c r="AQ226" s="6"/>
      <c r="AR226" s="6"/>
      <c r="AS226" s="6"/>
      <c r="AT226" s="6"/>
      <c r="AU226" s="6"/>
      <c r="AV226" s="6"/>
      <c r="DC226" s="6">
        <v>80</v>
      </c>
      <c r="DD226" s="6"/>
      <c r="DE226" s="15">
        <v>219</v>
      </c>
      <c r="DF226" s="6">
        <v>144</v>
      </c>
      <c r="DG226" s="9">
        <f t="shared" si="3"/>
        <v>4.6759199671249414</v>
      </c>
      <c r="DH226" s="6"/>
      <c r="DI226" s="6"/>
      <c r="DJ226" s="6"/>
      <c r="DK226" s="6"/>
      <c r="DL226" s="6"/>
      <c r="DM226" s="6"/>
      <c r="DN226" s="6"/>
      <c r="DP226" s="11">
        <v>3</v>
      </c>
      <c r="DQ226" s="6" t="s">
        <v>111</v>
      </c>
    </row>
    <row r="227" spans="1:125" x14ac:dyDescent="0.2">
      <c r="A227" s="89">
        <v>148</v>
      </c>
      <c r="B227" s="8">
        <v>42500</v>
      </c>
      <c r="C227" s="6" t="s">
        <v>95</v>
      </c>
      <c r="D227" s="82">
        <v>19</v>
      </c>
      <c r="E227" s="6" t="s">
        <v>100</v>
      </c>
      <c r="G227" s="6" t="s">
        <v>2334</v>
      </c>
      <c r="H227" s="6"/>
      <c r="L227" s="6"/>
      <c r="M227" s="6" t="s">
        <v>99</v>
      </c>
      <c r="N227" s="6" t="s">
        <v>99</v>
      </c>
      <c r="O227" s="6" t="s">
        <v>99</v>
      </c>
      <c r="P227" s="6" t="s">
        <v>99</v>
      </c>
      <c r="Q227" s="6" t="s">
        <v>99</v>
      </c>
      <c r="R227" s="79" t="s">
        <v>99</v>
      </c>
      <c r="S227" s="6" t="s">
        <v>110</v>
      </c>
      <c r="T227" s="6" t="s">
        <v>110</v>
      </c>
      <c r="U227" s="6" t="s">
        <v>99</v>
      </c>
      <c r="W227" s="6" t="s">
        <v>2335</v>
      </c>
      <c r="X227" s="6"/>
      <c r="Y227" s="6" t="s">
        <v>2336</v>
      </c>
      <c r="AA227" s="9" t="s">
        <v>100</v>
      </c>
      <c r="AB227" s="6" t="s">
        <v>100</v>
      </c>
      <c r="AC227" s="6" t="s">
        <v>100</v>
      </c>
      <c r="AD227" s="9" t="s">
        <v>100</v>
      </c>
      <c r="AE227" s="15" t="s">
        <v>2337</v>
      </c>
      <c r="AF227" s="15" t="s">
        <v>2338</v>
      </c>
      <c r="AG227" s="15" t="s">
        <v>118</v>
      </c>
      <c r="AH227" s="15" t="s">
        <v>2264</v>
      </c>
      <c r="AI227" s="6" t="s">
        <v>99</v>
      </c>
      <c r="AJ227" s="6" t="s">
        <v>99</v>
      </c>
      <c r="AK227" s="6" t="s">
        <v>99</v>
      </c>
      <c r="AL227" s="6">
        <v>45.6</v>
      </c>
      <c r="AN227" s="6">
        <v>66</v>
      </c>
      <c r="AO227" s="6">
        <v>76</v>
      </c>
      <c r="AP227" s="6">
        <v>27</v>
      </c>
      <c r="AQ227" s="6"/>
      <c r="AR227" s="6"/>
      <c r="AS227" s="6"/>
      <c r="AT227" s="79">
        <v>18.7</v>
      </c>
      <c r="AU227" s="6">
        <v>90</v>
      </c>
      <c r="AV227" s="6">
        <v>69</v>
      </c>
      <c r="DC227" s="6">
        <v>89</v>
      </c>
      <c r="DD227" s="6"/>
      <c r="DE227" s="6">
        <v>149</v>
      </c>
      <c r="DF227" s="6">
        <v>81</v>
      </c>
      <c r="DG227" s="9">
        <f t="shared" si="3"/>
        <v>4.4415427622022889</v>
      </c>
      <c r="DH227" s="6"/>
      <c r="DI227" s="6"/>
      <c r="DJ227" s="6"/>
      <c r="DK227" s="6"/>
      <c r="DL227" s="6"/>
      <c r="DM227" s="6"/>
      <c r="DN227" s="6"/>
      <c r="DP227" s="11">
        <v>3</v>
      </c>
      <c r="DQ227" s="6" t="s">
        <v>111</v>
      </c>
    </row>
    <row r="228" spans="1:125" x14ac:dyDescent="0.2">
      <c r="A228" s="6">
        <v>149</v>
      </c>
      <c r="B228" s="8">
        <v>42500</v>
      </c>
      <c r="C228" s="6" t="s">
        <v>95</v>
      </c>
      <c r="D228" s="6">
        <v>18</v>
      </c>
      <c r="E228" s="6" t="s">
        <v>100</v>
      </c>
      <c r="G228" s="6" t="s">
        <v>2334</v>
      </c>
      <c r="H228" s="6"/>
      <c r="L228" s="6"/>
      <c r="M228" s="6" t="s">
        <v>99</v>
      </c>
      <c r="N228" s="6" t="s">
        <v>99</v>
      </c>
      <c r="O228" s="6" t="s">
        <v>99</v>
      </c>
      <c r="P228" s="6" t="s">
        <v>99</v>
      </c>
      <c r="Q228" s="6" t="s">
        <v>99</v>
      </c>
      <c r="R228" s="79" t="s">
        <v>99</v>
      </c>
      <c r="S228" s="6" t="s">
        <v>110</v>
      </c>
      <c r="T228" s="6" t="s">
        <v>110</v>
      </c>
      <c r="U228" s="6" t="s">
        <v>99</v>
      </c>
      <c r="W228" s="6" t="s">
        <v>99</v>
      </c>
      <c r="X228" s="6"/>
      <c r="Y228" s="6"/>
      <c r="AA228" s="14" t="s">
        <v>2267</v>
      </c>
      <c r="AB228" s="6" t="s">
        <v>100</v>
      </c>
      <c r="AC228" s="16" t="s">
        <v>2339</v>
      </c>
      <c r="AD228" s="14" t="s">
        <v>2339</v>
      </c>
      <c r="AE228" s="6" t="s">
        <v>99</v>
      </c>
      <c r="AF228" s="6" t="s">
        <v>99</v>
      </c>
      <c r="AG228" s="15" t="s">
        <v>2252</v>
      </c>
      <c r="AH228" s="6" t="s">
        <v>99</v>
      </c>
      <c r="AI228" s="15" t="s">
        <v>118</v>
      </c>
      <c r="AJ228" s="6" t="s">
        <v>99</v>
      </c>
      <c r="AK228" s="15" t="s">
        <v>2340</v>
      </c>
      <c r="AL228" s="6">
        <v>61.6</v>
      </c>
      <c r="AN228" s="6">
        <v>75</v>
      </c>
      <c r="AO228" s="6">
        <v>90</v>
      </c>
      <c r="AP228" s="6">
        <v>38</v>
      </c>
      <c r="AQ228" s="6"/>
      <c r="AR228" s="6"/>
      <c r="AS228" s="6"/>
      <c r="AT228" s="79">
        <v>23.6</v>
      </c>
      <c r="AU228" s="6">
        <v>102</v>
      </c>
      <c r="AV228" s="6">
        <v>76</v>
      </c>
      <c r="DC228" s="6">
        <v>86</v>
      </c>
      <c r="DD228" s="6"/>
      <c r="DE228" s="6">
        <v>185</v>
      </c>
      <c r="DF228" s="15">
        <v>164</v>
      </c>
      <c r="DG228" s="9">
        <f t="shared" si="3"/>
        <v>4.7771068620388535</v>
      </c>
      <c r="DH228" s="6"/>
      <c r="DI228" s="6"/>
      <c r="DJ228" s="6"/>
      <c r="DK228" s="6"/>
      <c r="DL228" s="6"/>
      <c r="DM228" s="6"/>
      <c r="DN228" s="6"/>
      <c r="DQ228" s="6" t="s">
        <v>111</v>
      </c>
    </row>
    <row r="229" spans="1:125" x14ac:dyDescent="0.2">
      <c r="A229" s="16">
        <v>150</v>
      </c>
      <c r="B229" s="8">
        <v>42534</v>
      </c>
      <c r="C229" s="6" t="s">
        <v>107</v>
      </c>
      <c r="D229" s="6">
        <v>54</v>
      </c>
      <c r="E229" s="6" t="s">
        <v>100</v>
      </c>
      <c r="F229" s="17">
        <v>22734</v>
      </c>
      <c r="G229" s="6"/>
      <c r="H229" s="6" t="s">
        <v>2288</v>
      </c>
      <c r="L229" s="6"/>
      <c r="M229" s="15" t="s">
        <v>2341</v>
      </c>
      <c r="N229" s="6" t="s">
        <v>99</v>
      </c>
      <c r="O229" s="15" t="s">
        <v>110</v>
      </c>
      <c r="P229" s="6" t="s">
        <v>99</v>
      </c>
      <c r="Q229" s="15" t="s">
        <v>110</v>
      </c>
      <c r="R229" s="6" t="s">
        <v>110</v>
      </c>
      <c r="S229" s="6" t="s">
        <v>99</v>
      </c>
      <c r="T229" s="6" t="s">
        <v>99</v>
      </c>
      <c r="U229" s="6" t="s">
        <v>99</v>
      </c>
      <c r="W229" s="6" t="s">
        <v>99</v>
      </c>
      <c r="X229" s="6"/>
      <c r="Y229" s="15" t="s">
        <v>2342</v>
      </c>
      <c r="AA229" s="9" t="s">
        <v>1123</v>
      </c>
      <c r="AB229" s="6" t="s">
        <v>100</v>
      </c>
      <c r="AC229" s="6" t="s">
        <v>1123</v>
      </c>
      <c r="AD229" s="6" t="s">
        <v>1123</v>
      </c>
      <c r="AE229" s="15" t="s">
        <v>664</v>
      </c>
      <c r="AF229" s="15" t="s">
        <v>570</v>
      </c>
      <c r="AG229" s="15" t="s">
        <v>570</v>
      </c>
      <c r="AH229" s="6" t="s">
        <v>99</v>
      </c>
      <c r="AI229" s="6" t="s">
        <v>99</v>
      </c>
      <c r="AJ229" s="6" t="s">
        <v>99</v>
      </c>
      <c r="AK229" s="6" t="s">
        <v>99</v>
      </c>
      <c r="AL229" s="6">
        <v>82.8</v>
      </c>
      <c r="AN229" s="15">
        <v>100</v>
      </c>
      <c r="AO229" s="6">
        <v>109</v>
      </c>
      <c r="AP229" s="6">
        <v>30.5</v>
      </c>
      <c r="AQ229" s="6">
        <v>16</v>
      </c>
      <c r="AR229" s="6">
        <v>31.8</v>
      </c>
      <c r="AS229" s="6">
        <v>58</v>
      </c>
      <c r="AT229" s="6">
        <v>30</v>
      </c>
      <c r="AU229" s="6"/>
      <c r="AV229" s="6"/>
      <c r="DC229" s="15">
        <v>123</v>
      </c>
      <c r="DD229" s="6"/>
      <c r="DE229" s="6">
        <v>185</v>
      </c>
      <c r="DF229" s="15">
        <v>201</v>
      </c>
      <c r="DG229" s="9">
        <f t="shared" si="3"/>
        <v>5.0577446317157468</v>
      </c>
      <c r="DH229" s="6"/>
      <c r="DI229" s="6"/>
      <c r="DJ229" s="6"/>
      <c r="DK229" s="6"/>
      <c r="DL229" s="6"/>
      <c r="DM229" s="6"/>
      <c r="DN229" s="6"/>
      <c r="DP229" s="11">
        <v>2</v>
      </c>
      <c r="DQ229" s="6" t="s">
        <v>111</v>
      </c>
    </row>
    <row r="230" spans="1:125" x14ac:dyDescent="0.2">
      <c r="A230" s="6">
        <v>151</v>
      </c>
      <c r="C230" s="6" t="s">
        <v>95</v>
      </c>
      <c r="D230" s="6">
        <v>23</v>
      </c>
      <c r="E230" s="6" t="s">
        <v>100</v>
      </c>
      <c r="F230" s="17">
        <v>33894</v>
      </c>
      <c r="G230" s="6"/>
      <c r="H230" s="6"/>
      <c r="I230" s="9">
        <v>12</v>
      </c>
      <c r="J230" s="9" t="s">
        <v>99</v>
      </c>
      <c r="L230" s="6"/>
      <c r="M230" s="6" t="s">
        <v>99</v>
      </c>
      <c r="N230" s="6" t="s">
        <v>99</v>
      </c>
      <c r="O230" s="6" t="s">
        <v>2343</v>
      </c>
      <c r="P230" s="6" t="s">
        <v>110</v>
      </c>
      <c r="Q230" s="6" t="s">
        <v>110</v>
      </c>
      <c r="R230" s="6" t="s">
        <v>2344</v>
      </c>
      <c r="S230" s="6" t="s">
        <v>110</v>
      </c>
      <c r="T230" s="6" t="s">
        <v>110</v>
      </c>
      <c r="U230" s="6"/>
      <c r="W230" s="6"/>
      <c r="X230" s="6"/>
      <c r="Y230" s="6" t="s">
        <v>2345</v>
      </c>
      <c r="AA230" s="9" t="s">
        <v>100</v>
      </c>
      <c r="AB230" s="6" t="s">
        <v>100</v>
      </c>
      <c r="AC230" s="16" t="s">
        <v>2346</v>
      </c>
      <c r="AE230" s="6" t="s">
        <v>2347</v>
      </c>
      <c r="AF230" s="6" t="s">
        <v>2348</v>
      </c>
      <c r="AG230" s="6" t="s">
        <v>99</v>
      </c>
      <c r="AH230" s="6" t="s">
        <v>110</v>
      </c>
      <c r="AI230" s="6" t="s">
        <v>110</v>
      </c>
      <c r="AJ230" s="6" t="s">
        <v>110</v>
      </c>
      <c r="AK230" s="6" t="s">
        <v>2349</v>
      </c>
      <c r="AL230" s="6">
        <v>84.3</v>
      </c>
      <c r="AM230" s="9">
        <v>165</v>
      </c>
      <c r="AN230" s="15">
        <v>89</v>
      </c>
      <c r="AO230" s="6">
        <v>110</v>
      </c>
      <c r="AP230" s="6">
        <v>45.3</v>
      </c>
      <c r="AQ230" s="6">
        <v>6</v>
      </c>
      <c r="AR230" s="6">
        <v>24.2</v>
      </c>
      <c r="AS230" s="6">
        <v>48</v>
      </c>
      <c r="AT230" s="6">
        <v>31</v>
      </c>
      <c r="AU230" s="6">
        <v>104</v>
      </c>
      <c r="AV230" s="6">
        <v>72</v>
      </c>
      <c r="DC230" s="6">
        <v>88</v>
      </c>
      <c r="DD230" s="6">
        <v>0.7</v>
      </c>
      <c r="DE230" s="15">
        <v>237</v>
      </c>
      <c r="DF230" s="6">
        <v>106</v>
      </c>
      <c r="DG230" s="9">
        <f t="shared" si="3"/>
        <v>4.5703879542951364</v>
      </c>
      <c r="DH230" s="6"/>
      <c r="DI230" s="6">
        <v>5.61</v>
      </c>
      <c r="DJ230" s="6"/>
      <c r="DK230" s="6"/>
      <c r="DL230" s="6"/>
      <c r="DM230" s="6"/>
      <c r="DN230" s="6"/>
      <c r="DQ230" s="6" t="s">
        <v>111</v>
      </c>
      <c r="DT230" s="9">
        <v>15</v>
      </c>
      <c r="DU230" s="9">
        <v>4.4800000000000004</v>
      </c>
    </row>
    <row r="231" spans="1:125" x14ac:dyDescent="0.2">
      <c r="A231" s="90" t="s">
        <v>2350</v>
      </c>
      <c r="B231" s="8">
        <v>42535</v>
      </c>
      <c r="C231" s="6" t="s">
        <v>95</v>
      </c>
      <c r="D231" s="6">
        <v>53</v>
      </c>
      <c r="E231" s="6"/>
      <c r="F231" s="17">
        <v>23309</v>
      </c>
      <c r="G231" s="6" t="s">
        <v>197</v>
      </c>
      <c r="H231" s="6" t="s">
        <v>2288</v>
      </c>
      <c r="J231" s="9">
        <v>1995</v>
      </c>
      <c r="K231" s="9">
        <v>1988</v>
      </c>
      <c r="L231" s="6">
        <v>3</v>
      </c>
      <c r="M231" s="6" t="s">
        <v>99</v>
      </c>
      <c r="N231" s="15" t="s">
        <v>2351</v>
      </c>
      <c r="O231" s="15" t="s">
        <v>2352</v>
      </c>
      <c r="P231" s="6" t="s">
        <v>99</v>
      </c>
      <c r="Q231" s="15" t="s">
        <v>110</v>
      </c>
      <c r="R231" s="6" t="s">
        <v>110</v>
      </c>
      <c r="S231" s="6" t="s">
        <v>99</v>
      </c>
      <c r="T231" s="6" t="s">
        <v>99</v>
      </c>
      <c r="U231" s="6" t="s">
        <v>110</v>
      </c>
      <c r="W231" s="88" t="s">
        <v>2353</v>
      </c>
      <c r="X231" s="6"/>
      <c r="Y231" s="6" t="s">
        <v>110</v>
      </c>
      <c r="AA231" s="9" t="s">
        <v>100</v>
      </c>
      <c r="AB231" s="6" t="s">
        <v>100</v>
      </c>
      <c r="AC231" s="6" t="s">
        <v>100</v>
      </c>
      <c r="AD231" s="9" t="s">
        <v>100</v>
      </c>
      <c r="AE231" s="15" t="s">
        <v>2354</v>
      </c>
      <c r="AF231" s="15" t="s">
        <v>118</v>
      </c>
      <c r="AG231" s="15" t="s">
        <v>2355</v>
      </c>
      <c r="AH231" s="6"/>
      <c r="AI231" s="6"/>
      <c r="AJ231" s="6"/>
      <c r="AK231" s="6"/>
      <c r="AL231" s="6">
        <v>80.599999999999994</v>
      </c>
      <c r="AN231" s="15">
        <v>105</v>
      </c>
      <c r="AO231" s="6">
        <v>102</v>
      </c>
      <c r="AP231" s="6">
        <v>48.8</v>
      </c>
      <c r="AQ231" s="6">
        <v>11</v>
      </c>
      <c r="AR231" s="6">
        <v>21.7</v>
      </c>
      <c r="AS231" s="6">
        <v>67</v>
      </c>
      <c r="AT231" s="6">
        <v>31.9</v>
      </c>
      <c r="AU231" s="15">
        <v>140</v>
      </c>
      <c r="AV231" s="15">
        <v>100</v>
      </c>
      <c r="DC231" s="82">
        <v>99</v>
      </c>
      <c r="DD231" s="6"/>
      <c r="DE231" s="15">
        <v>238</v>
      </c>
      <c r="DF231" s="16">
        <v>408</v>
      </c>
      <c r="DG231" s="9">
        <f t="shared" si="3"/>
        <v>5.3031935122693756</v>
      </c>
      <c r="DH231" s="6">
        <v>75</v>
      </c>
      <c r="DI231" s="6"/>
      <c r="DJ231" s="6"/>
      <c r="DK231" s="6"/>
      <c r="DL231" s="6">
        <v>66</v>
      </c>
      <c r="DM231" s="6">
        <v>89</v>
      </c>
      <c r="DN231" s="6"/>
      <c r="DP231" s="11">
        <v>2</v>
      </c>
      <c r="DQ231" s="6" t="s">
        <v>111</v>
      </c>
    </row>
    <row r="232" spans="1:125" x14ac:dyDescent="0.2">
      <c r="A232" s="6">
        <v>153</v>
      </c>
      <c r="B232" s="8">
        <v>42535</v>
      </c>
      <c r="C232" s="6" t="s">
        <v>95</v>
      </c>
      <c r="D232" s="6">
        <v>23</v>
      </c>
      <c r="E232" s="6" t="s">
        <v>100</v>
      </c>
      <c r="F232" s="17">
        <v>33967</v>
      </c>
      <c r="G232" s="6"/>
      <c r="H232" s="6" t="s">
        <v>2288</v>
      </c>
      <c r="L232" s="6"/>
      <c r="M232" s="6" t="s">
        <v>99</v>
      </c>
      <c r="N232" s="6" t="s">
        <v>99</v>
      </c>
      <c r="O232" s="6" t="s">
        <v>99</v>
      </c>
      <c r="P232" s="6" t="s">
        <v>99</v>
      </c>
      <c r="Q232" s="15" t="s">
        <v>110</v>
      </c>
      <c r="R232" s="6" t="s">
        <v>110</v>
      </c>
      <c r="S232" s="6" t="s">
        <v>99</v>
      </c>
      <c r="T232" s="6" t="s">
        <v>99</v>
      </c>
      <c r="U232" s="6" t="s">
        <v>2356</v>
      </c>
      <c r="W232" s="6" t="s">
        <v>99</v>
      </c>
      <c r="X232" s="6"/>
      <c r="Y232" s="6" t="s">
        <v>2357</v>
      </c>
      <c r="AA232" s="35" t="s">
        <v>2358</v>
      </c>
      <c r="AB232" s="6" t="s">
        <v>100</v>
      </c>
      <c r="AC232" s="6" t="s">
        <v>100</v>
      </c>
      <c r="AD232" s="9" t="s">
        <v>100</v>
      </c>
      <c r="AE232" s="15" t="s">
        <v>1079</v>
      </c>
      <c r="AF232" s="15" t="s">
        <v>125</v>
      </c>
      <c r="AG232" s="15" t="s">
        <v>2359</v>
      </c>
      <c r="AH232" s="6"/>
      <c r="AI232" s="6"/>
      <c r="AJ232" s="6"/>
      <c r="AK232" s="15" t="s">
        <v>2360</v>
      </c>
      <c r="AL232" s="6">
        <v>88.3</v>
      </c>
      <c r="AN232" s="6"/>
      <c r="AO232" s="6"/>
      <c r="AP232" s="6">
        <v>47.8</v>
      </c>
      <c r="AQ232" s="6">
        <v>6</v>
      </c>
      <c r="AR232" s="6">
        <v>22.4</v>
      </c>
      <c r="AS232" s="6">
        <v>47</v>
      </c>
      <c r="AT232" s="6">
        <v>30.6</v>
      </c>
      <c r="AU232" s="6">
        <v>112</v>
      </c>
      <c r="AV232" s="6">
        <v>75</v>
      </c>
      <c r="DC232" s="6">
        <v>95</v>
      </c>
      <c r="DD232" s="6"/>
      <c r="DE232" s="15">
        <v>203</v>
      </c>
      <c r="DF232" s="6">
        <v>130</v>
      </c>
      <c r="DG232" s="9">
        <f t="shared" si="3"/>
        <v>4.7107056710280615</v>
      </c>
      <c r="DH232" s="6"/>
      <c r="DI232" s="6"/>
      <c r="DJ232" s="6"/>
      <c r="DK232" s="6"/>
      <c r="DL232" s="6"/>
      <c r="DM232" s="6"/>
      <c r="DN232" s="6"/>
      <c r="DP232" s="11">
        <v>3</v>
      </c>
      <c r="DQ232" s="6" t="s">
        <v>111</v>
      </c>
      <c r="DR232" s="9">
        <v>3</v>
      </c>
    </row>
    <row r="233" spans="1:125" x14ac:dyDescent="0.2">
      <c r="A233" s="16" t="s">
        <v>2361</v>
      </c>
      <c r="B233" s="8">
        <v>42535</v>
      </c>
      <c r="C233" s="6" t="s">
        <v>107</v>
      </c>
      <c r="D233" s="6">
        <v>56</v>
      </c>
      <c r="E233" s="6" t="s">
        <v>100</v>
      </c>
      <c r="F233" s="17">
        <v>21867</v>
      </c>
      <c r="G233" s="6" t="s">
        <v>2362</v>
      </c>
      <c r="H233" s="6" t="s">
        <v>2288</v>
      </c>
      <c r="L233" s="6"/>
      <c r="M233" s="6" t="s">
        <v>99</v>
      </c>
      <c r="N233" s="6" t="s">
        <v>99</v>
      </c>
      <c r="O233" s="6" t="s">
        <v>99</v>
      </c>
      <c r="P233" s="15" t="s">
        <v>110</v>
      </c>
      <c r="Q233" s="15" t="s">
        <v>110</v>
      </c>
      <c r="R233" s="6" t="s">
        <v>110</v>
      </c>
      <c r="S233" s="6" t="s">
        <v>99</v>
      </c>
      <c r="T233" s="6" t="s">
        <v>99</v>
      </c>
      <c r="U233" s="6" t="s">
        <v>110</v>
      </c>
      <c r="W233" s="6" t="s">
        <v>110</v>
      </c>
      <c r="X233" s="6" t="s">
        <v>110</v>
      </c>
      <c r="Y233" s="6" t="s">
        <v>99</v>
      </c>
      <c r="AA233" s="9" t="s">
        <v>100</v>
      </c>
      <c r="AB233" s="6" t="s">
        <v>100</v>
      </c>
      <c r="AC233" s="6" t="s">
        <v>100</v>
      </c>
      <c r="AD233" s="9" t="s">
        <v>100</v>
      </c>
      <c r="AE233" s="6" t="s">
        <v>110</v>
      </c>
      <c r="AF233" s="6" t="s">
        <v>110</v>
      </c>
      <c r="AG233" s="6" t="s">
        <v>99</v>
      </c>
      <c r="AH233" s="6" t="s">
        <v>99</v>
      </c>
      <c r="AI233" s="15" t="s">
        <v>125</v>
      </c>
      <c r="AJ233" s="6" t="s">
        <v>99</v>
      </c>
      <c r="AK233" s="6" t="s">
        <v>99</v>
      </c>
      <c r="AL233" s="6">
        <v>86.2</v>
      </c>
      <c r="AN233" s="15">
        <v>105</v>
      </c>
      <c r="AO233" s="6">
        <v>105</v>
      </c>
      <c r="AP233" s="6">
        <v>34.299999999999997</v>
      </c>
      <c r="AQ233" s="6">
        <v>16</v>
      </c>
      <c r="AR233" s="6">
        <v>29.1</v>
      </c>
      <c r="AS233" s="6">
        <v>63</v>
      </c>
      <c r="AT233" s="6">
        <v>30.5</v>
      </c>
      <c r="AU233" s="6">
        <v>112</v>
      </c>
      <c r="AV233" s="6">
        <v>85</v>
      </c>
      <c r="DC233" s="16">
        <v>315</v>
      </c>
      <c r="DD233" s="6"/>
      <c r="DE233" s="6">
        <v>192</v>
      </c>
      <c r="DF233" s="16">
        <v>344</v>
      </c>
      <c r="DG233" s="9">
        <f t="shared" si="3"/>
        <v>5.7966071480995156</v>
      </c>
      <c r="DH233" s="6"/>
      <c r="DI233" s="6"/>
      <c r="DJ233" s="6"/>
      <c r="DK233" s="6"/>
      <c r="DL233" s="6"/>
      <c r="DM233" s="6"/>
      <c r="DN233" s="6"/>
      <c r="DQ233" s="6" t="s">
        <v>99</v>
      </c>
    </row>
    <row r="234" spans="1:125" x14ac:dyDescent="0.2">
      <c r="A234" s="16" t="s">
        <v>2363</v>
      </c>
      <c r="B234" s="8">
        <v>42534</v>
      </c>
      <c r="C234" s="6" t="s">
        <v>95</v>
      </c>
      <c r="D234" s="6">
        <v>73</v>
      </c>
      <c r="E234" s="6" t="s">
        <v>100</v>
      </c>
      <c r="G234" s="6" t="s">
        <v>2364</v>
      </c>
      <c r="H234" s="6" t="s">
        <v>2288</v>
      </c>
      <c r="K234" s="9" t="s">
        <v>2365</v>
      </c>
      <c r="L234" s="9" t="s">
        <v>2366</v>
      </c>
      <c r="M234" s="15" t="s">
        <v>2367</v>
      </c>
      <c r="N234" s="6" t="s">
        <v>99</v>
      </c>
      <c r="O234" s="15" t="s">
        <v>110</v>
      </c>
      <c r="P234" s="6" t="s">
        <v>99</v>
      </c>
      <c r="Q234" s="15" t="s">
        <v>2368</v>
      </c>
      <c r="R234" s="6" t="s">
        <v>110</v>
      </c>
      <c r="S234" s="6" t="s">
        <v>110</v>
      </c>
      <c r="T234" s="6" t="s">
        <v>110</v>
      </c>
      <c r="U234" s="6" t="s">
        <v>99</v>
      </c>
      <c r="W234" s="6" t="s">
        <v>2369</v>
      </c>
      <c r="X234" s="6"/>
      <c r="Y234" s="6" t="s">
        <v>2370</v>
      </c>
      <c r="AB234" s="6"/>
      <c r="AC234" s="6"/>
      <c r="AE234" s="15" t="s">
        <v>118</v>
      </c>
      <c r="AF234" s="6"/>
      <c r="AG234" s="15" t="s">
        <v>2371</v>
      </c>
      <c r="AH234" s="6"/>
      <c r="AI234" s="6"/>
      <c r="AJ234" s="6"/>
      <c r="AK234" s="6"/>
      <c r="AL234" s="6">
        <v>69.900000000000006</v>
      </c>
      <c r="AN234" s="15">
        <v>106</v>
      </c>
      <c r="AO234" s="6">
        <v>97</v>
      </c>
      <c r="AP234" s="6">
        <v>50.8</v>
      </c>
      <c r="AQ234" s="6">
        <v>14</v>
      </c>
      <c r="AR234" s="6">
        <v>18.7</v>
      </c>
      <c r="AS234" s="6">
        <v>78</v>
      </c>
      <c r="AT234" s="6">
        <v>31.1</v>
      </c>
      <c r="AU234" s="6">
        <v>124</v>
      </c>
      <c r="AV234" s="6">
        <v>77</v>
      </c>
      <c r="DC234" s="15">
        <v>155</v>
      </c>
      <c r="DD234" s="6"/>
      <c r="DE234" s="6">
        <v>187</v>
      </c>
      <c r="DF234" s="15">
        <v>277</v>
      </c>
      <c r="DG234" s="9">
        <f t="shared" si="3"/>
        <v>5.3337213115532922</v>
      </c>
      <c r="DH234" s="6"/>
      <c r="DI234" s="6"/>
      <c r="DJ234" s="6"/>
      <c r="DK234" s="6"/>
      <c r="DL234" s="6"/>
      <c r="DM234" s="6"/>
      <c r="DN234" s="6"/>
      <c r="DP234" s="11">
        <v>3</v>
      </c>
      <c r="DQ234" s="6" t="s">
        <v>111</v>
      </c>
      <c r="DR234" s="9">
        <v>2</v>
      </c>
      <c r="DT234" s="9">
        <v>4.17</v>
      </c>
      <c r="DU234" s="9">
        <v>2.5</v>
      </c>
    </row>
    <row r="235" spans="1:125" x14ac:dyDescent="0.2">
      <c r="A235" s="16" t="s">
        <v>2372</v>
      </c>
      <c r="B235" s="8">
        <v>42534</v>
      </c>
      <c r="C235" s="6" t="s">
        <v>95</v>
      </c>
      <c r="D235" s="6">
        <v>50</v>
      </c>
      <c r="E235" s="6" t="s">
        <v>1123</v>
      </c>
      <c r="F235" s="17">
        <v>23431</v>
      </c>
      <c r="G235" s="6" t="s">
        <v>197</v>
      </c>
      <c r="H235" s="6" t="s">
        <v>2288</v>
      </c>
      <c r="J235" s="9" t="s">
        <v>2373</v>
      </c>
      <c r="L235" s="6">
        <v>0</v>
      </c>
      <c r="M235" s="15" t="s">
        <v>110</v>
      </c>
      <c r="N235" s="15" t="s">
        <v>110</v>
      </c>
      <c r="O235" s="6" t="s">
        <v>99</v>
      </c>
      <c r="P235" s="15" t="s">
        <v>2374</v>
      </c>
      <c r="Q235" s="6" t="s">
        <v>99</v>
      </c>
      <c r="R235" s="6" t="s">
        <v>110</v>
      </c>
      <c r="S235" s="6" t="s">
        <v>99</v>
      </c>
      <c r="T235" s="6" t="s">
        <v>99</v>
      </c>
      <c r="U235" s="6" t="s">
        <v>99</v>
      </c>
      <c r="W235" s="6" t="s">
        <v>99</v>
      </c>
      <c r="X235" s="6"/>
      <c r="Y235" s="6" t="s">
        <v>110</v>
      </c>
      <c r="AA235" s="9" t="s">
        <v>1123</v>
      </c>
      <c r="AB235" s="6" t="s">
        <v>1123</v>
      </c>
      <c r="AC235" s="6" t="s">
        <v>1123</v>
      </c>
      <c r="AD235" s="9" t="s">
        <v>1123</v>
      </c>
      <c r="AE235" s="6" t="s">
        <v>99</v>
      </c>
      <c r="AF235" s="6" t="s">
        <v>99</v>
      </c>
      <c r="AG235" s="6" t="s">
        <v>99</v>
      </c>
      <c r="AH235" s="6" t="s">
        <v>99</v>
      </c>
      <c r="AI235" s="6" t="s">
        <v>99</v>
      </c>
      <c r="AJ235" s="6" t="s">
        <v>99</v>
      </c>
      <c r="AK235" s="6" t="s">
        <v>99</v>
      </c>
      <c r="AL235" s="6">
        <v>150</v>
      </c>
      <c r="AN235" s="6"/>
      <c r="AO235" s="6"/>
      <c r="AP235" s="6"/>
      <c r="AQ235" s="6"/>
      <c r="AR235" s="6"/>
      <c r="AS235" s="6"/>
      <c r="AT235" s="16">
        <v>55.1</v>
      </c>
      <c r="AU235" s="6"/>
      <c r="AV235" s="6"/>
      <c r="DC235" s="16">
        <v>405</v>
      </c>
      <c r="DD235" s="6"/>
      <c r="DE235" s="15">
        <v>290</v>
      </c>
      <c r="DF235" s="16">
        <v>398</v>
      </c>
      <c r="DG235" s="9">
        <f t="shared" si="3"/>
        <v>5.9951695361954886</v>
      </c>
      <c r="DH235" s="6"/>
      <c r="DI235" s="6"/>
      <c r="DJ235" s="6"/>
      <c r="DK235" s="6"/>
      <c r="DL235" s="6"/>
      <c r="DM235" s="6"/>
      <c r="DN235" s="6"/>
      <c r="DP235" s="11">
        <v>3</v>
      </c>
      <c r="DQ235" s="6" t="s">
        <v>111</v>
      </c>
      <c r="DR235" s="9">
        <v>2</v>
      </c>
    </row>
    <row r="236" spans="1:125" x14ac:dyDescent="0.2">
      <c r="A236" s="16" t="s">
        <v>2375</v>
      </c>
      <c r="B236" s="8">
        <v>42535</v>
      </c>
      <c r="C236" s="6" t="s">
        <v>95</v>
      </c>
      <c r="D236" s="6">
        <v>59</v>
      </c>
      <c r="E236" s="6" t="s">
        <v>100</v>
      </c>
      <c r="G236" s="6"/>
      <c r="H236" s="6" t="s">
        <v>2288</v>
      </c>
      <c r="J236" s="9">
        <v>1996</v>
      </c>
      <c r="K236" s="9">
        <v>1986</v>
      </c>
      <c r="L236" s="6">
        <v>3</v>
      </c>
      <c r="M236" s="6" t="s">
        <v>99</v>
      </c>
      <c r="N236" s="15" t="s">
        <v>2376</v>
      </c>
      <c r="O236" s="6" t="s">
        <v>99</v>
      </c>
      <c r="P236" s="15" t="s">
        <v>2377</v>
      </c>
      <c r="Q236" s="6" t="s">
        <v>99</v>
      </c>
      <c r="R236" s="6" t="s">
        <v>110</v>
      </c>
      <c r="S236" s="6" t="s">
        <v>110</v>
      </c>
      <c r="T236" s="6" t="s">
        <v>99</v>
      </c>
      <c r="U236" s="6"/>
      <c r="W236" s="6"/>
      <c r="X236" s="6"/>
      <c r="Y236" s="15" t="s">
        <v>2378</v>
      </c>
      <c r="Z236" s="9" t="s">
        <v>2379</v>
      </c>
      <c r="AA236" s="14" t="s">
        <v>840</v>
      </c>
      <c r="AB236" s="6" t="s">
        <v>100</v>
      </c>
      <c r="AC236" s="16" t="s">
        <v>840</v>
      </c>
      <c r="AD236" s="9" t="s">
        <v>100</v>
      </c>
      <c r="AE236" s="9" t="s">
        <v>99</v>
      </c>
      <c r="AF236" s="15" t="s">
        <v>110</v>
      </c>
      <c r="AG236" s="6" t="s">
        <v>99</v>
      </c>
      <c r="AH236" s="6" t="s">
        <v>99</v>
      </c>
      <c r="AI236" s="15" t="s">
        <v>110</v>
      </c>
      <c r="AJ236" s="6" t="s">
        <v>99</v>
      </c>
      <c r="AK236" s="6" t="s">
        <v>99</v>
      </c>
      <c r="AL236" s="6">
        <v>93.2</v>
      </c>
      <c r="AN236" s="15">
        <v>124</v>
      </c>
      <c r="AO236" s="6">
        <v>132</v>
      </c>
      <c r="AP236" s="6">
        <v>53.6</v>
      </c>
      <c r="AQ236" s="6">
        <v>14</v>
      </c>
      <c r="AR236" s="6">
        <v>20.100000000000001</v>
      </c>
      <c r="AS236" s="6">
        <v>79</v>
      </c>
      <c r="AT236" s="6">
        <v>37.799999999999997</v>
      </c>
      <c r="AU236" s="6">
        <v>128</v>
      </c>
      <c r="AV236" s="6">
        <v>89</v>
      </c>
      <c r="DC236" s="15">
        <v>122</v>
      </c>
      <c r="DD236" s="6"/>
      <c r="DE236" s="15">
        <v>285</v>
      </c>
      <c r="DF236" s="15">
        <v>176</v>
      </c>
      <c r="DG236" s="9">
        <f t="shared" si="3"/>
        <v>4.9872525198857041</v>
      </c>
      <c r="DH236" s="6"/>
      <c r="DI236" s="6"/>
      <c r="DJ236" s="6"/>
      <c r="DK236" s="6"/>
      <c r="DL236" s="6"/>
      <c r="DM236" s="6"/>
      <c r="DN236" s="6"/>
      <c r="DP236" s="11">
        <v>3</v>
      </c>
      <c r="DQ236" s="6" t="s">
        <v>111</v>
      </c>
      <c r="DR236" s="9">
        <v>2</v>
      </c>
      <c r="DT236" s="9">
        <v>7.72</v>
      </c>
    </row>
    <row r="237" spans="1:125" x14ac:dyDescent="0.2">
      <c r="A237" s="6">
        <v>158</v>
      </c>
      <c r="B237" s="8">
        <v>42800</v>
      </c>
      <c r="C237" s="6" t="s">
        <v>95</v>
      </c>
      <c r="D237" s="6">
        <v>45</v>
      </c>
      <c r="E237" s="6" t="s">
        <v>100</v>
      </c>
      <c r="F237" s="17">
        <v>26241</v>
      </c>
      <c r="G237" s="6" t="s">
        <v>2380</v>
      </c>
      <c r="H237" s="6"/>
      <c r="J237" s="9" t="s">
        <v>2381</v>
      </c>
      <c r="L237" s="6">
        <v>0</v>
      </c>
      <c r="M237" s="6" t="s">
        <v>483</v>
      </c>
      <c r="N237" s="6" t="s">
        <v>483</v>
      </c>
      <c r="O237" s="6" t="s">
        <v>483</v>
      </c>
      <c r="P237" s="6" t="s">
        <v>99</v>
      </c>
      <c r="Q237" s="6" t="s">
        <v>99</v>
      </c>
      <c r="R237" s="6"/>
      <c r="S237" s="6" t="s">
        <v>588</v>
      </c>
      <c r="T237" s="6" t="s">
        <v>588</v>
      </c>
      <c r="U237" s="6"/>
      <c r="W237" s="6" t="s">
        <v>2382</v>
      </c>
      <c r="X237" s="6"/>
      <c r="Y237" s="6" t="s">
        <v>2383</v>
      </c>
      <c r="AA237" s="9" t="s">
        <v>100</v>
      </c>
      <c r="AB237" s="6" t="s">
        <v>100</v>
      </c>
      <c r="AC237" s="6" t="s">
        <v>100</v>
      </c>
      <c r="AD237" s="9" t="s">
        <v>100</v>
      </c>
      <c r="AE237" s="15" t="s">
        <v>919</v>
      </c>
      <c r="AF237" s="15" t="s">
        <v>919</v>
      </c>
      <c r="AG237" s="15" t="s">
        <v>2264</v>
      </c>
      <c r="AH237" s="15" t="s">
        <v>919</v>
      </c>
      <c r="AI237" s="6" t="s">
        <v>99</v>
      </c>
      <c r="AJ237" s="6" t="s">
        <v>99</v>
      </c>
      <c r="AK237" s="6" t="s">
        <v>99</v>
      </c>
      <c r="AL237" s="6">
        <v>65</v>
      </c>
      <c r="AM237" s="9">
        <v>162</v>
      </c>
      <c r="AN237" s="6">
        <v>81</v>
      </c>
      <c r="AO237" s="6">
        <v>100</v>
      </c>
      <c r="AP237" s="6">
        <v>37.1</v>
      </c>
      <c r="AQ237" s="6">
        <v>7</v>
      </c>
      <c r="AR237" s="6">
        <v>26.5</v>
      </c>
      <c r="AS237" s="6">
        <v>46</v>
      </c>
      <c r="AT237" s="79">
        <v>24.8</v>
      </c>
      <c r="AU237" s="6">
        <v>104</v>
      </c>
      <c r="AV237" s="6">
        <v>73</v>
      </c>
      <c r="DC237" s="82">
        <v>91.4</v>
      </c>
      <c r="DD237" s="91">
        <v>1.6</v>
      </c>
      <c r="DE237" s="91">
        <v>227</v>
      </c>
      <c r="DF237" s="82">
        <v>140</v>
      </c>
      <c r="DG237" s="9">
        <f t="shared" si="3"/>
        <v>4.7284439505347047</v>
      </c>
      <c r="DH237" s="82">
        <v>23</v>
      </c>
      <c r="DI237" s="6">
        <v>4.9000000000000004</v>
      </c>
      <c r="DJ237" s="6">
        <v>9</v>
      </c>
      <c r="DK237" s="6"/>
      <c r="DL237" s="6">
        <v>55</v>
      </c>
      <c r="DM237" s="6">
        <v>149</v>
      </c>
      <c r="DN237" s="6"/>
      <c r="DQ237" s="6" t="s">
        <v>105</v>
      </c>
      <c r="DR237" s="9">
        <v>2</v>
      </c>
    </row>
    <row r="238" spans="1:125" x14ac:dyDescent="0.2">
      <c r="A238" s="6">
        <v>159</v>
      </c>
      <c r="B238" s="8">
        <v>42800</v>
      </c>
      <c r="C238" s="6" t="s">
        <v>95</v>
      </c>
      <c r="D238" s="6">
        <v>68</v>
      </c>
      <c r="E238" s="6" t="s">
        <v>100</v>
      </c>
      <c r="F238" s="17">
        <v>17617</v>
      </c>
      <c r="G238" s="6"/>
      <c r="H238" s="6"/>
      <c r="K238" s="9" t="s">
        <v>2384</v>
      </c>
      <c r="L238" s="6">
        <v>5</v>
      </c>
      <c r="M238" s="6" t="s">
        <v>483</v>
      </c>
      <c r="N238" s="6" t="s">
        <v>483</v>
      </c>
      <c r="O238" s="15" t="s">
        <v>588</v>
      </c>
      <c r="P238" s="6" t="s">
        <v>99</v>
      </c>
      <c r="Q238" s="15" t="s">
        <v>2385</v>
      </c>
      <c r="R238" s="6"/>
      <c r="S238" s="6" t="s">
        <v>588</v>
      </c>
      <c r="T238" s="6" t="s">
        <v>588</v>
      </c>
      <c r="U238" s="6"/>
      <c r="W238" s="16" t="s">
        <v>2386</v>
      </c>
      <c r="X238" s="6"/>
      <c r="Y238" s="6" t="s">
        <v>2383</v>
      </c>
      <c r="AA238" s="9" t="s">
        <v>100</v>
      </c>
      <c r="AB238" s="6" t="s">
        <v>100</v>
      </c>
      <c r="AC238" s="6" t="s">
        <v>100</v>
      </c>
      <c r="AD238" s="9" t="s">
        <v>100</v>
      </c>
      <c r="AE238" s="10" t="s">
        <v>110</v>
      </c>
      <c r="AF238" s="10" t="s">
        <v>110</v>
      </c>
      <c r="AG238" s="10" t="s">
        <v>110</v>
      </c>
      <c r="AH238" s="10" t="s">
        <v>110</v>
      </c>
      <c r="AI238" s="9" t="s">
        <v>99</v>
      </c>
      <c r="AJ238" s="9" t="s">
        <v>99</v>
      </c>
      <c r="AK238" s="9" t="s">
        <v>99</v>
      </c>
      <c r="AL238" s="6">
        <v>64.2</v>
      </c>
      <c r="AM238" s="9">
        <v>155</v>
      </c>
      <c r="AN238" s="15">
        <v>90</v>
      </c>
      <c r="AO238" s="6">
        <v>103</v>
      </c>
      <c r="AP238" s="6">
        <v>40.5</v>
      </c>
      <c r="AQ238" s="6">
        <v>10</v>
      </c>
      <c r="AR238" s="6">
        <v>24.8</v>
      </c>
      <c r="AS238" s="6">
        <v>67</v>
      </c>
      <c r="AT238" s="6">
        <v>26.7</v>
      </c>
      <c r="AU238" s="6">
        <v>107</v>
      </c>
      <c r="AV238" s="6">
        <v>66</v>
      </c>
      <c r="DC238" s="82">
        <v>82.1</v>
      </c>
      <c r="DD238" s="91">
        <v>1</v>
      </c>
      <c r="DE238" s="91">
        <v>240</v>
      </c>
      <c r="DF238" s="91">
        <v>170</v>
      </c>
      <c r="DG238" s="9">
        <f t="shared" si="3"/>
        <v>4.7718682267543224</v>
      </c>
      <c r="DH238" s="82"/>
      <c r="DI238" s="6">
        <v>4.8</v>
      </c>
      <c r="DJ238" s="6">
        <v>10</v>
      </c>
      <c r="DK238" s="6"/>
      <c r="DL238" s="6">
        <v>62</v>
      </c>
      <c r="DM238" s="6">
        <v>145</v>
      </c>
      <c r="DN238" s="6"/>
      <c r="DQ238" s="6" t="s">
        <v>111</v>
      </c>
      <c r="DT238" s="9">
        <v>11.3</v>
      </c>
      <c r="DU238" s="9">
        <v>3.48</v>
      </c>
    </row>
    <row r="239" spans="1:125" x14ac:dyDescent="0.2">
      <c r="A239" s="79">
        <v>160</v>
      </c>
      <c r="B239" s="8">
        <v>42800</v>
      </c>
      <c r="C239" s="6" t="s">
        <v>95</v>
      </c>
      <c r="D239" s="6">
        <v>43</v>
      </c>
      <c r="E239" s="6" t="s">
        <v>100</v>
      </c>
      <c r="G239" s="6" t="s">
        <v>2387</v>
      </c>
      <c r="H239" s="6"/>
      <c r="L239" s="6"/>
      <c r="M239" s="6" t="s">
        <v>99</v>
      </c>
      <c r="N239" s="6" t="s">
        <v>99</v>
      </c>
      <c r="O239" s="6" t="s">
        <v>110</v>
      </c>
      <c r="P239" s="6" t="s">
        <v>99</v>
      </c>
      <c r="Q239" s="6" t="s">
        <v>99</v>
      </c>
      <c r="R239" s="6"/>
      <c r="S239" s="6" t="s">
        <v>110</v>
      </c>
      <c r="T239" s="6" t="s">
        <v>110</v>
      </c>
      <c r="U239" s="6"/>
      <c r="W239" s="6"/>
      <c r="X239" s="6"/>
      <c r="Y239" s="6" t="s">
        <v>2383</v>
      </c>
      <c r="AA239" s="9" t="s">
        <v>100</v>
      </c>
      <c r="AB239" s="6" t="s">
        <v>100</v>
      </c>
      <c r="AC239" s="6" t="s">
        <v>100</v>
      </c>
      <c r="AD239" s="9" t="s">
        <v>100</v>
      </c>
      <c r="AE239" s="15" t="s">
        <v>2388</v>
      </c>
      <c r="AF239" s="15" t="s">
        <v>2389</v>
      </c>
      <c r="AG239" s="15" t="s">
        <v>2390</v>
      </c>
      <c r="AH239" s="15" t="s">
        <v>2391</v>
      </c>
      <c r="AI239" s="15" t="s">
        <v>118</v>
      </c>
      <c r="AJ239" s="6"/>
      <c r="AK239" s="6"/>
      <c r="AL239" s="6">
        <v>53.6</v>
      </c>
      <c r="AM239" s="9">
        <v>156</v>
      </c>
      <c r="AN239" s="6">
        <v>73.5</v>
      </c>
      <c r="AO239" s="6">
        <v>95.5</v>
      </c>
      <c r="AP239" s="6">
        <v>32.6</v>
      </c>
      <c r="AQ239" s="6">
        <v>5</v>
      </c>
      <c r="AR239" s="6">
        <v>27.1</v>
      </c>
      <c r="AS239" s="6">
        <v>40</v>
      </c>
      <c r="AT239" s="79">
        <v>22</v>
      </c>
      <c r="AU239" s="6">
        <v>110</v>
      </c>
      <c r="AV239" s="6">
        <v>73</v>
      </c>
      <c r="DC239" s="82">
        <v>89.8</v>
      </c>
      <c r="DD239" s="91">
        <v>1.8</v>
      </c>
      <c r="DE239" s="82">
        <v>170</v>
      </c>
      <c r="DF239" s="82">
        <v>140</v>
      </c>
      <c r="DG239" s="9">
        <f t="shared" si="3"/>
        <v>4.719613698958729</v>
      </c>
      <c r="DH239" s="82"/>
      <c r="DI239" s="6">
        <v>5.3</v>
      </c>
      <c r="DJ239" s="6">
        <v>6</v>
      </c>
      <c r="DK239" s="6"/>
      <c r="DL239" s="6">
        <v>50</v>
      </c>
      <c r="DM239" s="6">
        <v>145</v>
      </c>
      <c r="DN239" s="6"/>
      <c r="DP239" s="18">
        <v>1</v>
      </c>
      <c r="DQ239" s="6" t="s">
        <v>111</v>
      </c>
      <c r="DR239" s="9">
        <v>3</v>
      </c>
      <c r="DT239" s="9">
        <v>12.44</v>
      </c>
      <c r="DU239" s="9">
        <v>3.9</v>
      </c>
    </row>
    <row r="240" spans="1:125" x14ac:dyDescent="0.2">
      <c r="A240" s="6">
        <v>161</v>
      </c>
      <c r="B240" s="8">
        <v>42800</v>
      </c>
      <c r="C240" s="6" t="s">
        <v>107</v>
      </c>
      <c r="D240" s="6">
        <v>39</v>
      </c>
      <c r="E240" s="6" t="s">
        <v>100</v>
      </c>
      <c r="G240" s="6"/>
      <c r="H240" s="6"/>
      <c r="L240" s="6"/>
      <c r="M240" s="6" t="s">
        <v>99</v>
      </c>
      <c r="N240" s="6" t="s">
        <v>99</v>
      </c>
      <c r="O240" s="6" t="s">
        <v>99</v>
      </c>
      <c r="P240" s="15" t="s">
        <v>110</v>
      </c>
      <c r="Q240" s="15" t="s">
        <v>110</v>
      </c>
      <c r="R240" s="6"/>
      <c r="S240" s="6"/>
      <c r="T240" s="6"/>
      <c r="U240" s="6"/>
      <c r="W240" s="6"/>
      <c r="X240" s="6"/>
      <c r="Y240" s="6" t="s">
        <v>2383</v>
      </c>
      <c r="AA240" s="9" t="s">
        <v>100</v>
      </c>
      <c r="AB240" s="6" t="s">
        <v>100</v>
      </c>
      <c r="AC240" s="6" t="s">
        <v>100</v>
      </c>
      <c r="AD240" s="9" t="s">
        <v>100</v>
      </c>
      <c r="AE240" s="6"/>
      <c r="AF240" s="6"/>
      <c r="AG240" s="6"/>
      <c r="AH240" s="6"/>
      <c r="AI240" s="6"/>
      <c r="AJ240" s="6"/>
      <c r="AK240" s="6"/>
      <c r="AL240" s="6">
        <v>73.400000000000006</v>
      </c>
      <c r="AM240" s="9">
        <v>178</v>
      </c>
      <c r="AN240" s="6">
        <v>85</v>
      </c>
      <c r="AO240" s="6"/>
      <c r="AP240" s="6">
        <v>20.8</v>
      </c>
      <c r="AQ240" s="6">
        <v>7</v>
      </c>
      <c r="AR240" s="6">
        <v>37.4</v>
      </c>
      <c r="AS240" s="6">
        <v>40</v>
      </c>
      <c r="AT240" s="79">
        <v>23.2</v>
      </c>
      <c r="AU240" s="6">
        <v>117</v>
      </c>
      <c r="AV240" s="6">
        <v>80</v>
      </c>
      <c r="DC240" s="6">
        <v>85.8</v>
      </c>
      <c r="DD240" s="15">
        <v>1.5</v>
      </c>
      <c r="DE240" s="15">
        <v>219</v>
      </c>
      <c r="DF240" s="6">
        <v>145</v>
      </c>
      <c r="DG240" s="9">
        <f t="shared" si="3"/>
        <v>4.7143763744572453</v>
      </c>
      <c r="DH240" s="6"/>
      <c r="DI240" s="6">
        <v>6</v>
      </c>
      <c r="DJ240" s="6">
        <v>8</v>
      </c>
      <c r="DK240" s="6"/>
      <c r="DL240" s="6">
        <v>50</v>
      </c>
      <c r="DM240" s="6">
        <v>167</v>
      </c>
      <c r="DN240" s="6"/>
      <c r="DQ240" s="6" t="s">
        <v>111</v>
      </c>
      <c r="DR240" s="9">
        <v>2</v>
      </c>
    </row>
    <row r="241" spans="1:125" ht="16" x14ac:dyDescent="0.2">
      <c r="A241" s="92" t="s">
        <v>2392</v>
      </c>
      <c r="B241" s="8">
        <v>42817</v>
      </c>
      <c r="C241" s="6" t="s">
        <v>107</v>
      </c>
      <c r="D241" s="6">
        <v>28</v>
      </c>
      <c r="E241" s="6" t="s">
        <v>2234</v>
      </c>
      <c r="F241" s="17">
        <v>32441</v>
      </c>
      <c r="G241" s="6" t="s">
        <v>2393</v>
      </c>
      <c r="H241" s="6"/>
      <c r="L241" s="6"/>
      <c r="M241" s="6" t="s">
        <v>99</v>
      </c>
      <c r="N241" s="6" t="s">
        <v>99</v>
      </c>
      <c r="O241" s="6" t="s">
        <v>99</v>
      </c>
      <c r="P241" s="6" t="s">
        <v>99</v>
      </c>
      <c r="Q241" s="15" t="s">
        <v>110</v>
      </c>
      <c r="R241" s="6"/>
      <c r="S241" s="6" t="s">
        <v>110</v>
      </c>
      <c r="T241" s="6" t="s">
        <v>99</v>
      </c>
      <c r="U241" s="6"/>
      <c r="W241" s="15" t="s">
        <v>2394</v>
      </c>
      <c r="X241" s="6"/>
      <c r="Y241" s="6" t="s">
        <v>99</v>
      </c>
      <c r="AA241" s="9" t="s">
        <v>2234</v>
      </c>
      <c r="AB241" s="85" t="s">
        <v>2395</v>
      </c>
      <c r="AC241" s="6" t="s">
        <v>2234</v>
      </c>
      <c r="AD241" s="34" t="s">
        <v>2396</v>
      </c>
      <c r="AE241" s="15" t="s">
        <v>2397</v>
      </c>
      <c r="AF241" s="15" t="s">
        <v>2398</v>
      </c>
      <c r="AG241" s="6" t="s">
        <v>99</v>
      </c>
      <c r="AH241" s="15" t="s">
        <v>125</v>
      </c>
      <c r="AI241" s="15" t="s">
        <v>2264</v>
      </c>
      <c r="AJ241" s="15" t="s">
        <v>2399</v>
      </c>
      <c r="AK241" s="15" t="s">
        <v>2400</v>
      </c>
      <c r="AL241" s="6">
        <v>109.2</v>
      </c>
      <c r="AM241" s="9">
        <v>175</v>
      </c>
      <c r="AN241" s="15">
        <v>108</v>
      </c>
      <c r="AO241" s="6">
        <v>123</v>
      </c>
      <c r="AP241" s="6">
        <v>40.700000000000003</v>
      </c>
      <c r="AQ241" s="6">
        <v>17</v>
      </c>
      <c r="AR241" s="6">
        <v>27.8</v>
      </c>
      <c r="AS241" s="6">
        <v>71</v>
      </c>
      <c r="AT241" s="6">
        <v>35.700000000000003</v>
      </c>
      <c r="AU241" s="6">
        <v>128</v>
      </c>
      <c r="AV241" s="15">
        <v>93</v>
      </c>
      <c r="AX241" s="9" t="s">
        <v>2401</v>
      </c>
      <c r="AY241" s="9" t="s">
        <v>2402</v>
      </c>
      <c r="AZ241" s="9" t="s">
        <v>2403</v>
      </c>
      <c r="BB241" s="9" t="s">
        <v>2404</v>
      </c>
      <c r="BC241" s="9" t="s">
        <v>2405</v>
      </c>
      <c r="BD241" s="9" t="s">
        <v>2406</v>
      </c>
      <c r="BF241" s="9" t="s">
        <v>176</v>
      </c>
      <c r="BG241" s="9" t="s">
        <v>2407</v>
      </c>
      <c r="BH241" s="9" t="s">
        <v>601</v>
      </c>
      <c r="BI241" s="9" t="s">
        <v>176</v>
      </c>
      <c r="BJ241" s="9" t="s">
        <v>99</v>
      </c>
      <c r="BK241" s="9" t="s">
        <v>594</v>
      </c>
      <c r="BM241" s="9" t="s">
        <v>352</v>
      </c>
      <c r="BN241" s="9" t="s">
        <v>178</v>
      </c>
      <c r="BO241" s="9" t="s">
        <v>734</v>
      </c>
      <c r="BQ241" s="9" t="s">
        <v>99</v>
      </c>
      <c r="BV241" s="9" t="s">
        <v>857</v>
      </c>
      <c r="BZ241" s="9" t="s">
        <v>2408</v>
      </c>
      <c r="CA241" s="9" t="s">
        <v>182</v>
      </c>
      <c r="CB241" s="9" t="s">
        <v>1137</v>
      </c>
      <c r="CD241" s="9" t="s">
        <v>99</v>
      </c>
      <c r="CH241" s="9" t="s">
        <v>99</v>
      </c>
      <c r="CL241" s="9" t="s">
        <v>2409</v>
      </c>
      <c r="CN241" s="9" t="s">
        <v>1181</v>
      </c>
      <c r="CO241" s="9" t="s">
        <v>2410</v>
      </c>
      <c r="CR241" s="9" t="s">
        <v>361</v>
      </c>
      <c r="CS241" s="9" t="s">
        <v>716</v>
      </c>
      <c r="CT241" s="9" t="s">
        <v>362</v>
      </c>
      <c r="CV241" s="9" t="s">
        <v>2411</v>
      </c>
      <c r="CW241" s="9" t="s">
        <v>2412</v>
      </c>
      <c r="DA241" s="9" t="s">
        <v>2413</v>
      </c>
      <c r="DC241" s="91">
        <v>105</v>
      </c>
      <c r="DD241" s="91">
        <v>1</v>
      </c>
      <c r="DE241" s="82">
        <v>190</v>
      </c>
      <c r="DF241" s="82">
        <v>145</v>
      </c>
      <c r="DG241" s="9">
        <f t="shared" si="3"/>
        <v>4.8153470462890491</v>
      </c>
      <c r="DH241" s="82">
        <v>10</v>
      </c>
      <c r="DI241" s="82">
        <v>8.74</v>
      </c>
      <c r="DJ241" s="82">
        <v>18</v>
      </c>
      <c r="DK241" s="6"/>
      <c r="DL241" s="6">
        <v>49.2</v>
      </c>
      <c r="DM241" s="6">
        <v>130</v>
      </c>
      <c r="DN241" s="6"/>
      <c r="DQ241" s="6" t="s">
        <v>105</v>
      </c>
      <c r="DR241" s="9">
        <v>3</v>
      </c>
      <c r="DT241" s="9">
        <v>6.66</v>
      </c>
      <c r="DU241" s="9">
        <v>1.63</v>
      </c>
    </row>
    <row r="242" spans="1:125" x14ac:dyDescent="0.2">
      <c r="A242" s="93" t="s">
        <v>2414</v>
      </c>
      <c r="B242" s="8">
        <v>42534</v>
      </c>
      <c r="C242" s="6" t="s">
        <v>95</v>
      </c>
      <c r="D242" s="6">
        <v>51</v>
      </c>
      <c r="E242" s="6" t="s">
        <v>100</v>
      </c>
      <c r="G242" s="6"/>
      <c r="H242" s="6"/>
      <c r="L242" s="6"/>
      <c r="M242" s="15" t="s">
        <v>2415</v>
      </c>
      <c r="N242" s="6" t="s">
        <v>99</v>
      </c>
      <c r="O242" s="6" t="s">
        <v>99</v>
      </c>
      <c r="P242" s="15" t="s">
        <v>110</v>
      </c>
      <c r="Q242" s="6" t="s">
        <v>99</v>
      </c>
      <c r="R242" s="6"/>
      <c r="S242" s="6" t="s">
        <v>99</v>
      </c>
      <c r="T242" s="6"/>
      <c r="U242" s="6"/>
      <c r="W242" s="6"/>
      <c r="X242" s="6"/>
      <c r="Y242" s="15" t="s">
        <v>2416</v>
      </c>
      <c r="AA242" s="9" t="s">
        <v>100</v>
      </c>
      <c r="AB242" s="6" t="s">
        <v>100</v>
      </c>
      <c r="AC242" s="6" t="s">
        <v>100</v>
      </c>
      <c r="AD242" s="9" t="s">
        <v>100</v>
      </c>
      <c r="AE242" s="15" t="s">
        <v>2417</v>
      </c>
      <c r="AF242" s="15" t="s">
        <v>2417</v>
      </c>
      <c r="AG242" s="15" t="s">
        <v>1232</v>
      </c>
      <c r="AH242" s="6" t="s">
        <v>99</v>
      </c>
      <c r="AI242" s="6" t="s">
        <v>99</v>
      </c>
      <c r="AJ242" s="6" t="s">
        <v>99</v>
      </c>
      <c r="AK242" s="6" t="s">
        <v>99</v>
      </c>
      <c r="AL242" s="6">
        <v>61.1</v>
      </c>
      <c r="AN242" s="15">
        <v>81.5</v>
      </c>
      <c r="AO242" s="6">
        <v>94</v>
      </c>
      <c r="AP242" s="6">
        <v>32.700000000000003</v>
      </c>
      <c r="AQ242" s="6">
        <v>6</v>
      </c>
      <c r="AR242" s="6">
        <v>28.7</v>
      </c>
      <c r="AS242" s="6">
        <v>46</v>
      </c>
      <c r="AT242" s="79">
        <v>23.6</v>
      </c>
      <c r="AU242" s="6">
        <v>111</v>
      </c>
      <c r="AV242" s="6">
        <v>71</v>
      </c>
      <c r="DC242" s="16">
        <v>283</v>
      </c>
      <c r="DD242" s="6"/>
      <c r="DE242" s="15">
        <v>244</v>
      </c>
      <c r="DF242" s="15">
        <v>209</v>
      </c>
      <c r="DG242" s="9">
        <f t="shared" si="3"/>
        <v>5.4938905748040243</v>
      </c>
      <c r="DH242" s="6"/>
      <c r="DI242" s="6"/>
      <c r="DJ242" s="6"/>
      <c r="DK242" s="6"/>
      <c r="DL242" s="6"/>
      <c r="DM242" s="6"/>
      <c r="DN242" s="6"/>
      <c r="DP242" s="11">
        <v>2</v>
      </c>
      <c r="DQ242" s="6" t="s">
        <v>105</v>
      </c>
      <c r="DR242" s="9">
        <v>3</v>
      </c>
      <c r="DT242" s="9">
        <v>3.83</v>
      </c>
    </row>
    <row r="243" spans="1:125" x14ac:dyDescent="0.2">
      <c r="A243" s="78">
        <v>164</v>
      </c>
      <c r="B243" s="8">
        <v>42831</v>
      </c>
      <c r="C243" s="6" t="s">
        <v>107</v>
      </c>
      <c r="D243" s="6">
        <v>44</v>
      </c>
      <c r="E243" s="6" t="s">
        <v>100</v>
      </c>
      <c r="G243" s="6"/>
      <c r="H243" s="6"/>
      <c r="L243" s="6"/>
      <c r="M243" s="6" t="s">
        <v>99</v>
      </c>
      <c r="N243" s="6" t="s">
        <v>99</v>
      </c>
      <c r="O243" s="6" t="s">
        <v>99</v>
      </c>
      <c r="P243" s="6" t="s">
        <v>99</v>
      </c>
      <c r="Q243" s="6" t="s">
        <v>99</v>
      </c>
      <c r="R243" s="6" t="s">
        <v>110</v>
      </c>
      <c r="S243" s="6" t="s">
        <v>99</v>
      </c>
      <c r="T243" s="6" t="s">
        <v>99</v>
      </c>
      <c r="U243" s="6" t="s">
        <v>2418</v>
      </c>
      <c r="W243" s="6" t="s">
        <v>2419</v>
      </c>
      <c r="X243" s="6"/>
      <c r="Y243" s="6" t="s">
        <v>99</v>
      </c>
      <c r="AA243" s="85" t="s">
        <v>1001</v>
      </c>
      <c r="AB243" s="85" t="s">
        <v>1001</v>
      </c>
      <c r="AC243" s="85" t="s">
        <v>1001</v>
      </c>
      <c r="AD243" s="85" t="s">
        <v>1001</v>
      </c>
      <c r="AE243" s="6"/>
      <c r="AF243" s="6"/>
      <c r="AG243" s="15" t="s">
        <v>2420</v>
      </c>
      <c r="AH243" s="15" t="s">
        <v>118</v>
      </c>
      <c r="AI243" s="6"/>
      <c r="AJ243" s="6"/>
      <c r="AK243" s="6"/>
      <c r="AL243" s="6">
        <v>96.3</v>
      </c>
      <c r="AN243" s="15">
        <v>109.5</v>
      </c>
      <c r="AO243" s="6"/>
      <c r="AP243" s="6">
        <v>39.9</v>
      </c>
      <c r="AQ243" s="6">
        <v>21</v>
      </c>
      <c r="AR243" s="6">
        <v>27.7</v>
      </c>
      <c r="AS243" s="6">
        <v>66</v>
      </c>
      <c r="AT243" s="6">
        <v>36.200000000000003</v>
      </c>
      <c r="AU243" s="15">
        <v>138</v>
      </c>
      <c r="AV243" s="15">
        <v>85</v>
      </c>
      <c r="AX243" s="9" t="s">
        <v>2421</v>
      </c>
      <c r="AY243" s="9" t="s">
        <v>2422</v>
      </c>
      <c r="AZ243" s="9" t="s">
        <v>2423</v>
      </c>
      <c r="BB243" s="9" t="s">
        <v>2424</v>
      </c>
      <c r="BC243" s="9" t="s">
        <v>2425</v>
      </c>
      <c r="BF243" s="9" t="s">
        <v>2426</v>
      </c>
      <c r="BG243" s="9" t="s">
        <v>2427</v>
      </c>
      <c r="BH243" s="9" t="s">
        <v>2428</v>
      </c>
      <c r="BI243" s="9" t="s">
        <v>2428</v>
      </c>
      <c r="BJ243" s="9" t="s">
        <v>2429</v>
      </c>
      <c r="BK243" s="9" t="s">
        <v>2430</v>
      </c>
      <c r="BN243" s="9" t="s">
        <v>2431</v>
      </c>
      <c r="BO243" s="9" t="s">
        <v>1293</v>
      </c>
      <c r="BP243" s="9" t="s">
        <v>2432</v>
      </c>
      <c r="BR243" s="9" t="s">
        <v>483</v>
      </c>
      <c r="BV243" s="9" t="s">
        <v>483</v>
      </c>
      <c r="BZ243" s="9" t="s">
        <v>2433</v>
      </c>
      <c r="CA243" s="9" t="s">
        <v>2434</v>
      </c>
      <c r="CB243" s="9" t="s">
        <v>944</v>
      </c>
      <c r="CD243" s="9" t="s">
        <v>483</v>
      </c>
      <c r="CH243" s="9" t="s">
        <v>483</v>
      </c>
      <c r="CL243" s="9" t="s">
        <v>2435</v>
      </c>
      <c r="CM243" s="9" t="s">
        <v>2436</v>
      </c>
      <c r="CP243" s="9" t="s">
        <v>637</v>
      </c>
      <c r="CT243" s="9" t="s">
        <v>2437</v>
      </c>
      <c r="CW243" s="9">
        <v>2</v>
      </c>
      <c r="CX243" s="9" t="s">
        <v>483</v>
      </c>
      <c r="DC243" s="13">
        <v>83</v>
      </c>
      <c r="DD243" s="6">
        <v>1.6</v>
      </c>
      <c r="DE243" s="6">
        <v>174</v>
      </c>
      <c r="DF243" s="15">
        <v>170</v>
      </c>
      <c r="DG243" s="9">
        <f t="shared" si="3"/>
        <v>4.7773195224234302</v>
      </c>
      <c r="DH243" s="6"/>
      <c r="DI243" s="6">
        <v>5.3</v>
      </c>
      <c r="DJ243" s="6">
        <v>13</v>
      </c>
      <c r="DK243" s="6"/>
      <c r="DL243" s="6">
        <v>50</v>
      </c>
      <c r="DM243" s="6">
        <v>116</v>
      </c>
      <c r="DN243" s="6"/>
      <c r="DP243" s="18">
        <v>1</v>
      </c>
      <c r="DQ243" s="6" t="s">
        <v>111</v>
      </c>
      <c r="DR243" s="9">
        <v>3</v>
      </c>
      <c r="DT243" s="9">
        <v>7.5</v>
      </c>
      <c r="DU243" s="9">
        <v>6.8</v>
      </c>
    </row>
    <row r="244" spans="1:125" x14ac:dyDescent="0.2">
      <c r="A244" s="6">
        <v>165</v>
      </c>
      <c r="B244" s="8">
        <v>42832</v>
      </c>
      <c r="C244" s="6" t="s">
        <v>95</v>
      </c>
      <c r="D244" s="6">
        <v>51</v>
      </c>
      <c r="E244" s="6" t="s">
        <v>100</v>
      </c>
      <c r="F244" s="17">
        <v>23930</v>
      </c>
      <c r="G244" s="6"/>
      <c r="H244" s="6"/>
      <c r="I244" s="9">
        <v>14</v>
      </c>
      <c r="J244" s="9" t="s">
        <v>99</v>
      </c>
      <c r="K244" s="9">
        <v>22</v>
      </c>
      <c r="L244" s="6" t="s">
        <v>2438</v>
      </c>
      <c r="M244" s="6" t="s">
        <v>99</v>
      </c>
      <c r="N244" s="6" t="s">
        <v>99</v>
      </c>
      <c r="O244" s="6" t="s">
        <v>99</v>
      </c>
      <c r="P244" s="6" t="s">
        <v>99</v>
      </c>
      <c r="Q244" s="6" t="s">
        <v>99</v>
      </c>
      <c r="R244" s="6"/>
      <c r="S244" s="6" t="s">
        <v>99</v>
      </c>
      <c r="T244" s="6" t="s">
        <v>99</v>
      </c>
      <c r="U244" s="6" t="s">
        <v>2439</v>
      </c>
      <c r="W244" s="6" t="s">
        <v>2440</v>
      </c>
      <c r="X244" s="6"/>
      <c r="Y244" s="6" t="s">
        <v>2441</v>
      </c>
      <c r="AA244" s="9" t="s">
        <v>100</v>
      </c>
      <c r="AB244" s="16" t="s">
        <v>2339</v>
      </c>
      <c r="AC244" s="6" t="s">
        <v>100</v>
      </c>
      <c r="AD244" s="14" t="s">
        <v>2339</v>
      </c>
      <c r="AE244" s="6" t="s">
        <v>2442</v>
      </c>
      <c r="AF244" s="6" t="s">
        <v>118</v>
      </c>
      <c r="AG244" s="6" t="s">
        <v>118</v>
      </c>
      <c r="AH244" s="6" t="s">
        <v>125</v>
      </c>
      <c r="AI244" s="6" t="s">
        <v>99</v>
      </c>
      <c r="AJ244" s="6" t="s">
        <v>99</v>
      </c>
      <c r="AK244" s="6" t="s">
        <v>99</v>
      </c>
      <c r="AL244" s="6">
        <v>66</v>
      </c>
      <c r="AN244" s="15">
        <v>87</v>
      </c>
      <c r="AO244" s="6">
        <v>104.5</v>
      </c>
      <c r="AP244" s="6">
        <v>41.9</v>
      </c>
      <c r="AQ244" s="6">
        <v>8</v>
      </c>
      <c r="AR244" s="6">
        <v>23.9</v>
      </c>
      <c r="AS244" s="6">
        <v>55</v>
      </c>
      <c r="AT244" s="6">
        <v>26.6</v>
      </c>
      <c r="AU244" s="6">
        <v>109</v>
      </c>
      <c r="AV244" s="6">
        <v>74</v>
      </c>
      <c r="AX244" s="9" t="s">
        <v>2443</v>
      </c>
      <c r="AY244" s="9" t="s">
        <v>573</v>
      </c>
      <c r="AZ244" s="9" t="s">
        <v>1657</v>
      </c>
      <c r="BB244" s="9" t="s">
        <v>750</v>
      </c>
      <c r="BF244" s="9" t="s">
        <v>2444</v>
      </c>
      <c r="BG244" s="9" t="s">
        <v>175</v>
      </c>
      <c r="BI244" s="9" t="s">
        <v>2445</v>
      </c>
      <c r="BJ244" s="9" t="s">
        <v>1173</v>
      </c>
      <c r="BK244" s="9" t="s">
        <v>2445</v>
      </c>
      <c r="BN244" s="9" t="s">
        <v>2446</v>
      </c>
      <c r="BO244" s="9" t="s">
        <v>219</v>
      </c>
      <c r="BP244" s="9" t="s">
        <v>352</v>
      </c>
      <c r="BR244" s="9" t="s">
        <v>99</v>
      </c>
      <c r="BV244" s="9" t="s">
        <v>99</v>
      </c>
      <c r="BZ244" s="9" t="s">
        <v>182</v>
      </c>
      <c r="CA244" s="9" t="s">
        <v>183</v>
      </c>
      <c r="CB244" s="9" t="s">
        <v>752</v>
      </c>
      <c r="CD244" s="9" t="s">
        <v>99</v>
      </c>
      <c r="CH244" s="9" t="s">
        <v>99</v>
      </c>
      <c r="CL244" s="9" t="s">
        <v>2435</v>
      </c>
      <c r="CM244" s="9" t="s">
        <v>2447</v>
      </c>
      <c r="CN244" s="9" t="s">
        <v>2448</v>
      </c>
      <c r="CP244" s="9" t="s">
        <v>362</v>
      </c>
      <c r="CQ244" s="9" t="s">
        <v>716</v>
      </c>
      <c r="CR244" s="9" t="s">
        <v>361</v>
      </c>
      <c r="CT244" s="9" t="s">
        <v>2449</v>
      </c>
      <c r="CW244" s="9" t="s">
        <v>2450</v>
      </c>
      <c r="CX244" s="9" t="s">
        <v>110</v>
      </c>
      <c r="CY244" s="9" t="s">
        <v>110</v>
      </c>
      <c r="DC244" s="6">
        <v>90</v>
      </c>
      <c r="DD244" s="6">
        <v>1.6</v>
      </c>
      <c r="DE244" s="6">
        <v>180</v>
      </c>
      <c r="DF244" s="6">
        <v>113</v>
      </c>
      <c r="DG244" s="9">
        <f t="shared" si="3"/>
        <v>4.6135987445213029</v>
      </c>
      <c r="DH244" s="6"/>
      <c r="DI244" s="6">
        <v>5.8</v>
      </c>
      <c r="DJ244" s="6">
        <v>16</v>
      </c>
      <c r="DK244" s="6"/>
      <c r="DL244" s="6">
        <v>46</v>
      </c>
      <c r="DM244" s="6">
        <v>125</v>
      </c>
      <c r="DN244" s="6"/>
      <c r="DP244" s="11">
        <v>2</v>
      </c>
      <c r="DQ244" s="6" t="s">
        <v>111</v>
      </c>
      <c r="DR244" s="9">
        <v>2</v>
      </c>
    </row>
    <row r="245" spans="1:125" x14ac:dyDescent="0.2">
      <c r="A245" s="6">
        <v>166</v>
      </c>
      <c r="B245" s="8">
        <v>42859</v>
      </c>
      <c r="C245" s="6" t="s">
        <v>95</v>
      </c>
      <c r="D245" s="6">
        <v>27</v>
      </c>
      <c r="E245" s="6" t="s">
        <v>100</v>
      </c>
      <c r="F245" s="17">
        <v>32721</v>
      </c>
      <c r="G245" s="6"/>
      <c r="H245" s="6"/>
      <c r="I245" s="9" t="s">
        <v>2451</v>
      </c>
      <c r="J245" s="9" t="s">
        <v>483</v>
      </c>
      <c r="K245" s="9" t="s">
        <v>2452</v>
      </c>
      <c r="L245" s="6">
        <v>3</v>
      </c>
      <c r="M245" s="6" t="s">
        <v>99</v>
      </c>
      <c r="N245" s="6" t="s">
        <v>99</v>
      </c>
      <c r="O245" s="6" t="s">
        <v>99</v>
      </c>
      <c r="P245" s="6" t="s">
        <v>483</v>
      </c>
      <c r="Q245" s="6" t="s">
        <v>483</v>
      </c>
      <c r="R245" s="6" t="s">
        <v>110</v>
      </c>
      <c r="S245" s="6" t="s">
        <v>110</v>
      </c>
      <c r="T245" s="6" t="s">
        <v>99</v>
      </c>
      <c r="U245" s="6" t="s">
        <v>2439</v>
      </c>
      <c r="W245" s="6" t="s">
        <v>2453</v>
      </c>
      <c r="X245" s="6"/>
      <c r="Y245" s="6" t="s">
        <v>930</v>
      </c>
      <c r="AA245" s="9" t="s">
        <v>100</v>
      </c>
      <c r="AB245" s="6" t="s">
        <v>100</v>
      </c>
      <c r="AC245" s="6" t="s">
        <v>100</v>
      </c>
      <c r="AD245" s="9" t="s">
        <v>100</v>
      </c>
      <c r="AE245" s="15" t="s">
        <v>125</v>
      </c>
      <c r="AF245" s="6" t="s">
        <v>483</v>
      </c>
      <c r="AG245" s="6" t="s">
        <v>483</v>
      </c>
      <c r="AH245" s="6" t="s">
        <v>483</v>
      </c>
      <c r="AI245" s="6" t="s">
        <v>483</v>
      </c>
      <c r="AJ245" s="6" t="s">
        <v>483</v>
      </c>
      <c r="AK245" s="6" t="s">
        <v>483</v>
      </c>
      <c r="AL245" s="6">
        <v>70.099999999999994</v>
      </c>
      <c r="AN245" s="15">
        <v>95</v>
      </c>
      <c r="AO245" s="6">
        <v>111</v>
      </c>
      <c r="AP245" s="6">
        <v>49.9</v>
      </c>
      <c r="AQ245" s="6">
        <v>8</v>
      </c>
      <c r="AR245" s="6">
        <v>22.2</v>
      </c>
      <c r="AS245" s="6">
        <v>62</v>
      </c>
      <c r="AT245" s="6">
        <v>34.799999999999997</v>
      </c>
      <c r="AU245" s="6">
        <v>104</v>
      </c>
      <c r="AV245" s="6">
        <v>76</v>
      </c>
      <c r="AX245" s="9" t="s">
        <v>2454</v>
      </c>
      <c r="AY245" s="9" t="s">
        <v>2455</v>
      </c>
      <c r="AZ245" s="9" t="s">
        <v>2421</v>
      </c>
      <c r="BB245" s="9" t="s">
        <v>2456</v>
      </c>
      <c r="BC245" s="9" t="s">
        <v>2457</v>
      </c>
      <c r="BD245" s="9" t="s">
        <v>2458</v>
      </c>
      <c r="BF245" s="9" t="s">
        <v>2459</v>
      </c>
      <c r="BG245" s="9" t="s">
        <v>2460</v>
      </c>
      <c r="BH245" s="9" t="s">
        <v>2461</v>
      </c>
      <c r="BI245" s="9" t="s">
        <v>2462</v>
      </c>
      <c r="BJ245" s="9" t="s">
        <v>2463</v>
      </c>
      <c r="BK245" s="9" t="s">
        <v>621</v>
      </c>
      <c r="BM245" s="9" t="s">
        <v>1021</v>
      </c>
      <c r="BN245" s="9" t="s">
        <v>625</v>
      </c>
      <c r="BO245" s="9" t="s">
        <v>2464</v>
      </c>
      <c r="BQ245" s="9" t="s">
        <v>483</v>
      </c>
      <c r="BV245" s="9" t="s">
        <v>2465</v>
      </c>
      <c r="BW245" s="9" t="s">
        <v>1832</v>
      </c>
      <c r="BZ245" s="9" t="s">
        <v>944</v>
      </c>
      <c r="CA245" s="9" t="s">
        <v>2466</v>
      </c>
      <c r="CB245" s="9" t="s">
        <v>2433</v>
      </c>
      <c r="CL245" s="9" t="s">
        <v>2467</v>
      </c>
      <c r="CM245" s="9" t="s">
        <v>1198</v>
      </c>
      <c r="CN245" s="9" t="s">
        <v>2468</v>
      </c>
      <c r="CP245" s="9" t="s">
        <v>637</v>
      </c>
      <c r="CT245" s="9" t="s">
        <v>2469</v>
      </c>
      <c r="CU245" s="9" t="s">
        <v>2470</v>
      </c>
      <c r="CV245" s="9" t="s">
        <v>2471</v>
      </c>
      <c r="CW245" s="45">
        <v>43558</v>
      </c>
      <c r="CX245" s="9" t="s">
        <v>483</v>
      </c>
      <c r="DC245" s="6">
        <v>88.3</v>
      </c>
      <c r="DD245" s="6">
        <v>1.06</v>
      </c>
      <c r="DE245" s="15">
        <v>242</v>
      </c>
      <c r="DF245" s="6">
        <v>142</v>
      </c>
      <c r="DG245" s="9">
        <f t="shared" si="3"/>
        <v>4.7182835826055873</v>
      </c>
      <c r="DH245" s="6">
        <v>24.3</v>
      </c>
      <c r="DI245" s="6">
        <v>4.74</v>
      </c>
      <c r="DJ245" s="6">
        <v>6.6</v>
      </c>
      <c r="DK245" s="6"/>
      <c r="DL245" s="6">
        <v>51.7</v>
      </c>
      <c r="DM245" s="6">
        <v>166</v>
      </c>
      <c r="DN245" s="6"/>
      <c r="DQ245" s="6" t="s">
        <v>111</v>
      </c>
    </row>
    <row r="246" spans="1:125" x14ac:dyDescent="0.2">
      <c r="A246" s="6">
        <v>167</v>
      </c>
      <c r="B246" s="8">
        <v>42860</v>
      </c>
      <c r="C246" s="6" t="s">
        <v>95</v>
      </c>
      <c r="D246" s="6">
        <v>25</v>
      </c>
      <c r="E246" s="6" t="s">
        <v>100</v>
      </c>
      <c r="F246" s="17">
        <v>33422</v>
      </c>
      <c r="G246" s="6"/>
      <c r="H246" s="6"/>
      <c r="I246" s="9" t="s">
        <v>606</v>
      </c>
      <c r="J246" s="9" t="s">
        <v>483</v>
      </c>
      <c r="L246" s="6"/>
      <c r="M246" s="6"/>
      <c r="N246" s="6"/>
      <c r="O246" s="6"/>
      <c r="P246" s="15" t="s">
        <v>588</v>
      </c>
      <c r="Q246" s="15" t="s">
        <v>588</v>
      </c>
      <c r="R246" s="6"/>
      <c r="S246" s="6"/>
      <c r="T246" s="6"/>
      <c r="U246" s="6"/>
      <c r="W246" s="6" t="s">
        <v>2472</v>
      </c>
      <c r="X246" s="6"/>
      <c r="Y246" s="6"/>
      <c r="AA246" s="9" t="s">
        <v>100</v>
      </c>
      <c r="AB246" s="6" t="s">
        <v>100</v>
      </c>
      <c r="AC246" s="6" t="s">
        <v>100</v>
      </c>
      <c r="AD246" s="9" t="s">
        <v>100</v>
      </c>
      <c r="AE246" s="15" t="s">
        <v>125</v>
      </c>
      <c r="AF246" s="6" t="s">
        <v>483</v>
      </c>
      <c r="AG246" s="6" t="s">
        <v>483</v>
      </c>
      <c r="AH246" s="6" t="s">
        <v>483</v>
      </c>
      <c r="AI246" s="6" t="s">
        <v>483</v>
      </c>
      <c r="AJ246" s="6" t="s">
        <v>483</v>
      </c>
      <c r="AK246" s="6" t="s">
        <v>483</v>
      </c>
      <c r="AL246" s="6">
        <v>73.2</v>
      </c>
      <c r="AN246" s="15">
        <v>95.5</v>
      </c>
      <c r="AO246" s="6">
        <v>110</v>
      </c>
      <c r="AP246" s="6">
        <v>46.2</v>
      </c>
      <c r="AQ246" s="6">
        <v>7</v>
      </c>
      <c r="AR246" s="6">
        <v>23.4</v>
      </c>
      <c r="AS246" s="6">
        <v>52</v>
      </c>
      <c r="AT246" s="6">
        <v>30.9</v>
      </c>
      <c r="AU246" s="6">
        <v>113</v>
      </c>
      <c r="AV246" s="6">
        <v>75</v>
      </c>
      <c r="DC246" s="6">
        <v>91.1</v>
      </c>
      <c r="DD246" s="6">
        <v>1.0900000000000001</v>
      </c>
      <c r="DE246" s="6">
        <v>175</v>
      </c>
      <c r="DF246" s="6">
        <v>141</v>
      </c>
      <c r="DG246" s="9">
        <f t="shared" si="3"/>
        <v>4.7303588473220408</v>
      </c>
      <c r="DH246" s="6">
        <v>9</v>
      </c>
      <c r="DI246" s="6">
        <v>7.49</v>
      </c>
      <c r="DJ246" s="6">
        <v>17</v>
      </c>
      <c r="DK246" s="6"/>
      <c r="DL246" s="6">
        <v>35</v>
      </c>
      <c r="DM246" s="6">
        <v>131</v>
      </c>
      <c r="DN246" s="6"/>
      <c r="DP246" s="11">
        <v>2</v>
      </c>
      <c r="DQ246" s="6" t="s">
        <v>105</v>
      </c>
      <c r="DR246" s="9">
        <v>3</v>
      </c>
    </row>
    <row r="247" spans="1:125" x14ac:dyDescent="0.2">
      <c r="A247" s="6">
        <v>168</v>
      </c>
      <c r="B247" s="8">
        <v>42899</v>
      </c>
      <c r="C247" s="6" t="s">
        <v>107</v>
      </c>
      <c r="D247" s="6">
        <v>22</v>
      </c>
      <c r="E247" s="88" t="s">
        <v>1203</v>
      </c>
      <c r="F247" s="17">
        <v>34837</v>
      </c>
      <c r="G247" s="6"/>
      <c r="H247" s="6"/>
      <c r="L247" s="6"/>
      <c r="M247" s="6" t="s">
        <v>99</v>
      </c>
      <c r="N247" s="6" t="s">
        <v>99</v>
      </c>
      <c r="O247" s="6" t="s">
        <v>99</v>
      </c>
      <c r="P247" s="15" t="s">
        <v>110</v>
      </c>
      <c r="Q247" s="15" t="s">
        <v>110</v>
      </c>
      <c r="R247" s="79" t="s">
        <v>99</v>
      </c>
      <c r="S247" s="6" t="s">
        <v>110</v>
      </c>
      <c r="T247" s="6" t="s">
        <v>99</v>
      </c>
      <c r="U247" s="6" t="s">
        <v>2473</v>
      </c>
      <c r="W247" s="6" t="s">
        <v>2474</v>
      </c>
      <c r="X247" s="6"/>
      <c r="Y247" s="15" t="s">
        <v>2475</v>
      </c>
      <c r="AA247" s="88" t="s">
        <v>1203</v>
      </c>
      <c r="AB247" s="88" t="s">
        <v>1203</v>
      </c>
      <c r="AC247" s="88" t="s">
        <v>1203</v>
      </c>
      <c r="AD247" s="88" t="s">
        <v>1203</v>
      </c>
      <c r="AE247" s="6" t="s">
        <v>99</v>
      </c>
      <c r="AF247" s="6" t="s">
        <v>99</v>
      </c>
      <c r="AG247" s="15" t="s">
        <v>2275</v>
      </c>
      <c r="AH247" s="6" t="s">
        <v>99</v>
      </c>
      <c r="AI247" s="6" t="s">
        <v>99</v>
      </c>
      <c r="AJ247" s="6" t="s">
        <v>99</v>
      </c>
      <c r="AK247" s="15" t="s">
        <v>2476</v>
      </c>
      <c r="AL247" s="6">
        <v>78.5</v>
      </c>
      <c r="AM247" s="9">
        <v>182</v>
      </c>
      <c r="AN247" s="6">
        <v>86</v>
      </c>
      <c r="AO247" s="6">
        <v>95</v>
      </c>
      <c r="AP247" s="6">
        <v>24.4</v>
      </c>
      <c r="AQ247" s="6">
        <v>5</v>
      </c>
      <c r="AR247" s="6">
        <v>36.6</v>
      </c>
      <c r="AS247" s="6">
        <v>40</v>
      </c>
      <c r="AT247" s="6">
        <v>23.3</v>
      </c>
      <c r="AU247" s="6">
        <v>118</v>
      </c>
      <c r="AV247" s="6">
        <v>74</v>
      </c>
      <c r="AX247" s="9" t="s">
        <v>2477</v>
      </c>
      <c r="AY247" s="9" t="s">
        <v>2478</v>
      </c>
      <c r="AZ247" s="9" t="s">
        <v>2479</v>
      </c>
      <c r="BB247" s="9" t="s">
        <v>2480</v>
      </c>
      <c r="BC247" s="9" t="s">
        <v>2481</v>
      </c>
      <c r="BD247" s="9" t="s">
        <v>2482</v>
      </c>
      <c r="BF247" s="9" t="s">
        <v>1099</v>
      </c>
      <c r="BG247" s="9" t="s">
        <v>1099</v>
      </c>
      <c r="BI247" s="9" t="s">
        <v>2483</v>
      </c>
      <c r="BJ247" s="9" t="s">
        <v>2483</v>
      </c>
      <c r="BN247" s="9" t="s">
        <v>178</v>
      </c>
      <c r="BO247" s="9" t="s">
        <v>352</v>
      </c>
      <c r="BP247" s="9" t="s">
        <v>179</v>
      </c>
      <c r="BZ247" s="9" t="s">
        <v>182</v>
      </c>
      <c r="CA247" s="9" t="s">
        <v>2484</v>
      </c>
      <c r="CB247" s="9" t="s">
        <v>752</v>
      </c>
      <c r="CL247" s="9" t="s">
        <v>1181</v>
      </c>
      <c r="CM247" s="9" t="s">
        <v>2485</v>
      </c>
      <c r="CN247" s="9" t="s">
        <v>2486</v>
      </c>
      <c r="CS247" s="9" t="s">
        <v>1099</v>
      </c>
      <c r="CT247" s="9" t="s">
        <v>2487</v>
      </c>
      <c r="CU247" s="9" t="s">
        <v>363</v>
      </c>
      <c r="CW247" s="9">
        <v>5</v>
      </c>
      <c r="CX247" s="9" t="s">
        <v>110</v>
      </c>
      <c r="CY247" s="9" t="s">
        <v>110</v>
      </c>
      <c r="DC247" s="6">
        <v>73.900000000000006</v>
      </c>
      <c r="DD247" s="6">
        <v>1.1299999999999999</v>
      </c>
      <c r="DE247" s="6">
        <v>133</v>
      </c>
      <c r="DF247" s="6">
        <v>60</v>
      </c>
      <c r="DG247" s="9">
        <f t="shared" si="3"/>
        <v>4.198528695088128</v>
      </c>
      <c r="DH247" s="6">
        <v>12</v>
      </c>
      <c r="DI247" s="6">
        <v>5.22</v>
      </c>
      <c r="DJ247" s="6">
        <v>36.299999999999997</v>
      </c>
      <c r="DK247" s="6"/>
      <c r="DL247" s="6">
        <v>31.6</v>
      </c>
      <c r="DM247" s="6">
        <v>89.4</v>
      </c>
      <c r="DN247" s="6"/>
      <c r="DQ247" s="6" t="s">
        <v>105</v>
      </c>
      <c r="DT247" s="9">
        <v>14</v>
      </c>
    </row>
    <row r="248" spans="1:125" x14ac:dyDescent="0.2">
      <c r="A248" s="16">
        <v>169</v>
      </c>
      <c r="B248" s="8">
        <v>42908</v>
      </c>
      <c r="C248" s="6" t="s">
        <v>107</v>
      </c>
      <c r="D248" s="6">
        <v>60</v>
      </c>
      <c r="E248" s="86" t="s">
        <v>2488</v>
      </c>
      <c r="F248" s="17">
        <v>20776</v>
      </c>
      <c r="G248" s="6" t="s">
        <v>2489</v>
      </c>
      <c r="H248" s="6" t="s">
        <v>109</v>
      </c>
      <c r="L248" s="6"/>
      <c r="M248" s="15" t="s">
        <v>110</v>
      </c>
      <c r="N248" s="6" t="s">
        <v>99</v>
      </c>
      <c r="O248" s="15" t="s">
        <v>110</v>
      </c>
      <c r="P248" s="6" t="s">
        <v>99</v>
      </c>
      <c r="Q248" s="15" t="s">
        <v>110</v>
      </c>
      <c r="R248" s="6" t="s">
        <v>110</v>
      </c>
      <c r="S248" s="6" t="s">
        <v>110</v>
      </c>
      <c r="T248" s="6" t="s">
        <v>99</v>
      </c>
      <c r="U248" s="6" t="s">
        <v>2490</v>
      </c>
      <c r="W248" s="6"/>
      <c r="X248" s="6" t="s">
        <v>99</v>
      </c>
      <c r="Y248" s="6" t="s">
        <v>2491</v>
      </c>
      <c r="AA248" s="86" t="s">
        <v>1738</v>
      </c>
      <c r="AB248" s="85" t="s">
        <v>2492</v>
      </c>
      <c r="AC248" s="86" t="s">
        <v>2488</v>
      </c>
      <c r="AE248" s="15" t="s">
        <v>2493</v>
      </c>
      <c r="AF248" s="15" t="s">
        <v>126</v>
      </c>
      <c r="AG248" s="15" t="s">
        <v>2306</v>
      </c>
      <c r="AH248" s="15" t="s">
        <v>126</v>
      </c>
      <c r="AI248" s="6"/>
      <c r="AJ248" s="6"/>
      <c r="AK248" s="15" t="s">
        <v>2494</v>
      </c>
      <c r="AL248" s="6">
        <v>103.5</v>
      </c>
      <c r="AN248" s="16">
        <v>122</v>
      </c>
      <c r="AO248" s="6">
        <v>116</v>
      </c>
      <c r="AP248" s="6">
        <v>35.299999999999997</v>
      </c>
      <c r="AQ248" s="6">
        <v>24</v>
      </c>
      <c r="AR248" s="6">
        <v>28.9</v>
      </c>
      <c r="AS248" s="6">
        <v>75</v>
      </c>
      <c r="AT248" s="6">
        <v>37.6</v>
      </c>
      <c r="AU248" s="16">
        <v>145</v>
      </c>
      <c r="AV248" s="6">
        <v>89</v>
      </c>
      <c r="DC248" s="16">
        <v>141.69999999999999</v>
      </c>
      <c r="DD248" s="6">
        <v>0.62</v>
      </c>
      <c r="DE248" s="16">
        <v>317</v>
      </c>
      <c r="DF248" s="16">
        <v>1332</v>
      </c>
      <c r="DG248" s="9">
        <f t="shared" si="3"/>
        <v>6.0740744988984847</v>
      </c>
      <c r="DH248" s="6"/>
      <c r="DI248" s="15">
        <v>8.3000000000000007</v>
      </c>
      <c r="DJ248" s="6">
        <v>27.8</v>
      </c>
      <c r="DK248" s="6"/>
      <c r="DL248" s="6">
        <v>27.8</v>
      </c>
      <c r="DM248" s="6"/>
      <c r="DN248" s="6"/>
      <c r="DP248" s="11">
        <v>3</v>
      </c>
      <c r="DQ248" s="6" t="s">
        <v>111</v>
      </c>
      <c r="DR248" s="9">
        <v>2</v>
      </c>
      <c r="DU248" s="9">
        <v>9.73</v>
      </c>
    </row>
    <row r="249" spans="1:125" x14ac:dyDescent="0.2">
      <c r="A249" s="6">
        <v>170</v>
      </c>
      <c r="B249" s="8">
        <v>42909</v>
      </c>
      <c r="C249" s="6" t="s">
        <v>95</v>
      </c>
      <c r="D249" s="6">
        <v>66</v>
      </c>
      <c r="E249" s="6" t="s">
        <v>100</v>
      </c>
      <c r="F249" s="17">
        <v>18599</v>
      </c>
      <c r="G249" s="6" t="s">
        <v>2495</v>
      </c>
      <c r="H249" s="6" t="s">
        <v>109</v>
      </c>
      <c r="I249" s="9" t="s">
        <v>236</v>
      </c>
      <c r="J249" s="10" t="s">
        <v>2496</v>
      </c>
      <c r="K249" s="9" t="s">
        <v>2497</v>
      </c>
      <c r="L249" s="6">
        <v>3</v>
      </c>
      <c r="M249" s="6" t="s">
        <v>99</v>
      </c>
      <c r="N249" s="6"/>
      <c r="O249" s="15" t="s">
        <v>110</v>
      </c>
      <c r="P249" s="15" t="s">
        <v>110</v>
      </c>
      <c r="Q249" s="15" t="s">
        <v>110</v>
      </c>
      <c r="R249" s="6" t="s">
        <v>110</v>
      </c>
      <c r="S249" s="6" t="s">
        <v>99</v>
      </c>
      <c r="T249" s="6" t="s">
        <v>110</v>
      </c>
      <c r="U249" s="6" t="s">
        <v>2498</v>
      </c>
      <c r="W249" s="6"/>
      <c r="X249" s="6"/>
      <c r="Y249" s="15" t="s">
        <v>2499</v>
      </c>
      <c r="AA249" s="9" t="s">
        <v>100</v>
      </c>
      <c r="AB249" s="6" t="s">
        <v>100</v>
      </c>
      <c r="AC249" s="6" t="s">
        <v>100</v>
      </c>
      <c r="AD249" s="9" t="s">
        <v>100</v>
      </c>
      <c r="AE249" s="15" t="s">
        <v>118</v>
      </c>
      <c r="AF249" s="6"/>
      <c r="AG249" s="6"/>
      <c r="AH249" s="6"/>
      <c r="AI249" s="15" t="s">
        <v>570</v>
      </c>
      <c r="AJ249" s="6"/>
      <c r="AK249" s="6"/>
      <c r="AL249" s="6">
        <v>87.3</v>
      </c>
      <c r="AM249" s="9">
        <v>162</v>
      </c>
      <c r="AN249" s="15">
        <v>106</v>
      </c>
      <c r="AO249" s="6">
        <v>106</v>
      </c>
      <c r="AP249" s="6">
        <v>42.1</v>
      </c>
      <c r="AQ249" s="6">
        <v>13</v>
      </c>
      <c r="AR249" s="6">
        <v>26</v>
      </c>
      <c r="AS249" s="6">
        <v>72</v>
      </c>
      <c r="AT249" s="6">
        <v>33.299999999999997</v>
      </c>
      <c r="AU249" s="6">
        <v>103</v>
      </c>
      <c r="AV249" s="6">
        <v>71</v>
      </c>
      <c r="DC249" s="82">
        <v>92</v>
      </c>
      <c r="DD249" s="82">
        <v>0.9</v>
      </c>
      <c r="DE249" s="91">
        <v>204</v>
      </c>
      <c r="DF249" s="91">
        <v>301</v>
      </c>
      <c r="DG249" s="9">
        <f t="shared" si="3"/>
        <v>5.1144494208989579</v>
      </c>
      <c r="DH249" s="82">
        <v>59</v>
      </c>
      <c r="DI249" s="82">
        <v>6</v>
      </c>
      <c r="DJ249" s="82">
        <v>17.600000000000001</v>
      </c>
      <c r="DK249" s="6"/>
      <c r="DL249" s="82">
        <v>55.2</v>
      </c>
      <c r="DM249" s="82">
        <v>89</v>
      </c>
      <c r="DN249" s="82"/>
      <c r="DP249" s="11">
        <v>3</v>
      </c>
      <c r="DQ249" s="6" t="s">
        <v>111</v>
      </c>
      <c r="DR249" s="9">
        <v>2</v>
      </c>
      <c r="DU249" s="9">
        <v>13.8</v>
      </c>
    </row>
    <row r="250" spans="1:125" x14ac:dyDescent="0.2">
      <c r="A250" s="79">
        <v>171</v>
      </c>
      <c r="B250" s="8">
        <v>42909</v>
      </c>
      <c r="C250" s="6" t="s">
        <v>95</v>
      </c>
      <c r="D250" s="6">
        <v>58</v>
      </c>
      <c r="E250" s="6" t="s">
        <v>100</v>
      </c>
      <c r="F250" s="17">
        <v>21675</v>
      </c>
      <c r="G250" s="6"/>
      <c r="H250" s="6" t="s">
        <v>109</v>
      </c>
      <c r="J250" s="10" t="s">
        <v>2500</v>
      </c>
      <c r="K250" s="9">
        <v>1996</v>
      </c>
      <c r="L250" s="6">
        <v>3</v>
      </c>
      <c r="M250" s="6" t="s">
        <v>99</v>
      </c>
      <c r="N250" s="6" t="s">
        <v>99</v>
      </c>
      <c r="O250" s="6" t="s">
        <v>99</v>
      </c>
      <c r="P250" s="6" t="s">
        <v>99</v>
      </c>
      <c r="Q250" s="6" t="s">
        <v>99</v>
      </c>
      <c r="R250" s="79" t="s">
        <v>99</v>
      </c>
      <c r="S250" s="6" t="s">
        <v>99</v>
      </c>
      <c r="T250" s="6" t="s">
        <v>99</v>
      </c>
      <c r="U250" s="6"/>
      <c r="W250" s="6"/>
      <c r="X250" s="6" t="s">
        <v>99</v>
      </c>
      <c r="Y250" s="6" t="s">
        <v>2501</v>
      </c>
      <c r="AA250" s="9" t="s">
        <v>100</v>
      </c>
      <c r="AB250" s="6" t="s">
        <v>100</v>
      </c>
      <c r="AC250" s="6" t="s">
        <v>100</v>
      </c>
      <c r="AD250" s="9" t="s">
        <v>100</v>
      </c>
      <c r="AE250" s="15" t="s">
        <v>2502</v>
      </c>
      <c r="AF250" s="6"/>
      <c r="AG250" s="15" t="s">
        <v>2355</v>
      </c>
      <c r="AH250" s="15" t="s">
        <v>2503</v>
      </c>
      <c r="AI250" s="6"/>
      <c r="AJ250" s="6"/>
      <c r="AK250" s="6"/>
      <c r="AL250" s="6">
        <v>60.8</v>
      </c>
      <c r="AN250" s="15">
        <v>81</v>
      </c>
      <c r="AO250" s="6">
        <v>101</v>
      </c>
      <c r="AP250" s="6">
        <v>35.700000000000003</v>
      </c>
      <c r="AQ250" s="6"/>
      <c r="AR250" s="6">
        <v>26.7</v>
      </c>
      <c r="AS250" s="6">
        <v>53</v>
      </c>
      <c r="AT250" s="79">
        <v>24</v>
      </c>
      <c r="AU250" s="6">
        <v>110</v>
      </c>
      <c r="AV250" s="6">
        <v>78</v>
      </c>
      <c r="DC250" s="6">
        <v>98.5</v>
      </c>
      <c r="DD250" s="6">
        <v>0.75</v>
      </c>
      <c r="DE250" s="6">
        <v>187</v>
      </c>
      <c r="DF250" s="6">
        <v>103</v>
      </c>
      <c r="DG250" s="9">
        <f t="shared" si="3"/>
        <v>4.6123927682038399</v>
      </c>
      <c r="DH250" s="6">
        <v>20</v>
      </c>
      <c r="DI250" s="6">
        <v>4.5999999999999996</v>
      </c>
      <c r="DJ250" s="6">
        <v>13.8</v>
      </c>
      <c r="DK250" s="6"/>
      <c r="DL250" s="6">
        <v>54.6</v>
      </c>
      <c r="DM250" s="6">
        <v>112.7</v>
      </c>
      <c r="DN250" s="6"/>
      <c r="DQ250" s="6" t="s">
        <v>99</v>
      </c>
      <c r="DU250" s="9">
        <v>12.5</v>
      </c>
    </row>
    <row r="251" spans="1:125" x14ac:dyDescent="0.2">
      <c r="A251" s="6">
        <v>172</v>
      </c>
      <c r="B251" s="8">
        <v>42908</v>
      </c>
      <c r="C251" s="6" t="s">
        <v>95</v>
      </c>
      <c r="D251" s="6">
        <v>25</v>
      </c>
      <c r="E251" s="6" t="s">
        <v>100</v>
      </c>
      <c r="F251" s="17">
        <v>33553</v>
      </c>
      <c r="G251" s="6"/>
      <c r="H251" s="6" t="s">
        <v>109</v>
      </c>
      <c r="I251" s="9">
        <v>13</v>
      </c>
      <c r="J251" s="9" t="s">
        <v>483</v>
      </c>
      <c r="K251" s="9">
        <v>2014</v>
      </c>
      <c r="L251" s="6">
        <v>2</v>
      </c>
      <c r="M251" s="6" t="s">
        <v>99</v>
      </c>
      <c r="N251" s="6" t="s">
        <v>99</v>
      </c>
      <c r="O251" s="6" t="s">
        <v>99</v>
      </c>
      <c r="P251" s="6" t="s">
        <v>99</v>
      </c>
      <c r="Q251" s="15" t="s">
        <v>110</v>
      </c>
      <c r="R251" s="79" t="s">
        <v>483</v>
      </c>
      <c r="S251" s="6" t="s">
        <v>99</v>
      </c>
      <c r="T251" s="6" t="s">
        <v>110</v>
      </c>
      <c r="U251" s="6"/>
      <c r="W251" s="6" t="s">
        <v>2504</v>
      </c>
      <c r="X251" s="6"/>
      <c r="Y251" s="6" t="s">
        <v>99</v>
      </c>
      <c r="AA251" s="9" t="s">
        <v>100</v>
      </c>
      <c r="AB251" s="85" t="s">
        <v>2505</v>
      </c>
      <c r="AC251" s="9" t="s">
        <v>100</v>
      </c>
      <c r="AD251" s="85" t="s">
        <v>2506</v>
      </c>
      <c r="AE251" s="15" t="s">
        <v>2507</v>
      </c>
      <c r="AF251" s="6" t="s">
        <v>99</v>
      </c>
      <c r="AG251" s="6" t="s">
        <v>99</v>
      </c>
      <c r="AH251" s="6" t="s">
        <v>99</v>
      </c>
      <c r="AI251" s="6" t="s">
        <v>99</v>
      </c>
      <c r="AJ251" s="15" t="s">
        <v>2508</v>
      </c>
      <c r="AK251" s="6" t="s">
        <v>99</v>
      </c>
      <c r="AL251" s="6">
        <v>74</v>
      </c>
      <c r="AN251" s="6">
        <v>74</v>
      </c>
      <c r="AO251" s="6">
        <v>99</v>
      </c>
      <c r="AP251" s="6">
        <v>35.1</v>
      </c>
      <c r="AQ251" s="6">
        <v>4</v>
      </c>
      <c r="AR251" s="6">
        <v>24.5</v>
      </c>
      <c r="AS251" s="6">
        <v>25</v>
      </c>
      <c r="AT251" s="79">
        <v>21.8</v>
      </c>
      <c r="AU251" s="6">
        <v>108</v>
      </c>
      <c r="AV251" s="6">
        <v>80</v>
      </c>
      <c r="DC251" s="91">
        <v>108.6</v>
      </c>
      <c r="DD251" s="82">
        <v>0.63</v>
      </c>
      <c r="DE251" s="82">
        <v>150</v>
      </c>
      <c r="DF251" s="82">
        <v>131</v>
      </c>
      <c r="DG251" s="9">
        <f t="shared" si="3"/>
        <v>4.7814343653504929</v>
      </c>
      <c r="DH251" s="82">
        <v>13</v>
      </c>
      <c r="DI251" s="82">
        <v>5.2</v>
      </c>
      <c r="DJ251" s="82">
        <v>9</v>
      </c>
      <c r="DK251" s="6"/>
      <c r="DL251" s="6">
        <v>47.6</v>
      </c>
      <c r="DM251" s="6">
        <v>89.4</v>
      </c>
      <c r="DN251" s="6"/>
      <c r="DQ251" s="6" t="s">
        <v>114</v>
      </c>
    </row>
    <row r="252" spans="1:125" x14ac:dyDescent="0.2">
      <c r="A252" s="6">
        <v>173</v>
      </c>
      <c r="B252" s="8">
        <v>42909</v>
      </c>
      <c r="C252" s="6" t="s">
        <v>95</v>
      </c>
      <c r="D252" s="6">
        <v>61</v>
      </c>
      <c r="E252" s="6" t="s">
        <v>100</v>
      </c>
      <c r="F252" s="17">
        <v>20364</v>
      </c>
      <c r="G252" s="6"/>
      <c r="H252" s="6" t="s">
        <v>2509</v>
      </c>
      <c r="I252" s="9">
        <v>11</v>
      </c>
      <c r="J252" s="10" t="s">
        <v>2510</v>
      </c>
      <c r="K252" s="9" t="s">
        <v>2511</v>
      </c>
      <c r="L252" s="6">
        <v>8</v>
      </c>
      <c r="M252" s="6" t="s">
        <v>99</v>
      </c>
      <c r="N252" s="6" t="s">
        <v>99</v>
      </c>
      <c r="O252" s="6" t="s">
        <v>99</v>
      </c>
      <c r="P252" s="6" t="s">
        <v>99</v>
      </c>
      <c r="Q252" s="6"/>
      <c r="R252" s="6" t="s">
        <v>110</v>
      </c>
      <c r="S252" s="6" t="s">
        <v>99</v>
      </c>
      <c r="T252" s="6" t="s">
        <v>99</v>
      </c>
      <c r="U252" s="6" t="s">
        <v>1299</v>
      </c>
      <c r="V252" s="9" t="s">
        <v>99</v>
      </c>
      <c r="W252" s="6" t="s">
        <v>99</v>
      </c>
      <c r="X252" s="6" t="s">
        <v>99</v>
      </c>
      <c r="Y252" s="6" t="s">
        <v>2309</v>
      </c>
      <c r="AA252" s="9" t="s">
        <v>100</v>
      </c>
      <c r="AB252" s="16" t="s">
        <v>840</v>
      </c>
      <c r="AC252" s="6" t="s">
        <v>100</v>
      </c>
      <c r="AD252" s="9" t="s">
        <v>2234</v>
      </c>
      <c r="AE252" s="9" t="s">
        <v>99</v>
      </c>
      <c r="AF252" s="15" t="s">
        <v>118</v>
      </c>
      <c r="AG252" s="15" t="s">
        <v>2305</v>
      </c>
      <c r="AH252" s="6" t="s">
        <v>99</v>
      </c>
      <c r="AI252" s="6" t="s">
        <v>125</v>
      </c>
      <c r="AJ252" s="15" t="s">
        <v>570</v>
      </c>
      <c r="AK252" s="6" t="s">
        <v>99</v>
      </c>
      <c r="AL252" s="6">
        <v>84.4</v>
      </c>
      <c r="AN252" s="15">
        <v>97</v>
      </c>
      <c r="AO252" s="6">
        <v>116</v>
      </c>
      <c r="AP252" s="6">
        <v>49.4</v>
      </c>
      <c r="AQ252" s="6"/>
      <c r="AR252" s="6">
        <v>21.6</v>
      </c>
      <c r="AS252" s="6">
        <v>73</v>
      </c>
      <c r="AT252" s="6">
        <v>33</v>
      </c>
      <c r="AU252" s="6">
        <v>109</v>
      </c>
      <c r="AV252" s="6">
        <v>99</v>
      </c>
      <c r="DC252" s="91" t="s">
        <v>2512</v>
      </c>
      <c r="DD252" s="82">
        <v>0.78</v>
      </c>
      <c r="DE252" s="82">
        <v>147</v>
      </c>
      <c r="DF252" s="82">
        <v>103</v>
      </c>
      <c r="DG252" s="9" t="e">
        <f t="shared" si="3"/>
        <v>#VALUE!</v>
      </c>
      <c r="DH252" s="82">
        <v>20</v>
      </c>
      <c r="DI252" s="82">
        <v>5.4</v>
      </c>
      <c r="DJ252" s="82">
        <v>15.1</v>
      </c>
      <c r="DK252" s="6"/>
      <c r="DL252" s="6">
        <v>95.6</v>
      </c>
      <c r="DM252" s="6">
        <v>31.4</v>
      </c>
      <c r="DN252" s="6"/>
      <c r="DP252" s="11">
        <v>2</v>
      </c>
      <c r="DQ252" s="6" t="s">
        <v>114</v>
      </c>
    </row>
    <row r="253" spans="1:125" x14ac:dyDescent="0.2">
      <c r="A253" s="6">
        <v>174</v>
      </c>
      <c r="B253" s="8">
        <v>42908</v>
      </c>
      <c r="C253" s="6" t="s">
        <v>107</v>
      </c>
      <c r="D253" s="6">
        <v>27</v>
      </c>
      <c r="E253" s="6" t="s">
        <v>100</v>
      </c>
      <c r="F253" s="17">
        <v>32871</v>
      </c>
      <c r="G253" s="6" t="s">
        <v>2513</v>
      </c>
      <c r="H253" s="6" t="s">
        <v>109</v>
      </c>
      <c r="L253" s="6"/>
      <c r="M253" s="6" t="s">
        <v>99</v>
      </c>
      <c r="N253" s="15" t="s">
        <v>110</v>
      </c>
      <c r="O253" s="15" t="s">
        <v>110</v>
      </c>
      <c r="P253" s="15" t="s">
        <v>110</v>
      </c>
      <c r="Q253" s="6" t="s">
        <v>99</v>
      </c>
      <c r="R253" s="6" t="s">
        <v>110</v>
      </c>
      <c r="S253" s="6" t="s">
        <v>110</v>
      </c>
      <c r="T253" s="6" t="s">
        <v>99</v>
      </c>
      <c r="U253" s="6" t="s">
        <v>148</v>
      </c>
      <c r="W253" s="6"/>
      <c r="X253" s="6" t="s">
        <v>2514</v>
      </c>
      <c r="Y253" s="15" t="s">
        <v>2515</v>
      </c>
      <c r="AA253" s="9" t="s">
        <v>100</v>
      </c>
      <c r="AB253" s="6" t="s">
        <v>100</v>
      </c>
      <c r="AC253" s="6" t="s">
        <v>100</v>
      </c>
      <c r="AD253" s="9" t="s">
        <v>100</v>
      </c>
      <c r="AE253" s="15" t="s">
        <v>110</v>
      </c>
      <c r="AF253" s="6" t="s">
        <v>99</v>
      </c>
      <c r="AG253" s="6" t="s">
        <v>99</v>
      </c>
      <c r="AH253" s="6" t="s">
        <v>99</v>
      </c>
      <c r="AI253" s="6" t="s">
        <v>99</v>
      </c>
      <c r="AJ253" s="6" t="s">
        <v>99</v>
      </c>
      <c r="AK253" s="6" t="s">
        <v>99</v>
      </c>
      <c r="AL253" s="19">
        <v>71</v>
      </c>
      <c r="AM253" s="30"/>
      <c r="AN253" s="15">
        <v>93</v>
      </c>
      <c r="AO253" s="19">
        <v>98</v>
      </c>
      <c r="AP253" s="19">
        <v>26.6</v>
      </c>
      <c r="AQ253" s="19">
        <v>9</v>
      </c>
      <c r="AR253" s="19">
        <v>36.4</v>
      </c>
      <c r="AS253" s="19">
        <v>35</v>
      </c>
      <c r="AT253" s="19">
        <v>25.8</v>
      </c>
      <c r="AU253" s="19">
        <v>110</v>
      </c>
      <c r="AV253" s="19">
        <v>72</v>
      </c>
      <c r="DC253" s="82">
        <v>94</v>
      </c>
      <c r="DD253" s="82">
        <v>0.79</v>
      </c>
      <c r="DE253" s="82">
        <v>127</v>
      </c>
      <c r="DF253" s="82">
        <v>144</v>
      </c>
      <c r="DG253" s="9">
        <f t="shared" si="3"/>
        <v>4.7565540409230023</v>
      </c>
      <c r="DH253" s="82">
        <v>28</v>
      </c>
      <c r="DI253" s="82">
        <v>6.1</v>
      </c>
      <c r="DJ253" s="82">
        <v>22.4</v>
      </c>
      <c r="DK253" s="6"/>
      <c r="DL253" s="6">
        <v>33.9</v>
      </c>
      <c r="DM253" s="6">
        <v>65</v>
      </c>
      <c r="DN253" s="6"/>
      <c r="DQ253" s="6" t="s">
        <v>114</v>
      </c>
    </row>
    <row r="254" spans="1:125" x14ac:dyDescent="0.2">
      <c r="A254" s="6">
        <v>175</v>
      </c>
      <c r="B254" s="8">
        <v>42909</v>
      </c>
      <c r="C254" s="6" t="s">
        <v>95</v>
      </c>
      <c r="D254" s="6">
        <v>36</v>
      </c>
      <c r="E254" s="6" t="s">
        <v>100</v>
      </c>
      <c r="F254" s="17">
        <v>29596</v>
      </c>
      <c r="G254" s="6" t="s">
        <v>2516</v>
      </c>
      <c r="H254" s="6" t="s">
        <v>2509</v>
      </c>
      <c r="I254" s="9">
        <v>10</v>
      </c>
      <c r="L254" s="6">
        <v>5</v>
      </c>
      <c r="M254" s="6" t="s">
        <v>99</v>
      </c>
      <c r="N254" s="6" t="s">
        <v>99</v>
      </c>
      <c r="O254" s="6" t="s">
        <v>99</v>
      </c>
      <c r="P254" s="15" t="s">
        <v>110</v>
      </c>
      <c r="Q254" s="15" t="s">
        <v>110</v>
      </c>
      <c r="R254" s="6" t="s">
        <v>110</v>
      </c>
      <c r="S254" s="6" t="s">
        <v>110</v>
      </c>
      <c r="T254" s="6" t="s">
        <v>99</v>
      </c>
      <c r="U254" s="6" t="s">
        <v>2517</v>
      </c>
      <c r="V254" s="9" t="s">
        <v>99</v>
      </c>
      <c r="W254" s="6" t="s">
        <v>99</v>
      </c>
      <c r="X254" s="6" t="s">
        <v>99</v>
      </c>
      <c r="Y254" s="6" t="s">
        <v>99</v>
      </c>
      <c r="AA254" s="9" t="s">
        <v>100</v>
      </c>
      <c r="AB254" s="86" t="s">
        <v>155</v>
      </c>
      <c r="AC254" s="6" t="s">
        <v>100</v>
      </c>
      <c r="AD254" s="35" t="s">
        <v>2518</v>
      </c>
      <c r="AE254" s="15" t="s">
        <v>2519</v>
      </c>
      <c r="AF254" s="15" t="s">
        <v>118</v>
      </c>
      <c r="AG254" s="6" t="s">
        <v>99</v>
      </c>
      <c r="AH254" s="6" t="s">
        <v>99</v>
      </c>
      <c r="AI254" s="6" t="s">
        <v>99</v>
      </c>
      <c r="AJ254" s="6" t="s">
        <v>99</v>
      </c>
      <c r="AK254" s="6" t="s">
        <v>99</v>
      </c>
      <c r="AL254" s="6">
        <v>66.3</v>
      </c>
      <c r="AM254" s="9">
        <v>152</v>
      </c>
      <c r="AN254" s="15">
        <v>84</v>
      </c>
      <c r="AO254" s="6">
        <v>108</v>
      </c>
      <c r="AP254" s="6">
        <v>44</v>
      </c>
      <c r="AQ254" s="6">
        <v>8</v>
      </c>
      <c r="AR254" s="6">
        <v>23.8</v>
      </c>
      <c r="AS254" s="6">
        <v>55</v>
      </c>
      <c r="AT254" s="6">
        <v>28.7</v>
      </c>
      <c r="AU254" s="6">
        <v>100</v>
      </c>
      <c r="AV254" s="6">
        <v>76</v>
      </c>
      <c r="AX254" s="9" t="s">
        <v>573</v>
      </c>
      <c r="BA254" s="9" t="s">
        <v>176</v>
      </c>
      <c r="BF254" s="9" t="s">
        <v>176</v>
      </c>
      <c r="BH254" s="9" t="s">
        <v>142</v>
      </c>
      <c r="BI254" s="9" t="s">
        <v>654</v>
      </c>
      <c r="BJ254" s="9" t="s">
        <v>99</v>
      </c>
      <c r="BK254" s="9" t="s">
        <v>99</v>
      </c>
      <c r="BM254" s="9" t="s">
        <v>2520</v>
      </c>
      <c r="BU254" s="9" t="s">
        <v>2521</v>
      </c>
      <c r="BY254" s="9" t="s">
        <v>175</v>
      </c>
      <c r="CL254" s="9" t="s">
        <v>685</v>
      </c>
      <c r="CP254" s="9" t="s">
        <v>361</v>
      </c>
      <c r="CQ254" s="9" t="s">
        <v>2522</v>
      </c>
      <c r="CS254" s="9" t="s">
        <v>350</v>
      </c>
      <c r="CW254" s="9">
        <v>3</v>
      </c>
      <c r="CX254" s="9" t="s">
        <v>99</v>
      </c>
      <c r="CY254" s="9" t="s">
        <v>99</v>
      </c>
      <c r="DC254" s="82">
        <v>87</v>
      </c>
      <c r="DD254" s="82">
        <v>0.61</v>
      </c>
      <c r="DE254" s="82">
        <v>115</v>
      </c>
      <c r="DF254" s="82">
        <v>70</v>
      </c>
      <c r="DG254" s="9">
        <f t="shared" si="3"/>
        <v>4.3572016803519711</v>
      </c>
      <c r="DH254" s="82">
        <v>14</v>
      </c>
      <c r="DI254" s="82">
        <v>6</v>
      </c>
      <c r="DJ254" s="82">
        <v>11.6</v>
      </c>
      <c r="DK254" s="6"/>
      <c r="DL254" s="6">
        <v>49.5</v>
      </c>
      <c r="DM254" s="6">
        <v>51.5</v>
      </c>
      <c r="DN254" s="6"/>
      <c r="DQ254" s="6" t="s">
        <v>114</v>
      </c>
    </row>
    <row r="255" spans="1:125" x14ac:dyDescent="0.2">
      <c r="A255" s="79">
        <v>176</v>
      </c>
      <c r="B255" s="8">
        <v>42909</v>
      </c>
      <c r="C255" s="6" t="s">
        <v>95</v>
      </c>
      <c r="D255" s="6">
        <v>38</v>
      </c>
      <c r="E255" s="6"/>
      <c r="G255" s="6"/>
      <c r="H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W255" s="6"/>
      <c r="X255" s="6"/>
      <c r="Y255" s="6"/>
      <c r="AB255" s="6"/>
      <c r="AC255" s="6"/>
      <c r="AE255" s="6"/>
      <c r="AF255" s="6"/>
      <c r="AG255" s="6"/>
      <c r="AH255" s="6"/>
      <c r="AI255" s="6"/>
      <c r="AJ255" s="6"/>
      <c r="AK255" s="6"/>
      <c r="AL255" s="6">
        <v>57</v>
      </c>
      <c r="AM255" s="9">
        <v>158</v>
      </c>
      <c r="AN255" s="6">
        <v>74</v>
      </c>
      <c r="AO255" s="6">
        <v>94</v>
      </c>
      <c r="AP255" s="6">
        <v>32.299999999999997</v>
      </c>
      <c r="AQ255" s="6">
        <v>5</v>
      </c>
      <c r="AR255" s="6">
        <v>28.5</v>
      </c>
      <c r="AS255" s="6">
        <v>38</v>
      </c>
      <c r="AT255" s="79">
        <v>22.8</v>
      </c>
      <c r="AU255" s="6">
        <v>106</v>
      </c>
      <c r="AV255" s="6">
        <v>75</v>
      </c>
      <c r="DC255" s="6">
        <v>84</v>
      </c>
      <c r="DD255" s="6">
        <v>0.71</v>
      </c>
      <c r="DE255" s="6">
        <v>131</v>
      </c>
      <c r="DF255" s="6">
        <v>100</v>
      </c>
      <c r="DG255" s="9">
        <f t="shared" si="3"/>
        <v>4.5179934924157026</v>
      </c>
      <c r="DH255" s="6">
        <v>20</v>
      </c>
      <c r="DI255" s="6">
        <v>5</v>
      </c>
      <c r="DJ255" s="6">
        <v>12.5</v>
      </c>
      <c r="DK255" s="6"/>
      <c r="DL255" s="6">
        <v>60</v>
      </c>
      <c r="DM255" s="6">
        <v>51</v>
      </c>
      <c r="DN255" s="6"/>
      <c r="DQ255" s="6" t="s">
        <v>99</v>
      </c>
      <c r="DU255" s="9">
        <v>8</v>
      </c>
    </row>
    <row r="256" spans="1:125" x14ac:dyDescent="0.2">
      <c r="A256" s="16">
        <v>177</v>
      </c>
      <c r="B256" s="8">
        <v>42909</v>
      </c>
      <c r="C256" s="6" t="s">
        <v>95</v>
      </c>
      <c r="D256" s="6">
        <v>52</v>
      </c>
      <c r="E256" s="6" t="s">
        <v>100</v>
      </c>
      <c r="F256" s="17">
        <v>23939</v>
      </c>
      <c r="G256" s="6"/>
      <c r="H256" s="6" t="s">
        <v>109</v>
      </c>
      <c r="I256" s="9">
        <v>15</v>
      </c>
      <c r="J256" s="10">
        <v>51</v>
      </c>
      <c r="K256" s="9">
        <v>43</v>
      </c>
      <c r="L256" s="6">
        <v>5</v>
      </c>
      <c r="M256" s="6" t="s">
        <v>99</v>
      </c>
      <c r="N256" s="15" t="s">
        <v>2523</v>
      </c>
      <c r="O256" s="15" t="s">
        <v>2524</v>
      </c>
      <c r="P256" s="6" t="s">
        <v>99</v>
      </c>
      <c r="Q256" s="15" t="s">
        <v>110</v>
      </c>
      <c r="R256" s="6" t="s">
        <v>110</v>
      </c>
      <c r="S256" s="6" t="s">
        <v>99</v>
      </c>
      <c r="T256" s="6" t="s">
        <v>110</v>
      </c>
      <c r="U256" s="6" t="s">
        <v>2525</v>
      </c>
      <c r="W256" s="16" t="s">
        <v>2526</v>
      </c>
      <c r="X256" s="6"/>
      <c r="Y256" s="6" t="s">
        <v>110</v>
      </c>
      <c r="Z256" s="9" t="s">
        <v>1903</v>
      </c>
      <c r="AA256" s="9" t="s">
        <v>100</v>
      </c>
      <c r="AB256" s="6" t="s">
        <v>100</v>
      </c>
      <c r="AC256" s="6" t="s">
        <v>100</v>
      </c>
      <c r="AD256" s="9" t="s">
        <v>100</v>
      </c>
      <c r="AE256" s="15" t="s">
        <v>2527</v>
      </c>
      <c r="AF256" s="15" t="s">
        <v>118</v>
      </c>
      <c r="AG256" s="6" t="s">
        <v>99</v>
      </c>
      <c r="AH256" s="15" t="s">
        <v>118</v>
      </c>
      <c r="AI256" s="15" t="s">
        <v>118</v>
      </c>
      <c r="AJ256" s="6" t="s">
        <v>99</v>
      </c>
      <c r="AK256" s="6"/>
      <c r="AL256" s="6">
        <v>64.3</v>
      </c>
      <c r="AM256" s="9">
        <v>160</v>
      </c>
      <c r="AN256" s="15">
        <v>88</v>
      </c>
      <c r="AO256" s="6">
        <v>103</v>
      </c>
      <c r="AP256" s="6">
        <v>35.1</v>
      </c>
      <c r="AQ256" s="6">
        <v>7</v>
      </c>
      <c r="AR256" s="6">
        <v>27.9</v>
      </c>
      <c r="AS256" s="6">
        <v>52</v>
      </c>
      <c r="AT256" s="6">
        <v>25.1</v>
      </c>
      <c r="AU256" s="15">
        <v>141</v>
      </c>
      <c r="AV256" s="15">
        <v>95</v>
      </c>
      <c r="AX256" s="9" t="s">
        <v>573</v>
      </c>
      <c r="AY256" s="9" t="s">
        <v>1128</v>
      </c>
      <c r="AZ256" s="9" t="s">
        <v>729</v>
      </c>
      <c r="BB256" s="9" t="s">
        <v>750</v>
      </c>
      <c r="BC256" s="9" t="s">
        <v>749</v>
      </c>
      <c r="BF256" s="9" t="s">
        <v>683</v>
      </c>
      <c r="BG256" s="9" t="s">
        <v>2528</v>
      </c>
      <c r="BH256" s="9" t="s">
        <v>683</v>
      </c>
      <c r="BI256" s="9" t="s">
        <v>683</v>
      </c>
      <c r="BJ256" s="9" t="s">
        <v>99</v>
      </c>
      <c r="BK256" s="9" t="s">
        <v>683</v>
      </c>
      <c r="BM256" s="9" t="s">
        <v>178</v>
      </c>
      <c r="BN256" s="14" t="s">
        <v>125</v>
      </c>
      <c r="BO256" s="14" t="s">
        <v>2529</v>
      </c>
      <c r="BQ256" s="9" t="s">
        <v>99</v>
      </c>
      <c r="BU256" s="9" t="s">
        <v>99</v>
      </c>
      <c r="BZ256" s="9" t="s">
        <v>182</v>
      </c>
      <c r="CA256" s="9" t="s">
        <v>183</v>
      </c>
      <c r="CB256" s="9" t="s">
        <v>357</v>
      </c>
      <c r="CC256" s="9" t="s">
        <v>99</v>
      </c>
      <c r="CG256" s="9" t="s">
        <v>99</v>
      </c>
      <c r="CL256" s="9" t="s">
        <v>2530</v>
      </c>
      <c r="CM256" s="9" t="s">
        <v>2531</v>
      </c>
      <c r="CN256" s="9" t="s">
        <v>2532</v>
      </c>
      <c r="CP256" s="9" t="s">
        <v>2533</v>
      </c>
      <c r="CQ256" s="9" t="s">
        <v>2534</v>
      </c>
      <c r="CR256" s="9" t="s">
        <v>362</v>
      </c>
      <c r="CT256" s="9" t="s">
        <v>985</v>
      </c>
      <c r="CW256" s="9">
        <v>5</v>
      </c>
      <c r="CX256" s="9" t="s">
        <v>110</v>
      </c>
      <c r="CY256" s="9" t="s">
        <v>110</v>
      </c>
      <c r="DC256" s="15">
        <v>103</v>
      </c>
      <c r="DD256" s="6">
        <v>0.8</v>
      </c>
      <c r="DE256" s="6">
        <v>192</v>
      </c>
      <c r="DF256" s="6">
        <v>141</v>
      </c>
      <c r="DG256" s="9">
        <f t="shared" si="3"/>
        <v>4.7917444393039021</v>
      </c>
      <c r="DH256" s="6">
        <v>28</v>
      </c>
      <c r="DI256" s="6">
        <v>5</v>
      </c>
      <c r="DJ256" s="6">
        <v>17.600000000000001</v>
      </c>
      <c r="DK256" s="6"/>
      <c r="DL256" s="6">
        <v>50</v>
      </c>
      <c r="DM256" s="6">
        <v>114</v>
      </c>
      <c r="DN256" s="6"/>
      <c r="DP256" s="11">
        <v>2</v>
      </c>
      <c r="DQ256" s="6" t="s">
        <v>105</v>
      </c>
      <c r="DR256" s="30">
        <v>1</v>
      </c>
      <c r="DT256" s="9">
        <v>5.84</v>
      </c>
      <c r="DU256" s="9">
        <v>3.57</v>
      </c>
    </row>
    <row r="257" spans="1:125" x14ac:dyDescent="0.2">
      <c r="A257" s="16">
        <v>178</v>
      </c>
      <c r="B257" s="8">
        <v>42909</v>
      </c>
      <c r="C257" s="6" t="s">
        <v>95</v>
      </c>
      <c r="D257" s="6">
        <v>56</v>
      </c>
      <c r="E257" s="16" t="s">
        <v>2267</v>
      </c>
      <c r="F257" s="17">
        <v>22217</v>
      </c>
      <c r="G257" s="6"/>
      <c r="H257" s="6" t="s">
        <v>2288</v>
      </c>
      <c r="J257" s="10" t="s">
        <v>110</v>
      </c>
      <c r="K257" s="9">
        <v>1990</v>
      </c>
      <c r="L257" s="6">
        <v>1</v>
      </c>
      <c r="M257" s="6" t="s">
        <v>99</v>
      </c>
      <c r="N257" s="6" t="s">
        <v>99</v>
      </c>
      <c r="O257" s="15" t="s">
        <v>2535</v>
      </c>
      <c r="P257" s="6" t="s">
        <v>99</v>
      </c>
      <c r="Q257" s="6" t="s">
        <v>99</v>
      </c>
      <c r="R257" s="6" t="s">
        <v>110</v>
      </c>
      <c r="S257" s="6"/>
      <c r="T257" s="6"/>
      <c r="U257" s="6" t="s">
        <v>2536</v>
      </c>
      <c r="W257" s="6" t="s">
        <v>2537</v>
      </c>
      <c r="X257" s="6"/>
      <c r="Y257" s="6" t="s">
        <v>2378</v>
      </c>
      <c r="Z257" s="9" t="s">
        <v>2538</v>
      </c>
      <c r="AA257" s="16" t="s">
        <v>2267</v>
      </c>
      <c r="AB257" s="16" t="s">
        <v>2267</v>
      </c>
      <c r="AC257" s="16" t="s">
        <v>2267</v>
      </c>
      <c r="AD257" s="16" t="s">
        <v>2267</v>
      </c>
      <c r="AE257" s="6" t="s">
        <v>99</v>
      </c>
      <c r="AF257" s="15" t="s">
        <v>2539</v>
      </c>
      <c r="AG257" s="15" t="s">
        <v>2268</v>
      </c>
      <c r="AH257" s="6" t="s">
        <v>99</v>
      </c>
      <c r="AI257" s="15" t="s">
        <v>570</v>
      </c>
      <c r="AJ257" s="6" t="s">
        <v>99</v>
      </c>
      <c r="AK257" s="6"/>
      <c r="AL257" s="6">
        <v>65.900000000000006</v>
      </c>
      <c r="AM257" s="9">
        <v>154</v>
      </c>
      <c r="AN257" s="15">
        <v>90</v>
      </c>
      <c r="AO257" s="6">
        <v>98</v>
      </c>
      <c r="AP257" s="6">
        <v>43.7</v>
      </c>
      <c r="AQ257" s="6">
        <v>8</v>
      </c>
      <c r="AR257" s="6">
        <v>23.4</v>
      </c>
      <c r="AS257" s="6">
        <v>54</v>
      </c>
      <c r="AT257" s="6">
        <v>27.8</v>
      </c>
      <c r="AU257" s="6">
        <v>120</v>
      </c>
      <c r="AV257" s="6">
        <v>82</v>
      </c>
      <c r="AX257" s="9" t="s">
        <v>1128</v>
      </c>
      <c r="AY257" s="9" t="s">
        <v>2540</v>
      </c>
      <c r="AZ257" s="9" t="s">
        <v>1800</v>
      </c>
      <c r="BB257" s="9" t="s">
        <v>750</v>
      </c>
      <c r="BC257" s="9" t="s">
        <v>749</v>
      </c>
      <c r="BD257" s="9" t="s">
        <v>2541</v>
      </c>
      <c r="BF257" s="9" t="s">
        <v>2542</v>
      </c>
      <c r="BG257" s="9" t="s">
        <v>683</v>
      </c>
      <c r="BH257" s="9" t="s">
        <v>683</v>
      </c>
      <c r="BI257" s="9" t="s">
        <v>2543</v>
      </c>
      <c r="BJ257" s="9" t="s">
        <v>176</v>
      </c>
      <c r="BK257" s="9" t="s">
        <v>1172</v>
      </c>
      <c r="BN257" s="9" t="s">
        <v>178</v>
      </c>
      <c r="BO257" s="14" t="s">
        <v>125</v>
      </c>
      <c r="BP257" s="9" t="s">
        <v>179</v>
      </c>
      <c r="BR257" s="9" t="s">
        <v>99</v>
      </c>
      <c r="BV257" s="9" t="s">
        <v>857</v>
      </c>
      <c r="BZ257" s="9" t="s">
        <v>2544</v>
      </c>
      <c r="CA257" s="9" t="s">
        <v>752</v>
      </c>
      <c r="CB257" s="9" t="s">
        <v>709</v>
      </c>
      <c r="CL257" s="9" t="s">
        <v>579</v>
      </c>
      <c r="CM257" s="9" t="s">
        <v>1180</v>
      </c>
      <c r="CP257" s="9" t="s">
        <v>2533</v>
      </c>
      <c r="CQ257" s="9" t="s">
        <v>2098</v>
      </c>
      <c r="CT257" s="9" t="s">
        <v>983</v>
      </c>
      <c r="CW257" s="9">
        <v>3</v>
      </c>
      <c r="CX257" s="9" t="s">
        <v>110</v>
      </c>
      <c r="CY257" s="9" t="s">
        <v>110</v>
      </c>
      <c r="DC257" s="84">
        <v>134.5</v>
      </c>
      <c r="DD257" s="13">
        <v>1.01</v>
      </c>
      <c r="DE257" s="13">
        <v>246</v>
      </c>
      <c r="DF257" s="84">
        <v>224</v>
      </c>
      <c r="DG257" s="9">
        <f t="shared" si="3"/>
        <v>5.1566051254484666</v>
      </c>
      <c r="DH257" s="13">
        <v>44.8</v>
      </c>
      <c r="DI257" s="13">
        <v>6.54</v>
      </c>
      <c r="DJ257" s="13">
        <v>37.9</v>
      </c>
      <c r="DK257" s="6"/>
      <c r="DL257" s="6">
        <v>43</v>
      </c>
      <c r="DM257" s="6">
        <v>109</v>
      </c>
      <c r="DN257" s="6"/>
      <c r="DP257" s="11">
        <v>2</v>
      </c>
      <c r="DQ257" s="6" t="s">
        <v>111</v>
      </c>
      <c r="DR257" s="9">
        <v>2</v>
      </c>
      <c r="DT257" s="9">
        <v>15.7</v>
      </c>
      <c r="DU257" s="9">
        <v>1.86</v>
      </c>
    </row>
    <row r="258" spans="1:125" x14ac:dyDescent="0.2">
      <c r="A258" s="6">
        <v>179</v>
      </c>
      <c r="B258" s="8">
        <v>42910</v>
      </c>
      <c r="C258" s="6" t="s">
        <v>95</v>
      </c>
      <c r="D258" s="6">
        <v>54</v>
      </c>
      <c r="E258" s="86" t="s">
        <v>204</v>
      </c>
      <c r="F258" s="17">
        <v>23098</v>
      </c>
      <c r="G258" s="6"/>
      <c r="H258" s="6"/>
      <c r="I258" s="9">
        <v>12</v>
      </c>
      <c r="J258" s="10" t="s">
        <v>2545</v>
      </c>
      <c r="K258" s="9">
        <v>37</v>
      </c>
      <c r="L258" s="16" t="s">
        <v>2546</v>
      </c>
      <c r="M258" s="6" t="s">
        <v>99</v>
      </c>
      <c r="N258" s="15" t="s">
        <v>2547</v>
      </c>
      <c r="O258" s="15" t="s">
        <v>2524</v>
      </c>
      <c r="P258" s="6" t="s">
        <v>99</v>
      </c>
      <c r="Q258" s="15" t="s">
        <v>110</v>
      </c>
      <c r="R258" s="6" t="s">
        <v>110</v>
      </c>
      <c r="S258" s="6" t="s">
        <v>99</v>
      </c>
      <c r="T258" s="6" t="s">
        <v>110</v>
      </c>
      <c r="U258" s="6" t="s">
        <v>2536</v>
      </c>
      <c r="W258" s="6" t="s">
        <v>2548</v>
      </c>
      <c r="X258" s="6"/>
      <c r="Y258" s="15" t="s">
        <v>2549</v>
      </c>
      <c r="AA258" s="86" t="s">
        <v>204</v>
      </c>
      <c r="AB258" s="86" t="s">
        <v>204</v>
      </c>
      <c r="AC258" s="86" t="s">
        <v>204</v>
      </c>
      <c r="AD258" s="86" t="s">
        <v>204</v>
      </c>
      <c r="AE258" s="6" t="s">
        <v>99</v>
      </c>
      <c r="AF258" s="15" t="s">
        <v>2550</v>
      </c>
      <c r="AG258" s="6" t="s">
        <v>99</v>
      </c>
      <c r="AH258" s="6" t="s">
        <v>99</v>
      </c>
      <c r="AI258" s="15" t="s">
        <v>125</v>
      </c>
      <c r="AJ258" s="6" t="s">
        <v>99</v>
      </c>
      <c r="AK258" s="6" t="s">
        <v>99</v>
      </c>
      <c r="AL258" s="6">
        <v>62.2</v>
      </c>
      <c r="AN258" s="15">
        <v>87</v>
      </c>
      <c r="AO258" s="6">
        <v>98</v>
      </c>
      <c r="AP258" s="6">
        <v>39.1</v>
      </c>
      <c r="AQ258" s="6">
        <v>8</v>
      </c>
      <c r="AR258" s="6">
        <v>25.2</v>
      </c>
      <c r="AS258" s="6">
        <v>55</v>
      </c>
      <c r="AT258" s="6">
        <v>25.6</v>
      </c>
      <c r="AU258" s="6">
        <v>122</v>
      </c>
      <c r="AV258" s="6">
        <v>70</v>
      </c>
      <c r="AX258" s="9" t="s">
        <v>2551</v>
      </c>
      <c r="AY258" s="9" t="s">
        <v>2552</v>
      </c>
      <c r="AZ258" s="9" t="s">
        <v>2553</v>
      </c>
      <c r="BB258" s="9" t="s">
        <v>2554</v>
      </c>
      <c r="BC258" s="9" t="s">
        <v>346</v>
      </c>
      <c r="BD258" s="9" t="s">
        <v>1080</v>
      </c>
      <c r="BF258" s="9" t="s">
        <v>175</v>
      </c>
      <c r="BG258" s="9" t="s">
        <v>2555</v>
      </c>
      <c r="BH258" s="9" t="s">
        <v>2556</v>
      </c>
      <c r="BI258" s="9" t="s">
        <v>1099</v>
      </c>
      <c r="BJ258" s="9" t="s">
        <v>176</v>
      </c>
      <c r="BK258" s="9" t="s">
        <v>683</v>
      </c>
      <c r="BN258" s="9" t="s">
        <v>2557</v>
      </c>
      <c r="BO258" s="9" t="s">
        <v>179</v>
      </c>
      <c r="BP258" s="9" t="s">
        <v>178</v>
      </c>
      <c r="BZ258" s="9" t="s">
        <v>752</v>
      </c>
      <c r="CA258" s="9" t="s">
        <v>821</v>
      </c>
      <c r="CB258" s="9" t="s">
        <v>709</v>
      </c>
      <c r="CL258" s="9" t="s">
        <v>1180</v>
      </c>
      <c r="CM258" s="9" t="s">
        <v>1180</v>
      </c>
      <c r="CN258" s="9" t="s">
        <v>2558</v>
      </c>
      <c r="CP258" s="9" t="s">
        <v>2533</v>
      </c>
      <c r="CQ258" s="9" t="s">
        <v>2559</v>
      </c>
      <c r="CR258" s="9" t="s">
        <v>2560</v>
      </c>
      <c r="CT258" s="9" t="s">
        <v>2561</v>
      </c>
      <c r="CU258" s="9" t="s">
        <v>2562</v>
      </c>
      <c r="CW258" s="9">
        <v>3</v>
      </c>
      <c r="CX258" s="9" t="s">
        <v>99</v>
      </c>
      <c r="CY258" s="9" t="s">
        <v>99</v>
      </c>
      <c r="DC258" s="82">
        <v>90</v>
      </c>
      <c r="DD258" s="82"/>
      <c r="DE258" s="82">
        <v>183</v>
      </c>
      <c r="DF258" s="82">
        <v>180</v>
      </c>
      <c r="DG258" s="9">
        <f t="shared" si="3"/>
        <v>4.8463832606102377</v>
      </c>
      <c r="DH258" s="82">
        <v>36</v>
      </c>
      <c r="DI258" s="82">
        <v>5.2</v>
      </c>
      <c r="DJ258" s="82">
        <v>22</v>
      </c>
      <c r="DK258" s="82"/>
      <c r="DL258" s="6">
        <v>47.25</v>
      </c>
      <c r="DM258" s="6">
        <v>99.7</v>
      </c>
      <c r="DN258" s="6"/>
      <c r="DP258" s="11">
        <v>2</v>
      </c>
      <c r="DQ258" s="6" t="s">
        <v>111</v>
      </c>
      <c r="DR258" s="9">
        <v>2</v>
      </c>
    </row>
    <row r="259" spans="1:125" x14ac:dyDescent="0.2">
      <c r="A259" s="16" t="s">
        <v>2563</v>
      </c>
      <c r="B259" s="8">
        <v>42535</v>
      </c>
      <c r="C259" s="6" t="s">
        <v>95</v>
      </c>
      <c r="D259" s="6">
        <v>52</v>
      </c>
      <c r="E259" s="16" t="s">
        <v>840</v>
      </c>
      <c r="F259" s="17">
        <v>22541</v>
      </c>
      <c r="G259" s="6"/>
      <c r="H259" s="6"/>
      <c r="J259" s="10" t="s">
        <v>588</v>
      </c>
      <c r="K259" s="9">
        <v>1987</v>
      </c>
      <c r="L259" s="6"/>
      <c r="M259" s="6" t="s">
        <v>99</v>
      </c>
      <c r="N259" s="6" t="s">
        <v>99</v>
      </c>
      <c r="O259" s="15" t="s">
        <v>110</v>
      </c>
      <c r="P259" s="6" t="s">
        <v>483</v>
      </c>
      <c r="Q259" s="15" t="s">
        <v>110</v>
      </c>
      <c r="R259" s="6" t="s">
        <v>110</v>
      </c>
      <c r="S259" s="6" t="s">
        <v>110</v>
      </c>
      <c r="T259" s="6" t="s">
        <v>110</v>
      </c>
      <c r="U259" s="6" t="s">
        <v>2381</v>
      </c>
      <c r="W259" s="6"/>
      <c r="X259" s="6"/>
      <c r="Y259" s="6"/>
      <c r="AA259" s="16" t="s">
        <v>840</v>
      </c>
      <c r="AB259" s="16" t="s">
        <v>840</v>
      </c>
      <c r="AC259" s="16" t="s">
        <v>840</v>
      </c>
      <c r="AD259" s="16" t="s">
        <v>840</v>
      </c>
      <c r="AE259" s="6" t="s">
        <v>483</v>
      </c>
      <c r="AF259" s="6" t="s">
        <v>483</v>
      </c>
      <c r="AG259" s="15" t="s">
        <v>2252</v>
      </c>
      <c r="AH259" s="15" t="s">
        <v>118</v>
      </c>
      <c r="AI259" s="6" t="s">
        <v>483</v>
      </c>
      <c r="AJ259" s="15" t="s">
        <v>570</v>
      </c>
      <c r="AK259" s="6"/>
      <c r="AL259" s="6">
        <v>79.2</v>
      </c>
      <c r="AN259" s="15">
        <v>107</v>
      </c>
      <c r="AO259" s="6">
        <v>109</v>
      </c>
      <c r="AP259" s="6">
        <v>46.2</v>
      </c>
      <c r="AQ259" s="6">
        <v>10</v>
      </c>
      <c r="AR259" s="6">
        <v>23</v>
      </c>
      <c r="AS259" s="6">
        <v>64</v>
      </c>
      <c r="AT259" s="6">
        <v>30.6</v>
      </c>
      <c r="AU259" s="6">
        <v>124</v>
      </c>
      <c r="AV259" s="6">
        <v>79</v>
      </c>
      <c r="DC259" s="15" t="s">
        <v>2564</v>
      </c>
      <c r="DD259" s="6">
        <v>0.35</v>
      </c>
      <c r="DE259" s="15">
        <v>250</v>
      </c>
      <c r="DF259" s="15">
        <v>298</v>
      </c>
      <c r="DG259" s="9" t="e">
        <f t="shared" ref="DG259:DG322" si="4">LN(DF259*DC259)/2</f>
        <v>#VALUE!</v>
      </c>
      <c r="DH259" s="6"/>
      <c r="DI259" s="6">
        <v>4.76</v>
      </c>
      <c r="DJ259" s="6"/>
      <c r="DK259" s="6"/>
      <c r="DL259" s="6"/>
      <c r="DM259" s="6"/>
      <c r="DN259" s="6"/>
      <c r="DP259" s="11">
        <v>2</v>
      </c>
      <c r="DQ259" s="6" t="s">
        <v>105</v>
      </c>
      <c r="DR259" s="9">
        <v>2</v>
      </c>
      <c r="DT259" s="9">
        <v>12.12</v>
      </c>
    </row>
    <row r="260" spans="1:125" x14ac:dyDescent="0.2">
      <c r="A260" s="79">
        <v>181</v>
      </c>
      <c r="B260" s="8">
        <v>42821</v>
      </c>
      <c r="C260" s="6" t="s">
        <v>107</v>
      </c>
      <c r="D260" s="6">
        <v>20</v>
      </c>
      <c r="E260" s="6" t="s">
        <v>100</v>
      </c>
      <c r="F260" s="17">
        <v>35253</v>
      </c>
      <c r="G260" s="6" t="s">
        <v>2313</v>
      </c>
      <c r="H260" s="6"/>
      <c r="L260" s="6"/>
      <c r="M260" s="6" t="s">
        <v>483</v>
      </c>
      <c r="N260" s="6" t="s">
        <v>483</v>
      </c>
      <c r="O260" s="6" t="s">
        <v>99</v>
      </c>
      <c r="P260" s="6" t="s">
        <v>110</v>
      </c>
      <c r="Q260" s="6" t="s">
        <v>99</v>
      </c>
      <c r="R260" s="6"/>
      <c r="S260" s="6" t="s">
        <v>99</v>
      </c>
      <c r="T260" s="6" t="s">
        <v>99</v>
      </c>
      <c r="U260" s="6" t="s">
        <v>99</v>
      </c>
      <c r="V260" s="9" t="s">
        <v>99</v>
      </c>
      <c r="W260" s="6" t="s">
        <v>99</v>
      </c>
      <c r="X260" s="6"/>
      <c r="Y260" s="6" t="s">
        <v>99</v>
      </c>
      <c r="AA260" s="16" t="s">
        <v>840</v>
      </c>
      <c r="AB260" s="6" t="s">
        <v>100</v>
      </c>
      <c r="AC260" s="16" t="s">
        <v>840</v>
      </c>
      <c r="AD260" s="6" t="s">
        <v>100</v>
      </c>
      <c r="AE260" s="6" t="s">
        <v>99</v>
      </c>
      <c r="AF260" s="6" t="s">
        <v>99</v>
      </c>
      <c r="AG260" s="6" t="s">
        <v>2565</v>
      </c>
      <c r="AH260" s="6" t="s">
        <v>99</v>
      </c>
      <c r="AI260" s="6" t="s">
        <v>99</v>
      </c>
      <c r="AJ260" s="6" t="s">
        <v>99</v>
      </c>
      <c r="AK260" s="6"/>
      <c r="AL260" s="6">
        <v>60</v>
      </c>
      <c r="AN260" s="6">
        <v>70</v>
      </c>
      <c r="AO260" s="6">
        <v>70</v>
      </c>
      <c r="AP260" s="6">
        <v>14.3</v>
      </c>
      <c r="AQ260" s="6">
        <v>3</v>
      </c>
      <c r="AR260" s="6">
        <v>43.2</v>
      </c>
      <c r="AS260" s="6">
        <v>18</v>
      </c>
      <c r="AT260" s="79">
        <v>20</v>
      </c>
      <c r="AU260" s="6">
        <v>109</v>
      </c>
      <c r="AV260" s="6">
        <v>78</v>
      </c>
      <c r="AX260" s="9" t="s">
        <v>2566</v>
      </c>
      <c r="AY260" s="9" t="s">
        <v>729</v>
      </c>
      <c r="AZ260" s="9" t="s">
        <v>2567</v>
      </c>
      <c r="BB260" s="9" t="s">
        <v>750</v>
      </c>
      <c r="BC260" s="9" t="s">
        <v>364</v>
      </c>
      <c r="BD260" s="9" t="s">
        <v>2568</v>
      </c>
      <c r="BF260" s="9" t="s">
        <v>2569</v>
      </c>
      <c r="BG260" s="9" t="s">
        <v>2570</v>
      </c>
      <c r="BH260" s="9" t="s">
        <v>2571</v>
      </c>
      <c r="BI260" s="9" t="s">
        <v>175</v>
      </c>
      <c r="BJ260" s="9" t="s">
        <v>2571</v>
      </c>
      <c r="BK260" s="9" t="s">
        <v>2572</v>
      </c>
      <c r="BN260" s="9" t="s">
        <v>352</v>
      </c>
      <c r="BO260" s="9" t="s">
        <v>859</v>
      </c>
      <c r="BP260" s="9" t="s">
        <v>2573</v>
      </c>
      <c r="BV260" s="9" t="s">
        <v>857</v>
      </c>
      <c r="BW260" s="9" t="s">
        <v>734</v>
      </c>
      <c r="BX260" s="9" t="s">
        <v>2574</v>
      </c>
      <c r="BZ260" s="9" t="s">
        <v>183</v>
      </c>
      <c r="CA260" s="9" t="s">
        <v>182</v>
      </c>
      <c r="CB260" s="9" t="s">
        <v>1514</v>
      </c>
      <c r="CH260" s="9" t="s">
        <v>2575</v>
      </c>
      <c r="CL260" s="9" t="s">
        <v>824</v>
      </c>
      <c r="CM260" s="9" t="s">
        <v>2576</v>
      </c>
      <c r="CN260" s="9" t="s">
        <v>2577</v>
      </c>
      <c r="CP260" s="9" t="s">
        <v>2578</v>
      </c>
      <c r="CQ260" s="9" t="s">
        <v>2579</v>
      </c>
      <c r="CR260" s="9" t="s">
        <v>2560</v>
      </c>
      <c r="CT260" s="9" t="s">
        <v>2580</v>
      </c>
      <c r="CU260" s="9" t="s">
        <v>2581</v>
      </c>
      <c r="CV260" s="9" t="s">
        <v>2582</v>
      </c>
      <c r="CW260" s="45">
        <v>43497</v>
      </c>
      <c r="DC260" s="6">
        <v>80</v>
      </c>
      <c r="DD260" s="6">
        <v>1.2</v>
      </c>
      <c r="DE260" s="6">
        <v>132</v>
      </c>
      <c r="DF260" s="6">
        <v>125</v>
      </c>
      <c r="DG260" s="9">
        <f t="shared" si="4"/>
        <v>4.6051701859880918</v>
      </c>
      <c r="DH260" s="6"/>
      <c r="DI260" s="6">
        <v>5.8</v>
      </c>
      <c r="DJ260" s="6">
        <v>10</v>
      </c>
      <c r="DK260" s="6"/>
      <c r="DL260" s="6">
        <v>55.5</v>
      </c>
      <c r="DM260" s="6">
        <v>70</v>
      </c>
      <c r="DN260" s="6"/>
      <c r="DP260" s="18">
        <v>1</v>
      </c>
      <c r="DQ260" s="6" t="s">
        <v>111</v>
      </c>
      <c r="DR260" s="9">
        <v>2</v>
      </c>
      <c r="DT260" s="9">
        <v>11</v>
      </c>
      <c r="DU260" s="9">
        <v>7.14</v>
      </c>
    </row>
    <row r="261" spans="1:125" x14ac:dyDescent="0.2">
      <c r="A261" s="94">
        <v>182</v>
      </c>
      <c r="B261" s="8">
        <v>42460</v>
      </c>
      <c r="C261" s="6" t="s">
        <v>107</v>
      </c>
      <c r="D261" s="6">
        <v>48</v>
      </c>
      <c r="E261" s="6" t="s">
        <v>100</v>
      </c>
      <c r="F261" s="17">
        <v>25210</v>
      </c>
      <c r="G261" s="6" t="s">
        <v>2583</v>
      </c>
      <c r="H261" s="6"/>
      <c r="L261" s="6"/>
      <c r="M261" s="6" t="s">
        <v>99</v>
      </c>
      <c r="N261" s="6" t="s">
        <v>99</v>
      </c>
      <c r="O261" s="6" t="s">
        <v>99</v>
      </c>
      <c r="P261" s="6" t="s">
        <v>99</v>
      </c>
      <c r="Q261" s="15" t="s">
        <v>110</v>
      </c>
      <c r="R261" s="6"/>
      <c r="S261" s="6" t="s">
        <v>110</v>
      </c>
      <c r="T261" s="6" t="s">
        <v>99</v>
      </c>
      <c r="U261" s="6" t="s">
        <v>99</v>
      </c>
      <c r="V261" s="9" t="s">
        <v>99</v>
      </c>
      <c r="W261" s="6" t="s">
        <v>99</v>
      </c>
      <c r="X261" s="6"/>
      <c r="Y261" s="6" t="s">
        <v>99</v>
      </c>
      <c r="AA261" s="9" t="s">
        <v>100</v>
      </c>
      <c r="AB261" s="6" t="s">
        <v>100</v>
      </c>
      <c r="AC261" s="6" t="s">
        <v>100</v>
      </c>
      <c r="AD261" s="9" t="s">
        <v>100</v>
      </c>
      <c r="AE261" s="15" t="s">
        <v>118</v>
      </c>
      <c r="AF261" s="15" t="s">
        <v>118</v>
      </c>
      <c r="AG261" s="6" t="s">
        <v>99</v>
      </c>
      <c r="AH261" s="6" t="s">
        <v>99</v>
      </c>
      <c r="AI261" s="6" t="s">
        <v>99</v>
      </c>
      <c r="AJ261" s="6" t="s">
        <v>99</v>
      </c>
      <c r="AK261" s="6"/>
      <c r="AL261" s="6">
        <v>108.5</v>
      </c>
      <c r="AN261" s="15">
        <v>104.5</v>
      </c>
      <c r="AO261" s="6"/>
      <c r="AP261" s="6">
        <v>34.700000000000003</v>
      </c>
      <c r="AQ261" s="6">
        <v>18</v>
      </c>
      <c r="AR261" s="6">
        <v>29.9</v>
      </c>
      <c r="AS261" s="6">
        <v>77</v>
      </c>
      <c r="AT261" s="6">
        <v>33.4</v>
      </c>
      <c r="AU261" s="6">
        <v>126</v>
      </c>
      <c r="AV261" s="6">
        <v>83</v>
      </c>
      <c r="AX261" s="9" t="s">
        <v>729</v>
      </c>
      <c r="AY261" s="9" t="s">
        <v>1657</v>
      </c>
      <c r="AZ261" s="9" t="s">
        <v>2584</v>
      </c>
      <c r="BB261" s="9" t="s">
        <v>750</v>
      </c>
      <c r="BC261" s="9" t="s">
        <v>1080</v>
      </c>
      <c r="BD261" s="9" t="s">
        <v>2585</v>
      </c>
      <c r="BF261" s="9" t="s">
        <v>2586</v>
      </c>
      <c r="BG261" s="9" t="s">
        <v>2587</v>
      </c>
      <c r="BH261" s="9" t="s">
        <v>2368</v>
      </c>
      <c r="BI261" s="9" t="s">
        <v>110</v>
      </c>
      <c r="BJ261" s="9" t="s">
        <v>805</v>
      </c>
      <c r="BK261" s="9" t="s">
        <v>2588</v>
      </c>
      <c r="BN261" s="9" t="s">
        <v>178</v>
      </c>
      <c r="BO261" s="9" t="s">
        <v>219</v>
      </c>
      <c r="BP261" s="9" t="s">
        <v>179</v>
      </c>
      <c r="BZ261" s="9" t="s">
        <v>355</v>
      </c>
      <c r="CA261" s="9" t="s">
        <v>183</v>
      </c>
      <c r="CB261" s="9" t="s">
        <v>822</v>
      </c>
      <c r="CK261" s="9" t="s">
        <v>2589</v>
      </c>
      <c r="CL261" s="9" t="s">
        <v>2590</v>
      </c>
      <c r="CM261" s="9" t="s">
        <v>2591</v>
      </c>
      <c r="CN261" s="9" t="s">
        <v>2592</v>
      </c>
      <c r="CP261" s="9" t="s">
        <v>362</v>
      </c>
      <c r="CQ261" s="9" t="s">
        <v>2593</v>
      </c>
      <c r="CR261" s="9" t="s">
        <v>2594</v>
      </c>
      <c r="CT261" s="9" t="s">
        <v>187</v>
      </c>
      <c r="CW261" s="45">
        <v>43526</v>
      </c>
      <c r="DC261" s="6">
        <v>91</v>
      </c>
      <c r="DD261" s="6">
        <v>0.54</v>
      </c>
      <c r="DE261" s="6">
        <v>185</v>
      </c>
      <c r="DF261" s="6">
        <v>158</v>
      </c>
      <c r="DG261" s="9">
        <f t="shared" si="4"/>
        <v>4.7867272697719088</v>
      </c>
      <c r="DH261" s="6">
        <v>29</v>
      </c>
      <c r="DI261" s="6">
        <v>6.37</v>
      </c>
      <c r="DJ261" s="6">
        <v>12</v>
      </c>
      <c r="DK261" s="6"/>
      <c r="DL261" s="6">
        <v>44.2</v>
      </c>
      <c r="DM261" s="95">
        <v>111.8</v>
      </c>
      <c r="DN261" s="95"/>
      <c r="DP261" s="11">
        <v>2</v>
      </c>
      <c r="DQ261" s="6" t="s">
        <v>111</v>
      </c>
    </row>
    <row r="262" spans="1:125" x14ac:dyDescent="0.2">
      <c r="A262" s="94">
        <v>183</v>
      </c>
      <c r="B262" s="8">
        <v>42460</v>
      </c>
      <c r="C262" s="6" t="s">
        <v>95</v>
      </c>
      <c r="D262" s="6">
        <v>40</v>
      </c>
      <c r="E262" s="80" t="s">
        <v>1015</v>
      </c>
      <c r="F262" s="17">
        <v>27904</v>
      </c>
      <c r="G262" s="6"/>
      <c r="H262" s="6"/>
      <c r="I262" s="9">
        <v>13</v>
      </c>
      <c r="J262" s="9" t="s">
        <v>483</v>
      </c>
      <c r="K262" s="9" t="s">
        <v>2595</v>
      </c>
      <c r="L262" s="6">
        <v>3</v>
      </c>
      <c r="M262" s="6" t="s">
        <v>483</v>
      </c>
      <c r="N262" s="9" t="s">
        <v>483</v>
      </c>
      <c r="O262" s="9" t="s">
        <v>483</v>
      </c>
      <c r="P262" s="6" t="s">
        <v>99</v>
      </c>
      <c r="Q262" s="6" t="s">
        <v>99</v>
      </c>
      <c r="R262" s="6"/>
      <c r="S262" s="6" t="s">
        <v>110</v>
      </c>
      <c r="T262" s="6" t="s">
        <v>99</v>
      </c>
      <c r="U262" s="6"/>
      <c r="W262" s="6"/>
      <c r="X262" s="6"/>
      <c r="Y262" s="6" t="s">
        <v>2596</v>
      </c>
      <c r="AA262" s="16" t="s">
        <v>840</v>
      </c>
      <c r="AB262" s="16" t="s">
        <v>840</v>
      </c>
      <c r="AC262" s="16" t="s">
        <v>840</v>
      </c>
      <c r="AD262" s="16" t="s">
        <v>840</v>
      </c>
      <c r="AE262" s="6" t="s">
        <v>99</v>
      </c>
      <c r="AF262" s="6" t="s">
        <v>99</v>
      </c>
      <c r="AG262" s="6" t="s">
        <v>99</v>
      </c>
      <c r="AH262" s="6" t="s">
        <v>99</v>
      </c>
      <c r="AI262" s="6" t="s">
        <v>99</v>
      </c>
      <c r="AJ262" s="6" t="s">
        <v>99</v>
      </c>
      <c r="AK262" s="6" t="s">
        <v>99</v>
      </c>
      <c r="AL262" s="6">
        <v>67.3</v>
      </c>
      <c r="AN262" s="15">
        <v>87</v>
      </c>
      <c r="AO262" s="6">
        <v>107</v>
      </c>
      <c r="AP262" s="6">
        <v>45.1</v>
      </c>
      <c r="AQ262" s="6">
        <v>8</v>
      </c>
      <c r="AR262" s="6">
        <v>22.7</v>
      </c>
      <c r="AS262" s="6">
        <v>55</v>
      </c>
      <c r="AT262" s="6">
        <v>28.4</v>
      </c>
      <c r="AU262" s="6">
        <v>117</v>
      </c>
      <c r="AV262" s="6">
        <v>86</v>
      </c>
      <c r="DC262" s="15">
        <v>105.9</v>
      </c>
      <c r="DD262" s="95">
        <v>0.46</v>
      </c>
      <c r="DE262" s="15">
        <v>248</v>
      </c>
      <c r="DF262" s="6">
        <v>139</v>
      </c>
      <c r="DG262" s="9">
        <f t="shared" si="4"/>
        <v>4.7984845928690261</v>
      </c>
      <c r="DH262" s="6">
        <v>27.8</v>
      </c>
      <c r="DI262" s="95">
        <v>3.85</v>
      </c>
      <c r="DJ262" s="6">
        <v>6</v>
      </c>
      <c r="DK262" s="6"/>
      <c r="DL262" s="6">
        <v>67</v>
      </c>
      <c r="DM262" s="95">
        <v>139</v>
      </c>
      <c r="DN262" s="95"/>
      <c r="DP262" s="11">
        <v>2</v>
      </c>
      <c r="DQ262" s="6" t="s">
        <v>111</v>
      </c>
      <c r="DR262" s="9">
        <v>3</v>
      </c>
    </row>
    <row r="263" spans="1:125" x14ac:dyDescent="0.2">
      <c r="A263" s="79">
        <v>184</v>
      </c>
      <c r="B263" s="8">
        <v>42460</v>
      </c>
      <c r="C263" s="6" t="s">
        <v>95</v>
      </c>
      <c r="D263" s="6">
        <v>18</v>
      </c>
      <c r="E263" s="6" t="s">
        <v>100</v>
      </c>
      <c r="F263" s="17">
        <v>36033</v>
      </c>
      <c r="G263" s="6"/>
      <c r="H263" s="6"/>
      <c r="I263" s="9">
        <v>15</v>
      </c>
      <c r="J263" s="9" t="s">
        <v>483</v>
      </c>
      <c r="L263" s="6" t="s">
        <v>99</v>
      </c>
      <c r="M263" s="6"/>
      <c r="N263" s="6"/>
      <c r="O263" s="6"/>
      <c r="P263" s="6" t="s">
        <v>99</v>
      </c>
      <c r="Q263" s="15" t="s">
        <v>110</v>
      </c>
      <c r="R263" s="79" t="s">
        <v>99</v>
      </c>
      <c r="S263" s="6" t="s">
        <v>110</v>
      </c>
      <c r="T263" s="6" t="s">
        <v>99</v>
      </c>
      <c r="U263" s="6"/>
      <c r="W263" s="6"/>
      <c r="X263" s="6"/>
      <c r="Y263" s="6" t="s">
        <v>99</v>
      </c>
      <c r="AA263" s="9" t="s">
        <v>100</v>
      </c>
      <c r="AB263" s="80" t="s">
        <v>1015</v>
      </c>
      <c r="AC263" s="6" t="s">
        <v>100</v>
      </c>
      <c r="AD263" s="16" t="s">
        <v>840</v>
      </c>
      <c r="AE263" s="6"/>
      <c r="AF263" s="6"/>
      <c r="AG263" s="6"/>
      <c r="AH263" s="6"/>
      <c r="AI263" s="6"/>
      <c r="AJ263" s="6"/>
      <c r="AK263" s="6"/>
      <c r="AL263" s="6">
        <v>63</v>
      </c>
      <c r="AN263" s="6">
        <v>71</v>
      </c>
      <c r="AO263" s="6"/>
      <c r="AP263" s="6"/>
      <c r="AQ263" s="6"/>
      <c r="AR263" s="6"/>
      <c r="AS263" s="6"/>
      <c r="AT263" s="79">
        <v>23.7</v>
      </c>
      <c r="AU263" s="6">
        <v>90</v>
      </c>
      <c r="AV263" s="6">
        <v>69</v>
      </c>
      <c r="DC263" s="6">
        <v>80</v>
      </c>
      <c r="DD263" s="6">
        <v>0.33</v>
      </c>
      <c r="DE263" s="6">
        <v>152</v>
      </c>
      <c r="DF263" s="6">
        <v>140</v>
      </c>
      <c r="DG263" s="9">
        <f t="shared" si="4"/>
        <v>4.6618345286415925</v>
      </c>
      <c r="DH263" s="6">
        <v>7</v>
      </c>
      <c r="DI263" s="6">
        <v>5.8</v>
      </c>
      <c r="DJ263" s="6">
        <v>13</v>
      </c>
      <c r="DK263" s="6"/>
      <c r="DL263" s="6">
        <v>76</v>
      </c>
      <c r="DM263" s="6">
        <v>69</v>
      </c>
      <c r="DN263" s="6"/>
      <c r="DQ263" s="6" t="s">
        <v>111</v>
      </c>
      <c r="DR263" s="9">
        <v>3</v>
      </c>
    </row>
    <row r="264" spans="1:125" x14ac:dyDescent="0.2">
      <c r="A264" s="16">
        <v>185</v>
      </c>
      <c r="B264" s="8">
        <v>42828</v>
      </c>
      <c r="C264" s="6" t="s">
        <v>95</v>
      </c>
      <c r="D264" s="6">
        <v>41</v>
      </c>
      <c r="E264" s="16" t="s">
        <v>840</v>
      </c>
      <c r="F264" s="17">
        <v>27669</v>
      </c>
      <c r="G264" s="6"/>
      <c r="H264" s="6"/>
      <c r="I264" s="9">
        <v>12</v>
      </c>
      <c r="J264" s="9" t="s">
        <v>99</v>
      </c>
      <c r="K264" s="9" t="s">
        <v>2597</v>
      </c>
      <c r="L264" s="16" t="s">
        <v>2598</v>
      </c>
      <c r="M264" s="9" t="s">
        <v>99</v>
      </c>
      <c r="N264" s="9" t="s">
        <v>99</v>
      </c>
      <c r="O264" s="9" t="s">
        <v>99</v>
      </c>
      <c r="P264" s="6" t="s">
        <v>99</v>
      </c>
      <c r="Q264" s="6" t="s">
        <v>99</v>
      </c>
      <c r="R264" s="6"/>
      <c r="S264" s="6" t="s">
        <v>110</v>
      </c>
      <c r="T264" s="6" t="s">
        <v>110</v>
      </c>
      <c r="U264" s="6" t="s">
        <v>99</v>
      </c>
      <c r="W264" s="6"/>
      <c r="X264" s="6"/>
      <c r="Y264" s="6" t="s">
        <v>2599</v>
      </c>
      <c r="AA264" s="16" t="s">
        <v>840</v>
      </c>
      <c r="AB264" s="16" t="s">
        <v>840</v>
      </c>
      <c r="AC264" s="16" t="s">
        <v>840</v>
      </c>
      <c r="AD264" s="16" t="s">
        <v>840</v>
      </c>
      <c r="AE264" s="15" t="s">
        <v>2600</v>
      </c>
      <c r="AF264" s="15" t="s">
        <v>118</v>
      </c>
      <c r="AG264" s="6" t="s">
        <v>99</v>
      </c>
      <c r="AH264" s="6" t="s">
        <v>99</v>
      </c>
      <c r="AI264" s="6" t="s">
        <v>99</v>
      </c>
      <c r="AJ264" s="6" t="s">
        <v>99</v>
      </c>
      <c r="AK264" s="15" t="s">
        <v>2601</v>
      </c>
      <c r="AL264" s="6">
        <v>67.8</v>
      </c>
      <c r="AM264" s="9">
        <v>154</v>
      </c>
      <c r="AN264" s="15">
        <v>91.5</v>
      </c>
      <c r="AO264" s="6">
        <v>102</v>
      </c>
      <c r="AP264" s="6">
        <v>42.1</v>
      </c>
      <c r="AQ264" s="6">
        <v>8</v>
      </c>
      <c r="AR264" s="6">
        <v>25</v>
      </c>
      <c r="AS264" s="6">
        <v>50</v>
      </c>
      <c r="AT264" s="6">
        <v>28.6</v>
      </c>
      <c r="AU264" s="15">
        <v>135</v>
      </c>
      <c r="AV264" s="15">
        <v>95</v>
      </c>
      <c r="AX264" s="9" t="s">
        <v>573</v>
      </c>
      <c r="AY264" s="9" t="s">
        <v>729</v>
      </c>
      <c r="AZ264" s="9" t="s">
        <v>2602</v>
      </c>
      <c r="BB264" s="9" t="s">
        <v>2603</v>
      </c>
      <c r="BC264" s="9" t="s">
        <v>2604</v>
      </c>
      <c r="BF264" s="9" t="s">
        <v>1173</v>
      </c>
      <c r="BG264" s="9" t="s">
        <v>2605</v>
      </c>
      <c r="BH264" s="9" t="s">
        <v>2606</v>
      </c>
      <c r="BI264" s="9" t="s">
        <v>2607</v>
      </c>
      <c r="BJ264" s="9" t="s">
        <v>1172</v>
      </c>
      <c r="BN264" s="9" t="s">
        <v>352</v>
      </c>
      <c r="BO264" s="9" t="s">
        <v>2608</v>
      </c>
      <c r="BP264" s="14" t="s">
        <v>1664</v>
      </c>
      <c r="BV264" s="9" t="s">
        <v>2609</v>
      </c>
      <c r="BW264" s="9" t="s">
        <v>2610</v>
      </c>
      <c r="BZ264" s="9" t="s">
        <v>182</v>
      </c>
      <c r="CA264" s="9" t="s">
        <v>709</v>
      </c>
      <c r="CB264" s="9" t="s">
        <v>2611</v>
      </c>
      <c r="CH264" s="9" t="s">
        <v>2612</v>
      </c>
      <c r="CL264" s="9" t="s">
        <v>579</v>
      </c>
      <c r="CM264" s="9" t="s">
        <v>2448</v>
      </c>
      <c r="CN264" s="9" t="s">
        <v>2613</v>
      </c>
      <c r="CP264" s="9" t="s">
        <v>715</v>
      </c>
      <c r="CQ264" s="9" t="s">
        <v>716</v>
      </c>
      <c r="CR264" s="9" t="s">
        <v>2614</v>
      </c>
      <c r="CT264" s="9" t="s">
        <v>2615</v>
      </c>
      <c r="CU264" s="9" t="s">
        <v>2616</v>
      </c>
      <c r="CV264" s="9" t="s">
        <v>2617</v>
      </c>
      <c r="CW264" s="9">
        <v>2</v>
      </c>
      <c r="CY264" s="9" t="s">
        <v>110</v>
      </c>
      <c r="DC264" s="15">
        <v>111.8</v>
      </c>
      <c r="DD264" s="6">
        <v>0.46</v>
      </c>
      <c r="DE264" s="6">
        <v>135</v>
      </c>
      <c r="DF264" s="15">
        <v>151</v>
      </c>
      <c r="DG264" s="9">
        <f t="shared" si="4"/>
        <v>4.8669956987679619</v>
      </c>
      <c r="DH264" s="6"/>
      <c r="DI264" s="6">
        <v>4.0999999999999996</v>
      </c>
      <c r="DJ264" s="6">
        <v>14</v>
      </c>
      <c r="DK264" s="6"/>
      <c r="DL264" s="6">
        <v>53</v>
      </c>
      <c r="DM264" s="6">
        <v>150</v>
      </c>
      <c r="DN264" s="6"/>
      <c r="DP264" s="11">
        <v>3</v>
      </c>
      <c r="DQ264" s="6" t="s">
        <v>111</v>
      </c>
      <c r="DR264" s="9">
        <v>2</v>
      </c>
      <c r="DU264" s="9">
        <v>12.82</v>
      </c>
    </row>
    <row r="265" spans="1:125" x14ac:dyDescent="0.2">
      <c r="A265" s="6">
        <v>186</v>
      </c>
      <c r="B265" s="8">
        <v>42536</v>
      </c>
      <c r="C265" s="6" t="s">
        <v>95</v>
      </c>
      <c r="D265" s="6">
        <v>45</v>
      </c>
      <c r="E265" s="6" t="s">
        <v>1123</v>
      </c>
      <c r="F265" s="17">
        <v>26196</v>
      </c>
      <c r="G265" s="6"/>
      <c r="H265" s="6"/>
      <c r="J265" s="9" t="s">
        <v>483</v>
      </c>
      <c r="K265" s="9">
        <v>1997</v>
      </c>
      <c r="L265" s="6">
        <v>3</v>
      </c>
      <c r="M265" s="6" t="s">
        <v>99</v>
      </c>
      <c r="N265" s="6" t="s">
        <v>99</v>
      </c>
      <c r="O265" s="6" t="s">
        <v>99</v>
      </c>
      <c r="P265" s="6" t="s">
        <v>110</v>
      </c>
      <c r="Q265" s="6" t="s">
        <v>110</v>
      </c>
      <c r="R265" s="6" t="s">
        <v>110</v>
      </c>
      <c r="S265" s="6" t="s">
        <v>99</v>
      </c>
      <c r="T265" s="6" t="s">
        <v>99</v>
      </c>
      <c r="U265" s="6" t="s">
        <v>483</v>
      </c>
      <c r="W265" s="6" t="s">
        <v>2618</v>
      </c>
      <c r="X265" s="6"/>
      <c r="Y265" s="6" t="s">
        <v>2619</v>
      </c>
      <c r="AA265" s="6" t="s">
        <v>1123</v>
      </c>
      <c r="AB265" s="6" t="s">
        <v>1123</v>
      </c>
      <c r="AC265" s="6" t="s">
        <v>1123</v>
      </c>
      <c r="AD265" s="6" t="s">
        <v>1123</v>
      </c>
      <c r="AE265" s="6" t="s">
        <v>99</v>
      </c>
      <c r="AF265" s="15" t="s">
        <v>570</v>
      </c>
      <c r="AG265" s="6" t="s">
        <v>99</v>
      </c>
      <c r="AH265" s="6" t="s">
        <v>99</v>
      </c>
      <c r="AI265" s="6" t="s">
        <v>99</v>
      </c>
      <c r="AJ265" s="6" t="s">
        <v>99</v>
      </c>
      <c r="AK265" s="6" t="s">
        <v>99</v>
      </c>
      <c r="AL265" s="6">
        <v>90.8</v>
      </c>
      <c r="AN265" s="15">
        <v>109</v>
      </c>
      <c r="AO265" s="6">
        <v>106</v>
      </c>
      <c r="AP265" s="6">
        <v>40.799999999999997</v>
      </c>
      <c r="AQ265" s="6">
        <v>9</v>
      </c>
      <c r="AR265" s="6">
        <v>26.8</v>
      </c>
      <c r="AS265" s="6">
        <v>57</v>
      </c>
      <c r="AT265" s="6">
        <v>32.4</v>
      </c>
      <c r="AU265" s="6">
        <v>111</v>
      </c>
      <c r="AV265" s="6">
        <v>79</v>
      </c>
      <c r="DC265" s="6">
        <v>95</v>
      </c>
      <c r="DD265" s="6"/>
      <c r="DE265" s="6">
        <v>196</v>
      </c>
      <c r="DF265" s="6">
        <v>102</v>
      </c>
      <c r="DG265" s="9">
        <f t="shared" si="4"/>
        <v>4.5894248524424057</v>
      </c>
      <c r="DH265" s="6"/>
      <c r="DI265" s="6"/>
      <c r="DJ265" s="6"/>
      <c r="DK265" s="6"/>
      <c r="DL265" s="6"/>
      <c r="DM265" s="6"/>
      <c r="DN265" s="6"/>
      <c r="DP265" s="11">
        <v>3</v>
      </c>
      <c r="DQ265" s="6" t="s">
        <v>111</v>
      </c>
      <c r="DR265" s="9">
        <v>2</v>
      </c>
      <c r="DT265" s="9">
        <v>12.8</v>
      </c>
    </row>
    <row r="266" spans="1:125" x14ac:dyDescent="0.2">
      <c r="A266" s="6">
        <v>187</v>
      </c>
      <c r="B266" s="8">
        <v>42536</v>
      </c>
      <c r="C266" s="6" t="s">
        <v>95</v>
      </c>
      <c r="D266" s="6">
        <v>46</v>
      </c>
      <c r="E266" s="6" t="s">
        <v>100</v>
      </c>
      <c r="F266" s="17">
        <v>25652</v>
      </c>
      <c r="G266" s="6"/>
      <c r="H266" s="6"/>
      <c r="J266" s="9" t="s">
        <v>99</v>
      </c>
      <c r="K266" s="9" t="s">
        <v>2620</v>
      </c>
      <c r="L266" s="6">
        <v>3</v>
      </c>
      <c r="M266" s="6" t="s">
        <v>99</v>
      </c>
      <c r="N266" s="9" t="s">
        <v>99</v>
      </c>
      <c r="O266" s="9" t="s">
        <v>99</v>
      </c>
      <c r="P266" s="6" t="s">
        <v>110</v>
      </c>
      <c r="Q266" s="6" t="s">
        <v>110</v>
      </c>
      <c r="R266" s="6" t="s">
        <v>99</v>
      </c>
      <c r="S266" s="6" t="s">
        <v>110</v>
      </c>
      <c r="T266" s="6" t="s">
        <v>110</v>
      </c>
      <c r="U266" s="6" t="s">
        <v>99</v>
      </c>
      <c r="V266" s="9" t="s">
        <v>99</v>
      </c>
      <c r="W266" s="6" t="s">
        <v>2618</v>
      </c>
      <c r="X266" s="6"/>
      <c r="Y266" s="6" t="s">
        <v>2621</v>
      </c>
      <c r="Z266" s="9" t="s">
        <v>2622</v>
      </c>
      <c r="AA266" s="16" t="s">
        <v>840</v>
      </c>
      <c r="AB266" s="80" t="s">
        <v>2623</v>
      </c>
      <c r="AC266" s="16" t="s">
        <v>840</v>
      </c>
      <c r="AD266" s="80" t="s">
        <v>2623</v>
      </c>
      <c r="AE266" s="6" t="s">
        <v>99</v>
      </c>
      <c r="AF266" s="6" t="s">
        <v>99</v>
      </c>
      <c r="AG266" s="15" t="s">
        <v>2624</v>
      </c>
      <c r="AH266" s="15" t="s">
        <v>125</v>
      </c>
      <c r="AI266" s="15" t="s">
        <v>125</v>
      </c>
      <c r="AJ266" s="6" t="s">
        <v>99</v>
      </c>
      <c r="AK266" s="6" t="s">
        <v>99</v>
      </c>
      <c r="AL266" s="6">
        <v>51.4</v>
      </c>
      <c r="AN266" s="15">
        <v>86</v>
      </c>
      <c r="AO266" s="6">
        <v>94</v>
      </c>
      <c r="AP266" s="6">
        <v>36</v>
      </c>
      <c r="AQ266" s="6">
        <v>6</v>
      </c>
      <c r="AR266" s="6">
        <v>21.6</v>
      </c>
      <c r="AS266" s="6">
        <v>77</v>
      </c>
      <c r="AT266" s="79">
        <v>22</v>
      </c>
      <c r="AU266" s="6">
        <v>101</v>
      </c>
      <c r="AV266" s="6">
        <v>64</v>
      </c>
      <c r="DC266" s="6">
        <v>96</v>
      </c>
      <c r="DD266" s="6">
        <v>0.74</v>
      </c>
      <c r="DE266" s="15">
        <v>267</v>
      </c>
      <c r="DF266" s="15">
        <v>221</v>
      </c>
      <c r="DG266" s="9">
        <f t="shared" si="4"/>
        <v>4.9812554464927947</v>
      </c>
      <c r="DH266" s="6"/>
      <c r="DI266" s="6">
        <v>3.44</v>
      </c>
      <c r="DJ266" s="6"/>
      <c r="DK266" s="6"/>
      <c r="DL266" s="6"/>
      <c r="DM266" s="6"/>
      <c r="DN266" s="6"/>
      <c r="DP266" s="11">
        <v>2</v>
      </c>
      <c r="DQ266" s="19" t="s">
        <v>112</v>
      </c>
      <c r="DR266" s="9">
        <v>2</v>
      </c>
      <c r="DT266" s="9">
        <v>4.3499999999999996</v>
      </c>
    </row>
    <row r="267" spans="1:125" x14ac:dyDescent="0.2">
      <c r="A267" s="6">
        <v>188</v>
      </c>
      <c r="B267" s="8">
        <v>42536</v>
      </c>
      <c r="C267" s="6" t="s">
        <v>95</v>
      </c>
      <c r="D267" s="6">
        <v>36</v>
      </c>
      <c r="E267" s="86" t="s">
        <v>2625</v>
      </c>
      <c r="F267" s="17">
        <v>29237</v>
      </c>
      <c r="G267" s="6"/>
      <c r="H267" s="6"/>
      <c r="J267" s="9" t="s">
        <v>99</v>
      </c>
      <c r="K267" s="9">
        <v>2015</v>
      </c>
      <c r="L267" s="16" t="s">
        <v>2626</v>
      </c>
      <c r="M267" s="6" t="s">
        <v>99</v>
      </c>
      <c r="N267" s="6" t="s">
        <v>99</v>
      </c>
      <c r="O267" s="15" t="s">
        <v>110</v>
      </c>
      <c r="P267" s="6" t="s">
        <v>99</v>
      </c>
      <c r="Q267" s="6" t="s">
        <v>99</v>
      </c>
      <c r="R267" s="6" t="s">
        <v>110</v>
      </c>
      <c r="S267" s="6" t="s">
        <v>110</v>
      </c>
      <c r="T267" s="6" t="s">
        <v>99</v>
      </c>
      <c r="U267" s="6" t="s">
        <v>2308</v>
      </c>
      <c r="V267" s="9" t="s">
        <v>99</v>
      </c>
      <c r="W267" s="6" t="s">
        <v>2302</v>
      </c>
      <c r="X267" s="6"/>
      <c r="Y267" s="6"/>
      <c r="AA267" s="86" t="s">
        <v>2625</v>
      </c>
      <c r="AB267" s="86" t="s">
        <v>2625</v>
      </c>
      <c r="AC267" s="86" t="s">
        <v>2625</v>
      </c>
      <c r="AD267" s="86" t="s">
        <v>2625</v>
      </c>
      <c r="AE267" s="15" t="s">
        <v>2627</v>
      </c>
      <c r="AF267" s="6" t="s">
        <v>99</v>
      </c>
      <c r="AG267" s="6" t="s">
        <v>99</v>
      </c>
      <c r="AH267" s="6" t="s">
        <v>99</v>
      </c>
      <c r="AI267" s="6" t="s">
        <v>99</v>
      </c>
      <c r="AJ267" s="6" t="s">
        <v>99</v>
      </c>
      <c r="AK267" s="6" t="s">
        <v>99</v>
      </c>
      <c r="AL267" s="6">
        <v>57.8</v>
      </c>
      <c r="AN267" s="15">
        <v>83</v>
      </c>
      <c r="AO267" s="6">
        <v>94</v>
      </c>
      <c r="AP267" s="6">
        <v>41.1</v>
      </c>
      <c r="AQ267" s="6">
        <v>7</v>
      </c>
      <c r="AR267" s="6">
        <v>25.2</v>
      </c>
      <c r="AS267" s="6">
        <v>54</v>
      </c>
      <c r="AT267" s="6">
        <v>27.5</v>
      </c>
      <c r="AU267" s="6">
        <v>102</v>
      </c>
      <c r="AV267" s="6">
        <v>65</v>
      </c>
      <c r="DC267" s="6">
        <v>92</v>
      </c>
      <c r="DD267" s="6"/>
      <c r="DE267" s="6">
        <v>166</v>
      </c>
      <c r="DF267" s="6">
        <v>98</v>
      </c>
      <c r="DG267" s="9">
        <f t="shared" si="4"/>
        <v>4.5533780278598064</v>
      </c>
      <c r="DH267" s="6"/>
      <c r="DI267" s="6"/>
      <c r="DJ267" s="6"/>
      <c r="DK267" s="6"/>
      <c r="DL267" s="6"/>
      <c r="DM267" s="6"/>
      <c r="DN267" s="6"/>
      <c r="DP267" s="11">
        <v>3</v>
      </c>
      <c r="DQ267" s="6" t="s">
        <v>111</v>
      </c>
      <c r="DR267" s="9">
        <v>2</v>
      </c>
    </row>
    <row r="268" spans="1:125" x14ac:dyDescent="0.2">
      <c r="A268" s="79">
        <v>189</v>
      </c>
      <c r="B268" s="8">
        <v>42976</v>
      </c>
      <c r="C268" s="6" t="s">
        <v>196</v>
      </c>
      <c r="D268" s="6">
        <v>46</v>
      </c>
      <c r="E268" s="6" t="s">
        <v>100</v>
      </c>
      <c r="F268" s="17">
        <v>25920</v>
      </c>
      <c r="G268" s="6" t="s">
        <v>197</v>
      </c>
      <c r="H268" s="6" t="s">
        <v>2628</v>
      </c>
      <c r="I268" s="9">
        <v>12</v>
      </c>
      <c r="J268" s="10">
        <v>2016</v>
      </c>
      <c r="L268" s="6" t="s">
        <v>99</v>
      </c>
      <c r="M268" s="6" t="s">
        <v>99</v>
      </c>
      <c r="N268" s="6" t="s">
        <v>99</v>
      </c>
      <c r="O268" s="6" t="s">
        <v>99</v>
      </c>
      <c r="P268" s="6" t="s">
        <v>110</v>
      </c>
      <c r="Q268" s="6" t="s">
        <v>110</v>
      </c>
      <c r="R268" s="6" t="s">
        <v>99</v>
      </c>
      <c r="S268" s="6" t="s">
        <v>110</v>
      </c>
      <c r="T268" s="6" t="s">
        <v>110</v>
      </c>
      <c r="U268" s="6" t="s">
        <v>2629</v>
      </c>
      <c r="W268" s="6" t="s">
        <v>2630</v>
      </c>
      <c r="X268" s="6"/>
      <c r="Y268" s="6" t="s">
        <v>1903</v>
      </c>
      <c r="AA268" s="6" t="s">
        <v>100</v>
      </c>
      <c r="AB268" s="6" t="s">
        <v>100</v>
      </c>
      <c r="AC268" s="6" t="s">
        <v>100</v>
      </c>
      <c r="AD268" s="6" t="s">
        <v>100</v>
      </c>
      <c r="AE268" s="15" t="s">
        <v>2631</v>
      </c>
      <c r="AF268" s="15" t="s">
        <v>118</v>
      </c>
      <c r="AG268" s="15" t="s">
        <v>125</v>
      </c>
      <c r="AH268" s="15" t="s">
        <v>2320</v>
      </c>
      <c r="AI268" s="6" t="s">
        <v>99</v>
      </c>
      <c r="AJ268" s="6"/>
      <c r="AK268" s="15" t="s">
        <v>2632</v>
      </c>
      <c r="AL268" s="6">
        <v>52.7</v>
      </c>
      <c r="AM268" s="9">
        <v>170</v>
      </c>
      <c r="AN268" s="6">
        <v>71</v>
      </c>
      <c r="AO268" s="6">
        <v>92</v>
      </c>
      <c r="AP268" s="6">
        <v>22.2</v>
      </c>
      <c r="AQ268" s="6">
        <v>3</v>
      </c>
      <c r="AR268" s="6">
        <v>31</v>
      </c>
      <c r="AS268" s="6">
        <v>18</v>
      </c>
      <c r="AT268" s="79">
        <v>18.2</v>
      </c>
      <c r="AU268" s="6">
        <v>107</v>
      </c>
      <c r="AV268" s="6">
        <v>75</v>
      </c>
      <c r="AX268" s="9" t="s">
        <v>666</v>
      </c>
      <c r="AY268" s="9" t="s">
        <v>2633</v>
      </c>
      <c r="AZ268" s="9" t="s">
        <v>2634</v>
      </c>
      <c r="BB268" s="9" t="s">
        <v>2635</v>
      </c>
      <c r="BC268" s="9" t="s">
        <v>2053</v>
      </c>
      <c r="BF268" s="9" t="s">
        <v>2606</v>
      </c>
      <c r="BG268" s="9" t="s">
        <v>2606</v>
      </c>
      <c r="BH268" s="9" t="s">
        <v>2570</v>
      </c>
      <c r="BI268" s="9" t="s">
        <v>2570</v>
      </c>
      <c r="BJ268" s="9" t="s">
        <v>852</v>
      </c>
      <c r="BK268" s="9" t="s">
        <v>2570</v>
      </c>
      <c r="BN268" s="9" t="s">
        <v>2636</v>
      </c>
      <c r="BO268" s="9" t="s">
        <v>2637</v>
      </c>
      <c r="BP268" s="9" t="s">
        <v>2638</v>
      </c>
      <c r="BR268" s="9" t="s">
        <v>99</v>
      </c>
      <c r="BV268" s="9" t="s">
        <v>2639</v>
      </c>
      <c r="BZ268" s="9" t="s">
        <v>807</v>
      </c>
      <c r="CA268" s="9" t="s">
        <v>2640</v>
      </c>
      <c r="CB268" s="9" t="s">
        <v>808</v>
      </c>
      <c r="CL268" s="9" t="s">
        <v>823</v>
      </c>
      <c r="CM268" s="9" t="s">
        <v>824</v>
      </c>
      <c r="CP268" s="9" t="s">
        <v>890</v>
      </c>
      <c r="CQ268" s="9" t="s">
        <v>2641</v>
      </c>
      <c r="CT268" s="9" t="s">
        <v>2642</v>
      </c>
      <c r="CW268" s="9">
        <v>3</v>
      </c>
      <c r="CX268" s="9" t="s">
        <v>110</v>
      </c>
      <c r="CY268" s="9" t="s">
        <v>2643</v>
      </c>
      <c r="DC268" s="6">
        <v>79</v>
      </c>
      <c r="DD268" s="6">
        <v>0.63</v>
      </c>
      <c r="DE268" s="6">
        <v>189</v>
      </c>
      <c r="DF268" s="96" t="s">
        <v>2644</v>
      </c>
      <c r="DG268" s="9" t="e">
        <f t="shared" si="4"/>
        <v>#VALUE!</v>
      </c>
      <c r="DH268" s="13">
        <v>28.8</v>
      </c>
      <c r="DI268" s="6">
        <v>3.7</v>
      </c>
      <c r="DJ268" s="6"/>
      <c r="DK268" s="6"/>
      <c r="DL268" s="6">
        <v>80</v>
      </c>
      <c r="DM268" s="6">
        <v>80</v>
      </c>
      <c r="DN268" s="6"/>
      <c r="DP268" s="11">
        <v>3</v>
      </c>
      <c r="DQ268" s="6" t="s">
        <v>111</v>
      </c>
      <c r="DR268" s="9">
        <v>3</v>
      </c>
    </row>
    <row r="269" spans="1:125" x14ac:dyDescent="0.2">
      <c r="A269" s="79">
        <v>190</v>
      </c>
      <c r="B269" s="8">
        <v>42801</v>
      </c>
      <c r="C269" s="6" t="s">
        <v>196</v>
      </c>
      <c r="D269" s="6">
        <v>33</v>
      </c>
      <c r="E269" s="6" t="s">
        <v>100</v>
      </c>
      <c r="G269" s="6" t="s">
        <v>2645</v>
      </c>
      <c r="H269" s="6"/>
      <c r="J269" s="9" t="s">
        <v>99</v>
      </c>
      <c r="L269" s="6" t="s">
        <v>99</v>
      </c>
      <c r="M269" s="6" t="s">
        <v>99</v>
      </c>
      <c r="N269" s="9" t="s">
        <v>99</v>
      </c>
      <c r="O269" s="9" t="s">
        <v>99</v>
      </c>
      <c r="P269" s="6" t="s">
        <v>2646</v>
      </c>
      <c r="Q269" s="6" t="s">
        <v>110</v>
      </c>
      <c r="R269" s="6"/>
      <c r="S269" s="6" t="s">
        <v>483</v>
      </c>
      <c r="T269" s="6" t="s">
        <v>588</v>
      </c>
      <c r="U269" s="6" t="s">
        <v>2647</v>
      </c>
      <c r="W269" s="6" t="s">
        <v>2648</v>
      </c>
      <c r="X269" s="6"/>
      <c r="Y269" s="6" t="s">
        <v>2649</v>
      </c>
      <c r="AA269" s="9" t="s">
        <v>2234</v>
      </c>
      <c r="AB269" s="6" t="s">
        <v>100</v>
      </c>
      <c r="AC269" s="9" t="s">
        <v>2234</v>
      </c>
      <c r="AD269" s="6" t="s">
        <v>100</v>
      </c>
      <c r="AE269" s="9" t="s">
        <v>99</v>
      </c>
      <c r="AF269" s="6" t="s">
        <v>99</v>
      </c>
      <c r="AG269" s="15" t="s">
        <v>2650</v>
      </c>
      <c r="AH269" s="15" t="s">
        <v>135</v>
      </c>
      <c r="AI269" s="6" t="s">
        <v>99</v>
      </c>
      <c r="AJ269" s="6"/>
      <c r="AK269" s="6"/>
      <c r="AL269" s="6">
        <v>67</v>
      </c>
      <c r="AN269" s="6">
        <v>74.5</v>
      </c>
      <c r="AO269" s="6">
        <v>99</v>
      </c>
      <c r="AP269" s="6">
        <v>36.700000000000003</v>
      </c>
      <c r="AQ269" s="6">
        <v>4</v>
      </c>
      <c r="AR269" s="6">
        <v>25.3</v>
      </c>
      <c r="AS269" s="6">
        <v>31</v>
      </c>
      <c r="AT269" s="79">
        <v>22.5</v>
      </c>
      <c r="AU269" s="6">
        <v>93</v>
      </c>
      <c r="AV269" s="6">
        <v>68</v>
      </c>
      <c r="AX269" s="9" t="s">
        <v>729</v>
      </c>
      <c r="AY269" s="9" t="s">
        <v>2567</v>
      </c>
      <c r="AZ269" s="9" t="s">
        <v>2651</v>
      </c>
      <c r="BB269" s="9" t="s">
        <v>750</v>
      </c>
      <c r="BC269" s="9" t="s">
        <v>2652</v>
      </c>
      <c r="BD269" s="9" t="s">
        <v>1080</v>
      </c>
      <c r="BF269" s="9" t="s">
        <v>2653</v>
      </c>
      <c r="BH269" s="9" t="s">
        <v>110</v>
      </c>
      <c r="BI269" s="9" t="s">
        <v>2654</v>
      </c>
      <c r="BJ269" s="9" t="s">
        <v>2655</v>
      </c>
      <c r="BK269" s="9" t="s">
        <v>2656</v>
      </c>
      <c r="BN269" s="9" t="s">
        <v>352</v>
      </c>
      <c r="BO269" s="9" t="s">
        <v>859</v>
      </c>
      <c r="BP269" s="14" t="s">
        <v>2657</v>
      </c>
      <c r="BQ269" s="9" t="s">
        <v>99</v>
      </c>
      <c r="BV269" s="9" t="s">
        <v>857</v>
      </c>
      <c r="BW269" s="9" t="s">
        <v>2658</v>
      </c>
      <c r="BZ269" s="9" t="s">
        <v>182</v>
      </c>
      <c r="CA269" s="9" t="s">
        <v>709</v>
      </c>
      <c r="CB269" s="9" t="s">
        <v>183</v>
      </c>
      <c r="CD269" s="9" t="s">
        <v>821</v>
      </c>
      <c r="CL269" s="9" t="s">
        <v>1181</v>
      </c>
      <c r="CM269" s="9" t="s">
        <v>2659</v>
      </c>
      <c r="CN269" s="9" t="s">
        <v>2660</v>
      </c>
      <c r="CP269" s="9" t="s">
        <v>362</v>
      </c>
      <c r="CQ269" s="9" t="s">
        <v>2661</v>
      </c>
      <c r="CT269" s="9" t="s">
        <v>363</v>
      </c>
      <c r="CU269" s="9" t="s">
        <v>187</v>
      </c>
      <c r="CV269" s="9" t="s">
        <v>2662</v>
      </c>
      <c r="DC269" s="82">
        <v>84</v>
      </c>
      <c r="DD269" s="82">
        <v>1</v>
      </c>
      <c r="DE269" s="82">
        <v>150</v>
      </c>
      <c r="DF269" s="82">
        <v>132</v>
      </c>
      <c r="DG269" s="9">
        <f t="shared" si="4"/>
        <v>4.656809360714842</v>
      </c>
      <c r="DH269" s="82">
        <v>6</v>
      </c>
      <c r="DI269" s="82">
        <v>5.5</v>
      </c>
      <c r="DJ269" s="82">
        <v>7</v>
      </c>
      <c r="DK269" s="6"/>
      <c r="DL269" s="6">
        <v>65</v>
      </c>
      <c r="DM269" s="6">
        <v>79</v>
      </c>
      <c r="DN269" s="6"/>
      <c r="DQ269" s="6" t="s">
        <v>114</v>
      </c>
      <c r="DR269" s="9">
        <v>3</v>
      </c>
    </row>
    <row r="270" spans="1:125" x14ac:dyDescent="0.2">
      <c r="A270" s="79">
        <v>191</v>
      </c>
      <c r="B270" s="8">
        <v>42801</v>
      </c>
      <c r="C270" s="6" t="s">
        <v>196</v>
      </c>
      <c r="D270" s="6">
        <v>28</v>
      </c>
      <c r="E270" s="6" t="s">
        <v>100</v>
      </c>
      <c r="G270" s="6" t="s">
        <v>2663</v>
      </c>
      <c r="H270" s="6"/>
      <c r="J270" s="9" t="s">
        <v>99</v>
      </c>
      <c r="L270" s="6" t="s">
        <v>99</v>
      </c>
      <c r="M270" s="6" t="s">
        <v>99</v>
      </c>
      <c r="N270" s="9" t="s">
        <v>99</v>
      </c>
      <c r="O270" s="9" t="s">
        <v>99</v>
      </c>
      <c r="P270" s="6" t="s">
        <v>99</v>
      </c>
      <c r="Q270" s="6" t="s">
        <v>110</v>
      </c>
      <c r="R270" s="6" t="s">
        <v>483</v>
      </c>
      <c r="S270" s="6" t="s">
        <v>483</v>
      </c>
      <c r="T270" s="6" t="s">
        <v>483</v>
      </c>
      <c r="U270" s="6" t="s">
        <v>99</v>
      </c>
      <c r="V270" s="9" t="s">
        <v>99</v>
      </c>
      <c r="W270" s="6" t="s">
        <v>99</v>
      </c>
      <c r="X270" s="6"/>
      <c r="Y270" s="6"/>
      <c r="AA270" s="9" t="s">
        <v>1123</v>
      </c>
      <c r="AB270" s="6" t="s">
        <v>100</v>
      </c>
      <c r="AC270" s="6"/>
      <c r="AE270" s="15" t="s">
        <v>1104</v>
      </c>
      <c r="AF270" s="6" t="s">
        <v>99</v>
      </c>
      <c r="AG270" s="15" t="s">
        <v>2664</v>
      </c>
      <c r="AH270" s="15" t="s">
        <v>406</v>
      </c>
      <c r="AI270" s="6" t="s">
        <v>99</v>
      </c>
      <c r="AJ270" s="6"/>
      <c r="AK270" s="6"/>
      <c r="AL270" s="6">
        <v>51</v>
      </c>
      <c r="AN270" s="6">
        <v>73.5</v>
      </c>
      <c r="AO270" s="6">
        <v>93.5</v>
      </c>
      <c r="AP270" s="6">
        <v>32.200000000000003</v>
      </c>
      <c r="AQ270" s="6">
        <v>3</v>
      </c>
      <c r="AR270" s="6">
        <v>22.5</v>
      </c>
      <c r="AS270" s="6">
        <v>18</v>
      </c>
      <c r="AT270" s="79">
        <v>20.2</v>
      </c>
      <c r="AU270" s="6">
        <v>96</v>
      </c>
      <c r="AV270" s="6">
        <v>75</v>
      </c>
      <c r="AX270" s="9" t="s">
        <v>187</v>
      </c>
      <c r="AY270" s="9" t="s">
        <v>2566</v>
      </c>
      <c r="AZ270" s="9" t="s">
        <v>573</v>
      </c>
      <c r="BB270" s="9" t="s">
        <v>750</v>
      </c>
      <c r="BC270" s="9" t="s">
        <v>2665</v>
      </c>
      <c r="BD270" s="9" t="s">
        <v>2666</v>
      </c>
      <c r="BF270" s="9" t="s">
        <v>2667</v>
      </c>
      <c r="BG270" s="9" t="s">
        <v>110</v>
      </c>
      <c r="BH270" s="9" t="s">
        <v>110</v>
      </c>
      <c r="BI270" s="9" t="s">
        <v>110</v>
      </c>
      <c r="BJ270" s="9" t="s">
        <v>110</v>
      </c>
      <c r="BK270" s="9" t="s">
        <v>2668</v>
      </c>
      <c r="BM270" s="9" t="s">
        <v>352</v>
      </c>
      <c r="BR270" s="9" t="s">
        <v>2669</v>
      </c>
      <c r="BS270" s="9" t="s">
        <v>178</v>
      </c>
      <c r="BT270" s="9" t="s">
        <v>2670</v>
      </c>
      <c r="BV270" s="9" t="s">
        <v>857</v>
      </c>
      <c r="BW270" s="9" t="s">
        <v>734</v>
      </c>
      <c r="BX270" s="9" t="s">
        <v>179</v>
      </c>
      <c r="BZ270" s="9" t="s">
        <v>182</v>
      </c>
      <c r="CA270" s="9" t="s">
        <v>183</v>
      </c>
      <c r="CB270" s="9" t="s">
        <v>2096</v>
      </c>
      <c r="CD270" s="9" t="s">
        <v>2671</v>
      </c>
      <c r="CL270" s="9" t="s">
        <v>1181</v>
      </c>
      <c r="CM270" s="9" t="s">
        <v>825</v>
      </c>
      <c r="CN270" s="9" t="s">
        <v>2672</v>
      </c>
      <c r="CP270" s="9" t="s">
        <v>2594</v>
      </c>
      <c r="CQ270" s="9" t="s">
        <v>2673</v>
      </c>
      <c r="CR270" s="9" t="s">
        <v>2674</v>
      </c>
      <c r="CT270" s="9" t="s">
        <v>187</v>
      </c>
      <c r="CU270" s="9" t="s">
        <v>2675</v>
      </c>
      <c r="CV270" s="9" t="s">
        <v>1725</v>
      </c>
      <c r="DC270" s="82">
        <v>85</v>
      </c>
      <c r="DD270" s="82">
        <v>0.9</v>
      </c>
      <c r="DE270" s="82">
        <v>175</v>
      </c>
      <c r="DF270" s="82">
        <v>149</v>
      </c>
      <c r="DG270" s="9">
        <f t="shared" si="4"/>
        <v>4.7232987812178875</v>
      </c>
      <c r="DH270" s="82">
        <v>18</v>
      </c>
      <c r="DI270" s="82">
        <v>5.8</v>
      </c>
      <c r="DJ270" s="82">
        <v>11</v>
      </c>
      <c r="DK270" s="6"/>
      <c r="DL270" s="6">
        <v>57</v>
      </c>
      <c r="DM270" s="6">
        <v>100</v>
      </c>
      <c r="DN270" s="6"/>
      <c r="DQ270" s="6" t="s">
        <v>114</v>
      </c>
      <c r="DR270" s="9">
        <v>2</v>
      </c>
      <c r="DU270" s="9">
        <v>7.5</v>
      </c>
    </row>
    <row r="271" spans="1:125" x14ac:dyDescent="0.2">
      <c r="A271" s="6">
        <v>192</v>
      </c>
      <c r="B271" s="8">
        <v>42801</v>
      </c>
      <c r="C271" s="6" t="s">
        <v>196</v>
      </c>
      <c r="D271" s="6">
        <v>34</v>
      </c>
      <c r="E271" s="6" t="s">
        <v>100</v>
      </c>
      <c r="G271" s="6" t="s">
        <v>2676</v>
      </c>
      <c r="H271" s="6"/>
      <c r="J271" s="9" t="s">
        <v>99</v>
      </c>
      <c r="L271" s="6" t="s">
        <v>99</v>
      </c>
      <c r="M271" s="6" t="s">
        <v>99</v>
      </c>
      <c r="N271" s="10" t="s">
        <v>110</v>
      </c>
      <c r="O271" s="9" t="s">
        <v>99</v>
      </c>
      <c r="P271" s="6" t="s">
        <v>99</v>
      </c>
      <c r="Q271" s="6" t="s">
        <v>110</v>
      </c>
      <c r="R271" s="6"/>
      <c r="S271" s="6" t="s">
        <v>588</v>
      </c>
      <c r="T271" s="6" t="s">
        <v>483</v>
      </c>
      <c r="U271" s="6" t="s">
        <v>483</v>
      </c>
      <c r="W271" s="6" t="s">
        <v>483</v>
      </c>
      <c r="X271" s="6"/>
      <c r="Y271" s="6" t="s">
        <v>99</v>
      </c>
      <c r="AA271" s="9" t="s">
        <v>1123</v>
      </c>
      <c r="AB271" s="6" t="s">
        <v>100</v>
      </c>
      <c r="AC271" s="9" t="s">
        <v>1123</v>
      </c>
      <c r="AD271" s="6" t="s">
        <v>100</v>
      </c>
      <c r="AE271" s="15" t="s">
        <v>2677</v>
      </c>
      <c r="AF271" s="15" t="s">
        <v>1242</v>
      </c>
      <c r="AG271" s="15" t="s">
        <v>2678</v>
      </c>
      <c r="AH271" s="15" t="s">
        <v>1242</v>
      </c>
      <c r="AI271" s="6"/>
      <c r="AJ271" s="6" t="s">
        <v>99</v>
      </c>
      <c r="AK271" s="6" t="s">
        <v>99</v>
      </c>
      <c r="AL271" s="6">
        <v>71</v>
      </c>
      <c r="AN271" s="15">
        <v>90</v>
      </c>
      <c r="AO271" s="6">
        <v>108</v>
      </c>
      <c r="AP271" s="6">
        <v>46.6</v>
      </c>
      <c r="AQ271" s="6">
        <v>8</v>
      </c>
      <c r="AR271" s="6">
        <v>22.9</v>
      </c>
      <c r="AS271" s="6">
        <v>58</v>
      </c>
      <c r="AT271" s="6">
        <v>30</v>
      </c>
      <c r="AU271" s="15">
        <v>143</v>
      </c>
      <c r="AV271" s="15">
        <v>107</v>
      </c>
      <c r="AX271" s="9" t="s">
        <v>729</v>
      </c>
      <c r="AY271" s="9" t="s">
        <v>2679</v>
      </c>
      <c r="AZ271" s="9" t="s">
        <v>2680</v>
      </c>
      <c r="BA271" s="9" t="s">
        <v>1130</v>
      </c>
      <c r="BB271" s="9" t="s">
        <v>750</v>
      </c>
      <c r="BC271" s="9" t="s">
        <v>1080</v>
      </c>
      <c r="BD271" s="9" t="s">
        <v>2665</v>
      </c>
      <c r="BF271" s="9" t="s">
        <v>2681</v>
      </c>
      <c r="BG271" s="9" t="s">
        <v>110</v>
      </c>
      <c r="BH271" s="9" t="s">
        <v>110</v>
      </c>
      <c r="BI271" s="9" t="s">
        <v>110</v>
      </c>
      <c r="BJ271" s="9" t="s">
        <v>110</v>
      </c>
      <c r="BK271" s="9" t="s">
        <v>1172</v>
      </c>
      <c r="BN271" s="9" t="s">
        <v>2682</v>
      </c>
      <c r="BO271" s="9" t="s">
        <v>2683</v>
      </c>
      <c r="BP271" s="14" t="s">
        <v>1664</v>
      </c>
      <c r="BV271" s="9" t="s">
        <v>857</v>
      </c>
      <c r="BZ271" s="9" t="s">
        <v>182</v>
      </c>
      <c r="CA271" s="9" t="s">
        <v>821</v>
      </c>
      <c r="CB271" s="9" t="s">
        <v>183</v>
      </c>
      <c r="CD271" s="9" t="s">
        <v>821</v>
      </c>
      <c r="CL271" s="9" t="s">
        <v>2684</v>
      </c>
      <c r="CM271" s="9" t="s">
        <v>825</v>
      </c>
      <c r="CN271" s="9" t="s">
        <v>2447</v>
      </c>
      <c r="CP271" s="9" t="s">
        <v>2594</v>
      </c>
      <c r="CQ271" s="9" t="s">
        <v>362</v>
      </c>
      <c r="CR271" s="9" t="s">
        <v>757</v>
      </c>
      <c r="CT271" s="9" t="s">
        <v>1729</v>
      </c>
      <c r="CU271" s="9" t="s">
        <v>2685</v>
      </c>
      <c r="CV271" s="9" t="s">
        <v>1660</v>
      </c>
      <c r="DC271" s="82">
        <v>85</v>
      </c>
      <c r="DD271" s="82">
        <v>1.6</v>
      </c>
      <c r="DE271" s="82">
        <v>138</v>
      </c>
      <c r="DF271" s="82">
        <v>130</v>
      </c>
      <c r="DG271" s="9">
        <f t="shared" si="4"/>
        <v>4.6550928534729499</v>
      </c>
      <c r="DH271" s="82"/>
      <c r="DI271" s="82">
        <v>5.2</v>
      </c>
      <c r="DJ271" s="82">
        <v>12</v>
      </c>
      <c r="DK271" s="6"/>
      <c r="DL271" s="6">
        <v>38</v>
      </c>
      <c r="DM271" s="6">
        <v>126</v>
      </c>
      <c r="DN271" s="6"/>
      <c r="DQ271" s="6" t="s">
        <v>114</v>
      </c>
      <c r="DR271" s="9">
        <v>3</v>
      </c>
    </row>
    <row r="272" spans="1:125" ht="16" x14ac:dyDescent="0.2">
      <c r="A272" s="6">
        <v>193</v>
      </c>
      <c r="B272" s="97">
        <v>42894</v>
      </c>
      <c r="C272" s="6" t="s">
        <v>95</v>
      </c>
      <c r="D272" s="6">
        <v>41</v>
      </c>
      <c r="E272" s="88" t="s">
        <v>2686</v>
      </c>
      <c r="F272" s="17">
        <v>27669</v>
      </c>
      <c r="G272" s="6" t="s">
        <v>2687</v>
      </c>
      <c r="H272" s="6"/>
      <c r="I272" s="9">
        <v>14</v>
      </c>
      <c r="J272" s="9" t="s">
        <v>99</v>
      </c>
      <c r="L272" s="6"/>
      <c r="M272" s="6" t="s">
        <v>483</v>
      </c>
      <c r="N272" s="6" t="s">
        <v>483</v>
      </c>
      <c r="O272" s="15" t="s">
        <v>588</v>
      </c>
      <c r="P272" s="6" t="s">
        <v>99</v>
      </c>
      <c r="Q272" s="6" t="s">
        <v>483</v>
      </c>
      <c r="R272" s="6" t="s">
        <v>483</v>
      </c>
      <c r="S272" s="6" t="s">
        <v>2688</v>
      </c>
      <c r="T272" s="6" t="s">
        <v>588</v>
      </c>
      <c r="U272" s="6" t="s">
        <v>2689</v>
      </c>
      <c r="W272" s="6"/>
      <c r="X272" s="6"/>
      <c r="Y272" s="6" t="s">
        <v>99</v>
      </c>
      <c r="AA272" s="88" t="s">
        <v>2686</v>
      </c>
      <c r="AB272" s="88" t="s">
        <v>2686</v>
      </c>
      <c r="AC272" s="88" t="s">
        <v>2686</v>
      </c>
      <c r="AD272" s="88" t="s">
        <v>2686</v>
      </c>
      <c r="AE272" s="15" t="s">
        <v>1232</v>
      </c>
      <c r="AF272" s="15" t="s">
        <v>1232</v>
      </c>
      <c r="AG272" s="15" t="s">
        <v>1232</v>
      </c>
      <c r="AH272" s="6" t="s">
        <v>99</v>
      </c>
      <c r="AI272" s="15" t="s">
        <v>1232</v>
      </c>
      <c r="AJ272" s="6" t="s">
        <v>99</v>
      </c>
      <c r="AK272" s="15" t="s">
        <v>2690</v>
      </c>
      <c r="AL272" s="6">
        <v>64</v>
      </c>
      <c r="AN272" s="19">
        <v>79.5</v>
      </c>
      <c r="AO272" s="6">
        <v>108.5</v>
      </c>
      <c r="AP272" s="6">
        <v>36.9</v>
      </c>
      <c r="AQ272" s="6">
        <v>6</v>
      </c>
      <c r="AR272" s="6">
        <v>27</v>
      </c>
      <c r="AS272" s="6">
        <v>47</v>
      </c>
      <c r="AT272" s="19">
        <v>25.3</v>
      </c>
      <c r="AU272" s="6">
        <v>110</v>
      </c>
      <c r="AV272" s="6">
        <v>76</v>
      </c>
      <c r="AX272" s="9" t="s">
        <v>2691</v>
      </c>
      <c r="AY272" s="9" t="s">
        <v>729</v>
      </c>
      <c r="AZ272" s="9" t="s">
        <v>2651</v>
      </c>
      <c r="BB272" s="9" t="s">
        <v>750</v>
      </c>
      <c r="BC272" s="9" t="s">
        <v>1080</v>
      </c>
      <c r="BD272" s="9" t="s">
        <v>2692</v>
      </c>
      <c r="BF272" s="9" t="s">
        <v>2653</v>
      </c>
      <c r="BG272" s="9">
        <v>2</v>
      </c>
      <c r="BH272" s="9" t="s">
        <v>852</v>
      </c>
      <c r="BI272" s="9" t="s">
        <v>852</v>
      </c>
      <c r="BJ272" s="9" t="s">
        <v>2693</v>
      </c>
      <c r="BK272" s="9" t="s">
        <v>852</v>
      </c>
      <c r="BN272" s="9" t="s">
        <v>179</v>
      </c>
      <c r="BO272" s="9" t="s">
        <v>2694</v>
      </c>
      <c r="BP272" s="14" t="s">
        <v>857</v>
      </c>
      <c r="BR272" s="9" t="s">
        <v>2695</v>
      </c>
      <c r="BV272" s="9" t="s">
        <v>852</v>
      </c>
      <c r="BZ272" s="9" t="s">
        <v>183</v>
      </c>
      <c r="CA272" s="9" t="s">
        <v>709</v>
      </c>
      <c r="CB272" s="9" t="s">
        <v>2696</v>
      </c>
      <c r="CD272" s="9" t="s">
        <v>99</v>
      </c>
      <c r="CH272" s="9" t="s">
        <v>99</v>
      </c>
      <c r="CL272" s="9" t="s">
        <v>1181</v>
      </c>
      <c r="CM272" s="9" t="s">
        <v>685</v>
      </c>
      <c r="CN272" s="9" t="s">
        <v>1180</v>
      </c>
      <c r="CP272" s="9" t="s">
        <v>361</v>
      </c>
      <c r="CQ272" s="9" t="s">
        <v>2534</v>
      </c>
      <c r="CR272" s="9" t="s">
        <v>2697</v>
      </c>
      <c r="CT272" s="9" t="s">
        <v>2567</v>
      </c>
      <c r="CU272" s="9" t="s">
        <v>2698</v>
      </c>
      <c r="CW272" s="9">
        <v>3</v>
      </c>
      <c r="CX272" s="9" t="s">
        <v>110</v>
      </c>
      <c r="CY272" s="9" t="s">
        <v>99</v>
      </c>
      <c r="DC272" s="6">
        <v>79</v>
      </c>
      <c r="DD272" s="6">
        <v>1</v>
      </c>
      <c r="DE272" s="15">
        <v>215</v>
      </c>
      <c r="DF272" s="6">
        <v>146</v>
      </c>
      <c r="DG272" s="9">
        <f t="shared" si="4"/>
        <v>4.6765272370876794</v>
      </c>
      <c r="DH272" s="6">
        <v>29.2</v>
      </c>
      <c r="DI272" s="6">
        <v>4.5</v>
      </c>
      <c r="DJ272" s="6">
        <v>11.1</v>
      </c>
      <c r="DK272" s="6"/>
      <c r="DL272" s="6">
        <v>62</v>
      </c>
      <c r="DM272" s="6">
        <v>123.8</v>
      </c>
      <c r="DN272" s="6"/>
      <c r="DP272" s="11">
        <v>2</v>
      </c>
      <c r="DQ272" s="6" t="s">
        <v>111</v>
      </c>
      <c r="DR272" s="9">
        <v>2</v>
      </c>
    </row>
    <row r="273" spans="1:125" ht="16" x14ac:dyDescent="0.2">
      <c r="A273" s="6">
        <v>194</v>
      </c>
      <c r="B273" s="97">
        <v>42894</v>
      </c>
      <c r="C273" s="6" t="s">
        <v>2699</v>
      </c>
      <c r="D273" s="6">
        <v>23</v>
      </c>
      <c r="E273" s="6" t="s">
        <v>100</v>
      </c>
      <c r="F273" s="17">
        <v>34463</v>
      </c>
      <c r="G273" s="6"/>
      <c r="H273" s="6"/>
      <c r="L273" s="6"/>
      <c r="M273" s="6" t="s">
        <v>99</v>
      </c>
      <c r="N273" s="9" t="s">
        <v>99</v>
      </c>
      <c r="O273" s="9" t="s">
        <v>99</v>
      </c>
      <c r="P273" s="6" t="s">
        <v>110</v>
      </c>
      <c r="Q273" s="6" t="s">
        <v>110</v>
      </c>
      <c r="R273" s="6" t="s">
        <v>110</v>
      </c>
      <c r="S273" s="6" t="s">
        <v>99</v>
      </c>
      <c r="T273" s="6" t="s">
        <v>99</v>
      </c>
      <c r="U273" s="6" t="s">
        <v>2700</v>
      </c>
      <c r="V273" s="9" t="s">
        <v>2701</v>
      </c>
      <c r="W273" s="6" t="s">
        <v>99</v>
      </c>
      <c r="X273" s="6" t="s">
        <v>99</v>
      </c>
      <c r="Y273" s="6" t="s">
        <v>99</v>
      </c>
      <c r="AA273" s="6" t="s">
        <v>100</v>
      </c>
      <c r="AB273" s="6" t="s">
        <v>100</v>
      </c>
      <c r="AC273" s="86" t="s">
        <v>155</v>
      </c>
      <c r="AD273" s="86" t="s">
        <v>155</v>
      </c>
      <c r="AE273" s="15" t="s">
        <v>2702</v>
      </c>
      <c r="AF273" s="15" t="s">
        <v>2275</v>
      </c>
      <c r="AG273" s="15" t="s">
        <v>2703</v>
      </c>
      <c r="AH273" s="6" t="s">
        <v>99</v>
      </c>
      <c r="AI273" s="6" t="s">
        <v>99</v>
      </c>
      <c r="AJ273" s="6" t="s">
        <v>99</v>
      </c>
      <c r="AK273" s="6" t="s">
        <v>99</v>
      </c>
      <c r="AL273" s="6">
        <v>86.7</v>
      </c>
      <c r="AN273" s="15">
        <v>92</v>
      </c>
      <c r="AO273" s="6">
        <v>99.5</v>
      </c>
      <c r="AP273" s="6">
        <v>30.4</v>
      </c>
      <c r="AQ273" s="6">
        <v>10</v>
      </c>
      <c r="AR273" s="6">
        <v>34.1</v>
      </c>
      <c r="AS273" s="6">
        <v>50</v>
      </c>
      <c r="AT273" s="6">
        <v>27.8</v>
      </c>
      <c r="AU273" s="6">
        <v>116</v>
      </c>
      <c r="AV273" s="6">
        <v>73</v>
      </c>
      <c r="AX273" s="9" t="s">
        <v>729</v>
      </c>
      <c r="AY273" s="9" t="s">
        <v>2704</v>
      </c>
      <c r="AZ273" s="9" t="s">
        <v>1729</v>
      </c>
      <c r="BB273" s="9" t="s">
        <v>2652</v>
      </c>
      <c r="BC273" s="9" t="s">
        <v>2585</v>
      </c>
      <c r="BD273" s="9" t="s">
        <v>749</v>
      </c>
      <c r="BF273" s="9" t="s">
        <v>1642</v>
      </c>
      <c r="BG273" s="9" t="s">
        <v>683</v>
      </c>
      <c r="BH273" s="9" t="s">
        <v>175</v>
      </c>
      <c r="BI273" s="9" t="s">
        <v>1173</v>
      </c>
      <c r="BJ273" s="9" t="s">
        <v>142</v>
      </c>
      <c r="BK273" s="9" t="s">
        <v>1172</v>
      </c>
      <c r="BN273" s="9" t="s">
        <v>179</v>
      </c>
      <c r="BO273" s="9" t="s">
        <v>180</v>
      </c>
      <c r="BP273" s="9" t="s">
        <v>219</v>
      </c>
      <c r="BR273" s="9" t="s">
        <v>1172</v>
      </c>
      <c r="BV273" s="9" t="s">
        <v>175</v>
      </c>
      <c r="BZ273" s="9" t="s">
        <v>1137</v>
      </c>
      <c r="CA273" s="9" t="s">
        <v>183</v>
      </c>
      <c r="CB273" s="9" t="s">
        <v>182</v>
      </c>
      <c r="CD273" s="9" t="s">
        <v>99</v>
      </c>
      <c r="CH273" s="9" t="s">
        <v>99</v>
      </c>
      <c r="CL273" s="9" t="s">
        <v>1181</v>
      </c>
      <c r="CM273" s="9" t="s">
        <v>2705</v>
      </c>
      <c r="CN273" s="9" t="s">
        <v>2706</v>
      </c>
      <c r="CP273" s="9" t="s">
        <v>362</v>
      </c>
      <c r="CQ273" s="9" t="s">
        <v>716</v>
      </c>
      <c r="CT273" s="9" t="s">
        <v>2707</v>
      </c>
      <c r="CW273" s="45" t="s">
        <v>2708</v>
      </c>
      <c r="CX273" s="9" t="s">
        <v>99</v>
      </c>
      <c r="DC273" s="6">
        <v>93.8</v>
      </c>
      <c r="DD273" s="6">
        <v>1.23</v>
      </c>
      <c r="DE273" s="15">
        <v>220</v>
      </c>
      <c r="DF273" s="98">
        <v>158</v>
      </c>
      <c r="DG273" s="9">
        <f t="shared" si="4"/>
        <v>4.8018799445195732</v>
      </c>
      <c r="DH273" s="6">
        <v>31.6</v>
      </c>
      <c r="DI273" s="6">
        <v>5</v>
      </c>
      <c r="DJ273" s="6">
        <v>13</v>
      </c>
      <c r="DK273" s="6"/>
      <c r="DL273" s="6">
        <v>47</v>
      </c>
      <c r="DM273" s="6">
        <v>141.4</v>
      </c>
      <c r="DN273" s="6"/>
      <c r="DP273" s="18" t="s">
        <v>774</v>
      </c>
      <c r="DQ273" s="6" t="s">
        <v>105</v>
      </c>
      <c r="DR273" s="9">
        <v>2</v>
      </c>
      <c r="DU273" s="9">
        <v>7</v>
      </c>
    </row>
    <row r="274" spans="1:125" ht="16" x14ac:dyDescent="0.2">
      <c r="A274" s="19">
        <v>195</v>
      </c>
      <c r="B274" s="97">
        <v>42894</v>
      </c>
      <c r="C274" s="6" t="s">
        <v>95</v>
      </c>
      <c r="D274" s="6">
        <v>22</v>
      </c>
      <c r="E274" s="85" t="s">
        <v>2709</v>
      </c>
      <c r="F274" s="17">
        <v>34773</v>
      </c>
      <c r="G274" s="6" t="s">
        <v>1509</v>
      </c>
      <c r="H274" s="6"/>
      <c r="I274" s="9">
        <v>12</v>
      </c>
      <c r="J274" s="9" t="s">
        <v>99</v>
      </c>
      <c r="L274" s="6" t="s">
        <v>99</v>
      </c>
      <c r="M274" s="6" t="s">
        <v>99</v>
      </c>
      <c r="N274" s="9" t="s">
        <v>99</v>
      </c>
      <c r="O274" s="9" t="s">
        <v>99</v>
      </c>
      <c r="P274" s="6" t="s">
        <v>99</v>
      </c>
      <c r="Q274" s="6" t="s">
        <v>110</v>
      </c>
      <c r="R274" s="6" t="s">
        <v>110</v>
      </c>
      <c r="S274" s="6" t="s">
        <v>110</v>
      </c>
      <c r="T274" s="6" t="s">
        <v>99</v>
      </c>
      <c r="U274" s="6" t="s">
        <v>99</v>
      </c>
      <c r="W274" s="6" t="s">
        <v>2710</v>
      </c>
      <c r="X274" s="6"/>
      <c r="Y274" s="6" t="s">
        <v>99</v>
      </c>
      <c r="AA274" s="85" t="s">
        <v>2709</v>
      </c>
      <c r="AB274" s="85" t="s">
        <v>2709</v>
      </c>
      <c r="AC274" s="85" t="s">
        <v>2711</v>
      </c>
      <c r="AD274" s="85" t="s">
        <v>1001</v>
      </c>
      <c r="AE274" s="15" t="s">
        <v>2712</v>
      </c>
      <c r="AF274" s="15" t="s">
        <v>2712</v>
      </c>
      <c r="AG274" s="15" t="s">
        <v>2713</v>
      </c>
      <c r="AH274" s="15" t="s">
        <v>2714</v>
      </c>
      <c r="AI274" s="6" t="s">
        <v>99</v>
      </c>
      <c r="AJ274" s="6" t="s">
        <v>99</v>
      </c>
      <c r="AK274" s="6" t="s">
        <v>99</v>
      </c>
      <c r="AL274" s="6">
        <v>64</v>
      </c>
      <c r="AM274" s="9">
        <v>157</v>
      </c>
      <c r="AN274" s="6">
        <v>77</v>
      </c>
      <c r="AO274" s="6">
        <v>102</v>
      </c>
      <c r="AP274" s="6">
        <v>33.700000000000003</v>
      </c>
      <c r="AQ274" s="6">
        <v>4</v>
      </c>
      <c r="AR274" s="6">
        <v>28.1</v>
      </c>
      <c r="AS274" s="6">
        <v>27</v>
      </c>
      <c r="AT274" s="79">
        <v>24.7</v>
      </c>
      <c r="AU274" s="6">
        <v>102</v>
      </c>
      <c r="AV274" s="6">
        <v>70</v>
      </c>
      <c r="DC274" s="6">
        <v>82.19</v>
      </c>
      <c r="DD274" s="6">
        <v>0.9</v>
      </c>
      <c r="DE274" s="6">
        <v>150</v>
      </c>
      <c r="DF274" s="15">
        <v>150</v>
      </c>
      <c r="DG274" s="9">
        <f t="shared" si="4"/>
        <v>4.7098344671283323</v>
      </c>
      <c r="DH274" s="6">
        <v>30</v>
      </c>
      <c r="DI274" s="6">
        <v>6</v>
      </c>
      <c r="DJ274" s="6">
        <v>11.6</v>
      </c>
      <c r="DK274" s="6"/>
      <c r="DL274" s="6">
        <v>52</v>
      </c>
      <c r="DM274" s="6">
        <v>68</v>
      </c>
      <c r="DN274" s="6"/>
      <c r="DQ274" s="6" t="s">
        <v>111</v>
      </c>
      <c r="DR274" s="9">
        <v>3</v>
      </c>
      <c r="DU274" s="9">
        <v>12.65</v>
      </c>
    </row>
    <row r="275" spans="1:125" ht="16" x14ac:dyDescent="0.2">
      <c r="A275" s="79">
        <v>196</v>
      </c>
      <c r="B275" s="97">
        <v>42894</v>
      </c>
      <c r="C275" s="6" t="s">
        <v>95</v>
      </c>
      <c r="D275" s="6">
        <v>21</v>
      </c>
      <c r="E275" s="6" t="s">
        <v>100</v>
      </c>
      <c r="F275" s="17">
        <v>34871</v>
      </c>
      <c r="G275" s="6" t="s">
        <v>1509</v>
      </c>
      <c r="H275" s="6"/>
      <c r="I275" s="9">
        <v>14</v>
      </c>
      <c r="J275" s="9" t="s">
        <v>99</v>
      </c>
      <c r="K275" s="9" t="s">
        <v>99</v>
      </c>
      <c r="L275" s="6" t="s">
        <v>99</v>
      </c>
      <c r="M275" s="9" t="s">
        <v>99</v>
      </c>
      <c r="N275" s="9" t="s">
        <v>99</v>
      </c>
      <c r="O275" s="9" t="s">
        <v>99</v>
      </c>
      <c r="P275" s="6" t="s">
        <v>99</v>
      </c>
      <c r="Q275" s="6" t="s">
        <v>110</v>
      </c>
      <c r="R275" s="6" t="s">
        <v>99</v>
      </c>
      <c r="S275" s="6" t="s">
        <v>110</v>
      </c>
      <c r="T275" s="6" t="s">
        <v>110</v>
      </c>
      <c r="U275" s="6" t="s">
        <v>99</v>
      </c>
      <c r="W275" s="6" t="s">
        <v>2715</v>
      </c>
      <c r="X275" s="6"/>
      <c r="Y275" s="6" t="s">
        <v>2716</v>
      </c>
      <c r="AA275" s="6" t="s">
        <v>100</v>
      </c>
      <c r="AB275" s="6" t="s">
        <v>100</v>
      </c>
      <c r="AC275" s="6" t="s">
        <v>100</v>
      </c>
      <c r="AD275" s="6" t="s">
        <v>100</v>
      </c>
      <c r="AE275" s="15" t="s">
        <v>2717</v>
      </c>
      <c r="AF275" s="15" t="s">
        <v>2717</v>
      </c>
      <c r="AG275" s="15" t="s">
        <v>2718</v>
      </c>
      <c r="AH275" s="6" t="s">
        <v>99</v>
      </c>
      <c r="AI275" s="6" t="s">
        <v>99</v>
      </c>
      <c r="AJ275" s="6" t="s">
        <v>99</v>
      </c>
      <c r="AK275" s="79" t="s">
        <v>2719</v>
      </c>
      <c r="AL275" s="6">
        <v>65</v>
      </c>
      <c r="AN275" s="6">
        <v>65</v>
      </c>
      <c r="AO275" s="6">
        <v>88.5</v>
      </c>
      <c r="AP275" s="6">
        <v>24.6</v>
      </c>
      <c r="AQ275" s="6">
        <v>2</v>
      </c>
      <c r="AR275" s="6">
        <v>31.7</v>
      </c>
      <c r="AS275" s="6">
        <v>19</v>
      </c>
      <c r="AT275" s="79">
        <v>20</v>
      </c>
      <c r="AU275" s="6">
        <v>97</v>
      </c>
      <c r="AV275" s="6">
        <v>68</v>
      </c>
      <c r="AX275" s="9" t="s">
        <v>729</v>
      </c>
      <c r="AY275" s="9" t="s">
        <v>573</v>
      </c>
      <c r="AZ275" s="9" t="s">
        <v>1657</v>
      </c>
      <c r="BB275" s="9" t="s">
        <v>750</v>
      </c>
      <c r="BC275" s="9" t="s">
        <v>749</v>
      </c>
      <c r="BD275" s="9" t="s">
        <v>2585</v>
      </c>
      <c r="BF275" s="9" t="s">
        <v>2607</v>
      </c>
      <c r="BG275" s="9" t="s">
        <v>683</v>
      </c>
      <c r="BH275" s="9" t="s">
        <v>1099</v>
      </c>
      <c r="BI275" s="9" t="s">
        <v>2607</v>
      </c>
      <c r="BJ275" s="9" t="s">
        <v>176</v>
      </c>
      <c r="BK275" s="9" t="s">
        <v>1172</v>
      </c>
      <c r="BN275" s="9" t="s">
        <v>2720</v>
      </c>
      <c r="BP275" s="14" t="s">
        <v>2721</v>
      </c>
      <c r="BV275" s="9" t="s">
        <v>2722</v>
      </c>
      <c r="BZ275" s="9" t="s">
        <v>2723</v>
      </c>
      <c r="CA275" s="9" t="s">
        <v>2434</v>
      </c>
      <c r="CB275" s="9" t="s">
        <v>943</v>
      </c>
      <c r="CD275" s="9" t="s">
        <v>2724</v>
      </c>
      <c r="CL275" s="9" t="s">
        <v>2725</v>
      </c>
      <c r="CM275" s="9" t="s">
        <v>2726</v>
      </c>
      <c r="CN275" s="9" t="s">
        <v>417</v>
      </c>
      <c r="CP275" s="9" t="s">
        <v>637</v>
      </c>
      <c r="CQ275" s="9" t="s">
        <v>636</v>
      </c>
      <c r="CR275" s="9" t="s">
        <v>638</v>
      </c>
      <c r="CT275" s="9" t="s">
        <v>2727</v>
      </c>
      <c r="CU275" s="9" t="s">
        <v>2728</v>
      </c>
      <c r="CV275" s="9" t="s">
        <v>2729</v>
      </c>
      <c r="CW275" s="45">
        <v>43526</v>
      </c>
      <c r="CX275" s="9" t="s">
        <v>483</v>
      </c>
      <c r="CY275" s="9" t="s">
        <v>483</v>
      </c>
      <c r="DC275" s="6">
        <v>67</v>
      </c>
      <c r="DD275" s="6">
        <v>0.64</v>
      </c>
      <c r="DE275" s="6">
        <v>143</v>
      </c>
      <c r="DF275" s="95">
        <v>137</v>
      </c>
      <c r="DG275" s="9">
        <f t="shared" si="4"/>
        <v>4.5623367726095454</v>
      </c>
      <c r="DH275" s="6">
        <v>27.4</v>
      </c>
      <c r="DI275" s="6">
        <v>5</v>
      </c>
      <c r="DJ275" s="6">
        <v>10</v>
      </c>
      <c r="DK275" s="6"/>
      <c r="DL275" s="6">
        <v>69.599999999999994</v>
      </c>
      <c r="DM275" s="6">
        <v>46</v>
      </c>
      <c r="DN275" s="6"/>
      <c r="DP275" s="11">
        <v>3</v>
      </c>
      <c r="DQ275" s="6" t="s">
        <v>111</v>
      </c>
      <c r="DR275" s="9">
        <v>2</v>
      </c>
      <c r="DT275" s="9">
        <v>8.57</v>
      </c>
      <c r="DU275" s="9">
        <v>5.73</v>
      </c>
    </row>
    <row r="276" spans="1:125" x14ac:dyDescent="0.2">
      <c r="A276" s="6">
        <v>197</v>
      </c>
      <c r="B276" s="8">
        <v>42895</v>
      </c>
      <c r="C276" s="6" t="s">
        <v>95</v>
      </c>
      <c r="D276" s="6">
        <v>47</v>
      </c>
      <c r="E276" s="6" t="s">
        <v>100</v>
      </c>
      <c r="F276" s="17">
        <v>25626</v>
      </c>
      <c r="G276" s="6" t="s">
        <v>2730</v>
      </c>
      <c r="H276" s="6"/>
      <c r="I276" s="9">
        <v>13</v>
      </c>
      <c r="J276" s="9" t="s">
        <v>99</v>
      </c>
      <c r="L276" s="6" t="s">
        <v>99</v>
      </c>
      <c r="M276" s="6" t="s">
        <v>99</v>
      </c>
      <c r="N276" s="9" t="s">
        <v>99</v>
      </c>
      <c r="O276" s="9" t="s">
        <v>99</v>
      </c>
      <c r="P276" s="6" t="s">
        <v>99</v>
      </c>
      <c r="Q276" s="6" t="s">
        <v>99</v>
      </c>
      <c r="R276" s="6" t="s">
        <v>110</v>
      </c>
      <c r="S276" s="6" t="s">
        <v>110</v>
      </c>
      <c r="T276" s="6" t="s">
        <v>110</v>
      </c>
      <c r="U276" s="6" t="s">
        <v>99</v>
      </c>
      <c r="V276" s="9" t="s">
        <v>99</v>
      </c>
      <c r="W276" s="15" t="s">
        <v>2731</v>
      </c>
      <c r="X276" s="6"/>
      <c r="Y276" s="6" t="s">
        <v>99</v>
      </c>
      <c r="AA276" s="6" t="s">
        <v>100</v>
      </c>
      <c r="AB276" s="6" t="s">
        <v>100</v>
      </c>
      <c r="AC276" s="6" t="s">
        <v>100</v>
      </c>
      <c r="AD276" s="6" t="s">
        <v>100</v>
      </c>
      <c r="AE276" s="15" t="s">
        <v>2732</v>
      </c>
      <c r="AF276" s="15" t="s">
        <v>118</v>
      </c>
      <c r="AG276" s="6" t="s">
        <v>99</v>
      </c>
      <c r="AH276" s="6" t="s">
        <v>99</v>
      </c>
      <c r="AI276" s="15" t="s">
        <v>122</v>
      </c>
      <c r="AJ276" s="6" t="s">
        <v>99</v>
      </c>
      <c r="AK276" s="6" t="s">
        <v>99</v>
      </c>
      <c r="AL276" s="6">
        <v>66.5</v>
      </c>
      <c r="AM276" s="9">
        <v>162</v>
      </c>
      <c r="AN276" s="15">
        <v>87</v>
      </c>
      <c r="AO276" s="6">
        <v>99.5</v>
      </c>
      <c r="AP276" s="6">
        <v>41.7</v>
      </c>
      <c r="AQ276" s="6">
        <v>7</v>
      </c>
      <c r="AR276" s="6">
        <v>23.1</v>
      </c>
      <c r="AS276" s="6">
        <v>49</v>
      </c>
      <c r="AT276" s="6">
        <v>25.3</v>
      </c>
      <c r="AU276" s="6">
        <v>112</v>
      </c>
      <c r="AV276" s="6">
        <v>70</v>
      </c>
      <c r="AX276" s="9" t="s">
        <v>2651</v>
      </c>
      <c r="AY276" s="9" t="s">
        <v>125</v>
      </c>
      <c r="AZ276" s="9" t="s">
        <v>2733</v>
      </c>
      <c r="BB276" s="9" t="s">
        <v>2734</v>
      </c>
      <c r="BC276" s="9" t="s">
        <v>2735</v>
      </c>
      <c r="BD276" s="9" t="s">
        <v>2736</v>
      </c>
      <c r="BF276" s="9" t="s">
        <v>2737</v>
      </c>
      <c r="BG276" s="9" t="s">
        <v>2738</v>
      </c>
      <c r="BH276" s="9" t="s">
        <v>683</v>
      </c>
      <c r="BI276" s="9" t="s">
        <v>2739</v>
      </c>
      <c r="BJ276" s="9" t="s">
        <v>2740</v>
      </c>
      <c r="BK276" s="9" t="s">
        <v>2741</v>
      </c>
      <c r="BN276" s="9" t="s">
        <v>178</v>
      </c>
      <c r="BO276" s="9" t="s">
        <v>2573</v>
      </c>
      <c r="BP276" s="9" t="s">
        <v>219</v>
      </c>
      <c r="BR276" s="9" t="s">
        <v>99</v>
      </c>
      <c r="BV276" s="9" t="s">
        <v>852</v>
      </c>
      <c r="BZ276" s="9" t="s">
        <v>182</v>
      </c>
      <c r="CA276" s="9" t="s">
        <v>183</v>
      </c>
      <c r="CB276" s="9" t="s">
        <v>2696</v>
      </c>
      <c r="CL276" s="9" t="s">
        <v>1181</v>
      </c>
      <c r="CM276" s="9" t="s">
        <v>825</v>
      </c>
      <c r="CN276" s="9" t="s">
        <v>2742</v>
      </c>
      <c r="CP276" s="9" t="s">
        <v>362</v>
      </c>
      <c r="CQ276" s="9" t="s">
        <v>716</v>
      </c>
      <c r="CR276" s="9" t="s">
        <v>361</v>
      </c>
      <c r="CT276" s="9" t="s">
        <v>364</v>
      </c>
      <c r="CU276" s="9" t="s">
        <v>1729</v>
      </c>
      <c r="CW276" s="45">
        <v>43589</v>
      </c>
      <c r="CX276" s="9" t="s">
        <v>110</v>
      </c>
      <c r="CY276" s="9" t="s">
        <v>99</v>
      </c>
      <c r="DC276" s="6">
        <v>87.6</v>
      </c>
      <c r="DD276" s="6">
        <v>0.8</v>
      </c>
      <c r="DE276" s="6">
        <v>189</v>
      </c>
      <c r="DF276" s="6">
        <v>83</v>
      </c>
      <c r="DG276" s="9">
        <f t="shared" si="4"/>
        <v>4.4458108028694721</v>
      </c>
      <c r="DH276" s="6">
        <v>16.600000000000001</v>
      </c>
      <c r="DI276" s="6">
        <v>3.75</v>
      </c>
      <c r="DJ276" s="6">
        <v>18.600000000000001</v>
      </c>
      <c r="DK276" s="6"/>
      <c r="DL276" s="6">
        <v>76.2</v>
      </c>
      <c r="DM276" s="6">
        <v>96.2</v>
      </c>
      <c r="DN276" s="6"/>
      <c r="DQ276" s="6" t="s">
        <v>111</v>
      </c>
    </row>
    <row r="277" spans="1:125" x14ac:dyDescent="0.2">
      <c r="A277" s="6" t="s">
        <v>2743</v>
      </c>
      <c r="B277" s="8">
        <v>42895</v>
      </c>
      <c r="C277" s="6" t="s">
        <v>107</v>
      </c>
      <c r="D277" s="6">
        <v>24</v>
      </c>
      <c r="E277" s="6" t="s">
        <v>2234</v>
      </c>
      <c r="F277" s="17">
        <v>33497</v>
      </c>
      <c r="G277" s="6" t="s">
        <v>1509</v>
      </c>
      <c r="H277" s="6"/>
      <c r="L277" s="6"/>
      <c r="M277" s="6" t="s">
        <v>99</v>
      </c>
      <c r="N277" s="6" t="s">
        <v>99</v>
      </c>
      <c r="O277" s="6" t="s">
        <v>99</v>
      </c>
      <c r="P277" s="6" t="s">
        <v>99</v>
      </c>
      <c r="Q277" s="6" t="s">
        <v>110</v>
      </c>
      <c r="R277" s="6" t="s">
        <v>110</v>
      </c>
      <c r="S277" s="6" t="s">
        <v>110</v>
      </c>
      <c r="T277" s="6" t="s">
        <v>99</v>
      </c>
      <c r="U277" s="6"/>
      <c r="W277" s="6"/>
      <c r="X277" s="6"/>
      <c r="Y277" s="6"/>
      <c r="AA277" s="6" t="s">
        <v>2234</v>
      </c>
      <c r="AB277" s="6" t="s">
        <v>2234</v>
      </c>
      <c r="AC277" s="6" t="s">
        <v>2234</v>
      </c>
      <c r="AD277" s="6" t="s">
        <v>2234</v>
      </c>
      <c r="AE277" s="6" t="s">
        <v>976</v>
      </c>
      <c r="AF277" s="6" t="s">
        <v>2744</v>
      </c>
      <c r="AG277" s="6" t="s">
        <v>125</v>
      </c>
      <c r="AH277" s="6" t="s">
        <v>99</v>
      </c>
      <c r="AI277" s="6" t="s">
        <v>99</v>
      </c>
      <c r="AJ277" s="6" t="s">
        <v>99</v>
      </c>
      <c r="AK277" s="6" t="s">
        <v>99</v>
      </c>
      <c r="AL277" s="6"/>
      <c r="AN277" s="6"/>
      <c r="AO277" s="6"/>
      <c r="AP277" s="6"/>
      <c r="AQ277" s="6"/>
      <c r="AR277" s="6"/>
      <c r="AS277" s="6"/>
      <c r="AT277" s="6"/>
      <c r="AU277" s="6">
        <v>114</v>
      </c>
      <c r="AV277" s="6">
        <v>87</v>
      </c>
      <c r="AX277" s="9" t="s">
        <v>573</v>
      </c>
      <c r="AY277" s="9" t="s">
        <v>1128</v>
      </c>
      <c r="AZ277" s="9" t="s">
        <v>2745</v>
      </c>
      <c r="BB277" s="9" t="s">
        <v>2541</v>
      </c>
      <c r="BC277" s="9" t="s">
        <v>1080</v>
      </c>
      <c r="BD277" s="9" t="s">
        <v>2746</v>
      </c>
      <c r="BF277" s="9" t="s">
        <v>2747</v>
      </c>
      <c r="BG277" s="9" t="s">
        <v>1172</v>
      </c>
      <c r="BH277" s="9" t="s">
        <v>1172</v>
      </c>
      <c r="BI277" s="9" t="s">
        <v>1099</v>
      </c>
      <c r="BK277" s="9" t="s">
        <v>2445</v>
      </c>
      <c r="BN277" s="9" t="s">
        <v>179</v>
      </c>
      <c r="BO277" s="9" t="s">
        <v>2573</v>
      </c>
      <c r="BP277" s="9" t="s">
        <v>2748</v>
      </c>
      <c r="BR277" s="9" t="s">
        <v>99</v>
      </c>
      <c r="BV277" s="9" t="s">
        <v>2656</v>
      </c>
      <c r="BZ277" s="9" t="s">
        <v>182</v>
      </c>
      <c r="CA277" s="9" t="s">
        <v>2749</v>
      </c>
      <c r="CB277" s="9" t="s">
        <v>2750</v>
      </c>
      <c r="CH277" s="9" t="s">
        <v>2751</v>
      </c>
      <c r="CL277" s="9" t="s">
        <v>579</v>
      </c>
      <c r="CM277" s="9" t="s">
        <v>2752</v>
      </c>
      <c r="CN277" s="9" t="s">
        <v>2753</v>
      </c>
      <c r="CP277" s="9" t="s">
        <v>362</v>
      </c>
      <c r="CQ277" s="9" t="s">
        <v>716</v>
      </c>
      <c r="CR277" s="9" t="s">
        <v>361</v>
      </c>
      <c r="CT277" s="9" t="s">
        <v>187</v>
      </c>
      <c r="CU277" s="9" t="s">
        <v>2662</v>
      </c>
      <c r="CV277" s="9" t="s">
        <v>2754</v>
      </c>
      <c r="CW277" s="9">
        <v>3</v>
      </c>
      <c r="CX277" s="9" t="s">
        <v>2755</v>
      </c>
      <c r="CY277" s="9" t="s">
        <v>2756</v>
      </c>
      <c r="DC277" s="6">
        <v>96.6</v>
      </c>
      <c r="DD277" s="6">
        <v>1.1399999999999999</v>
      </c>
      <c r="DE277" s="6">
        <v>159</v>
      </c>
      <c r="DF277" s="6">
        <v>57</v>
      </c>
      <c r="DG277" s="9">
        <f t="shared" si="4"/>
        <v>4.306815004526511</v>
      </c>
      <c r="DH277" s="6">
        <v>11.4</v>
      </c>
      <c r="DI277" s="6">
        <v>6.3</v>
      </c>
      <c r="DJ277" s="6">
        <v>24</v>
      </c>
      <c r="DK277" s="6"/>
      <c r="DL277" s="6">
        <v>53.7</v>
      </c>
      <c r="DM277" s="6">
        <v>93.9</v>
      </c>
      <c r="DN277" s="6"/>
      <c r="DP277" s="11">
        <v>2</v>
      </c>
      <c r="DQ277" s="6" t="s">
        <v>2757</v>
      </c>
    </row>
    <row r="278" spans="1:125" x14ac:dyDescent="0.2">
      <c r="A278" s="79">
        <v>199</v>
      </c>
      <c r="B278" s="8">
        <v>42898</v>
      </c>
      <c r="C278" s="6" t="s">
        <v>107</v>
      </c>
      <c r="D278" s="6">
        <v>27</v>
      </c>
      <c r="E278" s="6" t="s">
        <v>100</v>
      </c>
      <c r="F278" s="17">
        <v>32816</v>
      </c>
      <c r="G278" s="6"/>
      <c r="H278" s="6"/>
      <c r="L278" s="6"/>
      <c r="M278" s="6" t="s">
        <v>99</v>
      </c>
      <c r="N278" s="6" t="s">
        <v>99</v>
      </c>
      <c r="O278" s="6" t="s">
        <v>99</v>
      </c>
      <c r="P278" s="6" t="s">
        <v>110</v>
      </c>
      <c r="Q278" s="6" t="s">
        <v>99</v>
      </c>
      <c r="R278" s="6" t="s">
        <v>110</v>
      </c>
      <c r="S278" s="6" t="s">
        <v>99</v>
      </c>
      <c r="T278" s="6" t="s">
        <v>110</v>
      </c>
      <c r="U278" s="6" t="s">
        <v>2418</v>
      </c>
      <c r="V278" s="9" t="s">
        <v>99</v>
      </c>
      <c r="W278" s="6" t="s">
        <v>99</v>
      </c>
      <c r="X278" s="6"/>
      <c r="Y278" s="6" t="s">
        <v>99</v>
      </c>
      <c r="AA278" s="6" t="s">
        <v>100</v>
      </c>
      <c r="AB278" s="6" t="s">
        <v>100</v>
      </c>
      <c r="AC278" s="6" t="s">
        <v>100</v>
      </c>
      <c r="AD278" s="6" t="s">
        <v>100</v>
      </c>
      <c r="AE278" s="6" t="s">
        <v>125</v>
      </c>
      <c r="AF278" s="6" t="s">
        <v>125</v>
      </c>
      <c r="AG278" s="6" t="s">
        <v>125</v>
      </c>
      <c r="AH278" s="6" t="s">
        <v>125</v>
      </c>
      <c r="AI278" s="6" t="s">
        <v>99</v>
      </c>
      <c r="AJ278" s="6" t="s">
        <v>99</v>
      </c>
      <c r="AK278" s="6" t="s">
        <v>99</v>
      </c>
      <c r="AL278" s="6">
        <v>78.400000000000006</v>
      </c>
      <c r="AN278" s="6">
        <v>79.5</v>
      </c>
      <c r="AO278" s="6">
        <v>102.5</v>
      </c>
      <c r="AP278" s="6">
        <v>23.2</v>
      </c>
      <c r="AQ278" s="6">
        <v>5</v>
      </c>
      <c r="AR278" s="6">
        <v>36.9</v>
      </c>
      <c r="AS278" s="6"/>
      <c r="AT278" s="79">
        <v>23.2</v>
      </c>
      <c r="AU278" s="6">
        <v>97</v>
      </c>
      <c r="AV278" s="6">
        <v>69</v>
      </c>
      <c r="AX278" s="9" t="s">
        <v>666</v>
      </c>
      <c r="AY278" s="9" t="s">
        <v>2758</v>
      </c>
      <c r="AZ278" s="9" t="s">
        <v>2759</v>
      </c>
      <c r="BB278" s="9" t="s">
        <v>2760</v>
      </c>
      <c r="BC278" s="9" t="s">
        <v>346</v>
      </c>
      <c r="BD278" s="9" t="s">
        <v>1130</v>
      </c>
      <c r="BF278" s="9" t="s">
        <v>176</v>
      </c>
      <c r="BG278" s="9" t="s">
        <v>172</v>
      </c>
      <c r="BI278" s="9" t="s">
        <v>176</v>
      </c>
      <c r="BJ278" s="9" t="s">
        <v>176</v>
      </c>
      <c r="BN278" s="9" t="s">
        <v>352</v>
      </c>
      <c r="BO278" s="9" t="s">
        <v>179</v>
      </c>
      <c r="BP278" s="9" t="s">
        <v>180</v>
      </c>
      <c r="BR278" s="9" t="s">
        <v>99</v>
      </c>
      <c r="BV278" s="9" t="s">
        <v>110</v>
      </c>
      <c r="BZ278" s="9" t="s">
        <v>2761</v>
      </c>
      <c r="CA278" s="9" t="s">
        <v>183</v>
      </c>
      <c r="CB278" s="9" t="s">
        <v>822</v>
      </c>
      <c r="CD278" s="9" t="s">
        <v>99</v>
      </c>
      <c r="CH278" s="9" t="s">
        <v>99</v>
      </c>
      <c r="CW278" s="45" t="s">
        <v>2708</v>
      </c>
      <c r="CX278" s="9" t="s">
        <v>110</v>
      </c>
      <c r="CY278" s="9" t="s">
        <v>2571</v>
      </c>
      <c r="DC278" s="6">
        <v>93.3</v>
      </c>
      <c r="DD278" s="6">
        <v>1</v>
      </c>
      <c r="DE278" s="6">
        <v>170</v>
      </c>
      <c r="DF278" s="6">
        <v>131</v>
      </c>
      <c r="DG278" s="9">
        <f t="shared" si="4"/>
        <v>4.705508715527225</v>
      </c>
      <c r="DH278" s="6">
        <v>26.2</v>
      </c>
      <c r="DI278" s="6">
        <v>5.3</v>
      </c>
      <c r="DJ278" s="6">
        <v>9.6999999999999993</v>
      </c>
      <c r="DK278" s="6"/>
      <c r="DL278" s="6">
        <v>50.3</v>
      </c>
      <c r="DM278" s="6">
        <v>93.5</v>
      </c>
      <c r="DN278" s="6"/>
      <c r="DP278" s="11">
        <v>3</v>
      </c>
      <c r="DQ278" s="6" t="s">
        <v>105</v>
      </c>
      <c r="DR278" s="9">
        <v>3</v>
      </c>
      <c r="DT278" s="9">
        <v>6.44</v>
      </c>
      <c r="DU278" s="9">
        <v>5.82</v>
      </c>
    </row>
    <row r="279" spans="1:125" x14ac:dyDescent="0.2">
      <c r="A279" s="78">
        <v>200</v>
      </c>
      <c r="B279" s="8">
        <v>42909</v>
      </c>
      <c r="C279" s="6" t="s">
        <v>95</v>
      </c>
      <c r="D279" s="6">
        <v>50</v>
      </c>
      <c r="E279" s="6" t="s">
        <v>100</v>
      </c>
      <c r="F279" s="17">
        <v>24419</v>
      </c>
      <c r="G279" s="6"/>
      <c r="H279" s="6" t="s">
        <v>2509</v>
      </c>
      <c r="I279" s="9">
        <v>12</v>
      </c>
      <c r="J279" s="10" t="s">
        <v>2762</v>
      </c>
      <c r="K279" s="9">
        <v>1999</v>
      </c>
      <c r="L279" s="6">
        <v>4</v>
      </c>
      <c r="M279" s="6" t="s">
        <v>99</v>
      </c>
      <c r="N279" s="6" t="s">
        <v>99</v>
      </c>
      <c r="O279" s="15" t="s">
        <v>2763</v>
      </c>
      <c r="P279" s="6" t="s">
        <v>99</v>
      </c>
      <c r="Q279" s="6" t="s">
        <v>99</v>
      </c>
      <c r="R279" s="6" t="s">
        <v>110</v>
      </c>
      <c r="S279" s="6" t="s">
        <v>99</v>
      </c>
      <c r="T279" s="6" t="s">
        <v>99</v>
      </c>
      <c r="U279" s="6" t="s">
        <v>2764</v>
      </c>
      <c r="W279" s="6"/>
      <c r="X279" s="6"/>
      <c r="Y279" s="6" t="s">
        <v>2765</v>
      </c>
      <c r="AA279" s="6" t="s">
        <v>100</v>
      </c>
      <c r="AB279" s="16" t="s">
        <v>2267</v>
      </c>
      <c r="AC279" s="6" t="s">
        <v>1123</v>
      </c>
      <c r="AD279" s="6" t="s">
        <v>1123</v>
      </c>
      <c r="AE279" s="15" t="s">
        <v>2631</v>
      </c>
      <c r="AF279" s="15" t="s">
        <v>2766</v>
      </c>
      <c r="AG279" s="15" t="s">
        <v>2264</v>
      </c>
      <c r="AH279" s="6" t="s">
        <v>99</v>
      </c>
      <c r="AI279" s="6" t="s">
        <v>99</v>
      </c>
      <c r="AJ279" s="6" t="s">
        <v>99</v>
      </c>
      <c r="AK279" s="6" t="s">
        <v>99</v>
      </c>
      <c r="AL279" s="6">
        <v>67.3</v>
      </c>
      <c r="AM279" s="9">
        <v>155</v>
      </c>
      <c r="AN279" s="15">
        <v>90</v>
      </c>
      <c r="AO279" s="6">
        <v>104</v>
      </c>
      <c r="AP279" s="6">
        <v>40.4</v>
      </c>
      <c r="AQ279" s="6">
        <v>8</v>
      </c>
      <c r="AR279" s="6">
        <v>25.8</v>
      </c>
      <c r="AS279" s="6">
        <v>59</v>
      </c>
      <c r="AT279" s="6">
        <v>28</v>
      </c>
      <c r="AU279" s="6">
        <v>84</v>
      </c>
      <c r="AV279" s="6">
        <v>80</v>
      </c>
      <c r="AX279" s="9" t="s">
        <v>2633</v>
      </c>
      <c r="AY279" s="9" t="s">
        <v>666</v>
      </c>
      <c r="AZ279" s="9" t="s">
        <v>2767</v>
      </c>
      <c r="BB279" s="9" t="s">
        <v>750</v>
      </c>
      <c r="BC279" s="9" t="s">
        <v>2768</v>
      </c>
      <c r="BF279" s="9" t="s">
        <v>2444</v>
      </c>
      <c r="BG279" s="9" t="s">
        <v>175</v>
      </c>
      <c r="BH279" s="9" t="s">
        <v>99</v>
      </c>
      <c r="BI279" s="9" t="s">
        <v>1172</v>
      </c>
      <c r="BJ279" s="9" t="s">
        <v>176</v>
      </c>
      <c r="BK279" s="9" t="s">
        <v>2769</v>
      </c>
      <c r="BN279" s="9" t="s">
        <v>2770</v>
      </c>
      <c r="BO279" s="9" t="s">
        <v>219</v>
      </c>
      <c r="BP279" s="14" t="s">
        <v>125</v>
      </c>
      <c r="BR279" s="9" t="s">
        <v>99</v>
      </c>
      <c r="BV279" s="9" t="s">
        <v>2771</v>
      </c>
      <c r="BZ279" s="9" t="s">
        <v>355</v>
      </c>
      <c r="CA279" s="9" t="s">
        <v>2484</v>
      </c>
      <c r="CB279" s="9" t="s">
        <v>709</v>
      </c>
      <c r="CD279" s="9" t="s">
        <v>99</v>
      </c>
      <c r="CH279" s="9" t="s">
        <v>99</v>
      </c>
      <c r="CL279" s="9" t="s">
        <v>579</v>
      </c>
      <c r="CM279" s="9" t="s">
        <v>2772</v>
      </c>
      <c r="CN279" s="9" t="s">
        <v>2773</v>
      </c>
      <c r="CP279" s="9" t="s">
        <v>361</v>
      </c>
      <c r="CQ279" s="9" t="s">
        <v>716</v>
      </c>
      <c r="CR279" s="9" t="s">
        <v>2774</v>
      </c>
      <c r="CT279" s="9" t="s">
        <v>99</v>
      </c>
      <c r="CW279" s="9">
        <v>5</v>
      </c>
      <c r="CX279" s="9" t="s">
        <v>110</v>
      </c>
      <c r="CY279" s="9" t="s">
        <v>110</v>
      </c>
      <c r="DC279" s="82">
        <v>92</v>
      </c>
      <c r="DD279" s="82"/>
      <c r="DE279" s="82">
        <v>137</v>
      </c>
      <c r="DF279" s="91">
        <v>155</v>
      </c>
      <c r="DG279" s="9">
        <f t="shared" si="4"/>
        <v>4.7826068469841436</v>
      </c>
      <c r="DH279" s="82">
        <v>31</v>
      </c>
      <c r="DI279" s="82">
        <v>4.0999999999999996</v>
      </c>
      <c r="DJ279" s="82">
        <v>7</v>
      </c>
      <c r="DK279" s="6"/>
      <c r="DL279" s="6">
        <v>45</v>
      </c>
      <c r="DM279" s="6">
        <v>61</v>
      </c>
      <c r="DN279" s="6"/>
      <c r="DP279" s="11">
        <v>2</v>
      </c>
      <c r="DQ279" s="6" t="s">
        <v>111</v>
      </c>
      <c r="DR279" s="9">
        <v>3</v>
      </c>
      <c r="DU279" s="9">
        <v>6.2</v>
      </c>
    </row>
    <row r="280" spans="1:125" x14ac:dyDescent="0.2">
      <c r="A280" s="6">
        <v>201</v>
      </c>
      <c r="B280" s="8">
        <v>42909</v>
      </c>
      <c r="C280" s="6" t="s">
        <v>95</v>
      </c>
      <c r="D280" s="6">
        <v>59</v>
      </c>
      <c r="E280" s="6" t="s">
        <v>100</v>
      </c>
      <c r="F280" s="17">
        <v>21249</v>
      </c>
      <c r="G280" s="6"/>
      <c r="H280" s="6" t="s">
        <v>2509</v>
      </c>
      <c r="I280" s="9">
        <v>14</v>
      </c>
      <c r="J280" s="10" t="s">
        <v>2762</v>
      </c>
      <c r="K280" s="9">
        <v>1982</v>
      </c>
      <c r="L280" s="6">
        <v>3</v>
      </c>
      <c r="M280" s="6" t="s">
        <v>99</v>
      </c>
      <c r="N280" s="6" t="s">
        <v>99</v>
      </c>
      <c r="O280" s="6" t="s">
        <v>99</v>
      </c>
      <c r="P280" s="6" t="s">
        <v>99</v>
      </c>
      <c r="Q280" s="6" t="s">
        <v>99</v>
      </c>
      <c r="R280" s="6"/>
      <c r="S280" s="6" t="s">
        <v>99</v>
      </c>
      <c r="T280" s="6" t="s">
        <v>99</v>
      </c>
      <c r="U280" s="6" t="s">
        <v>2775</v>
      </c>
      <c r="V280" s="9" t="s">
        <v>2776</v>
      </c>
      <c r="W280" s="6" t="s">
        <v>99</v>
      </c>
      <c r="X280" s="6" t="s">
        <v>99</v>
      </c>
      <c r="Y280" s="6" t="s">
        <v>99</v>
      </c>
      <c r="AA280" s="9" t="s">
        <v>2777</v>
      </c>
      <c r="AB280" s="6" t="s">
        <v>1123</v>
      </c>
      <c r="AC280" s="9" t="s">
        <v>2777</v>
      </c>
      <c r="AD280" s="6" t="s">
        <v>1123</v>
      </c>
      <c r="AE280" s="15" t="s">
        <v>126</v>
      </c>
      <c r="AF280" s="15" t="s">
        <v>2778</v>
      </c>
      <c r="AG280" s="15" t="s">
        <v>126</v>
      </c>
      <c r="AH280" s="15" t="s">
        <v>123</v>
      </c>
      <c r="AI280" s="6" t="s">
        <v>99</v>
      </c>
      <c r="AJ280" s="6" t="s">
        <v>99</v>
      </c>
      <c r="AK280" s="6" t="s">
        <v>99</v>
      </c>
      <c r="AL280" s="6">
        <v>67.599999999999994</v>
      </c>
      <c r="AM280" s="9">
        <v>163</v>
      </c>
      <c r="AN280" s="15">
        <v>90</v>
      </c>
      <c r="AO280" s="6">
        <v>102</v>
      </c>
      <c r="AP280" s="6">
        <v>38.9</v>
      </c>
      <c r="AQ280" s="6"/>
      <c r="AR280" s="6">
        <v>25.4</v>
      </c>
      <c r="AS280" s="6">
        <v>56</v>
      </c>
      <c r="AT280" s="6">
        <v>25.4</v>
      </c>
      <c r="AU280" s="6">
        <v>115</v>
      </c>
      <c r="AV280" s="6">
        <v>78</v>
      </c>
      <c r="AX280" s="9" t="s">
        <v>2779</v>
      </c>
      <c r="AY280" s="9" t="s">
        <v>2780</v>
      </c>
      <c r="AZ280" s="9" t="s">
        <v>2781</v>
      </c>
      <c r="BB280" s="9" t="s">
        <v>2782</v>
      </c>
      <c r="BC280" s="9" t="s">
        <v>2783</v>
      </c>
      <c r="BD280" s="9" t="s">
        <v>2541</v>
      </c>
      <c r="BF280" s="9" t="s">
        <v>2784</v>
      </c>
      <c r="BG280" s="9" t="s">
        <v>2785</v>
      </c>
      <c r="BH280" s="9" t="s">
        <v>99</v>
      </c>
      <c r="BI280" s="9" t="s">
        <v>110</v>
      </c>
      <c r="BJ280" s="9" t="s">
        <v>176</v>
      </c>
      <c r="BK280" s="9" t="s">
        <v>2786</v>
      </c>
      <c r="BN280" s="9" t="s">
        <v>179</v>
      </c>
      <c r="BO280" s="9" t="s">
        <v>178</v>
      </c>
      <c r="BP280" s="9" t="s">
        <v>2573</v>
      </c>
      <c r="BR280" s="9" t="s">
        <v>99</v>
      </c>
      <c r="BV280" s="9" t="s">
        <v>852</v>
      </c>
      <c r="BZ280" s="9" t="s">
        <v>1100</v>
      </c>
      <c r="CA280" s="9" t="s">
        <v>822</v>
      </c>
      <c r="CB280" s="9" t="s">
        <v>182</v>
      </c>
      <c r="CD280" s="9" t="s">
        <v>99</v>
      </c>
      <c r="CH280" s="9" t="s">
        <v>99</v>
      </c>
      <c r="CL280" s="9" t="s">
        <v>2787</v>
      </c>
      <c r="CM280" s="9" t="s">
        <v>825</v>
      </c>
      <c r="CN280" s="9" t="s">
        <v>2788</v>
      </c>
      <c r="CT280" s="9" t="s">
        <v>99</v>
      </c>
      <c r="CW280" s="9">
        <v>4</v>
      </c>
      <c r="CX280" s="9" t="s">
        <v>110</v>
      </c>
      <c r="CY280" s="9" t="s">
        <v>110</v>
      </c>
      <c r="DC280" s="15">
        <v>102</v>
      </c>
      <c r="DD280" s="6">
        <v>0.69</v>
      </c>
      <c r="DE280" s="6">
        <v>193</v>
      </c>
      <c r="DF280" s="6">
        <v>90</v>
      </c>
      <c r="DG280" s="9">
        <f t="shared" si="4"/>
        <v>4.5623912418072683</v>
      </c>
      <c r="DH280" s="6">
        <v>18</v>
      </c>
      <c r="DI280" s="6">
        <v>6.1</v>
      </c>
      <c r="DJ280" s="6">
        <v>16.3</v>
      </c>
      <c r="DK280" s="6"/>
      <c r="DL280" s="6">
        <v>65</v>
      </c>
      <c r="DM280" s="6">
        <v>110</v>
      </c>
      <c r="DN280" s="6"/>
      <c r="DQ280" s="6" t="s">
        <v>99</v>
      </c>
    </row>
    <row r="281" spans="1:125" x14ac:dyDescent="0.2">
      <c r="A281" s="16">
        <v>202</v>
      </c>
      <c r="B281" s="8">
        <v>42909</v>
      </c>
      <c r="C281" s="6" t="s">
        <v>95</v>
      </c>
      <c r="D281" s="6">
        <v>43</v>
      </c>
      <c r="E281" s="6" t="s">
        <v>100</v>
      </c>
      <c r="F281" s="17">
        <v>26627</v>
      </c>
      <c r="G281" s="6" t="s">
        <v>197</v>
      </c>
      <c r="H281" s="6" t="s">
        <v>109</v>
      </c>
      <c r="I281" s="9" t="s">
        <v>2789</v>
      </c>
      <c r="J281" s="9" t="s">
        <v>99</v>
      </c>
      <c r="K281" s="9">
        <v>2012</v>
      </c>
      <c r="L281" s="16" t="s">
        <v>2790</v>
      </c>
      <c r="M281" s="15" t="s">
        <v>110</v>
      </c>
      <c r="N281" s="6" t="s">
        <v>99</v>
      </c>
      <c r="O281" s="6" t="s">
        <v>99</v>
      </c>
      <c r="P281" s="6" t="s">
        <v>99</v>
      </c>
      <c r="Q281" s="6" t="s">
        <v>110</v>
      </c>
      <c r="R281" s="6" t="s">
        <v>110</v>
      </c>
      <c r="S281" s="6" t="s">
        <v>110</v>
      </c>
      <c r="T281" s="6" t="s">
        <v>110</v>
      </c>
      <c r="U281" s="6" t="s">
        <v>2791</v>
      </c>
      <c r="W281" s="15" t="s">
        <v>1046</v>
      </c>
      <c r="X281" s="6"/>
      <c r="Y281" s="15" t="s">
        <v>2792</v>
      </c>
      <c r="AA281" s="6" t="s">
        <v>100</v>
      </c>
      <c r="AB281" s="6" t="s">
        <v>100</v>
      </c>
      <c r="AC281" s="6" t="s">
        <v>100</v>
      </c>
      <c r="AD281" s="6" t="s">
        <v>100</v>
      </c>
      <c r="AE281" s="15" t="s">
        <v>125</v>
      </c>
      <c r="AF281" s="15" t="s">
        <v>118</v>
      </c>
      <c r="AG281" s="15" t="s">
        <v>570</v>
      </c>
      <c r="AH281" s="6" t="s">
        <v>99</v>
      </c>
      <c r="AI281" s="6" t="s">
        <v>99</v>
      </c>
      <c r="AJ281" s="6" t="s">
        <v>99</v>
      </c>
      <c r="AK281" s="6" t="s">
        <v>99</v>
      </c>
      <c r="AL281" s="6">
        <v>77.7</v>
      </c>
      <c r="AM281" s="9">
        <v>164</v>
      </c>
      <c r="AN281" s="15">
        <v>88.5</v>
      </c>
      <c r="AO281" s="6">
        <v>108</v>
      </c>
      <c r="AP281" s="6">
        <v>47.7</v>
      </c>
      <c r="AQ281" s="6"/>
      <c r="AR281" s="6">
        <v>21</v>
      </c>
      <c r="AS281" s="6">
        <v>56</v>
      </c>
      <c r="AT281" s="6">
        <v>28.9</v>
      </c>
      <c r="AU281" s="6">
        <v>120</v>
      </c>
      <c r="AV281" s="6">
        <v>80</v>
      </c>
      <c r="AX281" s="9" t="s">
        <v>2793</v>
      </c>
      <c r="AY281" s="9" t="s">
        <v>2794</v>
      </c>
      <c r="AZ281" s="9" t="s">
        <v>729</v>
      </c>
      <c r="BB281" s="9" t="s">
        <v>2635</v>
      </c>
      <c r="BC281" s="9" t="s">
        <v>2746</v>
      </c>
      <c r="BD281" s="9" t="s">
        <v>2692</v>
      </c>
      <c r="BF281" s="9" t="s">
        <v>2795</v>
      </c>
      <c r="BG281" s="9" t="s">
        <v>177</v>
      </c>
      <c r="BH281" s="9" t="s">
        <v>2796</v>
      </c>
      <c r="BI281" s="9" t="s">
        <v>172</v>
      </c>
      <c r="BJ281" s="9" t="s">
        <v>176</v>
      </c>
      <c r="BK281" s="9" t="s">
        <v>175</v>
      </c>
      <c r="BN281" s="9" t="s">
        <v>180</v>
      </c>
      <c r="BO281" s="9" t="s">
        <v>179</v>
      </c>
      <c r="BP281" s="9" t="s">
        <v>178</v>
      </c>
      <c r="BZ281" s="9" t="s">
        <v>355</v>
      </c>
      <c r="CA281" s="9" t="s">
        <v>183</v>
      </c>
      <c r="CB281" s="9" t="s">
        <v>1100</v>
      </c>
      <c r="CL281" s="9" t="s">
        <v>2797</v>
      </c>
      <c r="CM281" s="9" t="s">
        <v>2798</v>
      </c>
      <c r="CN281" s="9" t="s">
        <v>2799</v>
      </c>
      <c r="CP281" s="9" t="s">
        <v>362</v>
      </c>
      <c r="CQ281" s="9" t="s">
        <v>716</v>
      </c>
      <c r="CS281" s="9" t="s">
        <v>172</v>
      </c>
      <c r="CT281" s="9" t="s">
        <v>2800</v>
      </c>
      <c r="CU281" s="9" t="s">
        <v>187</v>
      </c>
      <c r="CV281" s="9" t="s">
        <v>2662</v>
      </c>
      <c r="CW281" s="9">
        <v>3</v>
      </c>
      <c r="CX281" s="9" t="s">
        <v>110</v>
      </c>
      <c r="CY281" s="9" t="s">
        <v>110</v>
      </c>
      <c r="DC281" s="15">
        <v>105</v>
      </c>
      <c r="DD281" s="6">
        <v>0.75</v>
      </c>
      <c r="DE281" s="6">
        <v>180</v>
      </c>
      <c r="DF281" s="15">
        <v>601</v>
      </c>
      <c r="DG281" s="9">
        <f t="shared" si="4"/>
        <v>5.5262776423463658</v>
      </c>
      <c r="DH281" s="6"/>
      <c r="DI281" s="6">
        <v>5</v>
      </c>
      <c r="DJ281" s="6">
        <v>12.2</v>
      </c>
      <c r="DK281" s="6"/>
      <c r="DL281" s="6">
        <v>51</v>
      </c>
      <c r="DM281" s="6"/>
      <c r="DN281" s="6"/>
      <c r="DP281" s="11">
        <v>2</v>
      </c>
      <c r="DQ281" s="6" t="s">
        <v>114</v>
      </c>
      <c r="DR281" s="9">
        <v>2</v>
      </c>
      <c r="DT281" s="9">
        <v>4.8499999999999996</v>
      </c>
      <c r="DU281" s="9">
        <v>3.84</v>
      </c>
    </row>
    <row r="282" spans="1:125" x14ac:dyDescent="0.2">
      <c r="A282" s="6">
        <v>203</v>
      </c>
      <c r="B282" s="8">
        <v>42909</v>
      </c>
      <c r="C282" s="6" t="s">
        <v>95</v>
      </c>
      <c r="D282" s="6">
        <v>63</v>
      </c>
      <c r="E282" s="6" t="s">
        <v>100</v>
      </c>
      <c r="F282" s="17">
        <v>19570</v>
      </c>
      <c r="G282" s="6"/>
      <c r="H282" s="6" t="s">
        <v>2509</v>
      </c>
      <c r="I282" s="9">
        <v>12</v>
      </c>
      <c r="J282" s="10" t="s">
        <v>2801</v>
      </c>
      <c r="K282" s="9">
        <v>1991</v>
      </c>
      <c r="L282" s="6">
        <v>7</v>
      </c>
      <c r="M282" s="6" t="s">
        <v>99</v>
      </c>
      <c r="N282" s="15" t="s">
        <v>110</v>
      </c>
      <c r="O282" s="6" t="s">
        <v>99</v>
      </c>
      <c r="P282" s="6" t="s">
        <v>99</v>
      </c>
      <c r="Q282" s="6" t="s">
        <v>99</v>
      </c>
      <c r="R282" s="6"/>
      <c r="S282" s="6" t="s">
        <v>99</v>
      </c>
      <c r="T282" s="6" t="s">
        <v>110</v>
      </c>
      <c r="U282" s="6"/>
      <c r="W282" s="6"/>
      <c r="X282" s="6"/>
      <c r="Y282" s="6" t="s">
        <v>2802</v>
      </c>
      <c r="AA282" s="6" t="s">
        <v>100</v>
      </c>
      <c r="AB282" s="6" t="s">
        <v>100</v>
      </c>
      <c r="AC282" s="6" t="s">
        <v>100</v>
      </c>
      <c r="AD282" s="6" t="s">
        <v>100</v>
      </c>
      <c r="AE282" s="15" t="s">
        <v>571</v>
      </c>
      <c r="AF282" s="15" t="s">
        <v>2803</v>
      </c>
      <c r="AG282" s="15" t="s">
        <v>2804</v>
      </c>
      <c r="AH282" s="6" t="s">
        <v>99</v>
      </c>
      <c r="AI282" s="6" t="s">
        <v>99</v>
      </c>
      <c r="AJ282" s="6" t="s">
        <v>99</v>
      </c>
      <c r="AK282" s="6" t="s">
        <v>99</v>
      </c>
      <c r="AL282" s="6">
        <v>63.3</v>
      </c>
      <c r="AM282" s="9">
        <v>153</v>
      </c>
      <c r="AN282" s="15">
        <v>86</v>
      </c>
      <c r="AO282" s="6">
        <v>106</v>
      </c>
      <c r="AP282" s="6">
        <v>42.4</v>
      </c>
      <c r="AQ282" s="6">
        <v>10</v>
      </c>
      <c r="AR282" s="6">
        <v>23.6</v>
      </c>
      <c r="AS282" s="6">
        <v>64</v>
      </c>
      <c r="AT282" s="6">
        <v>27</v>
      </c>
      <c r="AU282" s="15">
        <v>150</v>
      </c>
      <c r="AV282" s="15">
        <v>91</v>
      </c>
      <c r="DC282" s="82">
        <v>96</v>
      </c>
      <c r="DD282" s="82">
        <v>0.84</v>
      </c>
      <c r="DE282" s="82">
        <v>177</v>
      </c>
      <c r="DF282" s="82">
        <v>133</v>
      </c>
      <c r="DG282" s="9">
        <f t="shared" si="4"/>
        <v>4.7273486598447949</v>
      </c>
      <c r="DH282" s="82">
        <v>26</v>
      </c>
      <c r="DI282" s="82">
        <v>5.4</v>
      </c>
      <c r="DJ282" s="82">
        <v>7.1</v>
      </c>
      <c r="DK282" s="6"/>
      <c r="DL282" s="6">
        <v>52</v>
      </c>
      <c r="DM282" s="6">
        <v>99</v>
      </c>
      <c r="DN282" s="6"/>
      <c r="DQ282" s="6" t="s">
        <v>114</v>
      </c>
      <c r="DR282" s="9">
        <v>3</v>
      </c>
    </row>
    <row r="283" spans="1:125" x14ac:dyDescent="0.2">
      <c r="A283" s="79">
        <v>204</v>
      </c>
      <c r="B283" s="8">
        <v>42909</v>
      </c>
      <c r="C283" s="6" t="s">
        <v>95</v>
      </c>
      <c r="D283" s="6">
        <v>55</v>
      </c>
      <c r="E283" s="6" t="s">
        <v>100</v>
      </c>
      <c r="F283" s="17">
        <v>22639</v>
      </c>
      <c r="G283" s="6"/>
      <c r="H283" s="6" t="s">
        <v>2509</v>
      </c>
      <c r="I283" s="9">
        <v>12</v>
      </c>
      <c r="J283" s="10">
        <v>2013</v>
      </c>
      <c r="K283" s="9">
        <v>1999</v>
      </c>
      <c r="L283" s="6">
        <v>1</v>
      </c>
      <c r="M283" s="6" t="s">
        <v>99</v>
      </c>
      <c r="N283" s="6" t="s">
        <v>99</v>
      </c>
      <c r="O283" s="6"/>
      <c r="P283" s="6" t="s">
        <v>99</v>
      </c>
      <c r="Q283" s="6"/>
      <c r="R283" s="6"/>
      <c r="S283" s="6" t="s">
        <v>110</v>
      </c>
      <c r="T283" s="6" t="s">
        <v>110</v>
      </c>
      <c r="U283" s="6" t="s">
        <v>99</v>
      </c>
      <c r="W283" s="6" t="s">
        <v>99</v>
      </c>
      <c r="X283" s="6"/>
      <c r="Y283" s="6" t="s">
        <v>2501</v>
      </c>
      <c r="AA283" s="6" t="s">
        <v>100</v>
      </c>
      <c r="AB283" s="6" t="s">
        <v>100</v>
      </c>
      <c r="AC283" s="6" t="s">
        <v>100</v>
      </c>
      <c r="AD283" s="6" t="s">
        <v>100</v>
      </c>
      <c r="AE283" s="15" t="s">
        <v>363</v>
      </c>
      <c r="AF283" s="15" t="s">
        <v>110</v>
      </c>
      <c r="AG283" s="6" t="s">
        <v>99</v>
      </c>
      <c r="AH283" s="6" t="s">
        <v>99</v>
      </c>
      <c r="AI283" s="15" t="s">
        <v>110</v>
      </c>
      <c r="AJ283" s="6" t="s">
        <v>99</v>
      </c>
      <c r="AK283" s="6"/>
      <c r="AL283" s="6" t="s">
        <v>2805</v>
      </c>
      <c r="AM283" s="9">
        <v>153</v>
      </c>
      <c r="AN283" s="6">
        <v>71</v>
      </c>
      <c r="AO283" s="6">
        <v>88</v>
      </c>
      <c r="AP283" s="6">
        <v>32</v>
      </c>
      <c r="AQ283" s="6"/>
      <c r="AR283" s="6">
        <v>26.2</v>
      </c>
      <c r="AS283" s="6">
        <v>44</v>
      </c>
      <c r="AT283" s="79">
        <v>21.4</v>
      </c>
      <c r="AU283" s="6">
        <v>112</v>
      </c>
      <c r="AV283" s="6">
        <v>77</v>
      </c>
      <c r="AX283" s="9" t="s">
        <v>176</v>
      </c>
      <c r="BB283" s="9" t="s">
        <v>176</v>
      </c>
      <c r="BF283" s="9" t="s">
        <v>176</v>
      </c>
      <c r="BH283" s="9" t="s">
        <v>2806</v>
      </c>
      <c r="BI283" s="9" t="s">
        <v>110</v>
      </c>
      <c r="BJ283" s="9" t="s">
        <v>176</v>
      </c>
      <c r="BK283" s="9" t="s">
        <v>350</v>
      </c>
      <c r="BM283" s="9" t="s">
        <v>176</v>
      </c>
      <c r="BV283" s="9" t="s">
        <v>655</v>
      </c>
      <c r="BZ283" s="9" t="s">
        <v>176</v>
      </c>
      <c r="CL283" s="9" t="s">
        <v>176</v>
      </c>
      <c r="CP283" s="9" t="s">
        <v>176</v>
      </c>
      <c r="CW283" s="9">
        <v>3</v>
      </c>
      <c r="CX283" s="9" t="s">
        <v>110</v>
      </c>
      <c r="CY283" s="9" t="s">
        <v>110</v>
      </c>
      <c r="DC283" s="6">
        <v>94</v>
      </c>
      <c r="DD283" s="6">
        <v>0.6</v>
      </c>
      <c r="DE283" s="6">
        <v>166</v>
      </c>
      <c r="DF283" s="6">
        <v>80</v>
      </c>
      <c r="DG283" s="9">
        <f t="shared" si="4"/>
        <v>4.462660708471943</v>
      </c>
      <c r="DH283" s="6">
        <v>16</v>
      </c>
      <c r="DI283" s="6">
        <v>5</v>
      </c>
      <c r="DJ283" s="6">
        <v>14.1</v>
      </c>
      <c r="DK283" s="6"/>
      <c r="DL283" s="6">
        <v>82</v>
      </c>
      <c r="DM283" s="6">
        <v>68</v>
      </c>
      <c r="DN283" s="6"/>
      <c r="DP283" s="11">
        <v>3</v>
      </c>
      <c r="DQ283" s="6" t="s">
        <v>105</v>
      </c>
      <c r="DR283" s="9">
        <v>2</v>
      </c>
      <c r="DU283" s="9">
        <v>5.59</v>
      </c>
    </row>
    <row r="284" spans="1:125" x14ac:dyDescent="0.2">
      <c r="A284" s="79">
        <v>205</v>
      </c>
      <c r="B284" s="8">
        <v>42916</v>
      </c>
      <c r="C284" s="6" t="s">
        <v>95</v>
      </c>
      <c r="D284" s="6">
        <v>22</v>
      </c>
      <c r="E284" s="6" t="s">
        <v>100</v>
      </c>
      <c r="F284" s="17">
        <v>34620</v>
      </c>
      <c r="G284" s="6" t="s">
        <v>2088</v>
      </c>
      <c r="H284" s="6" t="s">
        <v>2807</v>
      </c>
      <c r="I284" s="9">
        <v>16</v>
      </c>
      <c r="J284" s="9" t="s">
        <v>99</v>
      </c>
      <c r="L284" s="6"/>
      <c r="M284" s="6" t="s">
        <v>99</v>
      </c>
      <c r="N284" s="15" t="s">
        <v>110</v>
      </c>
      <c r="O284" s="6" t="s">
        <v>99</v>
      </c>
      <c r="P284" s="6" t="s">
        <v>99</v>
      </c>
      <c r="Q284" s="6" t="s">
        <v>110</v>
      </c>
      <c r="R284" s="6" t="s">
        <v>110</v>
      </c>
      <c r="S284" s="6" t="s">
        <v>2808</v>
      </c>
      <c r="T284" s="6" t="s">
        <v>110</v>
      </c>
      <c r="U284" s="6" t="s">
        <v>2809</v>
      </c>
      <c r="W284" s="6" t="s">
        <v>2810</v>
      </c>
      <c r="X284" s="6"/>
      <c r="Y284" s="6" t="s">
        <v>99</v>
      </c>
      <c r="AA284" s="6" t="s">
        <v>100</v>
      </c>
      <c r="AB284" s="6" t="s">
        <v>100</v>
      </c>
      <c r="AC284" s="16" t="s">
        <v>840</v>
      </c>
      <c r="AD284" s="16" t="s">
        <v>840</v>
      </c>
      <c r="AE284" s="15" t="s">
        <v>2811</v>
      </c>
      <c r="AF284" s="6" t="s">
        <v>99</v>
      </c>
      <c r="AG284" s="15" t="s">
        <v>2812</v>
      </c>
      <c r="AH284" s="15" t="s">
        <v>2813</v>
      </c>
      <c r="AI284" s="6" t="s">
        <v>99</v>
      </c>
      <c r="AJ284" s="6" t="s">
        <v>99</v>
      </c>
      <c r="AK284" s="16" t="s">
        <v>2814</v>
      </c>
      <c r="AL284" s="6">
        <v>56.2</v>
      </c>
      <c r="AM284" s="9">
        <v>162</v>
      </c>
      <c r="AN284" s="6">
        <v>68</v>
      </c>
      <c r="AO284" s="6">
        <v>96</v>
      </c>
      <c r="AP284" s="6">
        <v>35.200000000000003</v>
      </c>
      <c r="AQ284" s="6">
        <v>21.4</v>
      </c>
      <c r="AR284" s="6">
        <v>23.6</v>
      </c>
      <c r="AS284" s="6">
        <v>21</v>
      </c>
      <c r="AT284" s="79">
        <v>21.4</v>
      </c>
      <c r="AU284" s="6">
        <v>93</v>
      </c>
      <c r="AV284" s="6">
        <v>71</v>
      </c>
      <c r="AX284" s="9" t="s">
        <v>2815</v>
      </c>
      <c r="AY284" s="9" t="s">
        <v>2816</v>
      </c>
      <c r="AZ284" s="9" t="s">
        <v>2817</v>
      </c>
      <c r="BB284" s="9" t="s">
        <v>346</v>
      </c>
      <c r="BC284" s="9" t="s">
        <v>2818</v>
      </c>
      <c r="BD284" s="9" t="s">
        <v>749</v>
      </c>
      <c r="BF284" s="9" t="s">
        <v>2819</v>
      </c>
      <c r="BG284" s="9" t="s">
        <v>683</v>
      </c>
      <c r="BH284" s="9" t="s">
        <v>1173</v>
      </c>
      <c r="BI284" s="9" t="s">
        <v>176</v>
      </c>
      <c r="BJ284" s="9" t="s">
        <v>99</v>
      </c>
      <c r="BK284" s="9" t="s">
        <v>683</v>
      </c>
      <c r="BM284" s="9" t="s">
        <v>179</v>
      </c>
      <c r="BN284" s="9" t="s">
        <v>2820</v>
      </c>
      <c r="BO284" s="9" t="s">
        <v>2821</v>
      </c>
      <c r="BQ284" s="9" t="s">
        <v>99</v>
      </c>
      <c r="BV284" s="9" t="s">
        <v>110</v>
      </c>
      <c r="BZ284" s="9" t="s">
        <v>182</v>
      </c>
      <c r="CA284" s="9" t="s">
        <v>183</v>
      </c>
      <c r="CB284" s="9" t="s">
        <v>1730</v>
      </c>
      <c r="CC284" s="9" t="s">
        <v>99</v>
      </c>
      <c r="CG284" s="9" t="s">
        <v>99</v>
      </c>
      <c r="CL284" s="9" t="s">
        <v>1181</v>
      </c>
      <c r="CM284" s="9" t="s">
        <v>1180</v>
      </c>
      <c r="CN284" s="9" t="s">
        <v>2822</v>
      </c>
      <c r="CP284" s="9" t="s">
        <v>362</v>
      </c>
      <c r="CQ284" s="9" t="s">
        <v>716</v>
      </c>
      <c r="CR284" s="9" t="s">
        <v>2823</v>
      </c>
      <c r="CT284" s="9" t="s">
        <v>2824</v>
      </c>
      <c r="CU284" s="9" t="s">
        <v>2825</v>
      </c>
      <c r="CV284" s="9" t="s">
        <v>187</v>
      </c>
      <c r="CW284" s="9">
        <v>3</v>
      </c>
      <c r="CX284" s="9" t="s">
        <v>110</v>
      </c>
      <c r="CY284" s="9" t="s">
        <v>99</v>
      </c>
      <c r="CZ284" s="9">
        <v>30</v>
      </c>
      <c r="DA284" s="9">
        <v>40</v>
      </c>
      <c r="DB284" s="9">
        <v>30</v>
      </c>
      <c r="DC284" s="6">
        <v>82.2</v>
      </c>
      <c r="DD284" s="15">
        <v>1.24</v>
      </c>
      <c r="DE284" s="6">
        <v>166</v>
      </c>
      <c r="DF284" s="6">
        <v>97</v>
      </c>
      <c r="DG284" s="9">
        <f t="shared" si="4"/>
        <v>4.4919331402827583</v>
      </c>
      <c r="DH284" s="6">
        <v>19.399999999999999</v>
      </c>
      <c r="DI284" s="6">
        <v>3.89</v>
      </c>
      <c r="DJ284" s="6">
        <v>13.3</v>
      </c>
      <c r="DK284" s="6"/>
      <c r="DL284" s="6">
        <v>67.400000000000006</v>
      </c>
      <c r="DM284" s="6"/>
      <c r="DN284" s="6"/>
      <c r="DP284" s="11">
        <v>3</v>
      </c>
      <c r="DQ284" s="6" t="s">
        <v>111</v>
      </c>
      <c r="DR284" s="9">
        <v>2</v>
      </c>
      <c r="DT284" s="9">
        <v>14.6</v>
      </c>
      <c r="DU284" s="9">
        <v>2.73</v>
      </c>
    </row>
    <row r="285" spans="1:125" x14ac:dyDescent="0.2">
      <c r="A285" s="79">
        <v>206</v>
      </c>
      <c r="B285" s="8">
        <v>42910</v>
      </c>
      <c r="C285" s="6" t="s">
        <v>95</v>
      </c>
      <c r="D285" s="6">
        <v>18</v>
      </c>
      <c r="E285" s="6" t="s">
        <v>100</v>
      </c>
      <c r="F285" s="17">
        <v>36026</v>
      </c>
      <c r="G285" s="6" t="s">
        <v>1509</v>
      </c>
      <c r="H285" s="6" t="s">
        <v>2509</v>
      </c>
      <c r="I285" s="9">
        <v>13</v>
      </c>
      <c r="J285" s="9" t="s">
        <v>99</v>
      </c>
      <c r="L285" s="6" t="s">
        <v>99</v>
      </c>
      <c r="M285" s="9" t="s">
        <v>99</v>
      </c>
      <c r="N285" s="9" t="s">
        <v>99</v>
      </c>
      <c r="O285" s="6"/>
      <c r="P285" s="6" t="s">
        <v>99</v>
      </c>
      <c r="Q285" s="6" t="s">
        <v>99</v>
      </c>
      <c r="R285" s="6" t="s">
        <v>110</v>
      </c>
      <c r="S285" s="6"/>
      <c r="T285" s="6"/>
      <c r="U285" s="6"/>
      <c r="W285" s="6" t="s">
        <v>2826</v>
      </c>
      <c r="X285" s="6"/>
      <c r="Y285" s="6"/>
      <c r="AA285" s="6" t="s">
        <v>100</v>
      </c>
      <c r="AB285" s="6" t="s">
        <v>100</v>
      </c>
      <c r="AC285" s="6" t="s">
        <v>100</v>
      </c>
      <c r="AD285" s="6" t="s">
        <v>100</v>
      </c>
      <c r="AE285" s="15" t="s">
        <v>2827</v>
      </c>
      <c r="AF285" s="15" t="s">
        <v>2827</v>
      </c>
      <c r="AG285" s="15" t="s">
        <v>2252</v>
      </c>
      <c r="AH285" s="15" t="s">
        <v>2391</v>
      </c>
      <c r="AI285" s="6" t="s">
        <v>99</v>
      </c>
      <c r="AJ285" s="6" t="s">
        <v>99</v>
      </c>
      <c r="AK285" s="6" t="s">
        <v>99</v>
      </c>
      <c r="AL285" s="6">
        <v>67.8</v>
      </c>
      <c r="AN285" s="19">
        <v>83</v>
      </c>
      <c r="AO285" s="6">
        <v>97</v>
      </c>
      <c r="AP285" s="6">
        <v>35.4</v>
      </c>
      <c r="AQ285" s="6">
        <v>3</v>
      </c>
      <c r="AR285" s="6">
        <v>26.3</v>
      </c>
      <c r="AS285" s="6">
        <v>19</v>
      </c>
      <c r="AT285" s="19">
        <v>22.1</v>
      </c>
      <c r="AU285" s="6">
        <v>101</v>
      </c>
      <c r="AV285" s="6">
        <v>67</v>
      </c>
      <c r="AX285" s="9" t="s">
        <v>666</v>
      </c>
      <c r="AY285" s="9" t="s">
        <v>1977</v>
      </c>
      <c r="BA285" s="9" t="s">
        <v>176</v>
      </c>
      <c r="BB285" s="9" t="s">
        <v>1130</v>
      </c>
      <c r="BC285" s="9" t="s">
        <v>750</v>
      </c>
      <c r="BF285" s="9" t="s">
        <v>350</v>
      </c>
      <c r="BG285" s="9" t="s">
        <v>350</v>
      </c>
      <c r="BH285" s="9" t="s">
        <v>350</v>
      </c>
      <c r="BI285" s="9" t="s">
        <v>655</v>
      </c>
      <c r="BJ285" s="9" t="s">
        <v>655</v>
      </c>
      <c r="BK285" s="9" t="s">
        <v>350</v>
      </c>
      <c r="BM285" s="9" t="s">
        <v>350</v>
      </c>
      <c r="BN285" s="9" t="s">
        <v>219</v>
      </c>
      <c r="BO285" s="9" t="s">
        <v>178</v>
      </c>
      <c r="BP285" s="14" t="s">
        <v>125</v>
      </c>
      <c r="BY285" s="9" t="s">
        <v>2828</v>
      </c>
      <c r="BZ285" s="9" t="s">
        <v>821</v>
      </c>
      <c r="CA285" s="9" t="s">
        <v>182</v>
      </c>
      <c r="CB285" s="9" t="s">
        <v>183</v>
      </c>
      <c r="CL285" s="9" t="s">
        <v>887</v>
      </c>
      <c r="CM285" s="9" t="s">
        <v>2829</v>
      </c>
      <c r="CN285" s="9" t="s">
        <v>2830</v>
      </c>
      <c r="CP285" s="9" t="s">
        <v>361</v>
      </c>
      <c r="CQ285" s="9" t="s">
        <v>716</v>
      </c>
      <c r="CR285" s="9" t="s">
        <v>362</v>
      </c>
      <c r="CS285" s="9" t="s">
        <v>2831</v>
      </c>
      <c r="CT285" s="9" t="s">
        <v>125</v>
      </c>
      <c r="CU285" s="9" t="s">
        <v>364</v>
      </c>
      <c r="CV285" s="9" t="s">
        <v>187</v>
      </c>
      <c r="CW285" s="9">
        <v>3</v>
      </c>
      <c r="CX285" s="9" t="s">
        <v>99</v>
      </c>
      <c r="CY285" s="9" t="s">
        <v>110</v>
      </c>
      <c r="DC285" s="13">
        <v>86</v>
      </c>
      <c r="DD285" s="13">
        <v>0.73</v>
      </c>
      <c r="DE285" s="13">
        <v>180</v>
      </c>
      <c r="DF285" s="13">
        <v>60</v>
      </c>
      <c r="DG285" s="9">
        <f t="shared" si="4"/>
        <v>4.2743459292378043</v>
      </c>
      <c r="DH285" s="13">
        <v>28.4</v>
      </c>
      <c r="DI285" s="13">
        <v>4.8</v>
      </c>
      <c r="DJ285" s="13">
        <v>11.3</v>
      </c>
      <c r="DK285" s="6"/>
      <c r="DL285" s="6">
        <v>53</v>
      </c>
      <c r="DM285" s="6">
        <v>98.6</v>
      </c>
      <c r="DN285" s="6"/>
      <c r="DP285" s="11">
        <v>3</v>
      </c>
      <c r="DQ285" s="6" t="s">
        <v>111</v>
      </c>
      <c r="DR285" s="30">
        <v>1</v>
      </c>
      <c r="DT285" s="9">
        <v>5</v>
      </c>
      <c r="DU285" s="9">
        <v>9.34</v>
      </c>
    </row>
    <row r="286" spans="1:125" x14ac:dyDescent="0.2">
      <c r="A286" s="16">
        <v>207</v>
      </c>
      <c r="B286" s="8">
        <v>42910</v>
      </c>
      <c r="C286" s="6" t="s">
        <v>95</v>
      </c>
      <c r="D286" s="6">
        <v>51</v>
      </c>
      <c r="E286" s="6" t="s">
        <v>100</v>
      </c>
      <c r="F286" s="17">
        <v>23972</v>
      </c>
      <c r="G286" s="6" t="s">
        <v>197</v>
      </c>
      <c r="H286" s="6" t="s">
        <v>2509</v>
      </c>
      <c r="I286" s="9">
        <v>12</v>
      </c>
      <c r="J286" s="9" t="s">
        <v>99</v>
      </c>
      <c r="L286" s="6"/>
      <c r="M286" s="6" t="s">
        <v>99</v>
      </c>
      <c r="N286" s="6" t="s">
        <v>99</v>
      </c>
      <c r="O286" s="6"/>
      <c r="P286" s="6" t="s">
        <v>99</v>
      </c>
      <c r="Q286" s="6" t="s">
        <v>99</v>
      </c>
      <c r="R286" s="6" t="s">
        <v>110</v>
      </c>
      <c r="S286" s="6"/>
      <c r="T286" s="6"/>
      <c r="U286" s="6" t="s">
        <v>2832</v>
      </c>
      <c r="W286" s="15" t="s">
        <v>2833</v>
      </c>
      <c r="X286" s="6"/>
      <c r="Y286" s="6" t="s">
        <v>99</v>
      </c>
      <c r="AA286" s="6" t="s">
        <v>100</v>
      </c>
      <c r="AB286" s="6" t="s">
        <v>100</v>
      </c>
      <c r="AC286" s="6" t="s">
        <v>100</v>
      </c>
      <c r="AD286" s="6" t="s">
        <v>100</v>
      </c>
      <c r="AE286" s="15" t="s">
        <v>664</v>
      </c>
      <c r="AF286" s="15" t="s">
        <v>118</v>
      </c>
      <c r="AG286" s="15" t="s">
        <v>2252</v>
      </c>
      <c r="AH286" s="15" t="s">
        <v>1079</v>
      </c>
      <c r="AI286" s="6" t="s">
        <v>99</v>
      </c>
      <c r="AJ286" s="6" t="s">
        <v>99</v>
      </c>
      <c r="AK286" s="6"/>
      <c r="AL286" s="6">
        <v>75.5</v>
      </c>
      <c r="AM286" s="9">
        <v>155</v>
      </c>
      <c r="AN286" s="15">
        <v>100</v>
      </c>
      <c r="AO286" s="6">
        <v>114</v>
      </c>
      <c r="AP286" s="6">
        <v>43.1</v>
      </c>
      <c r="AQ286" s="6">
        <v>10</v>
      </c>
      <c r="AR286" s="6">
        <v>25.3</v>
      </c>
      <c r="AS286" s="6">
        <v>65</v>
      </c>
      <c r="AT286" s="6">
        <v>31.4</v>
      </c>
      <c r="AU286" s="6">
        <v>122</v>
      </c>
      <c r="AV286" s="6">
        <v>88</v>
      </c>
      <c r="AX286" s="9" t="s">
        <v>666</v>
      </c>
      <c r="AY286" s="9" t="s">
        <v>2834</v>
      </c>
      <c r="AZ286" s="14" t="s">
        <v>2835</v>
      </c>
      <c r="BB286" s="9" t="s">
        <v>1130</v>
      </c>
      <c r="BC286" s="9" t="s">
        <v>750</v>
      </c>
      <c r="BD286" s="9" t="s">
        <v>2836</v>
      </c>
      <c r="BF286" s="9" t="s">
        <v>176</v>
      </c>
      <c r="BG286" s="9" t="s">
        <v>683</v>
      </c>
      <c r="BH286" s="9" t="s">
        <v>683</v>
      </c>
      <c r="BI286" s="9" t="s">
        <v>1099</v>
      </c>
      <c r="BJ286" s="9" t="s">
        <v>176</v>
      </c>
      <c r="BK286" s="9" t="s">
        <v>177</v>
      </c>
      <c r="BL286" s="9" t="s">
        <v>172</v>
      </c>
      <c r="BM286" s="9" t="s">
        <v>179</v>
      </c>
      <c r="BN286" s="9" t="s">
        <v>180</v>
      </c>
      <c r="BO286" s="9" t="s">
        <v>178</v>
      </c>
      <c r="BV286" s="9" t="s">
        <v>683</v>
      </c>
      <c r="BY286" s="9" t="s">
        <v>176</v>
      </c>
      <c r="BZ286" s="9" t="s">
        <v>2837</v>
      </c>
      <c r="CA286" s="9" t="s">
        <v>2838</v>
      </c>
      <c r="CB286" s="9" t="s">
        <v>182</v>
      </c>
      <c r="CH286" s="9" t="s">
        <v>2839</v>
      </c>
      <c r="CL286" s="9" t="s">
        <v>887</v>
      </c>
      <c r="CM286" s="9" t="s">
        <v>2840</v>
      </c>
      <c r="CP286" s="9" t="s">
        <v>361</v>
      </c>
      <c r="CQ286" s="9" t="s">
        <v>716</v>
      </c>
      <c r="CW286" s="9">
        <v>3</v>
      </c>
      <c r="CX286" s="9" t="s">
        <v>99</v>
      </c>
      <c r="CY286" s="9" t="s">
        <v>99</v>
      </c>
      <c r="DC286" s="84" t="s">
        <v>2841</v>
      </c>
      <c r="DD286" s="13">
        <v>0.85</v>
      </c>
      <c r="DE286" s="84">
        <v>215</v>
      </c>
      <c r="DF286" s="84">
        <v>245</v>
      </c>
      <c r="DG286" s="9" t="e">
        <f t="shared" si="4"/>
        <v>#VALUE!</v>
      </c>
      <c r="DH286" s="13">
        <v>40</v>
      </c>
      <c r="DI286" s="13">
        <v>6.33</v>
      </c>
      <c r="DJ286" s="13">
        <v>14</v>
      </c>
      <c r="DK286" s="6"/>
      <c r="DL286" s="15">
        <v>48</v>
      </c>
      <c r="DM286" s="6">
        <v>127</v>
      </c>
      <c r="DN286" s="6"/>
      <c r="DP286" s="18">
        <v>1</v>
      </c>
      <c r="DQ286" s="6" t="s">
        <v>99</v>
      </c>
      <c r="DR286" s="9">
        <v>2</v>
      </c>
      <c r="DT286" s="9">
        <v>15.9</v>
      </c>
      <c r="DU286" s="9">
        <v>13.2</v>
      </c>
    </row>
    <row r="287" spans="1:125" x14ac:dyDescent="0.2">
      <c r="A287" s="6">
        <v>208</v>
      </c>
      <c r="B287" s="8">
        <v>42909</v>
      </c>
      <c r="C287" s="6" t="s">
        <v>107</v>
      </c>
      <c r="D287" s="6">
        <v>45</v>
      </c>
      <c r="E287" s="6" t="s">
        <v>100</v>
      </c>
      <c r="G287" s="6" t="s">
        <v>2842</v>
      </c>
      <c r="H287" s="6" t="s">
        <v>109</v>
      </c>
      <c r="L287" s="6"/>
      <c r="M287" s="6" t="s">
        <v>99</v>
      </c>
      <c r="N287" s="6" t="s">
        <v>99</v>
      </c>
      <c r="O287" s="6" t="s">
        <v>2843</v>
      </c>
      <c r="P287" s="6" t="s">
        <v>99</v>
      </c>
      <c r="Q287" s="6" t="s">
        <v>99</v>
      </c>
      <c r="R287" s="79" t="s">
        <v>2844</v>
      </c>
      <c r="S287" s="6" t="s">
        <v>99</v>
      </c>
      <c r="T287" s="6" t="s">
        <v>2845</v>
      </c>
      <c r="U287" s="6" t="s">
        <v>99</v>
      </c>
      <c r="V287" s="9" t="s">
        <v>99</v>
      </c>
      <c r="W287" s="6" t="s">
        <v>2846</v>
      </c>
      <c r="X287" s="6"/>
      <c r="Y287" s="6" t="s">
        <v>99</v>
      </c>
      <c r="AA287" s="6" t="s">
        <v>100</v>
      </c>
      <c r="AB287" s="6" t="s">
        <v>100</v>
      </c>
      <c r="AC287" s="6" t="s">
        <v>100</v>
      </c>
      <c r="AD287" s="6" t="s">
        <v>100</v>
      </c>
      <c r="AE287" s="6" t="s">
        <v>99</v>
      </c>
      <c r="AF287" s="15" t="s">
        <v>125</v>
      </c>
      <c r="AG287" s="6" t="s">
        <v>99</v>
      </c>
      <c r="AH287" s="15" t="s">
        <v>126</v>
      </c>
      <c r="AI287" s="15" t="s">
        <v>110</v>
      </c>
      <c r="AJ287" s="6"/>
      <c r="AK287" s="15" t="s">
        <v>110</v>
      </c>
      <c r="AL287" s="6">
        <v>73.900000000000006</v>
      </c>
      <c r="AN287" s="15">
        <v>116.5</v>
      </c>
      <c r="AO287" s="6">
        <v>106</v>
      </c>
      <c r="AP287" s="6"/>
      <c r="AQ287" s="6"/>
      <c r="AR287" s="6"/>
      <c r="AS287" s="6"/>
      <c r="AT287" s="6"/>
      <c r="AU287" s="15">
        <v>132</v>
      </c>
      <c r="AV287" s="15">
        <v>98</v>
      </c>
      <c r="DC287" s="13">
        <v>83</v>
      </c>
      <c r="DD287" s="6">
        <v>0.68</v>
      </c>
      <c r="DE287" s="6">
        <v>174</v>
      </c>
      <c r="DF287" s="6">
        <v>87</v>
      </c>
      <c r="DG287" s="9">
        <f t="shared" si="4"/>
        <v>4.442374363225591</v>
      </c>
      <c r="DH287" s="6">
        <v>17</v>
      </c>
      <c r="DI287" s="6">
        <v>5</v>
      </c>
      <c r="DJ287" s="6">
        <v>8.1</v>
      </c>
      <c r="DK287" s="6"/>
      <c r="DL287" s="6">
        <v>41</v>
      </c>
      <c r="DM287" s="6">
        <v>116</v>
      </c>
      <c r="DN287" s="6"/>
      <c r="DP287" s="11">
        <v>2</v>
      </c>
      <c r="DQ287" s="6" t="s">
        <v>111</v>
      </c>
      <c r="DR287" s="9">
        <v>3</v>
      </c>
    </row>
    <row r="288" spans="1:125" x14ac:dyDescent="0.2">
      <c r="A288" s="6">
        <v>209</v>
      </c>
      <c r="B288" s="8">
        <v>42909</v>
      </c>
      <c r="C288" s="6" t="s">
        <v>107</v>
      </c>
      <c r="D288" s="6">
        <v>67</v>
      </c>
      <c r="E288" s="6" t="s">
        <v>100</v>
      </c>
      <c r="F288" s="17">
        <v>18127</v>
      </c>
      <c r="G288" s="6"/>
      <c r="H288" s="6"/>
      <c r="L288" s="6"/>
      <c r="M288" s="6" t="s">
        <v>99</v>
      </c>
      <c r="N288" s="15" t="s">
        <v>2547</v>
      </c>
      <c r="O288" s="6" t="s">
        <v>99</v>
      </c>
      <c r="P288" s="6" t="s">
        <v>99</v>
      </c>
      <c r="Q288" s="6" t="s">
        <v>99</v>
      </c>
      <c r="R288" s="6"/>
      <c r="S288" s="6" t="s">
        <v>99</v>
      </c>
      <c r="T288" s="6" t="s">
        <v>99</v>
      </c>
      <c r="U288" s="6" t="s">
        <v>2418</v>
      </c>
      <c r="V288" s="9" t="s">
        <v>99</v>
      </c>
      <c r="W288" s="6" t="s">
        <v>99</v>
      </c>
      <c r="X288" s="6" t="s">
        <v>99</v>
      </c>
      <c r="Y288" s="6" t="s">
        <v>2847</v>
      </c>
      <c r="AA288" s="16" t="s">
        <v>840</v>
      </c>
      <c r="AB288" s="6" t="s">
        <v>100</v>
      </c>
      <c r="AC288" s="14" t="s">
        <v>840</v>
      </c>
      <c r="AD288" s="6" t="s">
        <v>100</v>
      </c>
      <c r="AE288" s="6" t="s">
        <v>99</v>
      </c>
      <c r="AF288" s="6" t="s">
        <v>99</v>
      </c>
      <c r="AG288" s="6" t="s">
        <v>99</v>
      </c>
      <c r="AH288" s="15" t="s">
        <v>2292</v>
      </c>
      <c r="AI288" s="6" t="s">
        <v>99</v>
      </c>
      <c r="AJ288" s="6" t="s">
        <v>99</v>
      </c>
      <c r="AK288" s="6" t="s">
        <v>99</v>
      </c>
      <c r="AL288" s="6">
        <v>78.599999999999994</v>
      </c>
      <c r="AM288" s="9">
        <v>165</v>
      </c>
      <c r="AN288" s="15">
        <v>109</v>
      </c>
      <c r="AO288" s="6">
        <v>101</v>
      </c>
      <c r="AP288" s="6">
        <v>29.7</v>
      </c>
      <c r="AQ288" s="6">
        <v>15</v>
      </c>
      <c r="AR288" s="6">
        <v>30.7</v>
      </c>
      <c r="AS288" s="6">
        <v>60</v>
      </c>
      <c r="AT288" s="6">
        <v>28.9</v>
      </c>
      <c r="AU288" s="15">
        <v>165</v>
      </c>
      <c r="AV288" s="15">
        <v>108</v>
      </c>
      <c r="DC288" s="6">
        <v>94</v>
      </c>
      <c r="DD288" s="6">
        <v>0.73</v>
      </c>
      <c r="DE288" s="6">
        <v>174</v>
      </c>
      <c r="DF288" s="6">
        <v>80</v>
      </c>
      <c r="DG288" s="9">
        <f t="shared" si="4"/>
        <v>4.462660708471943</v>
      </c>
      <c r="DH288" s="6">
        <v>16</v>
      </c>
      <c r="DI288" s="6">
        <v>4.8</v>
      </c>
      <c r="DJ288" s="6">
        <v>10.3</v>
      </c>
      <c r="DK288" s="6"/>
      <c r="DL288" s="6">
        <v>47</v>
      </c>
      <c r="DM288" s="6">
        <v>111</v>
      </c>
      <c r="DN288" s="6"/>
      <c r="DQ288" s="6" t="s">
        <v>111</v>
      </c>
      <c r="DR288" s="9">
        <v>2</v>
      </c>
      <c r="DU288" s="9">
        <v>10.199999999999999</v>
      </c>
    </row>
    <row r="289" spans="1:125" x14ac:dyDescent="0.2">
      <c r="A289" s="6">
        <v>210</v>
      </c>
      <c r="B289" s="8">
        <v>42909</v>
      </c>
      <c r="C289" s="6" t="s">
        <v>107</v>
      </c>
      <c r="D289" s="6">
        <v>45</v>
      </c>
      <c r="E289" s="6" t="s">
        <v>100</v>
      </c>
      <c r="F289" s="17">
        <v>26493</v>
      </c>
      <c r="G289" s="6" t="s">
        <v>481</v>
      </c>
      <c r="H289" s="6" t="s">
        <v>2509</v>
      </c>
      <c r="L289" s="6"/>
      <c r="M289" s="15" t="s">
        <v>110</v>
      </c>
      <c r="N289" s="6" t="s">
        <v>99</v>
      </c>
      <c r="O289" s="15" t="s">
        <v>110</v>
      </c>
      <c r="P289" s="6" t="s">
        <v>99</v>
      </c>
      <c r="Q289" s="15" t="s">
        <v>110</v>
      </c>
      <c r="R289" s="6" t="s">
        <v>110</v>
      </c>
      <c r="S289" s="6" t="s">
        <v>99</v>
      </c>
      <c r="T289" s="6" t="s">
        <v>99</v>
      </c>
      <c r="U289" s="6" t="s">
        <v>99</v>
      </c>
      <c r="V289" s="9" t="s">
        <v>99</v>
      </c>
      <c r="W289" s="6"/>
      <c r="X289" s="6" t="s">
        <v>2848</v>
      </c>
      <c r="Y289" s="6" t="s">
        <v>1903</v>
      </c>
      <c r="AA289" s="6" t="s">
        <v>100</v>
      </c>
      <c r="AB289" s="86" t="s">
        <v>155</v>
      </c>
      <c r="AC289" s="6" t="s">
        <v>100</v>
      </c>
      <c r="AD289" s="9" t="s">
        <v>2777</v>
      </c>
      <c r="AE289" s="15" t="s">
        <v>2849</v>
      </c>
      <c r="AF289" s="15" t="s">
        <v>118</v>
      </c>
      <c r="AG289" s="6" t="s">
        <v>99</v>
      </c>
      <c r="AH289" s="6" t="s">
        <v>99</v>
      </c>
      <c r="AI289" s="6" t="s">
        <v>99</v>
      </c>
      <c r="AJ289" s="6" t="s">
        <v>99</v>
      </c>
      <c r="AK289" s="6" t="s">
        <v>99</v>
      </c>
      <c r="AL289" s="6">
        <v>91.7</v>
      </c>
      <c r="AM289" s="9">
        <v>172</v>
      </c>
      <c r="AN289" s="15">
        <v>114</v>
      </c>
      <c r="AO289" s="6">
        <v>108</v>
      </c>
      <c r="AP289" s="6">
        <v>32.5</v>
      </c>
      <c r="AQ289" s="6">
        <v>15</v>
      </c>
      <c r="AR289" s="6">
        <v>31.3</v>
      </c>
      <c r="AS289" s="6">
        <v>63</v>
      </c>
      <c r="AT289" s="6">
        <v>31</v>
      </c>
      <c r="AU289" s="6">
        <v>110</v>
      </c>
      <c r="AV289" s="6">
        <v>78</v>
      </c>
      <c r="AX289" s="9" t="s">
        <v>2850</v>
      </c>
      <c r="AY289" s="9" t="s">
        <v>2851</v>
      </c>
      <c r="AZ289" s="9" t="s">
        <v>2834</v>
      </c>
      <c r="BB289" s="9" t="s">
        <v>346</v>
      </c>
      <c r="BC289" s="9" t="s">
        <v>2852</v>
      </c>
      <c r="BD289" s="9" t="s">
        <v>2853</v>
      </c>
      <c r="BF289" s="9" t="s">
        <v>175</v>
      </c>
      <c r="BG289" s="9" t="s">
        <v>2606</v>
      </c>
      <c r="BH289" s="9" t="s">
        <v>2606</v>
      </c>
      <c r="BI289" s="9" t="s">
        <v>1099</v>
      </c>
      <c r="BJ289" s="9" t="s">
        <v>176</v>
      </c>
      <c r="BK289" s="9" t="s">
        <v>175</v>
      </c>
      <c r="BN289" s="9" t="s">
        <v>352</v>
      </c>
      <c r="BO289" s="14" t="s">
        <v>1664</v>
      </c>
      <c r="BP289" s="9" t="s">
        <v>2534</v>
      </c>
      <c r="BZ289" s="9" t="s">
        <v>709</v>
      </c>
      <c r="CA289" s="9" t="s">
        <v>182</v>
      </c>
      <c r="CB289" s="9" t="s">
        <v>2854</v>
      </c>
      <c r="CD289" s="9" t="s">
        <v>99</v>
      </c>
      <c r="CH289" s="9" t="s">
        <v>99</v>
      </c>
      <c r="CL289" s="9" t="s">
        <v>579</v>
      </c>
      <c r="CM289" s="9" t="s">
        <v>2855</v>
      </c>
      <c r="CP289" s="9" t="s">
        <v>716</v>
      </c>
      <c r="CQ289" s="9" t="s">
        <v>2856</v>
      </c>
      <c r="CS289" s="9" t="s">
        <v>99</v>
      </c>
      <c r="CW289" s="9">
        <v>3</v>
      </c>
      <c r="CX289" s="9" t="s">
        <v>110</v>
      </c>
      <c r="DC289" s="15">
        <v>109</v>
      </c>
      <c r="DD289" s="6">
        <v>0.7</v>
      </c>
      <c r="DE289" s="6">
        <v>188</v>
      </c>
      <c r="DF289" s="6">
        <v>145</v>
      </c>
      <c r="DG289" s="9">
        <f t="shared" si="4"/>
        <v>4.8340408123248588</v>
      </c>
      <c r="DH289" s="6">
        <v>29</v>
      </c>
      <c r="DI289" s="6">
        <v>5</v>
      </c>
      <c r="DJ289" s="6">
        <v>32.9</v>
      </c>
      <c r="DK289" s="6"/>
      <c r="DL289" s="6">
        <v>48</v>
      </c>
      <c r="DM289" s="6">
        <v>111</v>
      </c>
      <c r="DN289" s="6"/>
      <c r="DP289" s="11">
        <v>3</v>
      </c>
      <c r="DQ289" s="6" t="s">
        <v>111</v>
      </c>
      <c r="DR289" s="9">
        <v>2</v>
      </c>
    </row>
    <row r="290" spans="1:125" x14ac:dyDescent="0.2">
      <c r="A290" s="16">
        <v>211</v>
      </c>
      <c r="B290" s="8">
        <v>42909</v>
      </c>
      <c r="C290" s="6" t="s">
        <v>95</v>
      </c>
      <c r="D290" s="6">
        <v>61</v>
      </c>
      <c r="E290" s="6" t="s">
        <v>100</v>
      </c>
      <c r="F290" s="17">
        <v>20491</v>
      </c>
      <c r="G290" s="6"/>
      <c r="H290" s="6" t="s">
        <v>109</v>
      </c>
      <c r="I290" s="9">
        <v>13</v>
      </c>
      <c r="J290" s="9" t="s">
        <v>2857</v>
      </c>
      <c r="L290" s="16" t="s">
        <v>2858</v>
      </c>
      <c r="M290" s="6" t="s">
        <v>99</v>
      </c>
      <c r="N290" s="6" t="s">
        <v>99</v>
      </c>
      <c r="O290" s="6" t="s">
        <v>99</v>
      </c>
      <c r="P290" s="6" t="s">
        <v>99</v>
      </c>
      <c r="Q290" s="6" t="s">
        <v>99</v>
      </c>
      <c r="R290" s="6"/>
      <c r="S290" s="6" t="s">
        <v>99</v>
      </c>
      <c r="T290" s="6" t="s">
        <v>99</v>
      </c>
      <c r="U290" s="15" t="s">
        <v>2859</v>
      </c>
      <c r="V290" s="9" t="s">
        <v>99</v>
      </c>
      <c r="W290" s="6" t="s">
        <v>99</v>
      </c>
      <c r="X290" s="6" t="s">
        <v>99</v>
      </c>
      <c r="Y290" s="6" t="s">
        <v>99</v>
      </c>
      <c r="AA290" s="6" t="s">
        <v>2234</v>
      </c>
      <c r="AB290" s="6" t="s">
        <v>100</v>
      </c>
      <c r="AC290" s="6" t="s">
        <v>2234</v>
      </c>
      <c r="AD290" s="6" t="s">
        <v>100</v>
      </c>
      <c r="AE290" s="15" t="s">
        <v>2227</v>
      </c>
      <c r="AF290" s="6" t="s">
        <v>99</v>
      </c>
      <c r="AG290" s="15" t="s">
        <v>2860</v>
      </c>
      <c r="AH290" s="15" t="s">
        <v>126</v>
      </c>
      <c r="AI290" s="15" t="s">
        <v>118</v>
      </c>
      <c r="AJ290" s="6" t="s">
        <v>99</v>
      </c>
      <c r="AK290" s="6" t="s">
        <v>99</v>
      </c>
      <c r="AL290" s="6">
        <v>93.4</v>
      </c>
      <c r="AM290" s="9">
        <v>163</v>
      </c>
      <c r="AN290" s="15">
        <v>113</v>
      </c>
      <c r="AO290" s="6">
        <v>128</v>
      </c>
      <c r="AP290" s="6">
        <v>53</v>
      </c>
      <c r="AQ290" s="6"/>
      <c r="AR290" s="6">
        <v>19.8</v>
      </c>
      <c r="AS290" s="6">
        <v>76</v>
      </c>
      <c r="AT290" s="6">
        <v>35.200000000000003</v>
      </c>
      <c r="AU290" s="15">
        <v>140</v>
      </c>
      <c r="AV290" s="15">
        <v>92</v>
      </c>
      <c r="DC290" s="15">
        <v>123</v>
      </c>
      <c r="DD290" s="6">
        <v>0.9</v>
      </c>
      <c r="DE290" s="6">
        <v>174</v>
      </c>
      <c r="DF290" s="6">
        <v>146</v>
      </c>
      <c r="DG290" s="9">
        <f t="shared" si="4"/>
        <v>4.8978954885403772</v>
      </c>
      <c r="DH290" s="6">
        <v>29</v>
      </c>
      <c r="DI290" s="6">
        <v>5</v>
      </c>
      <c r="DJ290" s="6">
        <v>26.8</v>
      </c>
      <c r="DK290" s="6"/>
      <c r="DL290" s="6">
        <v>58.8</v>
      </c>
      <c r="DM290" s="6">
        <v>85</v>
      </c>
      <c r="DN290" s="6"/>
      <c r="DQ290" s="6" t="s">
        <v>111</v>
      </c>
      <c r="DR290" s="9">
        <v>2</v>
      </c>
      <c r="DT290" s="9">
        <v>10.52</v>
      </c>
      <c r="DU290" s="9">
        <v>4.63</v>
      </c>
    </row>
    <row r="291" spans="1:125" x14ac:dyDescent="0.2">
      <c r="A291" s="19">
        <v>212</v>
      </c>
      <c r="B291" s="8">
        <v>42910</v>
      </c>
      <c r="C291" s="6" t="s">
        <v>95</v>
      </c>
      <c r="D291" s="6">
        <v>43</v>
      </c>
      <c r="E291" s="6" t="s">
        <v>100</v>
      </c>
      <c r="F291" s="17">
        <v>26888</v>
      </c>
      <c r="G291" s="6" t="s">
        <v>2862</v>
      </c>
      <c r="H291" s="6" t="s">
        <v>2509</v>
      </c>
      <c r="I291" s="9">
        <v>11</v>
      </c>
      <c r="J291" s="9" t="s">
        <v>99</v>
      </c>
      <c r="L291" s="6"/>
      <c r="M291" s="6" t="s">
        <v>99</v>
      </c>
      <c r="N291" s="6" t="s">
        <v>99</v>
      </c>
      <c r="O291" s="6" t="s">
        <v>99</v>
      </c>
      <c r="P291" s="6" t="s">
        <v>99</v>
      </c>
      <c r="Q291" s="6" t="s">
        <v>99</v>
      </c>
      <c r="S291" s="6" t="s">
        <v>99</v>
      </c>
      <c r="T291" s="6" t="s">
        <v>99</v>
      </c>
      <c r="U291" s="6" t="s">
        <v>2863</v>
      </c>
      <c r="V291" s="9" t="s">
        <v>2864</v>
      </c>
      <c r="W291" s="6"/>
      <c r="X291" s="6"/>
      <c r="Y291" s="6" t="s">
        <v>99</v>
      </c>
      <c r="AA291" s="6" t="s">
        <v>100</v>
      </c>
      <c r="AB291" s="6" t="s">
        <v>100</v>
      </c>
      <c r="AC291" s="6"/>
      <c r="AD291" s="6"/>
      <c r="AE291" s="6" t="s">
        <v>99</v>
      </c>
      <c r="AF291" s="15" t="s">
        <v>570</v>
      </c>
      <c r="AG291" s="15" t="s">
        <v>2865</v>
      </c>
      <c r="AH291" s="6" t="s">
        <v>99</v>
      </c>
      <c r="AI291" s="6" t="s">
        <v>99</v>
      </c>
      <c r="AJ291" s="15" t="s">
        <v>2399</v>
      </c>
      <c r="AK291" s="6"/>
      <c r="AL291" s="6">
        <v>64</v>
      </c>
      <c r="AM291" s="9">
        <v>160</v>
      </c>
      <c r="AN291" s="19">
        <v>78</v>
      </c>
      <c r="AO291" s="6">
        <v>100</v>
      </c>
      <c r="AP291" s="6">
        <v>39.299999999999997</v>
      </c>
      <c r="AQ291" s="6">
        <v>7</v>
      </c>
      <c r="AR291" s="6">
        <v>24.9</v>
      </c>
      <c r="AS291" s="6">
        <v>43</v>
      </c>
      <c r="AT291" s="19">
        <v>25</v>
      </c>
      <c r="AU291" s="6">
        <v>118</v>
      </c>
      <c r="AV291" s="6">
        <v>79</v>
      </c>
      <c r="AW291" s="9" t="s">
        <v>176</v>
      </c>
      <c r="AX291" s="9" t="s">
        <v>592</v>
      </c>
      <c r="AY291" s="9" t="s">
        <v>804</v>
      </c>
      <c r="AZ291" s="9" t="s">
        <v>573</v>
      </c>
      <c r="BA291" s="9" t="s">
        <v>350</v>
      </c>
      <c r="BB291" s="9" t="s">
        <v>750</v>
      </c>
      <c r="BC291" s="9" t="s">
        <v>1130</v>
      </c>
      <c r="BF291" s="9" t="s">
        <v>683</v>
      </c>
      <c r="BG291" s="9" t="s">
        <v>176</v>
      </c>
      <c r="BH291" s="9" t="s">
        <v>175</v>
      </c>
      <c r="BI291" s="9" t="s">
        <v>175</v>
      </c>
      <c r="BJ291" s="9" t="s">
        <v>350</v>
      </c>
      <c r="BK291" s="9" t="s">
        <v>2866</v>
      </c>
      <c r="BM291" s="9" t="s">
        <v>350</v>
      </c>
      <c r="BN291" s="9" t="s">
        <v>178</v>
      </c>
      <c r="BO291" s="9" t="s">
        <v>179</v>
      </c>
      <c r="BP291" s="9" t="s">
        <v>180</v>
      </c>
      <c r="BV291" s="9" t="s">
        <v>985</v>
      </c>
      <c r="BZ291" s="9" t="s">
        <v>752</v>
      </c>
      <c r="CA291" s="9" t="s">
        <v>182</v>
      </c>
      <c r="CB291" s="9" t="s">
        <v>183</v>
      </c>
      <c r="CK291" s="9" t="s">
        <v>2867</v>
      </c>
      <c r="CL291" s="9" t="s">
        <v>2868</v>
      </c>
      <c r="CM291" s="9" t="s">
        <v>887</v>
      </c>
      <c r="CP291" s="9" t="s">
        <v>361</v>
      </c>
      <c r="CQ291" s="9" t="s">
        <v>362</v>
      </c>
      <c r="CR291" s="9" t="s">
        <v>2869</v>
      </c>
      <c r="CS291" s="9" t="s">
        <v>350</v>
      </c>
      <c r="CT291" s="9" t="s">
        <v>363</v>
      </c>
      <c r="CU291" s="9" t="s">
        <v>2870</v>
      </c>
      <c r="CW291" s="9">
        <v>3</v>
      </c>
      <c r="CX291" s="9" t="s">
        <v>110</v>
      </c>
      <c r="CY291" s="9" t="s">
        <v>99</v>
      </c>
      <c r="DC291" s="82">
        <v>93</v>
      </c>
      <c r="DD291" s="82"/>
      <c r="DE291" s="82">
        <v>196</v>
      </c>
      <c r="DF291" s="82">
        <v>130</v>
      </c>
      <c r="DG291" s="9">
        <f t="shared" si="4"/>
        <v>4.7000669718044188</v>
      </c>
      <c r="DH291" s="82">
        <v>26</v>
      </c>
      <c r="DI291" s="82">
        <v>4</v>
      </c>
      <c r="DJ291" s="82">
        <v>13</v>
      </c>
      <c r="DK291" s="6"/>
      <c r="DL291" s="6">
        <v>50</v>
      </c>
      <c r="DM291" s="6">
        <v>120</v>
      </c>
      <c r="DN291" s="6"/>
      <c r="DP291" s="11">
        <v>2</v>
      </c>
      <c r="DQ291" s="6" t="s">
        <v>111</v>
      </c>
      <c r="DR291" s="9">
        <v>3</v>
      </c>
      <c r="DU291" s="9">
        <v>3.3</v>
      </c>
    </row>
    <row r="292" spans="1:125" x14ac:dyDescent="0.2">
      <c r="A292" s="78">
        <v>213</v>
      </c>
      <c r="B292" s="8">
        <v>42909</v>
      </c>
      <c r="C292" s="6" t="s">
        <v>95</v>
      </c>
      <c r="D292" s="6">
        <v>62</v>
      </c>
      <c r="E292" s="6" t="s">
        <v>100</v>
      </c>
      <c r="F292" s="17">
        <v>20235</v>
      </c>
      <c r="G292" s="6"/>
      <c r="H292" s="6" t="s">
        <v>2509</v>
      </c>
      <c r="I292" s="9">
        <v>11</v>
      </c>
      <c r="J292" s="9" t="s">
        <v>2871</v>
      </c>
      <c r="K292" s="10">
        <v>1989</v>
      </c>
      <c r="L292" s="6">
        <v>4</v>
      </c>
      <c r="M292" s="6" t="s">
        <v>99</v>
      </c>
      <c r="N292" s="6" t="s">
        <v>99</v>
      </c>
      <c r="O292" s="15" t="s">
        <v>110</v>
      </c>
      <c r="P292" s="6" t="s">
        <v>99</v>
      </c>
      <c r="Q292" s="6" t="s">
        <v>99</v>
      </c>
      <c r="R292" s="6" t="s">
        <v>2872</v>
      </c>
      <c r="S292" s="6" t="s">
        <v>99</v>
      </c>
      <c r="T292" s="6" t="s">
        <v>99</v>
      </c>
      <c r="U292" s="6" t="s">
        <v>110</v>
      </c>
      <c r="V292" s="9" t="s">
        <v>2873</v>
      </c>
      <c r="W292" s="6"/>
      <c r="X292" s="6" t="s">
        <v>99</v>
      </c>
      <c r="Y292" s="6" t="s">
        <v>1903</v>
      </c>
      <c r="AA292" s="6" t="s">
        <v>100</v>
      </c>
      <c r="AB292" s="6" t="s">
        <v>100</v>
      </c>
      <c r="AC292" s="6" t="s">
        <v>100</v>
      </c>
      <c r="AD292" s="6" t="s">
        <v>100</v>
      </c>
      <c r="AE292" s="15" t="s">
        <v>2874</v>
      </c>
      <c r="AF292" s="6" t="s">
        <v>99</v>
      </c>
      <c r="AG292" s="15" t="s">
        <v>2875</v>
      </c>
      <c r="AH292" s="6" t="s">
        <v>99</v>
      </c>
      <c r="AI292" s="6" t="s">
        <v>99</v>
      </c>
      <c r="AJ292" s="6" t="s">
        <v>99</v>
      </c>
      <c r="AK292" s="15" t="s">
        <v>2876</v>
      </c>
      <c r="AL292" s="6">
        <v>68.099999999999994</v>
      </c>
      <c r="AN292" s="15">
        <v>82</v>
      </c>
      <c r="AO292" s="6">
        <v>91</v>
      </c>
      <c r="AP292" s="6"/>
      <c r="AQ292" s="6"/>
      <c r="AR292" s="6"/>
      <c r="AS292" s="6"/>
      <c r="AT292" s="6"/>
      <c r="AU292" s="6">
        <v>103</v>
      </c>
      <c r="AV292" s="6">
        <v>67</v>
      </c>
      <c r="AX292" s="9" t="s">
        <v>2877</v>
      </c>
      <c r="AY292" s="9" t="s">
        <v>2878</v>
      </c>
      <c r="AZ292" s="9" t="s">
        <v>2879</v>
      </c>
      <c r="BB292" s="9" t="s">
        <v>2880</v>
      </c>
      <c r="BC292" s="9" t="s">
        <v>2881</v>
      </c>
      <c r="BF292" s="9" t="s">
        <v>2882</v>
      </c>
      <c r="BG292" s="9" t="s">
        <v>2883</v>
      </c>
      <c r="BH292" s="9" t="s">
        <v>99</v>
      </c>
      <c r="BI292" s="9" t="s">
        <v>99</v>
      </c>
      <c r="BJ292" s="9" t="s">
        <v>215</v>
      </c>
      <c r="BK292" s="9" t="s">
        <v>1172</v>
      </c>
      <c r="BN292" s="14" t="s">
        <v>2884</v>
      </c>
      <c r="BR292" s="9" t="s">
        <v>2885</v>
      </c>
      <c r="BV292" s="9" t="s">
        <v>99</v>
      </c>
      <c r="BZ292" s="9" t="s">
        <v>2886</v>
      </c>
      <c r="CA292" s="9" t="s">
        <v>2887</v>
      </c>
      <c r="CB292" s="9" t="s">
        <v>2888</v>
      </c>
      <c r="CC292" s="9" t="s">
        <v>99</v>
      </c>
      <c r="CG292" s="9" t="s">
        <v>99</v>
      </c>
      <c r="CL292" s="9" t="s">
        <v>2889</v>
      </c>
      <c r="CM292" s="9" t="s">
        <v>2890</v>
      </c>
      <c r="CN292" s="9" t="s">
        <v>2891</v>
      </c>
      <c r="CP292" s="9" t="s">
        <v>890</v>
      </c>
      <c r="CQ292" s="9" t="s">
        <v>2892</v>
      </c>
      <c r="CR292" s="9" t="s">
        <v>2641</v>
      </c>
      <c r="CT292" s="9" t="s">
        <v>649</v>
      </c>
      <c r="CW292" s="9">
        <v>5</v>
      </c>
      <c r="CX292" s="9" t="s">
        <v>110</v>
      </c>
      <c r="CY292" s="9" t="s">
        <v>110</v>
      </c>
      <c r="DC292" s="6">
        <v>97</v>
      </c>
      <c r="DD292" s="6">
        <v>1</v>
      </c>
      <c r="DE292" s="15">
        <v>243</v>
      </c>
      <c r="DF292" s="15">
        <v>156</v>
      </c>
      <c r="DG292" s="9">
        <f t="shared" si="4"/>
        <v>4.8122834928764595</v>
      </c>
      <c r="DH292" s="6">
        <v>31</v>
      </c>
      <c r="DI292" s="6">
        <v>6</v>
      </c>
      <c r="DJ292" s="6">
        <v>8.1</v>
      </c>
      <c r="DK292" s="6"/>
      <c r="DL292" s="6">
        <v>48</v>
      </c>
      <c r="DM292" s="6">
        <v>164</v>
      </c>
      <c r="DN292" s="6"/>
      <c r="DQ292" s="6" t="s">
        <v>99</v>
      </c>
    </row>
    <row r="293" spans="1:125" x14ac:dyDescent="0.2">
      <c r="A293" s="6">
        <v>214</v>
      </c>
      <c r="B293" s="8">
        <v>42910</v>
      </c>
      <c r="C293" s="6" t="s">
        <v>95</v>
      </c>
      <c r="D293" s="6">
        <v>18</v>
      </c>
      <c r="E293" s="6" t="s">
        <v>100</v>
      </c>
      <c r="F293" s="17">
        <v>36096</v>
      </c>
      <c r="G293" s="6"/>
      <c r="H293" s="6" t="s">
        <v>109</v>
      </c>
      <c r="J293" s="9" t="s">
        <v>99</v>
      </c>
      <c r="L293" s="6"/>
      <c r="M293" s="6" t="s">
        <v>99</v>
      </c>
      <c r="N293" s="6" t="s">
        <v>99</v>
      </c>
      <c r="O293" s="6" t="s">
        <v>99</v>
      </c>
      <c r="P293" s="15" t="s">
        <v>2893</v>
      </c>
      <c r="Q293" s="6" t="s">
        <v>99</v>
      </c>
      <c r="R293" s="6" t="s">
        <v>110</v>
      </c>
      <c r="S293" s="6"/>
      <c r="T293" s="6"/>
      <c r="U293" s="6" t="s">
        <v>99</v>
      </c>
      <c r="V293" s="9" t="s">
        <v>99</v>
      </c>
      <c r="W293" s="6"/>
      <c r="X293" s="6" t="s">
        <v>1652</v>
      </c>
      <c r="Y293" s="6" t="s">
        <v>99</v>
      </c>
      <c r="Z293" s="9" t="s">
        <v>2894</v>
      </c>
      <c r="AA293" s="6" t="s">
        <v>100</v>
      </c>
      <c r="AB293" s="6" t="s">
        <v>100</v>
      </c>
      <c r="AC293" s="6" t="s">
        <v>100</v>
      </c>
      <c r="AD293" s="6" t="s">
        <v>100</v>
      </c>
      <c r="AE293" s="15" t="s">
        <v>2895</v>
      </c>
      <c r="AF293" s="15" t="s">
        <v>2895</v>
      </c>
      <c r="AG293" s="6"/>
      <c r="AH293" s="15" t="s">
        <v>2895</v>
      </c>
      <c r="AI293" s="15" t="s">
        <v>2895</v>
      </c>
      <c r="AJ293" s="6"/>
      <c r="AK293" s="6"/>
      <c r="AL293" s="6">
        <v>92.4</v>
      </c>
      <c r="AM293" s="9">
        <v>165</v>
      </c>
      <c r="AN293" s="15">
        <v>97</v>
      </c>
      <c r="AO293" s="6">
        <v>115</v>
      </c>
      <c r="AP293" s="6">
        <v>46.7</v>
      </c>
      <c r="AQ293" s="6">
        <v>6</v>
      </c>
      <c r="AR293" s="6">
        <v>24</v>
      </c>
      <c r="AS293" s="6">
        <v>49</v>
      </c>
      <c r="AT293" s="6">
        <v>33.9</v>
      </c>
      <c r="AU293" s="6">
        <v>112</v>
      </c>
      <c r="AV293" s="6">
        <v>79</v>
      </c>
      <c r="AX293" s="9" t="s">
        <v>729</v>
      </c>
      <c r="AY293" s="9" t="s">
        <v>2896</v>
      </c>
      <c r="BB293" s="9" t="s">
        <v>346</v>
      </c>
      <c r="BF293" s="9" t="s">
        <v>2897</v>
      </c>
      <c r="BG293" s="9" t="s">
        <v>2607</v>
      </c>
      <c r="BH293" s="9" t="s">
        <v>175</v>
      </c>
      <c r="BI293" s="9" t="s">
        <v>2607</v>
      </c>
      <c r="BJ293" s="9" t="s">
        <v>175</v>
      </c>
      <c r="BN293" s="9" t="s">
        <v>2898</v>
      </c>
      <c r="BO293" s="14" t="s">
        <v>125</v>
      </c>
      <c r="BP293" s="9" t="s">
        <v>180</v>
      </c>
      <c r="BZ293" s="9" t="s">
        <v>1730</v>
      </c>
      <c r="CA293" s="9" t="s">
        <v>2887</v>
      </c>
      <c r="CB293" s="9" t="s">
        <v>2096</v>
      </c>
      <c r="CL293" s="9" t="s">
        <v>685</v>
      </c>
      <c r="CM293" s="9" t="s">
        <v>579</v>
      </c>
      <c r="CP293" s="9" t="s">
        <v>890</v>
      </c>
      <c r="CQ293" s="9" t="s">
        <v>716</v>
      </c>
      <c r="CT293" s="9" t="s">
        <v>2899</v>
      </c>
      <c r="CU293" s="9" t="s">
        <v>830</v>
      </c>
      <c r="CW293" s="9">
        <v>2</v>
      </c>
      <c r="CX293" s="9" t="s">
        <v>99</v>
      </c>
      <c r="CY293" s="9" t="s">
        <v>99</v>
      </c>
      <c r="DC293" s="82">
        <v>86</v>
      </c>
      <c r="DD293" s="82"/>
      <c r="DE293" s="82">
        <v>177</v>
      </c>
      <c r="DF293" s="82">
        <v>143</v>
      </c>
      <c r="DG293" s="9">
        <f t="shared" si="4"/>
        <v>4.7085959632567072</v>
      </c>
      <c r="DH293" s="82">
        <v>28.6</v>
      </c>
      <c r="DI293" s="82">
        <v>5.2</v>
      </c>
      <c r="DJ293" s="82">
        <v>11</v>
      </c>
      <c r="DK293" s="6"/>
      <c r="DL293" s="6">
        <v>55</v>
      </c>
      <c r="DM293" s="6">
        <v>93</v>
      </c>
      <c r="DN293" s="6"/>
      <c r="DP293" s="11">
        <v>2</v>
      </c>
      <c r="DQ293" s="6" t="s">
        <v>111</v>
      </c>
      <c r="DR293" s="9">
        <v>3</v>
      </c>
    </row>
    <row r="294" spans="1:125" x14ac:dyDescent="0.2">
      <c r="A294" s="6">
        <v>215</v>
      </c>
      <c r="B294" s="8">
        <v>42910</v>
      </c>
      <c r="C294" s="6" t="s">
        <v>95</v>
      </c>
      <c r="D294" s="6">
        <v>47</v>
      </c>
      <c r="E294" s="6" t="s">
        <v>100</v>
      </c>
      <c r="F294" s="17">
        <v>25633</v>
      </c>
      <c r="G294" s="6" t="s">
        <v>2900</v>
      </c>
      <c r="H294" s="6" t="s">
        <v>109</v>
      </c>
      <c r="I294" s="9">
        <v>12</v>
      </c>
      <c r="J294" s="9" t="s">
        <v>99</v>
      </c>
      <c r="L294" s="6" t="s">
        <v>99</v>
      </c>
      <c r="M294" s="6" t="s">
        <v>99</v>
      </c>
      <c r="N294" s="6" t="s">
        <v>99</v>
      </c>
      <c r="O294" s="15" t="s">
        <v>2901</v>
      </c>
      <c r="P294" s="6" t="s">
        <v>99</v>
      </c>
      <c r="Q294" s="15" t="s">
        <v>110</v>
      </c>
      <c r="R294" s="6"/>
      <c r="S294" s="6" t="s">
        <v>99</v>
      </c>
      <c r="T294" s="6" t="s">
        <v>110</v>
      </c>
      <c r="U294" s="6" t="s">
        <v>99</v>
      </c>
      <c r="W294" s="16" t="s">
        <v>2226</v>
      </c>
      <c r="X294" s="6"/>
      <c r="Y294" s="6" t="s">
        <v>110</v>
      </c>
      <c r="AA294" s="6" t="s">
        <v>100</v>
      </c>
      <c r="AB294" s="6" t="s">
        <v>100</v>
      </c>
      <c r="AC294" s="6" t="s">
        <v>100</v>
      </c>
      <c r="AD294" s="6" t="s">
        <v>100</v>
      </c>
      <c r="AE294" s="6" t="s">
        <v>99</v>
      </c>
      <c r="AF294" s="15" t="s">
        <v>2227</v>
      </c>
      <c r="AG294" s="15" t="s">
        <v>2902</v>
      </c>
      <c r="AH294" s="6" t="s">
        <v>99</v>
      </c>
      <c r="AI294" s="6" t="s">
        <v>99</v>
      </c>
      <c r="AJ294" s="15" t="s">
        <v>2903</v>
      </c>
      <c r="AK294" s="6"/>
      <c r="AL294" s="6">
        <v>66.599999999999994</v>
      </c>
      <c r="AM294" s="9">
        <v>161</v>
      </c>
      <c r="AN294" s="19">
        <v>77.5</v>
      </c>
      <c r="AO294" s="6">
        <v>101</v>
      </c>
      <c r="AP294" s="6">
        <v>30.5</v>
      </c>
      <c r="AQ294" s="6">
        <v>7</v>
      </c>
      <c r="AR294" s="6">
        <v>25.4</v>
      </c>
      <c r="AS294" s="6">
        <v>50</v>
      </c>
      <c r="AT294" s="19">
        <v>25.7</v>
      </c>
      <c r="AU294" s="6">
        <v>103</v>
      </c>
      <c r="AV294" s="6">
        <v>69</v>
      </c>
      <c r="AX294" s="9" t="s">
        <v>2904</v>
      </c>
      <c r="AY294" s="9" t="s">
        <v>2633</v>
      </c>
      <c r="AZ294" s="9" t="s">
        <v>2905</v>
      </c>
      <c r="BB294" s="9" t="s">
        <v>346</v>
      </c>
      <c r="BC294" s="9" t="s">
        <v>2906</v>
      </c>
      <c r="BD294" s="9" t="s">
        <v>2907</v>
      </c>
      <c r="BF294" s="9" t="s">
        <v>2908</v>
      </c>
      <c r="BG294" s="9" t="s">
        <v>683</v>
      </c>
      <c r="BH294" s="9" t="s">
        <v>683</v>
      </c>
      <c r="BI294" s="9" t="s">
        <v>175</v>
      </c>
      <c r="BJ294" s="9" t="s">
        <v>1099</v>
      </c>
      <c r="BK294" s="9" t="s">
        <v>175</v>
      </c>
      <c r="BN294" s="9" t="s">
        <v>2898</v>
      </c>
      <c r="BO294" s="9" t="s">
        <v>2909</v>
      </c>
      <c r="BP294" s="14" t="s">
        <v>2884</v>
      </c>
      <c r="BV294" s="9" t="s">
        <v>2910</v>
      </c>
      <c r="BW294" s="9" t="s">
        <v>2884</v>
      </c>
      <c r="BZ294" s="9" t="s">
        <v>2911</v>
      </c>
      <c r="CA294" s="9" t="s">
        <v>2912</v>
      </c>
      <c r="CB294" s="9" t="s">
        <v>2913</v>
      </c>
      <c r="CL294" s="9" t="s">
        <v>2914</v>
      </c>
      <c r="CM294" s="9" t="s">
        <v>2915</v>
      </c>
      <c r="CN294" s="9" t="s">
        <v>2916</v>
      </c>
      <c r="CP294" s="9" t="s">
        <v>890</v>
      </c>
      <c r="CQ294" s="9" t="s">
        <v>2892</v>
      </c>
      <c r="CR294" s="9" t="s">
        <v>2917</v>
      </c>
      <c r="CT294" s="9" t="s">
        <v>2918</v>
      </c>
      <c r="CU294" s="9" t="s">
        <v>2919</v>
      </c>
      <c r="CW294" s="9">
        <v>3</v>
      </c>
      <c r="CX294" s="9" t="s">
        <v>110</v>
      </c>
      <c r="CY294" s="9" t="s">
        <v>99</v>
      </c>
      <c r="DC294" s="82">
        <v>75</v>
      </c>
      <c r="DD294" s="82"/>
      <c r="DE294" s="82">
        <v>199</v>
      </c>
      <c r="DF294" s="82">
        <v>118</v>
      </c>
      <c r="DG294" s="9">
        <f t="shared" si="4"/>
        <v>4.5440863690009872</v>
      </c>
      <c r="DH294" s="82">
        <v>23.6</v>
      </c>
      <c r="DI294" s="82">
        <v>4.5</v>
      </c>
      <c r="DJ294" s="82">
        <v>13.8</v>
      </c>
      <c r="DK294" s="6"/>
      <c r="DL294" s="6">
        <v>48</v>
      </c>
      <c r="DM294" s="6">
        <v>127</v>
      </c>
      <c r="DN294" s="6"/>
      <c r="DP294" s="11">
        <v>3</v>
      </c>
      <c r="DQ294" s="6" t="s">
        <v>111</v>
      </c>
      <c r="DR294" s="9">
        <v>2</v>
      </c>
    </row>
    <row r="295" spans="1:125" x14ac:dyDescent="0.2">
      <c r="A295" s="6">
        <v>216</v>
      </c>
      <c r="B295" s="8">
        <v>42909</v>
      </c>
      <c r="C295" s="6" t="s">
        <v>95</v>
      </c>
      <c r="D295" s="6">
        <v>75</v>
      </c>
      <c r="E295" s="6" t="s">
        <v>100</v>
      </c>
      <c r="F295" s="17">
        <v>15705</v>
      </c>
      <c r="G295" s="6"/>
      <c r="H295" s="6" t="s">
        <v>109</v>
      </c>
      <c r="I295" s="9">
        <v>16</v>
      </c>
      <c r="J295" s="9">
        <v>45</v>
      </c>
      <c r="K295" s="10">
        <v>48</v>
      </c>
      <c r="L295" s="6">
        <v>5</v>
      </c>
      <c r="M295" s="6" t="s">
        <v>99</v>
      </c>
      <c r="N295" s="6" t="s">
        <v>99</v>
      </c>
      <c r="O295" s="6" t="s">
        <v>99</v>
      </c>
      <c r="P295" s="6" t="s">
        <v>99</v>
      </c>
      <c r="Q295" s="6" t="s">
        <v>99</v>
      </c>
      <c r="R295" s="6"/>
      <c r="S295" s="6" t="s">
        <v>99</v>
      </c>
      <c r="T295" s="6" t="s">
        <v>99</v>
      </c>
      <c r="U295" s="6" t="s">
        <v>2920</v>
      </c>
      <c r="W295" s="15" t="s">
        <v>2921</v>
      </c>
      <c r="X295" s="6"/>
      <c r="Y295" s="6" t="s">
        <v>2922</v>
      </c>
      <c r="AA295" s="6" t="s">
        <v>100</v>
      </c>
      <c r="AB295" s="6" t="s">
        <v>100</v>
      </c>
      <c r="AC295" s="6" t="s">
        <v>100</v>
      </c>
      <c r="AD295" s="6" t="s">
        <v>100</v>
      </c>
      <c r="AE295" s="6" t="s">
        <v>99</v>
      </c>
      <c r="AF295" s="6" t="s">
        <v>99</v>
      </c>
      <c r="AG295" s="6" t="s">
        <v>99</v>
      </c>
      <c r="AH295" s="15" t="s">
        <v>118</v>
      </c>
      <c r="AI295" s="15" t="s">
        <v>118</v>
      </c>
      <c r="AJ295" s="6" t="s">
        <v>99</v>
      </c>
      <c r="AK295" s="15" t="s">
        <v>2923</v>
      </c>
      <c r="AL295" s="6">
        <v>70.2</v>
      </c>
      <c r="AM295" s="9">
        <v>150</v>
      </c>
      <c r="AN295" s="15">
        <v>93</v>
      </c>
      <c r="AO295" s="6">
        <v>112</v>
      </c>
      <c r="AP295" s="6">
        <v>50.9</v>
      </c>
      <c r="AQ295" s="6">
        <v>15</v>
      </c>
      <c r="AR295" s="6">
        <v>13.4</v>
      </c>
      <c r="AS295" s="6">
        <v>70</v>
      </c>
      <c r="AT295" s="6">
        <v>31.2</v>
      </c>
      <c r="AU295" s="6">
        <v>116</v>
      </c>
      <c r="AV295" s="6">
        <v>75</v>
      </c>
      <c r="DC295" s="6">
        <v>91</v>
      </c>
      <c r="DD295" s="6">
        <v>0.87</v>
      </c>
      <c r="DE295" s="6">
        <v>155</v>
      </c>
      <c r="DF295" s="6">
        <v>76</v>
      </c>
      <c r="DG295" s="9">
        <f t="shared" si="4"/>
        <v>4.4207964234015904</v>
      </c>
      <c r="DH295" s="6">
        <v>15</v>
      </c>
      <c r="DI295" s="6">
        <v>5</v>
      </c>
      <c r="DJ295" s="6">
        <v>55.7</v>
      </c>
      <c r="DK295" s="6"/>
      <c r="DL295" s="6">
        <v>58</v>
      </c>
      <c r="DM295" s="6">
        <v>82</v>
      </c>
      <c r="DN295" s="6"/>
      <c r="DP295" s="11">
        <v>2</v>
      </c>
      <c r="DQ295" s="6" t="s">
        <v>105</v>
      </c>
      <c r="DR295" s="9">
        <v>3</v>
      </c>
    </row>
    <row r="296" spans="1:125" x14ac:dyDescent="0.2">
      <c r="A296" s="6">
        <v>217</v>
      </c>
      <c r="B296" s="8">
        <v>42909</v>
      </c>
      <c r="C296" s="6" t="s">
        <v>95</v>
      </c>
      <c r="D296" s="6">
        <v>33</v>
      </c>
      <c r="E296" s="6" t="s">
        <v>100</v>
      </c>
      <c r="F296" s="17">
        <v>30596</v>
      </c>
      <c r="G296" s="6"/>
      <c r="H296" s="6" t="s">
        <v>2509</v>
      </c>
      <c r="I296" s="9">
        <v>12</v>
      </c>
      <c r="J296" s="9" t="s">
        <v>99</v>
      </c>
      <c r="K296" s="10">
        <v>2012</v>
      </c>
      <c r="L296" s="16" t="s">
        <v>2924</v>
      </c>
      <c r="M296" s="6" t="s">
        <v>99</v>
      </c>
      <c r="N296" s="6" t="s">
        <v>99</v>
      </c>
      <c r="O296" s="6" t="s">
        <v>99</v>
      </c>
      <c r="P296" s="15" t="s">
        <v>110</v>
      </c>
      <c r="Q296" s="15" t="s">
        <v>110</v>
      </c>
      <c r="R296" s="6"/>
      <c r="S296" s="6" t="s">
        <v>99</v>
      </c>
      <c r="T296" s="6" t="s">
        <v>99</v>
      </c>
      <c r="U296" s="6" t="s">
        <v>99</v>
      </c>
      <c r="V296" s="9" t="s">
        <v>99</v>
      </c>
      <c r="W296" s="6" t="s">
        <v>99</v>
      </c>
      <c r="X296" s="6" t="s">
        <v>99</v>
      </c>
      <c r="Y296" s="6" t="s">
        <v>99</v>
      </c>
      <c r="AA296" s="9" t="s">
        <v>100</v>
      </c>
      <c r="AB296" s="16" t="s">
        <v>840</v>
      </c>
      <c r="AC296" s="6" t="s">
        <v>100</v>
      </c>
      <c r="AE296" s="15" t="s">
        <v>664</v>
      </c>
      <c r="AF296" s="15" t="s">
        <v>135</v>
      </c>
      <c r="AG296" s="6" t="s">
        <v>99</v>
      </c>
      <c r="AH296" s="6" t="s">
        <v>99</v>
      </c>
      <c r="AI296" s="6" t="s">
        <v>99</v>
      </c>
      <c r="AJ296" s="6" t="s">
        <v>99</v>
      </c>
      <c r="AK296" s="6" t="s">
        <v>99</v>
      </c>
      <c r="AL296" s="6">
        <v>75.099999999999994</v>
      </c>
      <c r="AM296" s="9">
        <v>163</v>
      </c>
      <c r="AN296" s="15">
        <v>85</v>
      </c>
      <c r="AO296" s="6">
        <v>108</v>
      </c>
      <c r="AP296" s="6">
        <v>42.6</v>
      </c>
      <c r="AQ296" s="6"/>
      <c r="AR296" s="6">
        <v>24.8</v>
      </c>
      <c r="AS296" s="6">
        <v>49</v>
      </c>
      <c r="AT296" s="6">
        <v>28.3</v>
      </c>
      <c r="AU296" s="6">
        <v>91</v>
      </c>
      <c r="AV296" s="6">
        <v>66</v>
      </c>
      <c r="AX296" s="9" t="s">
        <v>350</v>
      </c>
      <c r="BB296" s="9" t="s">
        <v>176</v>
      </c>
      <c r="BE296" s="9" t="s">
        <v>176</v>
      </c>
      <c r="BM296" s="9" t="s">
        <v>350</v>
      </c>
      <c r="BZ296" s="9" t="s">
        <v>350</v>
      </c>
      <c r="CW296" s="9">
        <v>3</v>
      </c>
      <c r="CX296" s="9" t="s">
        <v>110</v>
      </c>
      <c r="CY296" s="9" t="s">
        <v>110</v>
      </c>
      <c r="DC296" s="6">
        <v>95</v>
      </c>
      <c r="DD296" s="6">
        <v>0.88</v>
      </c>
      <c r="DE296" s="6">
        <v>181</v>
      </c>
      <c r="DF296" s="6">
        <v>145</v>
      </c>
      <c r="DG296" s="9">
        <f t="shared" si="4"/>
        <v>4.7653053170105579</v>
      </c>
      <c r="DH296" s="6">
        <v>29</v>
      </c>
      <c r="DI296" s="6">
        <v>5</v>
      </c>
      <c r="DJ296" s="6">
        <v>14.3</v>
      </c>
      <c r="DK296" s="6"/>
      <c r="DL296" s="6">
        <v>62</v>
      </c>
      <c r="DM296" s="6">
        <v>90</v>
      </c>
      <c r="DN296" s="6"/>
      <c r="DP296" s="11">
        <v>3</v>
      </c>
      <c r="DQ296" s="6" t="s">
        <v>111</v>
      </c>
      <c r="DR296" s="9">
        <v>2</v>
      </c>
    </row>
    <row r="297" spans="1:125" x14ac:dyDescent="0.2">
      <c r="A297" s="6">
        <v>218</v>
      </c>
      <c r="B297" s="8">
        <v>42910</v>
      </c>
      <c r="C297" s="6" t="s">
        <v>107</v>
      </c>
      <c r="D297" s="6"/>
      <c r="E297" s="6"/>
      <c r="G297" s="6" t="s">
        <v>2925</v>
      </c>
      <c r="H297" s="6" t="s">
        <v>2509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W297" s="6"/>
      <c r="X297" s="6" t="s">
        <v>1652</v>
      </c>
      <c r="Y297" s="6"/>
      <c r="AA297" s="6" t="s">
        <v>100</v>
      </c>
      <c r="AB297" s="6" t="s">
        <v>100</v>
      </c>
      <c r="AC297" s="6" t="s">
        <v>100</v>
      </c>
      <c r="AD297" s="6" t="s">
        <v>100</v>
      </c>
      <c r="AE297" s="15" t="s">
        <v>2926</v>
      </c>
      <c r="AF297" s="15" t="s">
        <v>664</v>
      </c>
      <c r="AG297" s="6"/>
      <c r="AH297" s="6"/>
      <c r="AI297" s="15" t="s">
        <v>2252</v>
      </c>
      <c r="AJ297" s="6"/>
      <c r="AK297" s="15" t="s">
        <v>2927</v>
      </c>
      <c r="AL297" s="6">
        <v>92.5</v>
      </c>
      <c r="AM297" s="9">
        <v>178</v>
      </c>
      <c r="AN297" s="15">
        <v>111</v>
      </c>
      <c r="AO297" s="6">
        <v>115</v>
      </c>
      <c r="AP297" s="6">
        <v>32.4</v>
      </c>
      <c r="AQ297" s="6">
        <v>12</v>
      </c>
      <c r="AR297" s="6">
        <v>31.7</v>
      </c>
      <c r="AS297" s="6">
        <v>61</v>
      </c>
      <c r="AT297" s="6">
        <v>29.2</v>
      </c>
      <c r="AU297" s="15">
        <v>134</v>
      </c>
      <c r="AV297" s="15">
        <v>95</v>
      </c>
      <c r="DC297" s="82">
        <v>89</v>
      </c>
      <c r="DD297" s="82"/>
      <c r="DE297" s="82">
        <v>190</v>
      </c>
      <c r="DF297" s="82">
        <v>130</v>
      </c>
      <c r="DG297" s="9">
        <f t="shared" si="4"/>
        <v>4.6780854100938614</v>
      </c>
      <c r="DH297" s="82">
        <v>26</v>
      </c>
      <c r="DI297" s="82">
        <v>5.5</v>
      </c>
      <c r="DJ297" s="82">
        <v>16</v>
      </c>
      <c r="DK297" s="6"/>
      <c r="DL297" s="6">
        <v>50</v>
      </c>
      <c r="DM297" s="6">
        <v>114</v>
      </c>
      <c r="DN297" s="6"/>
      <c r="DP297" s="11">
        <v>3</v>
      </c>
      <c r="DQ297" s="6" t="s">
        <v>111</v>
      </c>
      <c r="DR297" s="9">
        <v>3</v>
      </c>
    </row>
    <row r="298" spans="1:125" x14ac:dyDescent="0.2">
      <c r="A298" s="16">
        <v>219</v>
      </c>
      <c r="B298" s="8">
        <v>42910</v>
      </c>
      <c r="C298" s="6" t="s">
        <v>95</v>
      </c>
      <c r="D298" s="6">
        <v>66</v>
      </c>
      <c r="E298" s="6" t="s">
        <v>100</v>
      </c>
      <c r="G298" s="6" t="s">
        <v>197</v>
      </c>
      <c r="H298" s="6" t="s">
        <v>109</v>
      </c>
      <c r="I298" s="9">
        <v>13</v>
      </c>
      <c r="J298" s="9">
        <v>40</v>
      </c>
      <c r="K298" s="10">
        <v>1982</v>
      </c>
      <c r="L298" s="6">
        <v>6</v>
      </c>
      <c r="M298" s="6" t="s">
        <v>99</v>
      </c>
      <c r="N298" s="15" t="s">
        <v>2928</v>
      </c>
      <c r="O298" s="6" t="s">
        <v>99</v>
      </c>
      <c r="P298" s="6" t="s">
        <v>99</v>
      </c>
      <c r="Q298" s="6" t="s">
        <v>99</v>
      </c>
      <c r="R298" s="6" t="s">
        <v>110</v>
      </c>
      <c r="S298" s="6" t="s">
        <v>483</v>
      </c>
      <c r="T298" s="6" t="s">
        <v>588</v>
      </c>
      <c r="U298" s="6" t="s">
        <v>2929</v>
      </c>
      <c r="V298" s="9" t="s">
        <v>99</v>
      </c>
      <c r="W298" s="6" t="s">
        <v>99</v>
      </c>
      <c r="X298" s="6" t="s">
        <v>99</v>
      </c>
      <c r="Y298" s="6" t="s">
        <v>110</v>
      </c>
      <c r="AA298" s="9" t="s">
        <v>100</v>
      </c>
      <c r="AB298" s="6" t="s">
        <v>2777</v>
      </c>
      <c r="AC298" s="6" t="s">
        <v>100</v>
      </c>
      <c r="AD298" s="9" t="s">
        <v>2777</v>
      </c>
      <c r="AE298" s="15" t="s">
        <v>118</v>
      </c>
      <c r="AF298" s="15" t="s">
        <v>2252</v>
      </c>
      <c r="AG298" s="6" t="s">
        <v>99</v>
      </c>
      <c r="AH298" s="15" t="s">
        <v>2930</v>
      </c>
      <c r="AI298" s="6" t="s">
        <v>99</v>
      </c>
      <c r="AJ298" s="6"/>
      <c r="AK298" s="6" t="s">
        <v>99</v>
      </c>
      <c r="AL298" s="6">
        <v>62.2</v>
      </c>
      <c r="AM298" s="9">
        <v>164</v>
      </c>
      <c r="AN298" s="15">
        <v>86</v>
      </c>
      <c r="AO298" s="6">
        <v>99</v>
      </c>
      <c r="AP298" s="6">
        <v>32.4</v>
      </c>
      <c r="AQ298" s="6">
        <v>9</v>
      </c>
      <c r="AR298" s="6">
        <v>29.9</v>
      </c>
      <c r="AS298" s="6">
        <v>62</v>
      </c>
      <c r="AT298" s="6">
        <v>26.2</v>
      </c>
      <c r="AU298" s="16">
        <v>171</v>
      </c>
      <c r="AV298" s="16">
        <v>91</v>
      </c>
      <c r="DC298" s="91">
        <v>115</v>
      </c>
      <c r="DD298" s="82"/>
      <c r="DE298" s="91">
        <v>211</v>
      </c>
      <c r="DF298" s="91">
        <v>186</v>
      </c>
      <c r="DG298" s="9">
        <f t="shared" si="4"/>
        <v>4.9853394010382255</v>
      </c>
      <c r="DH298" s="82">
        <v>37.200000000000003</v>
      </c>
      <c r="DI298" s="82">
        <v>37.200000000000003</v>
      </c>
      <c r="DJ298" s="82">
        <v>8</v>
      </c>
      <c r="DK298" s="6"/>
      <c r="DL298" s="6">
        <v>55.8</v>
      </c>
      <c r="DM298" s="6">
        <v>118</v>
      </c>
      <c r="DN298" s="6"/>
      <c r="DP298" s="11">
        <v>2</v>
      </c>
      <c r="DQ298" s="6" t="s">
        <v>111</v>
      </c>
      <c r="DR298" s="9">
        <v>2</v>
      </c>
      <c r="DU298" s="9">
        <v>7</v>
      </c>
    </row>
    <row r="299" spans="1:125" x14ac:dyDescent="0.2">
      <c r="A299" s="16">
        <v>220</v>
      </c>
      <c r="B299" s="8">
        <v>42910</v>
      </c>
      <c r="C299" s="6" t="s">
        <v>107</v>
      </c>
      <c r="D299" s="6">
        <v>34</v>
      </c>
      <c r="E299" s="6" t="s">
        <v>100</v>
      </c>
      <c r="F299" s="17">
        <v>30369</v>
      </c>
      <c r="G299" s="6" t="s">
        <v>2931</v>
      </c>
      <c r="H299" s="6" t="s">
        <v>109</v>
      </c>
      <c r="L299" s="6"/>
      <c r="M299" s="15" t="s">
        <v>110</v>
      </c>
      <c r="N299" s="6" t="s">
        <v>99</v>
      </c>
      <c r="O299" s="15" t="s">
        <v>110</v>
      </c>
      <c r="P299" s="15" t="s">
        <v>110</v>
      </c>
      <c r="Q299" s="15" t="s">
        <v>110</v>
      </c>
      <c r="R299" s="6" t="s">
        <v>110</v>
      </c>
      <c r="S299" s="6" t="s">
        <v>99</v>
      </c>
      <c r="T299" s="6" t="s">
        <v>99</v>
      </c>
      <c r="U299" s="6" t="s">
        <v>2932</v>
      </c>
      <c r="V299" s="9" t="s">
        <v>99</v>
      </c>
      <c r="W299" s="6" t="s">
        <v>2933</v>
      </c>
      <c r="X299" s="6" t="s">
        <v>99</v>
      </c>
      <c r="Y299" s="6" t="s">
        <v>99</v>
      </c>
      <c r="AA299" s="6" t="s">
        <v>100</v>
      </c>
      <c r="AB299" s="6" t="s">
        <v>100</v>
      </c>
      <c r="AC299" s="6" t="s">
        <v>100</v>
      </c>
      <c r="AD299" s="6" t="s">
        <v>100</v>
      </c>
      <c r="AE299" s="15" t="s">
        <v>2934</v>
      </c>
      <c r="AF299" s="15" t="s">
        <v>2703</v>
      </c>
      <c r="AG299" s="15" t="s">
        <v>2935</v>
      </c>
      <c r="AH299" s="15" t="s">
        <v>2936</v>
      </c>
      <c r="AI299" s="6" t="s">
        <v>99</v>
      </c>
      <c r="AJ299" s="6" t="s">
        <v>99</v>
      </c>
      <c r="AK299" s="6" t="s">
        <v>99</v>
      </c>
      <c r="AL299" s="6">
        <v>119.2</v>
      </c>
      <c r="AN299" s="15">
        <v>205</v>
      </c>
      <c r="AO299" s="6">
        <v>120.5</v>
      </c>
      <c r="AP299" s="6"/>
      <c r="AQ299" s="6"/>
      <c r="AR299" s="6"/>
      <c r="AS299" s="6"/>
      <c r="AT299" s="6"/>
      <c r="AU299" s="6">
        <v>125</v>
      </c>
      <c r="AV299" s="6">
        <v>85</v>
      </c>
      <c r="AX299" s="9" t="s">
        <v>2937</v>
      </c>
      <c r="AY299" s="9" t="s">
        <v>666</v>
      </c>
      <c r="AZ299" s="9" t="s">
        <v>2896</v>
      </c>
      <c r="BB299" s="9" t="s">
        <v>2938</v>
      </c>
      <c r="BC299" s="9" t="s">
        <v>2735</v>
      </c>
      <c r="BD299" s="9" t="s">
        <v>749</v>
      </c>
      <c r="BF299" s="9" t="s">
        <v>2939</v>
      </c>
      <c r="BG299" s="9" t="s">
        <v>172</v>
      </c>
      <c r="BH299" s="9" t="s">
        <v>683</v>
      </c>
      <c r="BI299" s="9" t="s">
        <v>2940</v>
      </c>
      <c r="BJ299" s="9" t="s">
        <v>172</v>
      </c>
      <c r="BK299" s="9" t="s">
        <v>683</v>
      </c>
      <c r="BN299" s="9" t="s">
        <v>219</v>
      </c>
      <c r="BO299" s="9" t="s">
        <v>180</v>
      </c>
      <c r="BP299" s="9" t="s">
        <v>2941</v>
      </c>
      <c r="BR299" s="9" t="s">
        <v>99</v>
      </c>
      <c r="BV299" s="9" t="s">
        <v>985</v>
      </c>
      <c r="BZ299" s="9" t="s">
        <v>2942</v>
      </c>
      <c r="CA299" s="9" t="s">
        <v>2911</v>
      </c>
      <c r="CB299" s="9" t="s">
        <v>2943</v>
      </c>
      <c r="CL299" s="9" t="s">
        <v>1180</v>
      </c>
      <c r="CM299" s="9" t="s">
        <v>2944</v>
      </c>
      <c r="CN299" s="9" t="s">
        <v>980</v>
      </c>
      <c r="CP299" s="9" t="s">
        <v>362</v>
      </c>
      <c r="CQ299" s="9" t="s">
        <v>361</v>
      </c>
      <c r="CR299" s="9" t="s">
        <v>716</v>
      </c>
      <c r="CS299" s="9" t="s">
        <v>2945</v>
      </c>
      <c r="CW299" s="9">
        <v>3</v>
      </c>
      <c r="CX299" s="9" t="s">
        <v>110</v>
      </c>
      <c r="CY299" s="9" t="s">
        <v>99</v>
      </c>
      <c r="DC299" s="84">
        <v>160</v>
      </c>
      <c r="DD299" s="13"/>
      <c r="DE299" s="84">
        <v>200</v>
      </c>
      <c r="DF299" s="84">
        <v>174</v>
      </c>
      <c r="DG299" s="9">
        <f t="shared" si="4"/>
        <v>5.1171145572241779</v>
      </c>
      <c r="DH299" s="13">
        <v>34</v>
      </c>
      <c r="DI299" s="13">
        <v>6.57</v>
      </c>
      <c r="DJ299" s="13">
        <v>20</v>
      </c>
      <c r="DK299" s="6"/>
      <c r="DL299" s="6">
        <v>53</v>
      </c>
      <c r="DM299" s="6">
        <v>113</v>
      </c>
      <c r="DN299" s="6"/>
      <c r="DP299" s="18">
        <v>1</v>
      </c>
      <c r="DQ299" s="6" t="s">
        <v>111</v>
      </c>
      <c r="DR299" s="9">
        <v>2</v>
      </c>
      <c r="DU299" s="9">
        <v>4.3</v>
      </c>
    </row>
    <row r="300" spans="1:125" x14ac:dyDescent="0.2">
      <c r="A300" s="79">
        <v>221</v>
      </c>
      <c r="B300" s="8">
        <v>42910</v>
      </c>
      <c r="C300" s="6" t="s">
        <v>95</v>
      </c>
      <c r="D300" s="6">
        <v>31</v>
      </c>
      <c r="E300" s="6" t="s">
        <v>100</v>
      </c>
      <c r="F300" s="17">
        <v>31248</v>
      </c>
      <c r="G300" s="6"/>
      <c r="H300" s="6" t="s">
        <v>109</v>
      </c>
      <c r="L300" s="6"/>
      <c r="M300" s="6" t="s">
        <v>99</v>
      </c>
      <c r="N300" s="6" t="s">
        <v>99</v>
      </c>
      <c r="O300" s="6" t="s">
        <v>99</v>
      </c>
      <c r="P300" s="6" t="s">
        <v>99</v>
      </c>
      <c r="Q300" s="15" t="s">
        <v>110</v>
      </c>
      <c r="R300" s="79" t="s">
        <v>99</v>
      </c>
      <c r="S300" s="6" t="s">
        <v>2946</v>
      </c>
      <c r="T300" s="6" t="s">
        <v>110</v>
      </c>
      <c r="U300" s="15" t="s">
        <v>2947</v>
      </c>
      <c r="W300" s="15" t="s">
        <v>2948</v>
      </c>
      <c r="X300" s="6"/>
      <c r="Y300" s="16" t="s">
        <v>2949</v>
      </c>
      <c r="AA300" s="6" t="s">
        <v>100</v>
      </c>
      <c r="AB300" s="6" t="s">
        <v>100</v>
      </c>
      <c r="AC300" s="6" t="s">
        <v>100</v>
      </c>
      <c r="AD300" s="6" t="s">
        <v>100</v>
      </c>
      <c r="AE300" s="15" t="s">
        <v>2268</v>
      </c>
      <c r="AF300" s="6" t="s">
        <v>99</v>
      </c>
      <c r="AG300" s="15" t="s">
        <v>122</v>
      </c>
      <c r="AH300" s="6" t="s">
        <v>99</v>
      </c>
      <c r="AI300" s="6" t="s">
        <v>99</v>
      </c>
      <c r="AJ300" s="6" t="s">
        <v>99</v>
      </c>
      <c r="AK300" s="6"/>
      <c r="AL300" s="6">
        <v>57.8</v>
      </c>
      <c r="AM300" s="9">
        <v>160</v>
      </c>
      <c r="AN300" s="6">
        <v>70</v>
      </c>
      <c r="AO300" s="6">
        <v>98</v>
      </c>
      <c r="AP300" s="6">
        <v>37.6</v>
      </c>
      <c r="AQ300" s="6">
        <v>5</v>
      </c>
      <c r="AR300" s="6">
        <v>23.1</v>
      </c>
      <c r="AS300" s="6">
        <v>31</v>
      </c>
      <c r="AT300" s="79">
        <v>22.6</v>
      </c>
      <c r="AU300" s="6">
        <v>96</v>
      </c>
      <c r="AV300" s="6">
        <v>77</v>
      </c>
      <c r="AX300" s="9" t="s">
        <v>573</v>
      </c>
      <c r="AY300" s="9" t="s">
        <v>1128</v>
      </c>
      <c r="AZ300" s="9" t="s">
        <v>729</v>
      </c>
      <c r="BB300" s="9" t="s">
        <v>2938</v>
      </c>
      <c r="BC300" s="9" t="s">
        <v>1130</v>
      </c>
      <c r="BD300" s="9" t="s">
        <v>2950</v>
      </c>
      <c r="BF300" s="9" t="s">
        <v>2951</v>
      </c>
      <c r="BG300" s="9" t="s">
        <v>2952</v>
      </c>
      <c r="BJ300" s="9" t="s">
        <v>683</v>
      </c>
      <c r="BK300" s="9" t="s">
        <v>1172</v>
      </c>
      <c r="BN300" s="14" t="s">
        <v>125</v>
      </c>
      <c r="BO300" s="9" t="s">
        <v>180</v>
      </c>
      <c r="BP300" s="9" t="s">
        <v>2446</v>
      </c>
      <c r="BZ300" s="9" t="s">
        <v>821</v>
      </c>
      <c r="CA300" s="9" t="s">
        <v>709</v>
      </c>
      <c r="CB300" s="9" t="s">
        <v>752</v>
      </c>
      <c r="CD300" s="9" t="s">
        <v>821</v>
      </c>
      <c r="CL300" s="9" t="s">
        <v>1180</v>
      </c>
      <c r="CM300" s="9" t="s">
        <v>980</v>
      </c>
      <c r="CP300" s="9" t="s">
        <v>361</v>
      </c>
      <c r="CQ300" s="9" t="s">
        <v>2953</v>
      </c>
      <c r="CR300" s="9" t="s">
        <v>362</v>
      </c>
      <c r="CT300" s="9" t="s">
        <v>2954</v>
      </c>
      <c r="CU300" s="9" t="s">
        <v>2055</v>
      </c>
      <c r="CV300" s="9" t="s">
        <v>857</v>
      </c>
      <c r="CW300" s="9">
        <v>3</v>
      </c>
      <c r="CX300" s="9" t="s">
        <v>99</v>
      </c>
      <c r="CY300" s="9" t="s">
        <v>110</v>
      </c>
      <c r="DC300" s="82">
        <v>85</v>
      </c>
      <c r="DD300" s="82"/>
      <c r="DE300" s="82">
        <v>194</v>
      </c>
      <c r="DF300" s="82">
        <v>134</v>
      </c>
      <c r="DG300" s="9">
        <f t="shared" si="4"/>
        <v>4.6702455282206143</v>
      </c>
      <c r="DH300" s="82">
        <v>26.8</v>
      </c>
      <c r="DI300" s="82">
        <v>4.5</v>
      </c>
      <c r="DJ300" s="82">
        <v>15</v>
      </c>
      <c r="DK300" s="6"/>
      <c r="DL300" s="6">
        <v>48.2</v>
      </c>
      <c r="DM300" s="6">
        <v>119</v>
      </c>
      <c r="DN300" s="6"/>
      <c r="DP300" s="11">
        <v>3</v>
      </c>
      <c r="DQ300" s="6" t="s">
        <v>111</v>
      </c>
      <c r="DR300" s="9">
        <v>3</v>
      </c>
      <c r="DU300" s="9">
        <v>3.39</v>
      </c>
    </row>
    <row r="301" spans="1:125" x14ac:dyDescent="0.2">
      <c r="A301" s="6">
        <v>222</v>
      </c>
      <c r="B301" s="8">
        <v>42910</v>
      </c>
      <c r="C301" s="6" t="s">
        <v>95</v>
      </c>
      <c r="D301" s="6">
        <v>64</v>
      </c>
      <c r="E301" s="6" t="s">
        <v>100</v>
      </c>
      <c r="F301" s="17">
        <v>19241</v>
      </c>
      <c r="G301" s="6" t="s">
        <v>2955</v>
      </c>
      <c r="H301" s="6" t="s">
        <v>2509</v>
      </c>
      <c r="I301" s="9">
        <v>12</v>
      </c>
      <c r="J301" s="9">
        <v>52</v>
      </c>
      <c r="K301" s="10">
        <v>2007</v>
      </c>
      <c r="L301" s="6">
        <v>3</v>
      </c>
      <c r="M301" s="6" t="s">
        <v>99</v>
      </c>
      <c r="N301" s="15" t="s">
        <v>110</v>
      </c>
      <c r="O301" s="15" t="s">
        <v>2956</v>
      </c>
      <c r="P301" s="15" t="s">
        <v>110</v>
      </c>
      <c r="Q301" s="6" t="s">
        <v>99</v>
      </c>
      <c r="R301" s="6"/>
      <c r="S301" s="6" t="s">
        <v>99</v>
      </c>
      <c r="T301" s="6" t="s">
        <v>99</v>
      </c>
      <c r="U301" s="15" t="s">
        <v>2957</v>
      </c>
      <c r="W301" s="6" t="s">
        <v>2958</v>
      </c>
      <c r="X301" s="6"/>
      <c r="Y301" s="6" t="s">
        <v>1903</v>
      </c>
      <c r="Z301" s="9" t="s">
        <v>2959</v>
      </c>
      <c r="AA301" s="16" t="s">
        <v>2225</v>
      </c>
      <c r="AB301" s="16" t="s">
        <v>2225</v>
      </c>
      <c r="AC301" s="16" t="s">
        <v>2225</v>
      </c>
      <c r="AD301" s="16" t="s">
        <v>2225</v>
      </c>
      <c r="AE301" s="15" t="s">
        <v>2960</v>
      </c>
      <c r="AF301" s="15" t="s">
        <v>118</v>
      </c>
      <c r="AG301" s="15" t="s">
        <v>2961</v>
      </c>
      <c r="AH301" s="15" t="s">
        <v>2268</v>
      </c>
      <c r="AI301" s="15" t="s">
        <v>2264</v>
      </c>
      <c r="AJ301" s="6" t="s">
        <v>99</v>
      </c>
      <c r="AK301" s="15" t="s">
        <v>2962</v>
      </c>
      <c r="AL301" s="6">
        <v>60</v>
      </c>
      <c r="AM301" s="9">
        <v>156</v>
      </c>
      <c r="AN301" s="15">
        <v>96</v>
      </c>
      <c r="AO301" s="6">
        <v>103</v>
      </c>
      <c r="AP301" s="6">
        <v>36.799999999999997</v>
      </c>
      <c r="AQ301" s="6">
        <v>8</v>
      </c>
      <c r="AR301" s="6">
        <v>26.4</v>
      </c>
      <c r="AS301" s="6">
        <v>60</v>
      </c>
      <c r="AT301" s="19">
        <v>25</v>
      </c>
      <c r="AU301" s="15">
        <v>133</v>
      </c>
      <c r="AV301" s="15">
        <v>82</v>
      </c>
      <c r="AX301" s="9" t="s">
        <v>2877</v>
      </c>
      <c r="AY301" s="9" t="s">
        <v>665</v>
      </c>
      <c r="AZ301" s="9" t="s">
        <v>2963</v>
      </c>
      <c r="BB301" s="9" t="s">
        <v>2964</v>
      </c>
      <c r="BC301" s="9" t="s">
        <v>2965</v>
      </c>
      <c r="BD301" s="9" t="s">
        <v>2966</v>
      </c>
      <c r="BF301" s="9" t="s">
        <v>2967</v>
      </c>
      <c r="BG301" s="9" t="s">
        <v>2968</v>
      </c>
      <c r="BH301" s="9" t="s">
        <v>110</v>
      </c>
      <c r="BI301" s="9" t="s">
        <v>110</v>
      </c>
      <c r="BJ301" s="9" t="s">
        <v>110</v>
      </c>
      <c r="BK301" s="9" t="s">
        <v>99</v>
      </c>
      <c r="BM301" s="14" t="s">
        <v>125</v>
      </c>
      <c r="BN301" s="9" t="s">
        <v>1980</v>
      </c>
      <c r="BO301" s="9" t="s">
        <v>2969</v>
      </c>
      <c r="BP301" s="9" t="s">
        <v>2970</v>
      </c>
      <c r="BV301" s="9" t="s">
        <v>985</v>
      </c>
      <c r="BZ301" s="9" t="s">
        <v>807</v>
      </c>
      <c r="CA301" s="14" t="s">
        <v>2971</v>
      </c>
      <c r="CB301" s="9" t="s">
        <v>2696</v>
      </c>
      <c r="CL301" s="9" t="s">
        <v>2972</v>
      </c>
      <c r="CM301" s="9" t="s">
        <v>2973</v>
      </c>
      <c r="CN301" s="9" t="s">
        <v>2753</v>
      </c>
      <c r="CP301" s="9" t="s">
        <v>2974</v>
      </c>
      <c r="CQ301" s="9" t="s">
        <v>716</v>
      </c>
      <c r="CR301" s="9" t="s">
        <v>2975</v>
      </c>
      <c r="CT301" s="9" t="s">
        <v>99</v>
      </c>
      <c r="CW301" s="9">
        <v>4</v>
      </c>
      <c r="CX301" s="9" t="s">
        <v>110</v>
      </c>
      <c r="CY301" s="9" t="s">
        <v>110</v>
      </c>
      <c r="DC301" s="82">
        <v>91</v>
      </c>
      <c r="DD301" s="82"/>
      <c r="DE301" s="91">
        <v>240</v>
      </c>
      <c r="DF301" s="91">
        <v>149</v>
      </c>
      <c r="DG301" s="9">
        <f t="shared" si="4"/>
        <v>4.7574029062311549</v>
      </c>
      <c r="DH301" s="82">
        <v>29</v>
      </c>
      <c r="DI301" s="82">
        <v>4.5</v>
      </c>
      <c r="DJ301" s="82">
        <v>14</v>
      </c>
      <c r="DK301" s="6"/>
      <c r="DL301" s="6">
        <v>52.4</v>
      </c>
      <c r="DM301" s="6">
        <v>158.5</v>
      </c>
      <c r="DN301" s="6"/>
      <c r="DQ301" s="6" t="s">
        <v>99</v>
      </c>
    </row>
    <row r="302" spans="1:125" x14ac:dyDescent="0.2">
      <c r="A302" s="79">
        <v>223</v>
      </c>
      <c r="B302" s="8">
        <v>42910</v>
      </c>
      <c r="C302" s="6" t="s">
        <v>95</v>
      </c>
      <c r="D302" s="6"/>
      <c r="E302" s="6"/>
      <c r="G302" s="6" t="s">
        <v>2976</v>
      </c>
      <c r="H302" s="6"/>
      <c r="I302" s="9">
        <v>14</v>
      </c>
      <c r="J302" s="9" t="s">
        <v>99</v>
      </c>
      <c r="K302" s="10" t="s">
        <v>99</v>
      </c>
      <c r="L302" s="6" t="s">
        <v>99</v>
      </c>
      <c r="M302" s="6" t="s">
        <v>99</v>
      </c>
      <c r="N302" s="6" t="s">
        <v>99</v>
      </c>
      <c r="O302" s="6" t="s">
        <v>99</v>
      </c>
      <c r="P302" s="6" t="s">
        <v>99</v>
      </c>
      <c r="Q302" s="15" t="s">
        <v>110</v>
      </c>
      <c r="R302" s="79" t="s">
        <v>99</v>
      </c>
      <c r="S302" s="6" t="s">
        <v>110</v>
      </c>
      <c r="T302" s="6" t="s">
        <v>110</v>
      </c>
      <c r="U302" s="6" t="s">
        <v>2977</v>
      </c>
      <c r="W302" s="6"/>
      <c r="X302" s="6"/>
      <c r="Y302" s="6" t="s">
        <v>2978</v>
      </c>
      <c r="Z302" s="9" t="s">
        <v>2979</v>
      </c>
      <c r="AA302" s="6" t="s">
        <v>100</v>
      </c>
      <c r="AB302" s="6" t="s">
        <v>100</v>
      </c>
      <c r="AC302" s="6" t="s">
        <v>100</v>
      </c>
      <c r="AD302" s="6" t="s">
        <v>100</v>
      </c>
      <c r="AE302" s="15" t="s">
        <v>2980</v>
      </c>
      <c r="AF302" s="6" t="s">
        <v>99</v>
      </c>
      <c r="AG302" s="15" t="s">
        <v>2981</v>
      </c>
      <c r="AH302" s="15" t="s">
        <v>125</v>
      </c>
      <c r="AI302" s="15" t="s">
        <v>122</v>
      </c>
      <c r="AJ302" s="6" t="s">
        <v>99</v>
      </c>
      <c r="AK302" s="15" t="s">
        <v>2982</v>
      </c>
      <c r="AL302" s="6">
        <v>48.3</v>
      </c>
      <c r="AN302" s="6">
        <v>68.5</v>
      </c>
      <c r="AO302" s="6">
        <v>86</v>
      </c>
      <c r="AP302" s="6">
        <v>23.7</v>
      </c>
      <c r="AQ302" s="6">
        <v>2</v>
      </c>
      <c r="AR302" s="6">
        <v>28.7</v>
      </c>
      <c r="AS302" s="6">
        <v>18</v>
      </c>
      <c r="AT302" s="79">
        <v>18</v>
      </c>
      <c r="AU302" s="6">
        <v>97</v>
      </c>
      <c r="AV302" s="6">
        <v>70</v>
      </c>
      <c r="DC302" s="13">
        <v>78</v>
      </c>
      <c r="DD302" s="13">
        <v>0.74</v>
      </c>
      <c r="DE302" s="13">
        <v>166</v>
      </c>
      <c r="DF302" s="13">
        <v>123</v>
      </c>
      <c r="DG302" s="9">
        <f t="shared" si="4"/>
        <v>4.5844465910310044</v>
      </c>
      <c r="DH302" s="13">
        <v>24</v>
      </c>
      <c r="DI302" s="13">
        <v>4.8</v>
      </c>
      <c r="DJ302" s="82">
        <v>10</v>
      </c>
      <c r="DK302" s="6"/>
      <c r="DL302" s="6">
        <v>60</v>
      </c>
      <c r="DM302" s="6">
        <v>82</v>
      </c>
      <c r="DN302" s="6"/>
      <c r="DP302" s="11">
        <v>2</v>
      </c>
      <c r="DQ302" s="6" t="s">
        <v>111</v>
      </c>
      <c r="DR302" s="30">
        <v>1</v>
      </c>
    </row>
    <row r="303" spans="1:125" x14ac:dyDescent="0.2">
      <c r="A303" s="16">
        <v>224</v>
      </c>
      <c r="B303" s="8">
        <v>42910</v>
      </c>
      <c r="C303" s="6" t="s">
        <v>95</v>
      </c>
      <c r="D303" s="6">
        <v>88</v>
      </c>
      <c r="E303" s="6" t="s">
        <v>100</v>
      </c>
      <c r="G303" s="6" t="s">
        <v>197</v>
      </c>
      <c r="H303" s="6" t="s">
        <v>2509</v>
      </c>
      <c r="K303" s="10" t="s">
        <v>2983</v>
      </c>
      <c r="L303" s="6">
        <v>4</v>
      </c>
      <c r="M303" s="15" t="s">
        <v>110</v>
      </c>
      <c r="N303" s="6" t="s">
        <v>99</v>
      </c>
      <c r="O303" s="6" t="s">
        <v>99</v>
      </c>
      <c r="P303" s="15" t="s">
        <v>110</v>
      </c>
      <c r="Q303" s="15" t="s">
        <v>110</v>
      </c>
      <c r="R303" s="6" t="s">
        <v>110</v>
      </c>
      <c r="S303" s="6" t="s">
        <v>99</v>
      </c>
      <c r="T303" s="6" t="s">
        <v>99</v>
      </c>
      <c r="U303" s="6" t="s">
        <v>2984</v>
      </c>
      <c r="W303" s="6" t="s">
        <v>99</v>
      </c>
      <c r="X303" s="6" t="s">
        <v>99</v>
      </c>
      <c r="Y303" s="6" t="s">
        <v>2985</v>
      </c>
      <c r="AA303" s="6" t="s">
        <v>100</v>
      </c>
      <c r="AB303" s="6" t="s">
        <v>100</v>
      </c>
      <c r="AC303" s="6" t="s">
        <v>100</v>
      </c>
      <c r="AD303" s="6" t="s">
        <v>100</v>
      </c>
      <c r="AE303" s="6" t="s">
        <v>99</v>
      </c>
      <c r="AF303" s="6" t="s">
        <v>99</v>
      </c>
      <c r="AG303" s="6" t="s">
        <v>99</v>
      </c>
      <c r="AH303" s="6" t="s">
        <v>99</v>
      </c>
      <c r="AI303" s="15" t="s">
        <v>570</v>
      </c>
      <c r="AJ303" s="6" t="s">
        <v>99</v>
      </c>
      <c r="AK303" s="15" t="s">
        <v>2986</v>
      </c>
      <c r="AL303" s="6">
        <v>59.4</v>
      </c>
      <c r="AM303" s="9">
        <v>150</v>
      </c>
      <c r="AN303" s="15">
        <v>110</v>
      </c>
      <c r="AO303" s="6">
        <v>103</v>
      </c>
      <c r="AP303" s="6">
        <v>37.200000000000003</v>
      </c>
      <c r="AQ303" s="6">
        <v>11</v>
      </c>
      <c r="AR303" s="6">
        <v>26.2</v>
      </c>
      <c r="AS303" s="6">
        <v>72</v>
      </c>
      <c r="AT303" s="6">
        <v>26.2</v>
      </c>
      <c r="AU303" s="15">
        <v>211</v>
      </c>
      <c r="AV303" s="15">
        <v>94</v>
      </c>
      <c r="DC303" s="91">
        <v>105</v>
      </c>
      <c r="DD303" s="82"/>
      <c r="DE303" s="82">
        <v>182</v>
      </c>
      <c r="DF303" s="82">
        <v>136</v>
      </c>
      <c r="DG303" s="9">
        <f t="shared" si="4"/>
        <v>4.7833076179467877</v>
      </c>
      <c r="DH303" s="82">
        <v>27</v>
      </c>
      <c r="DI303" s="82">
        <v>4.7</v>
      </c>
      <c r="DJ303" s="82">
        <v>25</v>
      </c>
      <c r="DK303" s="6"/>
      <c r="DL303" s="6">
        <v>49</v>
      </c>
      <c r="DM303" s="6">
        <v>106</v>
      </c>
      <c r="DN303" s="6"/>
      <c r="DP303" s="11">
        <v>2</v>
      </c>
      <c r="DQ303" s="6" t="s">
        <v>105</v>
      </c>
      <c r="DR303" s="9">
        <v>2</v>
      </c>
      <c r="DT303" s="9">
        <v>14.39</v>
      </c>
      <c r="DU303" s="9">
        <v>3.46</v>
      </c>
    </row>
    <row r="304" spans="1:125" x14ac:dyDescent="0.2">
      <c r="A304" s="6">
        <v>225</v>
      </c>
      <c r="B304" s="8">
        <v>42921</v>
      </c>
      <c r="C304" s="6" t="s">
        <v>107</v>
      </c>
      <c r="D304" s="6">
        <v>28</v>
      </c>
      <c r="E304" s="6" t="s">
        <v>1123</v>
      </c>
      <c r="F304" s="17">
        <v>32647</v>
      </c>
      <c r="G304" s="6" t="s">
        <v>1509</v>
      </c>
      <c r="H304" s="6"/>
      <c r="L304" s="6"/>
      <c r="M304" s="6" t="s">
        <v>99</v>
      </c>
      <c r="N304" s="15" t="s">
        <v>2987</v>
      </c>
      <c r="O304" s="6" t="s">
        <v>99</v>
      </c>
      <c r="P304" s="6" t="s">
        <v>99</v>
      </c>
      <c r="Q304" s="15" t="s">
        <v>110</v>
      </c>
      <c r="R304" s="6" t="s">
        <v>110</v>
      </c>
      <c r="S304" s="6" t="s">
        <v>110</v>
      </c>
      <c r="T304" s="6" t="s">
        <v>110</v>
      </c>
      <c r="U304" s="6" t="s">
        <v>2988</v>
      </c>
      <c r="W304" s="6" t="s">
        <v>2989</v>
      </c>
      <c r="X304" s="6"/>
      <c r="Y304" s="6" t="s">
        <v>99</v>
      </c>
      <c r="AA304" s="9" t="s">
        <v>1123</v>
      </c>
      <c r="AB304" s="6" t="s">
        <v>2777</v>
      </c>
      <c r="AC304" s="6" t="s">
        <v>1123</v>
      </c>
      <c r="AD304" s="9" t="s">
        <v>2777</v>
      </c>
      <c r="AE304" s="15" t="s">
        <v>118</v>
      </c>
      <c r="AF304" s="15" t="s">
        <v>2282</v>
      </c>
      <c r="AG304" s="15" t="s">
        <v>2990</v>
      </c>
      <c r="AH304" s="15" t="s">
        <v>2503</v>
      </c>
      <c r="AI304" s="15" t="s">
        <v>118</v>
      </c>
      <c r="AJ304" s="6" t="s">
        <v>99</v>
      </c>
      <c r="AK304" s="15" t="s">
        <v>2991</v>
      </c>
      <c r="AL304" s="6">
        <v>95.9</v>
      </c>
      <c r="AM304" s="9">
        <v>188</v>
      </c>
      <c r="AN304" s="15">
        <v>93</v>
      </c>
      <c r="AO304" s="6">
        <v>110</v>
      </c>
      <c r="AP304" s="6">
        <v>30.3</v>
      </c>
      <c r="AQ304" s="6">
        <v>9</v>
      </c>
      <c r="AR304" s="6">
        <v>32.9</v>
      </c>
      <c r="AS304" s="6">
        <v>61</v>
      </c>
      <c r="AT304" s="6">
        <v>27.1</v>
      </c>
      <c r="AU304" s="15">
        <v>145</v>
      </c>
      <c r="AV304" s="15">
        <v>91</v>
      </c>
      <c r="AX304" s="9" t="s">
        <v>665</v>
      </c>
      <c r="AY304" s="9" t="s">
        <v>2992</v>
      </c>
      <c r="AZ304" s="9" t="s">
        <v>679</v>
      </c>
      <c r="BB304" s="9" t="s">
        <v>346</v>
      </c>
      <c r="BC304" s="9" t="s">
        <v>2481</v>
      </c>
      <c r="BF304" s="9" t="s">
        <v>176</v>
      </c>
      <c r="BG304" s="9" t="s">
        <v>99</v>
      </c>
      <c r="BH304" s="9" t="s">
        <v>99</v>
      </c>
      <c r="BI304" s="9" t="s">
        <v>176</v>
      </c>
      <c r="BJ304" s="9" t="s">
        <v>2606</v>
      </c>
      <c r="BK304" s="9" t="s">
        <v>2993</v>
      </c>
      <c r="BN304" s="9" t="s">
        <v>2994</v>
      </c>
      <c r="BQ304" s="9" t="s">
        <v>2995</v>
      </c>
      <c r="BU304" s="9" t="s">
        <v>2996</v>
      </c>
      <c r="BZ304" s="9" t="s">
        <v>807</v>
      </c>
      <c r="CA304" s="9" t="s">
        <v>709</v>
      </c>
      <c r="CB304" s="9" t="s">
        <v>1730</v>
      </c>
      <c r="CD304" s="9" t="s">
        <v>99</v>
      </c>
      <c r="CH304" s="9" t="s">
        <v>99</v>
      </c>
      <c r="CL304" s="9" t="s">
        <v>579</v>
      </c>
      <c r="CM304" s="9" t="s">
        <v>2447</v>
      </c>
      <c r="CN304" s="9" t="s">
        <v>2997</v>
      </c>
      <c r="CP304" s="9" t="s">
        <v>362</v>
      </c>
      <c r="CQ304" s="9" t="s">
        <v>2998</v>
      </c>
      <c r="CR304" s="9" t="s">
        <v>2658</v>
      </c>
      <c r="CT304" s="9" t="s">
        <v>2999</v>
      </c>
      <c r="CU304" s="9" t="s">
        <v>830</v>
      </c>
      <c r="CV304" s="9" t="s">
        <v>3000</v>
      </c>
      <c r="CW304" s="9">
        <v>5</v>
      </c>
      <c r="CX304" s="9" t="s">
        <v>99</v>
      </c>
      <c r="CY304" s="9" t="s">
        <v>110</v>
      </c>
      <c r="CZ304" s="9">
        <v>50</v>
      </c>
      <c r="DA304" s="9">
        <v>25</v>
      </c>
      <c r="DB304" s="9">
        <v>25</v>
      </c>
      <c r="DC304" s="6">
        <v>91.4</v>
      </c>
      <c r="DD304" s="15">
        <v>1.74</v>
      </c>
      <c r="DE304" s="6">
        <v>170</v>
      </c>
      <c r="DF304" s="6">
        <v>128</v>
      </c>
      <c r="DG304" s="9">
        <f t="shared" si="4"/>
        <v>4.6836378711898607</v>
      </c>
      <c r="DH304" s="6">
        <v>25.6</v>
      </c>
      <c r="DI304" s="6">
        <v>5.13</v>
      </c>
      <c r="DJ304" s="6"/>
      <c r="DK304" s="6"/>
      <c r="DL304" s="82">
        <v>56.6</v>
      </c>
      <c r="DM304" s="82">
        <v>15.3</v>
      </c>
      <c r="DN304" s="82"/>
      <c r="DP304" s="11">
        <v>2</v>
      </c>
      <c r="DQ304" s="6" t="s">
        <v>99</v>
      </c>
    </row>
    <row r="305" spans="1:125" x14ac:dyDescent="0.2">
      <c r="A305" s="16">
        <v>226</v>
      </c>
      <c r="B305" s="8">
        <v>42926</v>
      </c>
      <c r="C305" s="6" t="s">
        <v>95</v>
      </c>
      <c r="D305" s="6">
        <v>64</v>
      </c>
      <c r="E305" s="6" t="s">
        <v>100</v>
      </c>
      <c r="F305" s="17">
        <v>19430</v>
      </c>
      <c r="G305" s="6" t="s">
        <v>197</v>
      </c>
      <c r="H305" s="6" t="s">
        <v>3001</v>
      </c>
      <c r="I305" s="9">
        <v>12</v>
      </c>
      <c r="J305" s="9" t="s">
        <v>3002</v>
      </c>
      <c r="K305" s="10" t="s">
        <v>3003</v>
      </c>
      <c r="L305" s="6">
        <v>4</v>
      </c>
      <c r="M305" s="6" t="s">
        <v>99</v>
      </c>
      <c r="N305" s="15" t="s">
        <v>3004</v>
      </c>
      <c r="O305" s="15" t="s">
        <v>241</v>
      </c>
      <c r="P305" s="6" t="s">
        <v>99</v>
      </c>
      <c r="Q305" s="6" t="s">
        <v>99</v>
      </c>
      <c r="R305" s="6"/>
      <c r="S305" s="6" t="s">
        <v>99</v>
      </c>
      <c r="T305" s="6" t="s">
        <v>110</v>
      </c>
      <c r="U305" s="6" t="s">
        <v>99</v>
      </c>
      <c r="W305" s="16" t="s">
        <v>2226</v>
      </c>
      <c r="X305" s="6"/>
      <c r="Y305" s="6" t="s">
        <v>110</v>
      </c>
      <c r="Z305" s="9" t="s">
        <v>3005</v>
      </c>
      <c r="AA305" s="6" t="s">
        <v>100</v>
      </c>
      <c r="AB305" s="6" t="s">
        <v>100</v>
      </c>
      <c r="AC305" s="6"/>
      <c r="AE305" s="6" t="s">
        <v>99</v>
      </c>
      <c r="AF305" s="15" t="s">
        <v>3006</v>
      </c>
      <c r="AG305" s="15" t="s">
        <v>2252</v>
      </c>
      <c r="AH305" s="6" t="s">
        <v>99</v>
      </c>
      <c r="AI305" s="15" t="s">
        <v>118</v>
      </c>
      <c r="AJ305" s="6" t="s">
        <v>99</v>
      </c>
      <c r="AK305" s="6" t="s">
        <v>99</v>
      </c>
      <c r="AL305" s="6">
        <v>65.2</v>
      </c>
      <c r="AM305" s="9">
        <v>160</v>
      </c>
      <c r="AN305" s="6">
        <v>74.5</v>
      </c>
      <c r="AO305" s="6">
        <v>101</v>
      </c>
      <c r="AP305" s="6">
        <v>41</v>
      </c>
      <c r="AQ305" s="6">
        <v>8</v>
      </c>
      <c r="AR305" s="6">
        <v>23.5</v>
      </c>
      <c r="AS305" s="6">
        <v>60</v>
      </c>
      <c r="AT305" s="6">
        <v>25.5</v>
      </c>
      <c r="AU305" s="15">
        <v>143</v>
      </c>
      <c r="AV305" s="15">
        <v>98</v>
      </c>
      <c r="DC305" s="91">
        <v>100</v>
      </c>
      <c r="DD305" s="82">
        <v>0.66</v>
      </c>
      <c r="DE305" s="91">
        <v>226</v>
      </c>
      <c r="DF305" s="91">
        <v>171</v>
      </c>
      <c r="DG305" s="9">
        <f t="shared" si="4"/>
        <v>4.873416871245376</v>
      </c>
      <c r="DH305" s="82">
        <v>34</v>
      </c>
      <c r="DI305" s="82">
        <v>4.12</v>
      </c>
      <c r="DJ305" s="6"/>
      <c r="DK305" s="6"/>
      <c r="DL305" s="6">
        <v>52</v>
      </c>
      <c r="DM305" s="6">
        <v>140</v>
      </c>
      <c r="DN305" s="6"/>
      <c r="DP305" s="11">
        <v>2</v>
      </c>
      <c r="DQ305" s="6" t="s">
        <v>105</v>
      </c>
      <c r="DR305" s="9">
        <v>2</v>
      </c>
      <c r="DU305" s="9">
        <v>6</v>
      </c>
    </row>
    <row r="306" spans="1:125" x14ac:dyDescent="0.2">
      <c r="A306" s="6">
        <v>227</v>
      </c>
      <c r="B306" s="8">
        <v>42910</v>
      </c>
      <c r="C306" s="6" t="s">
        <v>95</v>
      </c>
      <c r="D306" s="6">
        <v>35</v>
      </c>
      <c r="E306" s="6"/>
      <c r="G306" s="6"/>
      <c r="H306" s="6"/>
      <c r="J306" s="9" t="s">
        <v>483</v>
      </c>
      <c r="K306" s="9">
        <v>2017</v>
      </c>
      <c r="L306" s="6">
        <v>3</v>
      </c>
      <c r="M306" s="6" t="s">
        <v>99</v>
      </c>
      <c r="N306" s="15" t="s">
        <v>110</v>
      </c>
      <c r="O306" s="6" t="s">
        <v>99</v>
      </c>
      <c r="P306" s="6"/>
      <c r="Q306" s="6"/>
      <c r="R306" s="6"/>
      <c r="S306" s="6"/>
      <c r="T306" s="6"/>
      <c r="U306" s="6" t="s">
        <v>3007</v>
      </c>
      <c r="W306" s="6"/>
      <c r="X306" s="6"/>
      <c r="Y306" s="6" t="s">
        <v>3008</v>
      </c>
      <c r="AA306" s="16" t="s">
        <v>840</v>
      </c>
      <c r="AB306" s="16" t="s">
        <v>840</v>
      </c>
      <c r="AC306" s="16" t="s">
        <v>840</v>
      </c>
      <c r="AD306" s="16" t="s">
        <v>840</v>
      </c>
      <c r="AE306" s="15" t="s">
        <v>118</v>
      </c>
      <c r="AF306" s="6" t="s">
        <v>483</v>
      </c>
      <c r="AG306" s="15" t="s">
        <v>2270</v>
      </c>
      <c r="AH306" s="6" t="s">
        <v>483</v>
      </c>
      <c r="AI306" s="6" t="s">
        <v>483</v>
      </c>
      <c r="AJ306" s="6" t="s">
        <v>483</v>
      </c>
      <c r="AK306" s="6" t="s">
        <v>483</v>
      </c>
      <c r="AL306" s="6">
        <v>64.400000000000006</v>
      </c>
      <c r="AN306" s="15">
        <v>84</v>
      </c>
      <c r="AO306" s="6">
        <v>104.5</v>
      </c>
      <c r="AP306" s="6">
        <v>44</v>
      </c>
      <c r="AQ306" s="6">
        <v>7</v>
      </c>
      <c r="AR306" s="6">
        <v>21</v>
      </c>
      <c r="AS306" s="6"/>
      <c r="AT306" s="6">
        <v>27.2</v>
      </c>
      <c r="AU306" s="15">
        <v>130</v>
      </c>
      <c r="AV306" s="15">
        <v>87</v>
      </c>
      <c r="DC306" s="91">
        <v>99</v>
      </c>
      <c r="DD306" s="82">
        <v>0.56000000000000005</v>
      </c>
      <c r="DE306" s="82">
        <v>144</v>
      </c>
      <c r="DF306" s="82">
        <v>139</v>
      </c>
      <c r="DG306" s="9">
        <f t="shared" si="4"/>
        <v>4.7647968916326411</v>
      </c>
      <c r="DH306" s="82">
        <v>27</v>
      </c>
      <c r="DI306" s="82">
        <v>4.08</v>
      </c>
      <c r="DJ306" s="6"/>
      <c r="DK306" s="6"/>
      <c r="DL306" s="6">
        <v>57</v>
      </c>
      <c r="DM306" s="6">
        <v>60</v>
      </c>
      <c r="DN306" s="6"/>
      <c r="DQ306" s="6" t="s">
        <v>111</v>
      </c>
      <c r="DR306" s="9">
        <v>2</v>
      </c>
    </row>
    <row r="307" spans="1:125" x14ac:dyDescent="0.2">
      <c r="A307" s="99">
        <v>228</v>
      </c>
      <c r="B307" s="8">
        <v>42923</v>
      </c>
      <c r="C307" s="6" t="s">
        <v>95</v>
      </c>
      <c r="D307" s="6">
        <v>67</v>
      </c>
      <c r="E307" s="6"/>
      <c r="G307" s="6" t="s">
        <v>3009</v>
      </c>
      <c r="H307" s="6" t="s">
        <v>3010</v>
      </c>
      <c r="I307" s="9">
        <v>14</v>
      </c>
      <c r="J307" s="10" t="s">
        <v>1543</v>
      </c>
      <c r="K307" s="9">
        <v>1980</v>
      </c>
      <c r="L307" s="6">
        <v>2</v>
      </c>
      <c r="M307" s="6" t="s">
        <v>99</v>
      </c>
      <c r="N307" s="6" t="s">
        <v>99</v>
      </c>
      <c r="O307" s="15" t="s">
        <v>110</v>
      </c>
      <c r="P307" s="6" t="s">
        <v>110</v>
      </c>
      <c r="Q307" s="6" t="s">
        <v>99</v>
      </c>
      <c r="R307" s="6" t="s">
        <v>99</v>
      </c>
      <c r="S307" s="6" t="s">
        <v>110</v>
      </c>
      <c r="T307" s="6" t="s">
        <v>110</v>
      </c>
      <c r="U307" s="6" t="s">
        <v>3011</v>
      </c>
      <c r="W307" s="6"/>
      <c r="X307" s="6"/>
      <c r="Y307" s="6" t="s">
        <v>2309</v>
      </c>
      <c r="AA307" s="9" t="s">
        <v>100</v>
      </c>
      <c r="AB307" s="6" t="s">
        <v>100</v>
      </c>
      <c r="AC307" s="6" t="s">
        <v>100</v>
      </c>
      <c r="AD307" s="9" t="s">
        <v>100</v>
      </c>
      <c r="AE307" s="9" t="s">
        <v>483</v>
      </c>
      <c r="AF307" s="15" t="s">
        <v>3012</v>
      </c>
      <c r="AG307" s="6" t="s">
        <v>99</v>
      </c>
      <c r="AH307" s="6" t="s">
        <v>99</v>
      </c>
      <c r="AI307" s="6" t="s">
        <v>99</v>
      </c>
      <c r="AJ307" s="6" t="s">
        <v>99</v>
      </c>
      <c r="AK307" s="6" t="s">
        <v>99</v>
      </c>
      <c r="AL307" s="6">
        <v>63.7</v>
      </c>
      <c r="AN307" s="15">
        <v>83.5</v>
      </c>
      <c r="AO307" s="6">
        <v>93.5</v>
      </c>
      <c r="AP307" s="6">
        <v>32.700000000000003</v>
      </c>
      <c r="AQ307" s="6">
        <v>6</v>
      </c>
      <c r="AR307" s="6">
        <v>26.5</v>
      </c>
      <c r="AS307" s="6">
        <v>41</v>
      </c>
      <c r="AT307" s="79">
        <v>21.2</v>
      </c>
      <c r="AU307" s="15">
        <v>138</v>
      </c>
      <c r="AV307" s="15">
        <v>88</v>
      </c>
      <c r="DC307" s="91">
        <v>117</v>
      </c>
      <c r="DD307" s="82">
        <v>0.43</v>
      </c>
      <c r="DE307" s="91">
        <v>219</v>
      </c>
      <c r="DF307" s="91">
        <v>178</v>
      </c>
      <c r="DG307" s="9">
        <f t="shared" si="4"/>
        <v>4.9719787425449207</v>
      </c>
      <c r="DH307" s="82">
        <v>35</v>
      </c>
      <c r="DI307" s="82">
        <v>3.23</v>
      </c>
      <c r="DJ307" s="6"/>
      <c r="DK307" s="6"/>
      <c r="DL307" s="6">
        <v>43</v>
      </c>
      <c r="DM307" s="6">
        <v>141</v>
      </c>
      <c r="DN307" s="6"/>
      <c r="DQ307" s="6" t="s">
        <v>105</v>
      </c>
      <c r="DR307" s="9">
        <v>2</v>
      </c>
    </row>
    <row r="308" spans="1:125" x14ac:dyDescent="0.2">
      <c r="A308" s="6">
        <v>229</v>
      </c>
      <c r="B308" s="8">
        <v>42926</v>
      </c>
      <c r="C308" s="6" t="s">
        <v>95</v>
      </c>
      <c r="D308" s="6">
        <v>18</v>
      </c>
      <c r="E308" s="6" t="s">
        <v>100</v>
      </c>
      <c r="G308" s="6" t="s">
        <v>1509</v>
      </c>
      <c r="H308" s="6" t="s">
        <v>3001</v>
      </c>
      <c r="I308" s="9">
        <v>13</v>
      </c>
      <c r="L308" s="6" t="s">
        <v>99</v>
      </c>
      <c r="M308" s="6" t="s">
        <v>99</v>
      </c>
      <c r="N308" s="6" t="s">
        <v>99</v>
      </c>
      <c r="O308" s="6" t="s">
        <v>99</v>
      </c>
      <c r="P308" s="6" t="s">
        <v>99</v>
      </c>
      <c r="Q308" s="6" t="s">
        <v>99</v>
      </c>
      <c r="R308" s="6" t="s">
        <v>110</v>
      </c>
      <c r="S308" s="6" t="s">
        <v>99</v>
      </c>
      <c r="T308" s="6" t="s">
        <v>110</v>
      </c>
      <c r="U308" s="6" t="s">
        <v>99</v>
      </c>
      <c r="V308" s="9" t="s">
        <v>99</v>
      </c>
      <c r="W308" s="6" t="s">
        <v>3013</v>
      </c>
      <c r="X308" s="6"/>
      <c r="Y308" s="6" t="s">
        <v>99</v>
      </c>
      <c r="AA308" s="86" t="s">
        <v>155</v>
      </c>
      <c r="AB308" s="6" t="s">
        <v>100</v>
      </c>
      <c r="AC308" s="35" t="s">
        <v>155</v>
      </c>
      <c r="AD308" s="6" t="s">
        <v>100</v>
      </c>
      <c r="AE308" s="15" t="s">
        <v>122</v>
      </c>
      <c r="AF308" s="15" t="s">
        <v>122</v>
      </c>
      <c r="AG308" s="15" t="s">
        <v>2268</v>
      </c>
      <c r="AH308" s="6" t="s">
        <v>99</v>
      </c>
      <c r="AI308" s="6" t="s">
        <v>483</v>
      </c>
      <c r="AJ308" s="6" t="s">
        <v>99</v>
      </c>
      <c r="AK308" s="6" t="s">
        <v>99</v>
      </c>
      <c r="AL308" s="6">
        <v>67.900000000000006</v>
      </c>
      <c r="AN308" s="6">
        <v>75.5</v>
      </c>
      <c r="AO308" s="6">
        <v>105.5</v>
      </c>
      <c r="AP308" s="6">
        <v>38.9</v>
      </c>
      <c r="AQ308" s="6">
        <v>5</v>
      </c>
      <c r="AR308" s="6">
        <v>25.4</v>
      </c>
      <c r="AS308" s="6">
        <v>25</v>
      </c>
      <c r="AT308" s="6">
        <v>24.9</v>
      </c>
      <c r="AU308" s="6">
        <v>104</v>
      </c>
      <c r="AV308" s="6">
        <v>76</v>
      </c>
      <c r="DC308" s="15" t="s">
        <v>3014</v>
      </c>
      <c r="DD308" s="6">
        <v>0.96</v>
      </c>
      <c r="DE308" s="6">
        <v>106</v>
      </c>
      <c r="DF308" s="15" t="s">
        <v>3015</v>
      </c>
      <c r="DG308" s="9" t="e">
        <f t="shared" si="4"/>
        <v>#VALUE!</v>
      </c>
      <c r="DH308" s="6">
        <v>29</v>
      </c>
      <c r="DI308" s="6">
        <v>5.78</v>
      </c>
      <c r="DJ308" s="6"/>
      <c r="DK308" s="6"/>
      <c r="DL308" s="6">
        <v>55</v>
      </c>
      <c r="DM308" s="6">
        <v>22</v>
      </c>
      <c r="DN308" s="6"/>
      <c r="DP308" s="18">
        <v>1</v>
      </c>
      <c r="DQ308" s="6" t="s">
        <v>111</v>
      </c>
      <c r="DU308" s="9">
        <v>5.2</v>
      </c>
    </row>
    <row r="309" spans="1:125" x14ac:dyDescent="0.2">
      <c r="A309" s="6">
        <v>230</v>
      </c>
      <c r="B309" s="8">
        <v>42924</v>
      </c>
      <c r="C309" s="6" t="s">
        <v>95</v>
      </c>
      <c r="D309" s="6">
        <v>54</v>
      </c>
      <c r="E309" s="16" t="s">
        <v>2267</v>
      </c>
      <c r="F309" s="17">
        <v>23000</v>
      </c>
      <c r="G309" s="6" t="s">
        <v>3017</v>
      </c>
      <c r="H309" s="6" t="s">
        <v>3018</v>
      </c>
      <c r="I309" s="9">
        <v>15</v>
      </c>
      <c r="J309" s="10">
        <v>52</v>
      </c>
      <c r="K309" s="9">
        <v>36</v>
      </c>
      <c r="L309" s="6" t="s">
        <v>3019</v>
      </c>
      <c r="M309" s="6" t="s">
        <v>99</v>
      </c>
      <c r="N309" s="15" t="s">
        <v>3020</v>
      </c>
      <c r="O309" s="6" t="s">
        <v>99</v>
      </c>
      <c r="P309" s="6" t="s">
        <v>99</v>
      </c>
      <c r="Q309" s="6" t="s">
        <v>99</v>
      </c>
      <c r="R309" s="6" t="s">
        <v>110</v>
      </c>
      <c r="S309" s="6" t="s">
        <v>110</v>
      </c>
      <c r="T309" s="6" t="s">
        <v>110</v>
      </c>
      <c r="U309" s="6" t="s">
        <v>3021</v>
      </c>
      <c r="V309" s="9" t="s">
        <v>99</v>
      </c>
      <c r="W309" s="6" t="s">
        <v>99</v>
      </c>
      <c r="X309" s="6" t="s">
        <v>99</v>
      </c>
      <c r="Y309" s="6" t="s">
        <v>1903</v>
      </c>
      <c r="AA309" s="14" t="s">
        <v>2267</v>
      </c>
      <c r="AB309" s="16" t="s">
        <v>2267</v>
      </c>
      <c r="AC309" s="16" t="s">
        <v>2267</v>
      </c>
      <c r="AD309" s="34" t="s">
        <v>3022</v>
      </c>
      <c r="AE309" s="15" t="s">
        <v>3023</v>
      </c>
      <c r="AF309" s="15" t="s">
        <v>3024</v>
      </c>
      <c r="AG309" s="15" t="s">
        <v>2903</v>
      </c>
      <c r="AH309" s="6" t="s">
        <v>99</v>
      </c>
      <c r="AI309" s="15" t="s">
        <v>1079</v>
      </c>
      <c r="AJ309" s="6" t="s">
        <v>99</v>
      </c>
      <c r="AK309" s="15" t="s">
        <v>3025</v>
      </c>
      <c r="AL309" s="6">
        <v>60.3</v>
      </c>
      <c r="AM309" s="9">
        <v>140</v>
      </c>
      <c r="AN309" s="15">
        <v>92</v>
      </c>
      <c r="AO309" s="6">
        <v>96</v>
      </c>
      <c r="AP309" s="6">
        <v>44.9</v>
      </c>
      <c r="AQ309" s="6">
        <v>11</v>
      </c>
      <c r="AR309" s="6">
        <v>19.2</v>
      </c>
      <c r="AS309" s="6">
        <v>70</v>
      </c>
      <c r="AT309" s="6">
        <v>30.8</v>
      </c>
      <c r="AU309" s="6">
        <v>111</v>
      </c>
      <c r="AV309" s="6">
        <v>78</v>
      </c>
      <c r="DC309" s="82">
        <v>85</v>
      </c>
      <c r="DD309" s="82">
        <v>0.55000000000000004</v>
      </c>
      <c r="DE309" s="82">
        <v>124</v>
      </c>
      <c r="DF309" s="82">
        <v>148</v>
      </c>
      <c r="DG309" s="9">
        <f t="shared" si="4"/>
        <v>4.7199317651272157</v>
      </c>
      <c r="DH309" s="82">
        <v>27</v>
      </c>
      <c r="DI309" s="82">
        <v>4.87</v>
      </c>
      <c r="DJ309" s="6"/>
      <c r="DK309" s="6"/>
      <c r="DL309" s="6">
        <v>47</v>
      </c>
      <c r="DM309" s="6">
        <v>50</v>
      </c>
      <c r="DN309" s="6"/>
      <c r="DP309" s="11">
        <v>2</v>
      </c>
      <c r="DQ309" s="6" t="s">
        <v>105</v>
      </c>
      <c r="DR309" s="9">
        <v>2</v>
      </c>
    </row>
    <row r="310" spans="1:125" x14ac:dyDescent="0.2">
      <c r="A310" s="6">
        <v>231</v>
      </c>
      <c r="B310" s="8">
        <v>42924</v>
      </c>
      <c r="C310" s="6" t="s">
        <v>95</v>
      </c>
      <c r="D310" s="6">
        <v>86</v>
      </c>
      <c r="E310" s="6" t="s">
        <v>100</v>
      </c>
      <c r="F310" s="17">
        <v>19843</v>
      </c>
      <c r="G310" s="6"/>
      <c r="H310" s="6" t="s">
        <v>3026</v>
      </c>
      <c r="I310" s="9">
        <v>12</v>
      </c>
      <c r="J310" s="10">
        <v>38</v>
      </c>
      <c r="K310" s="9">
        <v>1990</v>
      </c>
      <c r="L310" s="6">
        <v>1</v>
      </c>
      <c r="M310" s="15" t="s">
        <v>3027</v>
      </c>
      <c r="N310" s="15" t="s">
        <v>110</v>
      </c>
      <c r="O310" s="6"/>
      <c r="P310" s="6" t="s">
        <v>110</v>
      </c>
      <c r="Q310" s="6" t="s">
        <v>99</v>
      </c>
      <c r="R310" s="6" t="s">
        <v>110</v>
      </c>
      <c r="S310" s="6"/>
      <c r="T310" s="6"/>
      <c r="U310" s="6" t="s">
        <v>2439</v>
      </c>
      <c r="W310" s="6"/>
      <c r="X310" s="6"/>
      <c r="Y310" s="6" t="s">
        <v>3028</v>
      </c>
      <c r="Z310" s="9" t="s">
        <v>3029</v>
      </c>
      <c r="AA310" s="6" t="s">
        <v>100</v>
      </c>
      <c r="AB310" s="6" t="s">
        <v>100</v>
      </c>
      <c r="AC310" s="6" t="s">
        <v>100</v>
      </c>
      <c r="AD310" s="6" t="s">
        <v>100</v>
      </c>
      <c r="AE310" s="6" t="s">
        <v>99</v>
      </c>
      <c r="AF310" s="15" t="s">
        <v>123</v>
      </c>
      <c r="AG310" s="6" t="s">
        <v>99</v>
      </c>
      <c r="AH310" s="15" t="s">
        <v>123</v>
      </c>
      <c r="AI310" s="15" t="s">
        <v>664</v>
      </c>
      <c r="AJ310" s="6" t="s">
        <v>99</v>
      </c>
      <c r="AK310" s="6"/>
      <c r="AL310" s="6">
        <v>70.400000000000006</v>
      </c>
      <c r="AN310" s="15">
        <v>94</v>
      </c>
      <c r="AO310" s="6">
        <v>102</v>
      </c>
      <c r="AP310" s="6">
        <v>37.700000000000003</v>
      </c>
      <c r="AQ310" s="6">
        <v>9</v>
      </c>
      <c r="AR310" s="6">
        <v>26.5</v>
      </c>
      <c r="AS310" s="6">
        <v>58</v>
      </c>
      <c r="AT310" s="6">
        <v>25.9</v>
      </c>
      <c r="AU310" s="15">
        <v>140</v>
      </c>
      <c r="AV310" s="15">
        <v>101</v>
      </c>
      <c r="AX310" s="9" t="s">
        <v>3030</v>
      </c>
      <c r="AY310" s="9" t="s">
        <v>666</v>
      </c>
      <c r="AZ310" s="9" t="s">
        <v>2878</v>
      </c>
      <c r="BB310" s="9" t="s">
        <v>346</v>
      </c>
      <c r="BC310" s="9" t="s">
        <v>3031</v>
      </c>
      <c r="BF310" s="9" t="s">
        <v>1099</v>
      </c>
      <c r="BG310" s="9" t="s">
        <v>1099</v>
      </c>
      <c r="BH310" s="9" t="s">
        <v>683</v>
      </c>
      <c r="BI310" s="9" t="s">
        <v>176</v>
      </c>
      <c r="BJ310" s="9" t="s">
        <v>176</v>
      </c>
      <c r="BM310" s="9" t="s">
        <v>350</v>
      </c>
      <c r="BN310" s="9" t="s">
        <v>180</v>
      </c>
      <c r="BO310" s="9" t="s">
        <v>179</v>
      </c>
      <c r="BZ310" s="9" t="s">
        <v>3032</v>
      </c>
      <c r="CA310" s="9" t="s">
        <v>822</v>
      </c>
      <c r="CB310" s="10" t="s">
        <v>3033</v>
      </c>
      <c r="CL310" s="9" t="s">
        <v>3034</v>
      </c>
      <c r="CM310" s="9" t="s">
        <v>3035</v>
      </c>
      <c r="CN310" s="9" t="s">
        <v>887</v>
      </c>
      <c r="CP310" s="10" t="s">
        <v>3036</v>
      </c>
      <c r="CQ310" s="10" t="s">
        <v>3037</v>
      </c>
      <c r="CR310" s="9" t="s">
        <v>3038</v>
      </c>
      <c r="CT310" s="9" t="s">
        <v>363</v>
      </c>
      <c r="CU310" s="9" t="s">
        <v>3039</v>
      </c>
      <c r="CV310" s="9" t="s">
        <v>3040</v>
      </c>
      <c r="CW310" s="9">
        <v>3</v>
      </c>
      <c r="CX310" s="9" t="s">
        <v>110</v>
      </c>
      <c r="CY310" s="9" t="s">
        <v>3041</v>
      </c>
      <c r="DC310" s="82">
        <v>90</v>
      </c>
      <c r="DD310" s="82">
        <v>0.56000000000000005</v>
      </c>
      <c r="DE310" s="82">
        <v>173</v>
      </c>
      <c r="DF310" s="82">
        <v>147</v>
      </c>
      <c r="DG310" s="9">
        <f t="shared" si="4"/>
        <v>4.7451211285545005</v>
      </c>
      <c r="DH310" s="82">
        <v>26</v>
      </c>
      <c r="DI310" s="82">
        <v>5.9</v>
      </c>
      <c r="DJ310" s="6"/>
      <c r="DK310" s="6"/>
      <c r="DL310" s="6">
        <v>52</v>
      </c>
      <c r="DM310" s="6">
        <v>95</v>
      </c>
      <c r="DN310" s="6"/>
      <c r="DP310" s="11">
        <v>3</v>
      </c>
      <c r="DQ310" s="6" t="s">
        <v>111</v>
      </c>
      <c r="DR310" s="9">
        <v>2</v>
      </c>
    </row>
    <row r="311" spans="1:125" x14ac:dyDescent="0.2">
      <c r="A311" s="16">
        <v>232</v>
      </c>
      <c r="B311" s="8">
        <v>42926</v>
      </c>
      <c r="C311" s="6" t="s">
        <v>107</v>
      </c>
      <c r="D311" s="6">
        <v>62</v>
      </c>
      <c r="E311" s="6" t="s">
        <v>100</v>
      </c>
      <c r="F311" s="17">
        <v>20362</v>
      </c>
      <c r="G311" s="6" t="s">
        <v>3042</v>
      </c>
      <c r="H311" s="6" t="s">
        <v>3001</v>
      </c>
      <c r="L311" s="6"/>
      <c r="M311" s="6" t="s">
        <v>99</v>
      </c>
      <c r="N311" s="6" t="s">
        <v>99</v>
      </c>
      <c r="O311" s="15" t="s">
        <v>110</v>
      </c>
      <c r="P311" s="6" t="s">
        <v>99</v>
      </c>
      <c r="Q311" s="6" t="s">
        <v>110</v>
      </c>
      <c r="R311" s="6"/>
      <c r="S311" s="6" t="s">
        <v>110</v>
      </c>
      <c r="T311" s="6" t="s">
        <v>110</v>
      </c>
      <c r="U311" s="6" t="s">
        <v>3043</v>
      </c>
      <c r="W311" s="6" t="s">
        <v>3044</v>
      </c>
      <c r="X311" s="6" t="s">
        <v>483</v>
      </c>
      <c r="Y311" s="6" t="s">
        <v>99</v>
      </c>
      <c r="AA311" s="6" t="s">
        <v>100</v>
      </c>
      <c r="AB311" s="6" t="s">
        <v>100</v>
      </c>
      <c r="AC311" s="6" t="s">
        <v>100</v>
      </c>
      <c r="AD311" s="6" t="s">
        <v>100</v>
      </c>
      <c r="AE311" s="15" t="s">
        <v>3045</v>
      </c>
      <c r="AF311" s="15" t="s">
        <v>118</v>
      </c>
      <c r="AG311" s="15" t="s">
        <v>125</v>
      </c>
      <c r="AH311" s="15" t="s">
        <v>126</v>
      </c>
      <c r="AI311" s="6" t="s">
        <v>483</v>
      </c>
      <c r="AJ311" s="6" t="s">
        <v>483</v>
      </c>
      <c r="AK311" s="6" t="s">
        <v>99</v>
      </c>
      <c r="AL311" s="19">
        <v>56</v>
      </c>
      <c r="AM311" s="30">
        <v>174</v>
      </c>
      <c r="AN311" s="15">
        <v>100</v>
      </c>
      <c r="AO311" s="6">
        <v>98.5</v>
      </c>
      <c r="AP311" s="6">
        <v>16</v>
      </c>
      <c r="AQ311" s="6">
        <v>8</v>
      </c>
      <c r="AR311" s="6">
        <v>38.299999999999997</v>
      </c>
      <c r="AS311" s="6">
        <v>56</v>
      </c>
      <c r="AT311" s="19">
        <v>26</v>
      </c>
      <c r="AU311" s="15">
        <v>163</v>
      </c>
      <c r="AV311" s="15">
        <v>107</v>
      </c>
      <c r="DC311" s="91">
        <v>103</v>
      </c>
      <c r="DD311" s="82">
        <v>0.9</v>
      </c>
      <c r="DE311" s="91">
        <v>209</v>
      </c>
      <c r="DF311" s="91">
        <v>319</v>
      </c>
      <c r="DG311" s="9">
        <f t="shared" si="4"/>
        <v>5.1999600455072406</v>
      </c>
      <c r="DH311" s="82">
        <v>60</v>
      </c>
      <c r="DI311" s="82">
        <v>7.19</v>
      </c>
      <c r="DJ311" s="6"/>
      <c r="DK311" s="6"/>
      <c r="DL311" s="6">
        <v>47</v>
      </c>
      <c r="DM311" s="6">
        <v>102</v>
      </c>
      <c r="DN311" s="6"/>
      <c r="DP311" s="18">
        <v>1</v>
      </c>
      <c r="DQ311" s="6" t="s">
        <v>111</v>
      </c>
      <c r="DR311" s="9">
        <v>2</v>
      </c>
      <c r="DT311" s="9">
        <v>3.4</v>
      </c>
      <c r="DU311" s="9">
        <v>5.6</v>
      </c>
    </row>
    <row r="312" spans="1:125" x14ac:dyDescent="0.2">
      <c r="A312" s="100">
        <v>233</v>
      </c>
      <c r="B312" s="8">
        <v>42923</v>
      </c>
      <c r="C312" s="6" t="s">
        <v>95</v>
      </c>
      <c r="D312" s="6">
        <v>75</v>
      </c>
      <c r="E312" s="6" t="s">
        <v>100</v>
      </c>
      <c r="F312" s="17">
        <v>18872</v>
      </c>
      <c r="G312" s="6" t="s">
        <v>197</v>
      </c>
      <c r="H312" s="6" t="s">
        <v>3001</v>
      </c>
      <c r="I312" s="9">
        <v>13</v>
      </c>
      <c r="J312" s="10">
        <v>42</v>
      </c>
      <c r="K312" s="9">
        <v>31</v>
      </c>
      <c r="L312" s="6">
        <v>3</v>
      </c>
      <c r="M312" s="6" t="s">
        <v>99</v>
      </c>
      <c r="N312" s="6" t="s">
        <v>99</v>
      </c>
      <c r="O312" s="15" t="s">
        <v>3046</v>
      </c>
      <c r="P312" s="6" t="s">
        <v>110</v>
      </c>
      <c r="Q312" s="6" t="s">
        <v>110</v>
      </c>
      <c r="R312" s="6"/>
      <c r="S312" s="6" t="s">
        <v>110</v>
      </c>
      <c r="T312" s="6" t="s">
        <v>110</v>
      </c>
      <c r="U312" s="88" t="s">
        <v>3047</v>
      </c>
      <c r="W312" s="6" t="s">
        <v>3048</v>
      </c>
      <c r="X312" s="6" t="s">
        <v>99</v>
      </c>
      <c r="Y312" s="6" t="s">
        <v>1903</v>
      </c>
      <c r="AA312" s="85" t="s">
        <v>2395</v>
      </c>
      <c r="AB312" s="6" t="s">
        <v>100</v>
      </c>
      <c r="AC312" s="85" t="s">
        <v>2709</v>
      </c>
      <c r="AD312" s="6" t="s">
        <v>100</v>
      </c>
      <c r="AE312" s="15" t="s">
        <v>3049</v>
      </c>
      <c r="AF312" s="6" t="s">
        <v>99</v>
      </c>
      <c r="AG312" s="15" t="s">
        <v>3050</v>
      </c>
      <c r="AH312" s="6"/>
      <c r="AI312" s="15" t="s">
        <v>110</v>
      </c>
      <c r="AJ312" s="15" t="s">
        <v>110</v>
      </c>
      <c r="AK312" s="15" t="s">
        <v>3051</v>
      </c>
      <c r="AL312" s="6">
        <v>75.7</v>
      </c>
      <c r="AN312" s="15">
        <v>90</v>
      </c>
      <c r="AO312" s="6">
        <v>104</v>
      </c>
      <c r="AP312" s="6">
        <v>39.5</v>
      </c>
      <c r="AQ312" s="6">
        <v>9</v>
      </c>
      <c r="AR312" s="6">
        <v>26.1</v>
      </c>
      <c r="AS312" s="6">
        <v>62</v>
      </c>
      <c r="AT312" s="6">
        <v>27.1</v>
      </c>
      <c r="AU312" s="6">
        <v>111</v>
      </c>
      <c r="AV312" s="6">
        <v>78</v>
      </c>
      <c r="DC312" s="91">
        <v>101</v>
      </c>
      <c r="DD312" s="82">
        <v>0.85</v>
      </c>
      <c r="DE312" s="91">
        <v>209</v>
      </c>
      <c r="DF312" s="91">
        <v>160</v>
      </c>
      <c r="DG312" s="9">
        <f t="shared" si="4"/>
        <v>4.8451471660375436</v>
      </c>
      <c r="DH312" s="82">
        <v>32</v>
      </c>
      <c r="DI312" s="82">
        <v>5.9</v>
      </c>
      <c r="DJ312" s="6"/>
      <c r="DK312" s="6"/>
      <c r="DL312" s="6">
        <v>46</v>
      </c>
      <c r="DM312" s="6">
        <v>131</v>
      </c>
      <c r="DN312" s="6"/>
      <c r="DQ312" s="6" t="s">
        <v>111</v>
      </c>
      <c r="DR312" s="9">
        <v>2</v>
      </c>
      <c r="DT312" s="9">
        <v>13.1</v>
      </c>
      <c r="DU312" s="9">
        <v>4.5999999999999996</v>
      </c>
    </row>
    <row r="313" spans="1:125" x14ac:dyDescent="0.2">
      <c r="A313" s="6">
        <v>234</v>
      </c>
      <c r="B313" s="8">
        <v>42924</v>
      </c>
      <c r="C313" s="6" t="s">
        <v>2699</v>
      </c>
      <c r="D313" s="6">
        <v>44</v>
      </c>
      <c r="E313" s="6" t="s">
        <v>100</v>
      </c>
      <c r="F313" s="17">
        <v>26828</v>
      </c>
      <c r="G313" s="6" t="s">
        <v>3052</v>
      </c>
      <c r="H313" s="6"/>
      <c r="L313" s="6"/>
      <c r="M313" s="6" t="s">
        <v>99</v>
      </c>
      <c r="N313" s="15" t="s">
        <v>3053</v>
      </c>
      <c r="O313" s="6" t="s">
        <v>99</v>
      </c>
      <c r="P313" s="6" t="s">
        <v>110</v>
      </c>
      <c r="Q313" s="6" t="s">
        <v>110</v>
      </c>
      <c r="R313" s="6" t="s">
        <v>110</v>
      </c>
      <c r="S313" s="6" t="s">
        <v>99</v>
      </c>
      <c r="T313" s="6" t="s">
        <v>110</v>
      </c>
      <c r="U313" s="6" t="s">
        <v>3054</v>
      </c>
      <c r="W313" s="6" t="s">
        <v>99</v>
      </c>
      <c r="X313" s="6" t="s">
        <v>3055</v>
      </c>
      <c r="Y313" s="16" t="s">
        <v>3056</v>
      </c>
      <c r="AA313" s="6" t="s">
        <v>100</v>
      </c>
      <c r="AB313" s="6" t="s">
        <v>100</v>
      </c>
      <c r="AC313" s="6" t="s">
        <v>100</v>
      </c>
      <c r="AD313" s="6" t="s">
        <v>100</v>
      </c>
      <c r="AE313" s="15" t="s">
        <v>118</v>
      </c>
      <c r="AF313" s="15" t="s">
        <v>118</v>
      </c>
      <c r="AG313" s="6" t="s">
        <v>99</v>
      </c>
      <c r="AH313" s="15" t="s">
        <v>118</v>
      </c>
      <c r="AI313" s="6" t="s">
        <v>99</v>
      </c>
      <c r="AJ313" s="6" t="s">
        <v>99</v>
      </c>
      <c r="AK313" s="6" t="s">
        <v>99</v>
      </c>
      <c r="AL313" s="6">
        <v>134</v>
      </c>
      <c r="AM313" s="9">
        <v>177</v>
      </c>
      <c r="AN313" s="15">
        <v>128</v>
      </c>
      <c r="AO313" s="6">
        <v>127</v>
      </c>
      <c r="AP313" s="6">
        <v>45.6</v>
      </c>
      <c r="AQ313" s="6">
        <v>29</v>
      </c>
      <c r="AR313" s="6">
        <v>24.3</v>
      </c>
      <c r="AS313" s="6">
        <v>86</v>
      </c>
      <c r="AT313" s="16">
        <v>48</v>
      </c>
      <c r="AU313" s="6">
        <v>108</v>
      </c>
      <c r="AV313" s="6">
        <v>70</v>
      </c>
      <c r="AX313" s="9" t="s">
        <v>3057</v>
      </c>
      <c r="AY313" s="9" t="s">
        <v>3058</v>
      </c>
      <c r="AZ313" s="9" t="s">
        <v>1729</v>
      </c>
      <c r="BF313" s="9" t="s">
        <v>176</v>
      </c>
      <c r="BG313" s="9" t="s">
        <v>1099</v>
      </c>
      <c r="BH313" s="9" t="s">
        <v>1099</v>
      </c>
      <c r="BI313" s="9" t="s">
        <v>175</v>
      </c>
      <c r="BJ313" s="9" t="s">
        <v>176</v>
      </c>
      <c r="BK313" s="9" t="s">
        <v>2570</v>
      </c>
      <c r="BN313" s="9" t="s">
        <v>179</v>
      </c>
      <c r="BO313" s="9" t="s">
        <v>180</v>
      </c>
      <c r="BP313" s="9" t="s">
        <v>352</v>
      </c>
      <c r="BR313" s="9" t="s">
        <v>3059</v>
      </c>
      <c r="BV313" s="9" t="s">
        <v>110</v>
      </c>
      <c r="BZ313" s="9" t="s">
        <v>709</v>
      </c>
      <c r="CA313" s="9" t="s">
        <v>182</v>
      </c>
      <c r="CB313" s="9" t="s">
        <v>1137</v>
      </c>
      <c r="CD313" s="9" t="s">
        <v>99</v>
      </c>
      <c r="CH313" s="9" t="s">
        <v>99</v>
      </c>
      <c r="CL313" s="9" t="s">
        <v>1181</v>
      </c>
      <c r="CM313" s="9" t="s">
        <v>980</v>
      </c>
      <c r="CN313" s="9" t="s">
        <v>3060</v>
      </c>
      <c r="CT313" s="9" t="s">
        <v>983</v>
      </c>
      <c r="CU313" s="9" t="s">
        <v>685</v>
      </c>
      <c r="CV313" s="9" t="s">
        <v>582</v>
      </c>
      <c r="CW313" s="45">
        <v>43499</v>
      </c>
      <c r="CX313" s="9" t="s">
        <v>99</v>
      </c>
      <c r="CY313" s="9" t="s">
        <v>99</v>
      </c>
      <c r="CZ313" s="9">
        <v>20</v>
      </c>
      <c r="DA313" s="9">
        <v>50</v>
      </c>
      <c r="DB313" s="9">
        <v>30</v>
      </c>
      <c r="DC313" s="91" t="s">
        <v>3061</v>
      </c>
      <c r="DD313" s="82">
        <v>0.87</v>
      </c>
      <c r="DE313" s="82">
        <v>180</v>
      </c>
      <c r="DF313" s="91">
        <v>152</v>
      </c>
      <c r="DG313" s="9" t="e">
        <f t="shared" si="4"/>
        <v>#VALUE!</v>
      </c>
      <c r="DH313" s="82">
        <v>30</v>
      </c>
      <c r="DI313" s="82">
        <v>7.42</v>
      </c>
      <c r="DJ313" s="6"/>
      <c r="DK313" s="6"/>
      <c r="DL313" s="6">
        <v>45</v>
      </c>
      <c r="DM313" s="6">
        <v>74</v>
      </c>
      <c r="DN313" s="6"/>
      <c r="DP313" s="11">
        <v>2</v>
      </c>
      <c r="DQ313" s="6" t="s">
        <v>105</v>
      </c>
      <c r="DR313" s="9">
        <v>2</v>
      </c>
      <c r="DT313" s="9">
        <v>5.48</v>
      </c>
      <c r="DU313" s="9">
        <v>6.57</v>
      </c>
    </row>
    <row r="314" spans="1:125" x14ac:dyDescent="0.2">
      <c r="A314" s="16">
        <v>235</v>
      </c>
      <c r="B314" s="8">
        <v>42924</v>
      </c>
      <c r="C314" s="6" t="s">
        <v>95</v>
      </c>
      <c r="D314" s="6">
        <v>63</v>
      </c>
      <c r="E314" s="6" t="s">
        <v>100</v>
      </c>
      <c r="G314" s="6" t="s">
        <v>197</v>
      </c>
      <c r="H314" s="6"/>
      <c r="I314" s="9">
        <v>13</v>
      </c>
      <c r="J314" s="10">
        <v>48</v>
      </c>
      <c r="K314" s="9">
        <v>50</v>
      </c>
      <c r="L314" s="6">
        <v>10</v>
      </c>
      <c r="M314" s="6" t="s">
        <v>99</v>
      </c>
      <c r="N314" s="15" t="s">
        <v>110</v>
      </c>
      <c r="O314" s="6" t="s">
        <v>99</v>
      </c>
      <c r="P314" s="6" t="s">
        <v>99</v>
      </c>
      <c r="Q314" s="6" t="s">
        <v>99</v>
      </c>
      <c r="R314" s="6" t="s">
        <v>110</v>
      </c>
      <c r="S314" s="6" t="s">
        <v>110</v>
      </c>
      <c r="T314" s="6" t="s">
        <v>110</v>
      </c>
      <c r="U314" s="6" t="s">
        <v>99</v>
      </c>
      <c r="W314" s="16" t="s">
        <v>3062</v>
      </c>
      <c r="X314" s="6" t="s">
        <v>99</v>
      </c>
      <c r="Y314" s="6" t="s">
        <v>99</v>
      </c>
      <c r="AA314" s="6" t="s">
        <v>100</v>
      </c>
      <c r="AB314" s="6" t="s">
        <v>100</v>
      </c>
      <c r="AC314" s="6"/>
      <c r="AD314" s="6"/>
      <c r="AE314" s="6" t="s">
        <v>99</v>
      </c>
      <c r="AF314" s="15" t="s">
        <v>3063</v>
      </c>
      <c r="AG314" s="6" t="s">
        <v>99</v>
      </c>
      <c r="AH314" s="6" t="s">
        <v>99</v>
      </c>
      <c r="AI314" s="6" t="s">
        <v>99</v>
      </c>
      <c r="AJ314" s="6" t="s">
        <v>99</v>
      </c>
      <c r="AK314" s="15" t="s">
        <v>3064</v>
      </c>
      <c r="AL314" s="6">
        <v>63.4</v>
      </c>
      <c r="AN314" s="15">
        <v>97</v>
      </c>
      <c r="AO314" s="6">
        <v>97</v>
      </c>
      <c r="AP314" s="6">
        <v>48.2</v>
      </c>
      <c r="AQ314" s="6">
        <v>14</v>
      </c>
      <c r="AR314" s="6">
        <v>1.5</v>
      </c>
      <c r="AS314" s="6">
        <v>80</v>
      </c>
      <c r="AT314" s="6">
        <v>30.3</v>
      </c>
      <c r="AU314" s="15">
        <v>156</v>
      </c>
      <c r="AV314" s="15">
        <v>92</v>
      </c>
      <c r="DC314" s="91">
        <v>103.5</v>
      </c>
      <c r="DD314" s="82">
        <v>0.59</v>
      </c>
      <c r="DE314" s="82">
        <v>158</v>
      </c>
      <c r="DF314" s="82">
        <v>147</v>
      </c>
      <c r="DG314" s="9">
        <f t="shared" si="4"/>
        <v>4.8150020997420802</v>
      </c>
      <c r="DH314" s="82">
        <v>29</v>
      </c>
      <c r="DI314" s="82">
        <v>5.39</v>
      </c>
      <c r="DJ314" s="6"/>
      <c r="DK314" s="6"/>
      <c r="DL314" s="6">
        <v>68</v>
      </c>
      <c r="DM314" s="6">
        <v>61</v>
      </c>
      <c r="DN314" s="6"/>
      <c r="DP314" s="11">
        <v>2</v>
      </c>
      <c r="DQ314" s="19" t="s">
        <v>112</v>
      </c>
      <c r="DR314" s="9">
        <v>2</v>
      </c>
      <c r="DU314" s="9">
        <v>7.3</v>
      </c>
    </row>
    <row r="315" spans="1:125" x14ac:dyDescent="0.2">
      <c r="A315" s="6">
        <v>236</v>
      </c>
      <c r="B315" s="8">
        <v>42923</v>
      </c>
      <c r="C315" s="6" t="s">
        <v>95</v>
      </c>
      <c r="D315" s="6">
        <v>79</v>
      </c>
      <c r="E315" s="16" t="s">
        <v>840</v>
      </c>
      <c r="F315" s="17">
        <v>13858</v>
      </c>
      <c r="G315" s="6" t="s">
        <v>3065</v>
      </c>
      <c r="H315" s="6" t="s">
        <v>3001</v>
      </c>
      <c r="I315" s="9">
        <v>11</v>
      </c>
      <c r="J315" s="10">
        <v>40</v>
      </c>
      <c r="L315" s="6" t="s">
        <v>99</v>
      </c>
      <c r="M315" s="6" t="s">
        <v>99</v>
      </c>
      <c r="N315" s="15" t="s">
        <v>110</v>
      </c>
      <c r="O315" s="15" t="s">
        <v>110</v>
      </c>
      <c r="P315" s="6" t="s">
        <v>110</v>
      </c>
      <c r="Q315" s="6" t="s">
        <v>110</v>
      </c>
      <c r="R315" s="6" t="s">
        <v>110</v>
      </c>
      <c r="S315" s="6" t="s">
        <v>110</v>
      </c>
      <c r="T315" s="6" t="s">
        <v>110</v>
      </c>
      <c r="U315" s="6" t="s">
        <v>3066</v>
      </c>
      <c r="W315" s="6" t="s">
        <v>99</v>
      </c>
      <c r="X315" s="6" t="s">
        <v>99</v>
      </c>
      <c r="Y315" s="6" t="s">
        <v>3067</v>
      </c>
      <c r="AA315" s="16" t="s">
        <v>840</v>
      </c>
      <c r="AB315" s="16" t="s">
        <v>840</v>
      </c>
      <c r="AC315" s="16" t="s">
        <v>840</v>
      </c>
      <c r="AD315" s="16" t="s">
        <v>840</v>
      </c>
      <c r="AE315" s="6" t="s">
        <v>99</v>
      </c>
      <c r="AF315" s="15" t="s">
        <v>2264</v>
      </c>
      <c r="AG315" s="15" t="s">
        <v>3068</v>
      </c>
      <c r="AH315" s="6" t="s">
        <v>99</v>
      </c>
      <c r="AI315" s="15" t="s">
        <v>126</v>
      </c>
      <c r="AJ315" s="6"/>
      <c r="AK315" s="6" t="s">
        <v>99</v>
      </c>
      <c r="AL315" s="6">
        <v>43.4</v>
      </c>
      <c r="AM315" s="9">
        <v>145</v>
      </c>
      <c r="AN315" s="15">
        <v>82</v>
      </c>
      <c r="AO315" s="6">
        <v>85</v>
      </c>
      <c r="AP315" s="6">
        <v>30.6</v>
      </c>
      <c r="AQ315" s="6">
        <v>7</v>
      </c>
      <c r="AR315" s="6">
        <v>24.7</v>
      </c>
      <c r="AS315" s="6">
        <v>55</v>
      </c>
      <c r="AT315" s="79">
        <v>20.6</v>
      </c>
      <c r="AU315" s="15">
        <v>132</v>
      </c>
      <c r="AV315" s="6">
        <v>76</v>
      </c>
      <c r="DC315" s="82">
        <v>92</v>
      </c>
      <c r="DD315" s="82">
        <v>1.59</v>
      </c>
      <c r="DE315" s="91">
        <v>206</v>
      </c>
      <c r="DF315" s="91">
        <v>159</v>
      </c>
      <c r="DG315" s="9">
        <f t="shared" si="4"/>
        <v>4.795346389634636</v>
      </c>
      <c r="DH315" s="82">
        <v>31.8</v>
      </c>
      <c r="DI315" s="82">
        <v>6.42</v>
      </c>
      <c r="DJ315" s="6"/>
      <c r="DK315" s="6"/>
      <c r="DL315" s="6">
        <v>55</v>
      </c>
      <c r="DM315" s="6">
        <v>117</v>
      </c>
      <c r="DN315" s="6"/>
      <c r="DP315" s="11">
        <v>2</v>
      </c>
      <c r="DQ315" s="6" t="s">
        <v>111</v>
      </c>
      <c r="DR315" s="9">
        <v>2</v>
      </c>
    </row>
    <row r="316" spans="1:125" x14ac:dyDescent="0.2">
      <c r="A316" s="16">
        <v>237</v>
      </c>
      <c r="B316" s="8">
        <v>42924</v>
      </c>
      <c r="C316" s="6" t="s">
        <v>95</v>
      </c>
      <c r="D316" s="6">
        <v>60</v>
      </c>
      <c r="E316" s="6" t="s">
        <v>100</v>
      </c>
      <c r="F316" s="17">
        <v>20776</v>
      </c>
      <c r="G316" s="6"/>
      <c r="H316" s="6" t="s">
        <v>3069</v>
      </c>
      <c r="I316" s="9">
        <v>15</v>
      </c>
      <c r="J316" s="10">
        <v>50</v>
      </c>
      <c r="K316" s="9">
        <v>1995</v>
      </c>
      <c r="L316" s="6">
        <v>5</v>
      </c>
      <c r="M316" s="6" t="s">
        <v>99</v>
      </c>
      <c r="N316" s="6" t="s">
        <v>99</v>
      </c>
      <c r="O316" s="6" t="s">
        <v>99</v>
      </c>
      <c r="P316" s="6" t="s">
        <v>99</v>
      </c>
      <c r="Q316" s="6" t="s">
        <v>99</v>
      </c>
      <c r="R316" s="6"/>
      <c r="S316" s="6" t="s">
        <v>99</v>
      </c>
      <c r="T316" s="6" t="s">
        <v>99</v>
      </c>
      <c r="U316" s="6" t="s">
        <v>2439</v>
      </c>
      <c r="W316" s="6"/>
      <c r="X316" s="6"/>
      <c r="Y316" s="6" t="s">
        <v>3070</v>
      </c>
      <c r="AA316" s="6" t="s">
        <v>100</v>
      </c>
      <c r="AB316" s="6" t="s">
        <v>100</v>
      </c>
      <c r="AC316" s="6" t="s">
        <v>100</v>
      </c>
      <c r="AD316" s="6" t="s">
        <v>100</v>
      </c>
      <c r="AE316" s="6" t="s">
        <v>99</v>
      </c>
      <c r="AF316" s="15" t="s">
        <v>3071</v>
      </c>
      <c r="AG316" s="6" t="s">
        <v>99</v>
      </c>
      <c r="AH316" s="6" t="s">
        <v>99</v>
      </c>
      <c r="AI316" s="6" t="s">
        <v>99</v>
      </c>
      <c r="AJ316" s="6" t="s">
        <v>99</v>
      </c>
      <c r="AK316" s="6"/>
      <c r="AL316" s="6">
        <v>79.7</v>
      </c>
      <c r="AN316" s="15">
        <v>95</v>
      </c>
      <c r="AO316" s="6">
        <v>106</v>
      </c>
      <c r="AP316" s="6">
        <v>43.7</v>
      </c>
      <c r="AQ316" s="6">
        <v>12</v>
      </c>
      <c r="AR316" s="6">
        <v>25</v>
      </c>
      <c r="AS316" s="6">
        <v>71</v>
      </c>
      <c r="AT316" s="6">
        <v>33</v>
      </c>
      <c r="AU316" s="6">
        <v>113</v>
      </c>
      <c r="AV316" s="6">
        <v>85</v>
      </c>
      <c r="DC316" s="91">
        <v>120</v>
      </c>
      <c r="DD316" s="82">
        <v>0.89</v>
      </c>
      <c r="DE316" s="91">
        <v>280</v>
      </c>
      <c r="DF316" s="91">
        <v>370</v>
      </c>
      <c r="DG316" s="9">
        <f t="shared" si="4"/>
        <v>5.3504973742101578</v>
      </c>
      <c r="DH316" s="82">
        <v>60</v>
      </c>
      <c r="DI316" s="82">
        <v>6.94</v>
      </c>
      <c r="DJ316" s="6"/>
      <c r="DK316" s="6"/>
      <c r="DL316" s="6">
        <v>57</v>
      </c>
      <c r="DM316" s="6">
        <v>163</v>
      </c>
      <c r="DN316" s="6"/>
      <c r="DP316" s="11">
        <v>3</v>
      </c>
      <c r="DQ316" s="6" t="s">
        <v>105</v>
      </c>
      <c r="DR316" s="9">
        <v>2</v>
      </c>
      <c r="DT316" s="9">
        <v>14.8</v>
      </c>
      <c r="DU316" s="9">
        <v>3.24</v>
      </c>
    </row>
    <row r="317" spans="1:125" x14ac:dyDescent="0.2">
      <c r="A317" s="102">
        <v>238</v>
      </c>
      <c r="B317" s="8">
        <v>42934</v>
      </c>
      <c r="C317" s="6" t="s">
        <v>95</v>
      </c>
      <c r="D317" s="6">
        <v>46</v>
      </c>
      <c r="E317" s="6"/>
      <c r="G317" s="6"/>
      <c r="H317" s="6" t="s">
        <v>3072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W317" s="6"/>
      <c r="X317" s="6"/>
      <c r="Y317" s="6"/>
      <c r="AB317" s="6"/>
      <c r="AC317" s="6"/>
      <c r="AE317" s="6"/>
      <c r="AF317" s="6"/>
      <c r="AG317" s="6"/>
      <c r="AH317" s="6"/>
      <c r="AI317" s="6"/>
      <c r="AJ317" s="6"/>
      <c r="AK317" s="6"/>
      <c r="AL317" s="6"/>
      <c r="AN317" s="6"/>
      <c r="AO317" s="6"/>
      <c r="AP317" s="6"/>
      <c r="AQ317" s="6"/>
      <c r="AR317" s="6"/>
      <c r="AS317" s="6"/>
      <c r="AT317" s="6"/>
      <c r="AU317" s="6"/>
      <c r="AV317" s="6"/>
      <c r="DC317" s="6">
        <v>96.2</v>
      </c>
      <c r="DD317" s="6">
        <v>0.35</v>
      </c>
      <c r="DE317" s="15">
        <v>221</v>
      </c>
      <c r="DF317" s="6"/>
      <c r="DG317" s="9" t="e">
        <f t="shared" si="4"/>
        <v>#NUM!</v>
      </c>
      <c r="DH317" s="6"/>
      <c r="DI317" s="6">
        <v>6.59</v>
      </c>
      <c r="DJ317" s="6"/>
      <c r="DK317" s="6"/>
      <c r="DL317" s="6">
        <v>42.9</v>
      </c>
      <c r="DM317" s="6"/>
      <c r="DN317" s="6"/>
      <c r="DP317" s="11">
        <v>3</v>
      </c>
      <c r="DQ317" s="6" t="s">
        <v>105</v>
      </c>
      <c r="DR317" s="9">
        <v>2</v>
      </c>
    </row>
    <row r="318" spans="1:125" x14ac:dyDescent="0.2">
      <c r="A318" s="78">
        <v>239</v>
      </c>
      <c r="B318" s="8">
        <v>42926</v>
      </c>
      <c r="C318" s="6" t="s">
        <v>95</v>
      </c>
      <c r="D318" s="6">
        <v>59</v>
      </c>
      <c r="E318" s="6" t="s">
        <v>100</v>
      </c>
      <c r="F318" s="17">
        <v>21232</v>
      </c>
      <c r="G318" s="6" t="s">
        <v>197</v>
      </c>
      <c r="H318" s="6" t="s">
        <v>3001</v>
      </c>
      <c r="I318" s="9">
        <v>16</v>
      </c>
      <c r="J318" s="10">
        <v>48</v>
      </c>
      <c r="K318" s="9">
        <v>31</v>
      </c>
      <c r="L318" s="6">
        <v>2</v>
      </c>
      <c r="M318" s="6" t="s">
        <v>99</v>
      </c>
      <c r="N318" s="6" t="s">
        <v>99</v>
      </c>
      <c r="O318" s="15" t="s">
        <v>3073</v>
      </c>
      <c r="P318" s="6" t="s">
        <v>99</v>
      </c>
      <c r="Q318" s="6" t="s">
        <v>99</v>
      </c>
      <c r="R318" s="6" t="s">
        <v>99</v>
      </c>
      <c r="S318" s="6" t="s">
        <v>99</v>
      </c>
      <c r="T318" s="6" t="s">
        <v>99</v>
      </c>
      <c r="U318" s="6" t="s">
        <v>99</v>
      </c>
      <c r="W318" s="6" t="s">
        <v>99</v>
      </c>
      <c r="X318" s="6" t="s">
        <v>99</v>
      </c>
      <c r="Y318" s="6" t="s">
        <v>99</v>
      </c>
      <c r="AA318" s="6" t="s">
        <v>100</v>
      </c>
      <c r="AB318" s="6" t="s">
        <v>100</v>
      </c>
      <c r="AC318" s="6" t="s">
        <v>100</v>
      </c>
      <c r="AD318" s="6" t="s">
        <v>100</v>
      </c>
      <c r="AE318" s="15" t="s">
        <v>118</v>
      </c>
      <c r="AF318" s="6" t="s">
        <v>99</v>
      </c>
      <c r="AG318" s="15" t="s">
        <v>3074</v>
      </c>
      <c r="AH318" s="6" t="s">
        <v>99</v>
      </c>
      <c r="AI318" s="15" t="s">
        <v>125</v>
      </c>
      <c r="AJ318" s="6" t="s">
        <v>99</v>
      </c>
      <c r="AK318" s="6"/>
      <c r="AL318" s="6">
        <v>58.1</v>
      </c>
      <c r="AM318" s="9">
        <v>158</v>
      </c>
      <c r="AN318" s="6">
        <v>75.5</v>
      </c>
      <c r="AO318" s="6">
        <v>95</v>
      </c>
      <c r="AP318" s="6">
        <v>33.299999999999997</v>
      </c>
      <c r="AQ318" s="6">
        <v>7</v>
      </c>
      <c r="AR318" s="6">
        <v>27.8</v>
      </c>
      <c r="AS318" s="6">
        <v>51</v>
      </c>
      <c r="AT318" s="79">
        <v>23.3</v>
      </c>
      <c r="AU318" s="6">
        <v>102</v>
      </c>
      <c r="AV318" s="6">
        <v>78</v>
      </c>
      <c r="DC318" s="91">
        <v>101</v>
      </c>
      <c r="DD318" s="82">
        <v>0.94</v>
      </c>
      <c r="DE318" s="91">
        <v>201</v>
      </c>
      <c r="DF318" s="91">
        <v>159</v>
      </c>
      <c r="DG318" s="9">
        <f t="shared" si="4"/>
        <v>4.8420123595307452</v>
      </c>
      <c r="DH318" s="82">
        <v>31</v>
      </c>
      <c r="DI318" s="82">
        <v>4.13</v>
      </c>
      <c r="DJ318" s="6"/>
      <c r="DK318" s="6"/>
      <c r="DL318" s="6">
        <v>57</v>
      </c>
      <c r="DM318" s="6">
        <v>113</v>
      </c>
      <c r="DN318" s="6"/>
      <c r="DP318" s="11">
        <v>2</v>
      </c>
      <c r="DQ318" s="6" t="s">
        <v>111</v>
      </c>
      <c r="DR318" s="9">
        <v>3</v>
      </c>
      <c r="DU318" s="9">
        <v>4.5</v>
      </c>
    </row>
    <row r="319" spans="1:125" x14ac:dyDescent="0.2">
      <c r="A319" s="78">
        <v>240</v>
      </c>
      <c r="B319" s="8">
        <v>42926</v>
      </c>
      <c r="C319" s="6" t="s">
        <v>95</v>
      </c>
      <c r="D319" s="6">
        <v>46</v>
      </c>
      <c r="E319" s="16" t="s">
        <v>840</v>
      </c>
      <c r="F319" s="17">
        <v>25796</v>
      </c>
      <c r="G319" s="6" t="s">
        <v>197</v>
      </c>
      <c r="H319" s="6" t="s">
        <v>3001</v>
      </c>
      <c r="I319" s="9">
        <v>12</v>
      </c>
      <c r="J319" s="9" t="s">
        <v>99</v>
      </c>
      <c r="K319" s="9">
        <v>2007</v>
      </c>
      <c r="L319" s="16" t="s">
        <v>2626</v>
      </c>
      <c r="M319" s="6" t="s">
        <v>99</v>
      </c>
      <c r="N319" s="6" t="s">
        <v>99</v>
      </c>
      <c r="O319" s="6" t="s">
        <v>99</v>
      </c>
      <c r="P319" s="6" t="s">
        <v>99</v>
      </c>
      <c r="Q319" s="6" t="s">
        <v>99</v>
      </c>
      <c r="R319" s="6"/>
      <c r="S319" s="6" t="s">
        <v>99</v>
      </c>
      <c r="T319" s="6" t="s">
        <v>110</v>
      </c>
      <c r="U319" s="6" t="s">
        <v>3075</v>
      </c>
      <c r="W319" s="6" t="s">
        <v>2810</v>
      </c>
      <c r="X319" s="6" t="s">
        <v>99</v>
      </c>
      <c r="Y319" s="6" t="s">
        <v>3076</v>
      </c>
      <c r="AA319" s="16" t="s">
        <v>840</v>
      </c>
      <c r="AB319" s="16" t="s">
        <v>840</v>
      </c>
      <c r="AC319" s="16" t="s">
        <v>840</v>
      </c>
      <c r="AD319" s="9" t="s">
        <v>2234</v>
      </c>
      <c r="AE319" s="15" t="s">
        <v>3077</v>
      </c>
      <c r="AF319" s="6" t="s">
        <v>99</v>
      </c>
      <c r="AG319" s="15" t="s">
        <v>3078</v>
      </c>
      <c r="AH319" s="15" t="s">
        <v>125</v>
      </c>
      <c r="AI319" s="6" t="s">
        <v>99</v>
      </c>
      <c r="AJ319" s="6" t="s">
        <v>99</v>
      </c>
      <c r="AK319" s="6" t="s">
        <v>99</v>
      </c>
      <c r="AL319" s="6">
        <v>68.2</v>
      </c>
      <c r="AM319" s="9">
        <v>167</v>
      </c>
      <c r="AN319" s="6">
        <v>77</v>
      </c>
      <c r="AO319" s="6">
        <v>100</v>
      </c>
      <c r="AP319" s="6">
        <v>39.9</v>
      </c>
      <c r="AQ319" s="6">
        <v>7</v>
      </c>
      <c r="AR319" s="6">
        <v>24.1</v>
      </c>
      <c r="AS319" s="6">
        <v>47</v>
      </c>
      <c r="AT319" s="79">
        <v>24.5</v>
      </c>
      <c r="AU319" s="6">
        <v>99</v>
      </c>
      <c r="AV319" s="6">
        <v>74</v>
      </c>
      <c r="DC319" s="91">
        <v>110</v>
      </c>
      <c r="DD319" s="82">
        <v>0.65</v>
      </c>
      <c r="DE319" s="91">
        <v>209</v>
      </c>
      <c r="DF319" s="91">
        <v>184</v>
      </c>
      <c r="DG319" s="9">
        <f t="shared" si="4"/>
        <v>4.9577080617007008</v>
      </c>
      <c r="DH319" s="82">
        <v>36</v>
      </c>
      <c r="DI319" s="82">
        <v>4.6500000000000004</v>
      </c>
      <c r="DJ319" s="6"/>
      <c r="DK319" s="6"/>
      <c r="DL319" s="6">
        <v>47</v>
      </c>
      <c r="DM319" s="6">
        <v>126</v>
      </c>
      <c r="DN319" s="6"/>
      <c r="DP319" s="11">
        <v>2</v>
      </c>
      <c r="DQ319" s="6" t="s">
        <v>111</v>
      </c>
      <c r="DR319" s="9">
        <v>3</v>
      </c>
      <c r="DU319" s="9">
        <v>6.1</v>
      </c>
    </row>
    <row r="320" spans="1:125" x14ac:dyDescent="0.2">
      <c r="A320" s="6">
        <v>241</v>
      </c>
      <c r="B320" s="8">
        <v>42926</v>
      </c>
      <c r="C320" s="6" t="s">
        <v>95</v>
      </c>
      <c r="D320" s="6">
        <v>59</v>
      </c>
      <c r="E320" s="6" t="s">
        <v>2234</v>
      </c>
      <c r="F320" s="17">
        <v>21053</v>
      </c>
      <c r="G320" s="6" t="s">
        <v>3079</v>
      </c>
      <c r="H320" s="6" t="s">
        <v>3080</v>
      </c>
      <c r="I320" s="9">
        <v>12</v>
      </c>
      <c r="J320" s="10">
        <v>41</v>
      </c>
      <c r="K320" s="9">
        <v>40</v>
      </c>
      <c r="L320" s="16" t="s">
        <v>2546</v>
      </c>
      <c r="M320" s="6" t="s">
        <v>99</v>
      </c>
      <c r="N320" s="6" t="s">
        <v>99</v>
      </c>
      <c r="O320" s="6" t="s">
        <v>99</v>
      </c>
      <c r="P320" s="6" t="s">
        <v>99</v>
      </c>
      <c r="Q320" s="6" t="s">
        <v>99</v>
      </c>
      <c r="R320" s="6"/>
      <c r="S320" s="6" t="s">
        <v>110</v>
      </c>
      <c r="T320" s="6" t="s">
        <v>110</v>
      </c>
      <c r="U320" s="6" t="s">
        <v>2308</v>
      </c>
      <c r="V320" s="9" t="s">
        <v>99</v>
      </c>
      <c r="W320" s="6" t="s">
        <v>99</v>
      </c>
      <c r="X320" s="6" t="s">
        <v>99</v>
      </c>
      <c r="Y320" s="6" t="s">
        <v>1903</v>
      </c>
      <c r="AA320" s="6" t="s">
        <v>2234</v>
      </c>
      <c r="AB320" s="6" t="s">
        <v>100</v>
      </c>
      <c r="AC320" s="6" t="s">
        <v>2234</v>
      </c>
      <c r="AD320" s="6" t="s">
        <v>100</v>
      </c>
      <c r="AE320" s="6" t="s">
        <v>99</v>
      </c>
      <c r="AF320" s="15" t="s">
        <v>123</v>
      </c>
      <c r="AG320" s="15" t="s">
        <v>3081</v>
      </c>
      <c r="AH320" s="6" t="s">
        <v>99</v>
      </c>
      <c r="AI320" s="6" t="s">
        <v>99</v>
      </c>
      <c r="AJ320" s="6" t="s">
        <v>99</v>
      </c>
      <c r="AK320" s="6" t="s">
        <v>99</v>
      </c>
      <c r="AL320" s="6">
        <v>67.900000000000006</v>
      </c>
      <c r="AM320" s="9">
        <v>160</v>
      </c>
      <c r="AN320" s="6">
        <v>80</v>
      </c>
      <c r="AO320" s="6">
        <v>103</v>
      </c>
      <c r="AP320" s="6">
        <v>39.9</v>
      </c>
      <c r="AQ320" s="6">
        <v>9</v>
      </c>
      <c r="AR320" s="6">
        <v>25.5</v>
      </c>
      <c r="AS320" s="6">
        <v>60</v>
      </c>
      <c r="AT320" s="6">
        <v>26.9</v>
      </c>
      <c r="AU320" s="6">
        <v>107</v>
      </c>
      <c r="AV320" s="6">
        <v>77</v>
      </c>
      <c r="AX320" s="9" t="s">
        <v>3082</v>
      </c>
      <c r="AY320" s="9" t="s">
        <v>3083</v>
      </c>
      <c r="AZ320" s="9" t="s">
        <v>3084</v>
      </c>
      <c r="BB320" s="9" t="s">
        <v>750</v>
      </c>
      <c r="BC320" s="9" t="s">
        <v>2554</v>
      </c>
      <c r="BF320" s="9" t="s">
        <v>683</v>
      </c>
      <c r="BG320" s="9" t="s">
        <v>683</v>
      </c>
      <c r="BH320" s="9" t="s">
        <v>3085</v>
      </c>
      <c r="BI320" s="9" t="s">
        <v>3086</v>
      </c>
      <c r="BJ320" s="9" t="s">
        <v>3087</v>
      </c>
      <c r="BK320" s="9" t="s">
        <v>683</v>
      </c>
      <c r="BM320" s="9" t="s">
        <v>3088</v>
      </c>
      <c r="BN320" s="9" t="s">
        <v>179</v>
      </c>
      <c r="BV320" s="9" t="s">
        <v>3089</v>
      </c>
      <c r="BW320" s="9" t="s">
        <v>3090</v>
      </c>
      <c r="BX320" s="9" t="s">
        <v>3091</v>
      </c>
      <c r="BZ320" s="9" t="s">
        <v>3092</v>
      </c>
      <c r="CH320" s="9" t="s">
        <v>3093</v>
      </c>
      <c r="CL320" s="9" t="s">
        <v>3094</v>
      </c>
      <c r="CM320" s="9" t="s">
        <v>3095</v>
      </c>
      <c r="CP320" s="9" t="s">
        <v>3096</v>
      </c>
      <c r="CQ320" s="9" t="s">
        <v>3097</v>
      </c>
      <c r="CR320" s="9" t="s">
        <v>3098</v>
      </c>
      <c r="CT320" s="9" t="s">
        <v>3099</v>
      </c>
      <c r="CU320" s="9" t="s">
        <v>3100</v>
      </c>
      <c r="CV320" s="9" t="s">
        <v>3101</v>
      </c>
      <c r="CW320" s="45">
        <v>43558</v>
      </c>
      <c r="CX320" s="9" t="s">
        <v>99</v>
      </c>
      <c r="CY320" s="9" t="s">
        <v>110</v>
      </c>
      <c r="CZ320" s="9">
        <v>50</v>
      </c>
      <c r="DA320" s="9">
        <v>50</v>
      </c>
      <c r="DB320" s="9">
        <v>50</v>
      </c>
      <c r="DC320" s="82">
        <v>98</v>
      </c>
      <c r="DD320" s="82">
        <v>0.65</v>
      </c>
      <c r="DE320" s="91">
        <v>210</v>
      </c>
      <c r="DF320" s="91">
        <v>152</v>
      </c>
      <c r="DG320" s="9">
        <f t="shared" si="4"/>
        <v>4.8044239997584244</v>
      </c>
      <c r="DH320" s="82">
        <v>30</v>
      </c>
      <c r="DI320" s="82">
        <v>5.9</v>
      </c>
      <c r="DJ320" s="6"/>
      <c r="DK320" s="6"/>
      <c r="DL320" s="6">
        <v>57</v>
      </c>
      <c r="DM320" s="6">
        <v>123</v>
      </c>
      <c r="DN320" s="6"/>
      <c r="DP320" s="18">
        <v>1</v>
      </c>
      <c r="DQ320" s="6" t="s">
        <v>111</v>
      </c>
      <c r="DR320" s="9">
        <v>3</v>
      </c>
      <c r="DT320" s="9">
        <v>17.399999999999999</v>
      </c>
      <c r="DU320" s="9">
        <v>5.86</v>
      </c>
    </row>
    <row r="321" spans="1:125" x14ac:dyDescent="0.2">
      <c r="A321" s="6">
        <v>242</v>
      </c>
      <c r="B321" s="8">
        <v>42926</v>
      </c>
      <c r="C321" s="6" t="s">
        <v>95</v>
      </c>
      <c r="D321" s="6">
        <v>50</v>
      </c>
      <c r="E321" s="6" t="s">
        <v>100</v>
      </c>
      <c r="F321" s="17">
        <v>24513</v>
      </c>
      <c r="G321" s="6" t="s">
        <v>813</v>
      </c>
      <c r="H321" s="6" t="s">
        <v>3102</v>
      </c>
      <c r="I321" s="9">
        <v>11</v>
      </c>
      <c r="J321" s="10">
        <v>41</v>
      </c>
      <c r="K321" s="9">
        <v>37</v>
      </c>
      <c r="L321" s="16" t="s">
        <v>3103</v>
      </c>
      <c r="M321" s="6" t="s">
        <v>99</v>
      </c>
      <c r="N321" s="6" t="s">
        <v>99</v>
      </c>
      <c r="O321" s="6" t="s">
        <v>99</v>
      </c>
      <c r="P321" s="6" t="s">
        <v>110</v>
      </c>
      <c r="Q321" s="6" t="s">
        <v>110</v>
      </c>
      <c r="R321" s="6" t="s">
        <v>110</v>
      </c>
      <c r="S321" s="6" t="s">
        <v>110</v>
      </c>
      <c r="T321" s="6" t="s">
        <v>110</v>
      </c>
      <c r="U321" s="6" t="s">
        <v>3104</v>
      </c>
      <c r="V321" s="9" t="s">
        <v>3105</v>
      </c>
      <c r="W321" s="16" t="s">
        <v>3106</v>
      </c>
      <c r="X321" s="6" t="s">
        <v>99</v>
      </c>
      <c r="Y321" s="6" t="s">
        <v>3107</v>
      </c>
      <c r="AA321" s="6" t="s">
        <v>100</v>
      </c>
      <c r="AB321" s="6" t="s">
        <v>100</v>
      </c>
      <c r="AC321" s="6" t="s">
        <v>100</v>
      </c>
      <c r="AD321" s="6" t="s">
        <v>100</v>
      </c>
      <c r="AE321" s="15" t="s">
        <v>122</v>
      </c>
      <c r="AF321" s="6" t="s">
        <v>99</v>
      </c>
      <c r="AG321" s="6" t="s">
        <v>99</v>
      </c>
      <c r="AH321" s="6" t="s">
        <v>99</v>
      </c>
      <c r="AI321" s="15" t="s">
        <v>118</v>
      </c>
      <c r="AJ321" s="6" t="s">
        <v>99</v>
      </c>
      <c r="AK321" s="15" t="s">
        <v>3108</v>
      </c>
      <c r="AL321" s="6">
        <v>68.3</v>
      </c>
      <c r="AM321" s="9">
        <v>165</v>
      </c>
      <c r="AN321" s="6">
        <v>80</v>
      </c>
      <c r="AO321" s="6">
        <v>106</v>
      </c>
      <c r="AP321" s="6">
        <v>36.4</v>
      </c>
      <c r="AQ321" s="6">
        <v>7</v>
      </c>
      <c r="AR321" s="6">
        <v>27.2</v>
      </c>
      <c r="AS321" s="6">
        <v>49</v>
      </c>
      <c r="AT321" s="6">
        <v>25.1</v>
      </c>
      <c r="AU321" s="6">
        <v>104</v>
      </c>
      <c r="AV321" s="6">
        <v>71</v>
      </c>
      <c r="DC321" s="91">
        <v>103</v>
      </c>
      <c r="DD321" s="82">
        <v>0.65</v>
      </c>
      <c r="DE321" s="91">
        <v>204</v>
      </c>
      <c r="DF321" s="82">
        <v>140</v>
      </c>
      <c r="DG321" s="9">
        <f t="shared" si="4"/>
        <v>4.7881857054194699</v>
      </c>
      <c r="DH321" s="82">
        <v>28</v>
      </c>
      <c r="DI321" s="82">
        <v>3.82</v>
      </c>
      <c r="DJ321" s="6"/>
      <c r="DK321" s="6"/>
      <c r="DL321" s="6">
        <v>73</v>
      </c>
      <c r="DM321" s="6">
        <v>103</v>
      </c>
      <c r="DN321" s="6"/>
      <c r="DP321" s="18">
        <v>1</v>
      </c>
      <c r="DQ321" s="6" t="s">
        <v>111</v>
      </c>
      <c r="DR321" s="9">
        <v>3</v>
      </c>
      <c r="DU321" s="9">
        <v>9.1</v>
      </c>
    </row>
    <row r="322" spans="1:125" x14ac:dyDescent="0.2">
      <c r="A322" s="16">
        <v>243</v>
      </c>
      <c r="B322" s="8">
        <v>42926</v>
      </c>
      <c r="C322" s="6" t="s">
        <v>95</v>
      </c>
      <c r="D322" s="6">
        <v>68</v>
      </c>
      <c r="E322" s="6" t="s">
        <v>100</v>
      </c>
      <c r="F322" s="17">
        <v>18185</v>
      </c>
      <c r="G322" s="6" t="s">
        <v>197</v>
      </c>
      <c r="H322" s="6" t="s">
        <v>3001</v>
      </c>
      <c r="I322" s="9">
        <v>13</v>
      </c>
      <c r="J322" s="10">
        <v>50</v>
      </c>
      <c r="K322" s="9">
        <v>1977</v>
      </c>
      <c r="L322" s="6">
        <v>5</v>
      </c>
      <c r="M322" s="15" t="s">
        <v>3109</v>
      </c>
      <c r="N322" s="15" t="s">
        <v>3110</v>
      </c>
      <c r="O322" s="15" t="s">
        <v>3111</v>
      </c>
      <c r="P322" s="6" t="s">
        <v>99</v>
      </c>
      <c r="Q322" s="6" t="s">
        <v>110</v>
      </c>
      <c r="R322" s="6" t="s">
        <v>110</v>
      </c>
      <c r="S322" s="6" t="s">
        <v>99</v>
      </c>
      <c r="T322" s="6" t="s">
        <v>110</v>
      </c>
      <c r="U322" s="6" t="s">
        <v>3054</v>
      </c>
      <c r="W322" s="6" t="s">
        <v>3054</v>
      </c>
      <c r="X322" s="6" t="s">
        <v>99</v>
      </c>
      <c r="Y322" s="6" t="s">
        <v>1903</v>
      </c>
      <c r="AA322" s="6" t="s">
        <v>100</v>
      </c>
      <c r="AB322" s="6" t="s">
        <v>100</v>
      </c>
      <c r="AC322" s="6" t="s">
        <v>100</v>
      </c>
      <c r="AD322" s="6" t="s">
        <v>100</v>
      </c>
      <c r="AE322" s="15" t="s">
        <v>3112</v>
      </c>
      <c r="AF322" s="15" t="s">
        <v>118</v>
      </c>
      <c r="AG322" s="15" t="s">
        <v>3063</v>
      </c>
      <c r="AH322" s="6" t="s">
        <v>99</v>
      </c>
      <c r="AI322" s="6" t="s">
        <v>99</v>
      </c>
      <c r="AJ322" s="6" t="s">
        <v>99</v>
      </c>
      <c r="AK322" s="6" t="s">
        <v>99</v>
      </c>
      <c r="AL322" s="6">
        <v>62.1</v>
      </c>
      <c r="AM322" s="9">
        <v>150</v>
      </c>
      <c r="AN322" s="15">
        <v>89</v>
      </c>
      <c r="AO322" s="6">
        <v>93</v>
      </c>
      <c r="AP322" s="6">
        <v>41.5</v>
      </c>
      <c r="AQ322" s="6">
        <v>10</v>
      </c>
      <c r="AR322" s="6">
        <v>24.5</v>
      </c>
      <c r="AS322" s="6">
        <v>68</v>
      </c>
      <c r="AT322" s="6">
        <v>27.6</v>
      </c>
      <c r="AU322" s="15">
        <v>168</v>
      </c>
      <c r="AV322" s="15">
        <v>91</v>
      </c>
      <c r="DC322" s="15">
        <v>196.3</v>
      </c>
      <c r="DD322" s="6">
        <v>0.81</v>
      </c>
      <c r="DE322" s="15">
        <v>240</v>
      </c>
      <c r="DF322" s="15">
        <v>444</v>
      </c>
      <c r="DG322" s="9">
        <f t="shared" si="4"/>
        <v>5.6877343318573201</v>
      </c>
      <c r="DH322" s="6"/>
      <c r="DI322" s="6">
        <v>8.83</v>
      </c>
      <c r="DJ322" s="6"/>
      <c r="DK322" s="6"/>
      <c r="DL322" s="6">
        <v>53.7</v>
      </c>
      <c r="DM322" s="6"/>
      <c r="DN322" s="6"/>
      <c r="DQ322" s="6" t="s">
        <v>111</v>
      </c>
      <c r="DR322" s="9">
        <v>3</v>
      </c>
      <c r="DT322" s="9">
        <v>5.19</v>
      </c>
      <c r="DU322" s="9">
        <v>9.2100000000000009</v>
      </c>
    </row>
    <row r="323" spans="1:125" x14ac:dyDescent="0.2">
      <c r="A323" s="6">
        <v>244</v>
      </c>
      <c r="B323" s="8">
        <v>42926</v>
      </c>
      <c r="C323" s="6" t="s">
        <v>95</v>
      </c>
      <c r="D323" s="6">
        <v>79</v>
      </c>
      <c r="E323" s="6" t="s">
        <v>100</v>
      </c>
      <c r="F323" s="17">
        <v>14198</v>
      </c>
      <c r="G323" s="6" t="s">
        <v>3009</v>
      </c>
      <c r="H323" s="6" t="s">
        <v>3001</v>
      </c>
      <c r="I323" s="9">
        <v>13</v>
      </c>
      <c r="J323" s="10" t="s">
        <v>3113</v>
      </c>
      <c r="K323" s="9">
        <v>38</v>
      </c>
      <c r="L323" s="16" t="s">
        <v>2598</v>
      </c>
      <c r="M323" s="6" t="s">
        <v>99</v>
      </c>
      <c r="N323" s="15" t="s">
        <v>3114</v>
      </c>
      <c r="O323" s="6" t="s">
        <v>99</v>
      </c>
      <c r="P323" s="6" t="s">
        <v>99</v>
      </c>
      <c r="Q323" s="6" t="s">
        <v>99</v>
      </c>
      <c r="R323" s="6" t="s">
        <v>99</v>
      </c>
      <c r="S323" s="6" t="s">
        <v>110</v>
      </c>
      <c r="T323" s="6" t="s">
        <v>110</v>
      </c>
      <c r="U323" s="6" t="s">
        <v>3115</v>
      </c>
      <c r="V323" s="9" t="s">
        <v>99</v>
      </c>
      <c r="W323" s="6" t="s">
        <v>3116</v>
      </c>
      <c r="X323" s="6"/>
      <c r="Y323" s="6" t="s">
        <v>1903</v>
      </c>
      <c r="AA323" s="6" t="s">
        <v>100</v>
      </c>
      <c r="AB323" s="6" t="s">
        <v>100</v>
      </c>
      <c r="AC323" s="6" t="s">
        <v>100</v>
      </c>
      <c r="AD323" s="6" t="s">
        <v>100</v>
      </c>
      <c r="AE323" s="15" t="s">
        <v>3117</v>
      </c>
      <c r="AF323" s="15" t="s">
        <v>118</v>
      </c>
      <c r="AG323" s="15" t="s">
        <v>2849</v>
      </c>
      <c r="AH323" s="6" t="s">
        <v>99</v>
      </c>
      <c r="AI323" s="6"/>
      <c r="AJ323" s="6"/>
      <c r="AK323" s="6"/>
      <c r="AL323" s="6">
        <v>54.4</v>
      </c>
      <c r="AN323" s="6">
        <v>70</v>
      </c>
      <c r="AO323" s="6">
        <v>91</v>
      </c>
      <c r="AP323" s="6">
        <v>35.6</v>
      </c>
      <c r="AQ323" s="6">
        <v>8</v>
      </c>
      <c r="AR323" s="6">
        <v>25.2</v>
      </c>
      <c r="AS323" s="6">
        <v>63</v>
      </c>
      <c r="AT323" s="79">
        <v>23.2</v>
      </c>
      <c r="AU323" s="15">
        <v>134</v>
      </c>
      <c r="AV323" s="15">
        <v>84</v>
      </c>
      <c r="AX323" s="9" t="s">
        <v>3118</v>
      </c>
      <c r="AY323" s="9" t="s">
        <v>2878</v>
      </c>
      <c r="AZ323" s="9" t="s">
        <v>3119</v>
      </c>
      <c r="BB323" s="9" t="s">
        <v>2950</v>
      </c>
      <c r="BC323" s="9" t="s">
        <v>3120</v>
      </c>
      <c r="BD323" s="9" t="s">
        <v>3121</v>
      </c>
      <c r="BG323" s="9" t="s">
        <v>1099</v>
      </c>
      <c r="BI323" s="9" t="s">
        <v>1173</v>
      </c>
      <c r="BJ323" s="9" t="s">
        <v>176</v>
      </c>
      <c r="BN323" s="9" t="s">
        <v>219</v>
      </c>
      <c r="BO323" s="9" t="s">
        <v>179</v>
      </c>
      <c r="BP323" s="9" t="s">
        <v>3122</v>
      </c>
      <c r="BZ323" s="9" t="s">
        <v>3123</v>
      </c>
      <c r="CA323" s="9" t="s">
        <v>3124</v>
      </c>
      <c r="CB323" s="9" t="s">
        <v>3125</v>
      </c>
      <c r="CL323" s="9" t="s">
        <v>579</v>
      </c>
      <c r="CM323" s="9" t="s">
        <v>2590</v>
      </c>
      <c r="CP323" s="9" t="s">
        <v>3126</v>
      </c>
      <c r="CQ323" s="9" t="s">
        <v>3127</v>
      </c>
      <c r="CR323" s="9" t="s">
        <v>3128</v>
      </c>
      <c r="CW323" s="9">
        <v>4</v>
      </c>
      <c r="CX323" s="9" t="s">
        <v>99</v>
      </c>
      <c r="CY323" s="9" t="s">
        <v>110</v>
      </c>
      <c r="DC323" s="82">
        <v>90</v>
      </c>
      <c r="DD323" s="82">
        <v>0.7</v>
      </c>
      <c r="DE323" s="91">
        <v>238</v>
      </c>
      <c r="DF323" s="91">
        <v>156</v>
      </c>
      <c r="DG323" s="9">
        <f t="shared" ref="DG323:DG386" si="5">LN(DF323*DC323)/2</f>
        <v>4.7748328387899006</v>
      </c>
      <c r="DH323" s="82">
        <v>31</v>
      </c>
      <c r="DI323" s="82">
        <v>4.76</v>
      </c>
      <c r="DJ323" s="6"/>
      <c r="DK323" s="6"/>
      <c r="DL323" s="6">
        <v>55</v>
      </c>
      <c r="DM323" s="6">
        <v>152</v>
      </c>
      <c r="DN323" s="6"/>
      <c r="DP323" s="11">
        <v>2</v>
      </c>
      <c r="DQ323" s="6" t="s">
        <v>105</v>
      </c>
      <c r="DR323" s="9">
        <v>2</v>
      </c>
      <c r="DU323" s="9">
        <v>8.3000000000000007</v>
      </c>
    </row>
    <row r="324" spans="1:125" x14ac:dyDescent="0.2">
      <c r="A324" s="16">
        <v>245</v>
      </c>
      <c r="B324" s="8">
        <v>42926</v>
      </c>
      <c r="C324" s="6" t="s">
        <v>95</v>
      </c>
      <c r="D324" s="6">
        <v>54</v>
      </c>
      <c r="E324" s="88" t="s">
        <v>1203</v>
      </c>
      <c r="F324" s="17">
        <v>22925</v>
      </c>
      <c r="G324" s="6" t="s">
        <v>197</v>
      </c>
      <c r="H324" s="6" t="s">
        <v>3001</v>
      </c>
      <c r="I324" s="9">
        <v>12</v>
      </c>
      <c r="J324" s="10">
        <v>47</v>
      </c>
      <c r="K324" s="9">
        <v>1991</v>
      </c>
      <c r="L324" s="6">
        <v>2</v>
      </c>
      <c r="M324" s="6" t="s">
        <v>99</v>
      </c>
      <c r="N324" s="15" t="s">
        <v>3129</v>
      </c>
      <c r="O324" s="6" t="s">
        <v>99</v>
      </c>
      <c r="P324" s="6" t="s">
        <v>99</v>
      </c>
      <c r="Q324" s="6" t="s">
        <v>99</v>
      </c>
      <c r="R324" s="6" t="s">
        <v>110</v>
      </c>
      <c r="S324" s="6" t="s">
        <v>99</v>
      </c>
      <c r="T324" s="6" t="s">
        <v>110</v>
      </c>
      <c r="U324" s="6" t="s">
        <v>3130</v>
      </c>
      <c r="W324" s="6" t="s">
        <v>3131</v>
      </c>
      <c r="X324" s="6" t="s">
        <v>99</v>
      </c>
      <c r="Y324" s="6" t="s">
        <v>2949</v>
      </c>
      <c r="AA324" s="88" t="s">
        <v>1203</v>
      </c>
      <c r="AB324" s="88" t="s">
        <v>1203</v>
      </c>
      <c r="AC324" s="88" t="s">
        <v>1203</v>
      </c>
      <c r="AD324" s="88" t="s">
        <v>1203</v>
      </c>
      <c r="AE324" s="15" t="s">
        <v>118</v>
      </c>
      <c r="AF324" s="15" t="s">
        <v>118</v>
      </c>
      <c r="AG324" s="15" t="s">
        <v>125</v>
      </c>
      <c r="AH324" s="6"/>
      <c r="AI324" s="6"/>
      <c r="AJ324" s="6"/>
      <c r="AK324" s="15" t="s">
        <v>3132</v>
      </c>
      <c r="AL324" s="6">
        <v>70.099999999999994</v>
      </c>
      <c r="AM324" s="9">
        <v>157</v>
      </c>
      <c r="AN324" s="6">
        <v>80</v>
      </c>
      <c r="AO324" s="6">
        <v>105</v>
      </c>
      <c r="AP324" s="6">
        <v>45.6</v>
      </c>
      <c r="AQ324" s="6">
        <v>10</v>
      </c>
      <c r="AR324" s="6">
        <v>22.2</v>
      </c>
      <c r="AS324" s="6">
        <v>62</v>
      </c>
      <c r="AT324" s="6">
        <v>28.4</v>
      </c>
      <c r="AU324" s="16">
        <v>160</v>
      </c>
      <c r="AV324" s="16">
        <v>107</v>
      </c>
      <c r="DC324" s="91">
        <v>109.9</v>
      </c>
      <c r="DD324" s="82">
        <v>0.56000000000000005</v>
      </c>
      <c r="DE324" s="91">
        <v>228</v>
      </c>
      <c r="DF324" s="91">
        <v>152</v>
      </c>
      <c r="DG324" s="9">
        <f t="shared" si="5"/>
        <v>4.8617256911279263</v>
      </c>
      <c r="DH324" s="82">
        <v>30</v>
      </c>
      <c r="DI324" s="82">
        <v>5.88</v>
      </c>
      <c r="DJ324" s="6"/>
      <c r="DK324" s="6"/>
      <c r="DL324" s="6">
        <v>81</v>
      </c>
      <c r="DM324" s="6">
        <v>117</v>
      </c>
      <c r="DN324" s="6"/>
      <c r="DP324" s="11">
        <v>3</v>
      </c>
      <c r="DQ324" s="6" t="s">
        <v>111</v>
      </c>
      <c r="DR324" s="9">
        <v>3</v>
      </c>
      <c r="DU324" s="9">
        <v>9.5</v>
      </c>
    </row>
    <row r="325" spans="1:125" x14ac:dyDescent="0.2">
      <c r="A325" s="103">
        <v>246</v>
      </c>
      <c r="B325" s="8">
        <v>42926</v>
      </c>
      <c r="C325" s="6" t="s">
        <v>95</v>
      </c>
      <c r="D325" s="6">
        <v>52</v>
      </c>
      <c r="E325" s="86" t="s">
        <v>155</v>
      </c>
      <c r="F325" s="17">
        <v>23660</v>
      </c>
      <c r="G325" s="6" t="s">
        <v>234</v>
      </c>
      <c r="H325" s="6" t="s">
        <v>3001</v>
      </c>
      <c r="I325" s="9">
        <v>15</v>
      </c>
      <c r="J325" s="9" t="s">
        <v>99</v>
      </c>
      <c r="K325" s="9">
        <v>39</v>
      </c>
      <c r="L325" s="6">
        <v>3</v>
      </c>
      <c r="M325" s="6" t="s">
        <v>99</v>
      </c>
      <c r="N325" s="6" t="s">
        <v>99</v>
      </c>
      <c r="O325" s="6" t="s">
        <v>99</v>
      </c>
      <c r="P325" s="6" t="s">
        <v>99</v>
      </c>
      <c r="Q325" s="6" t="s">
        <v>99</v>
      </c>
      <c r="R325" s="6"/>
      <c r="S325" s="6" t="s">
        <v>99</v>
      </c>
      <c r="T325" s="6" t="s">
        <v>110</v>
      </c>
      <c r="U325" s="6" t="s">
        <v>3133</v>
      </c>
      <c r="W325" s="6" t="s">
        <v>99</v>
      </c>
      <c r="X325" s="6" t="s">
        <v>99</v>
      </c>
      <c r="Y325" s="6" t="s">
        <v>3134</v>
      </c>
      <c r="AA325" s="86" t="s">
        <v>155</v>
      </c>
      <c r="AB325" s="86" t="s">
        <v>155</v>
      </c>
      <c r="AC325" s="86" t="s">
        <v>204</v>
      </c>
      <c r="AD325" s="36" t="s">
        <v>3135</v>
      </c>
      <c r="AE325" s="15" t="s">
        <v>2268</v>
      </c>
      <c r="AF325" s="6" t="s">
        <v>99</v>
      </c>
      <c r="AG325" s="15" t="s">
        <v>118</v>
      </c>
      <c r="AH325" s="6" t="s">
        <v>99</v>
      </c>
      <c r="AI325" s="6" t="s">
        <v>99</v>
      </c>
      <c r="AJ325" s="6" t="s">
        <v>99</v>
      </c>
      <c r="AK325" s="6" t="s">
        <v>99</v>
      </c>
      <c r="AL325" s="6">
        <v>69.099999999999994</v>
      </c>
      <c r="AM325" s="9">
        <v>162</v>
      </c>
      <c r="AN325" s="6">
        <v>70</v>
      </c>
      <c r="AO325" s="6">
        <v>109</v>
      </c>
      <c r="AP325" s="6">
        <v>41.7</v>
      </c>
      <c r="AQ325" s="6">
        <v>8</v>
      </c>
      <c r="AR325" s="6">
        <v>24</v>
      </c>
      <c r="AS325" s="6">
        <v>54</v>
      </c>
      <c r="AT325" s="6">
        <v>26.3</v>
      </c>
      <c r="AU325" s="6">
        <v>104</v>
      </c>
      <c r="AV325" s="6">
        <v>72</v>
      </c>
      <c r="AX325" s="9" t="s">
        <v>2049</v>
      </c>
      <c r="AY325" s="9" t="s">
        <v>3136</v>
      </c>
      <c r="AZ325" s="9" t="s">
        <v>2633</v>
      </c>
      <c r="BB325" s="9" t="s">
        <v>346</v>
      </c>
      <c r="BC325" s="9" t="s">
        <v>3137</v>
      </c>
      <c r="BD325" s="9" t="s">
        <v>3138</v>
      </c>
      <c r="BF325" s="9" t="s">
        <v>3139</v>
      </c>
      <c r="BG325" s="9" t="s">
        <v>176</v>
      </c>
      <c r="BH325" s="9" t="s">
        <v>655</v>
      </c>
      <c r="BI325" s="9" t="s">
        <v>350</v>
      </c>
      <c r="BJ325" s="9" t="s">
        <v>176</v>
      </c>
      <c r="BN325" s="9" t="s">
        <v>3140</v>
      </c>
      <c r="BZ325" s="9" t="s">
        <v>3140</v>
      </c>
      <c r="CL325" s="9" t="s">
        <v>3141</v>
      </c>
      <c r="CM325" s="9" t="s">
        <v>3142</v>
      </c>
      <c r="CN325" s="9" t="s">
        <v>2448</v>
      </c>
      <c r="CP325" s="9" t="s">
        <v>2641</v>
      </c>
      <c r="CQ325" s="9" t="s">
        <v>3143</v>
      </c>
      <c r="CR325" s="9" t="s">
        <v>3144</v>
      </c>
      <c r="CW325" s="9">
        <v>3</v>
      </c>
      <c r="CX325" s="9" t="s">
        <v>110</v>
      </c>
      <c r="CY325" s="9" t="s">
        <v>110</v>
      </c>
      <c r="CZ325" s="9">
        <v>50</v>
      </c>
      <c r="DA325" s="9">
        <v>20</v>
      </c>
      <c r="DB325" s="9">
        <v>30</v>
      </c>
      <c r="DC325" s="82">
        <v>85</v>
      </c>
      <c r="DD325" s="82">
        <v>0.53</v>
      </c>
      <c r="DE325" s="82">
        <v>193</v>
      </c>
      <c r="DF325" s="82">
        <v>134</v>
      </c>
      <c r="DG325" s="9">
        <f t="shared" si="5"/>
        <v>4.6702455282206143</v>
      </c>
      <c r="DH325" s="82">
        <v>25</v>
      </c>
      <c r="DI325" s="82">
        <v>4.4000000000000004</v>
      </c>
      <c r="DJ325" s="6"/>
      <c r="DK325" s="6"/>
      <c r="DL325" s="6">
        <v>65</v>
      </c>
      <c r="DM325" s="6">
        <v>103</v>
      </c>
      <c r="DN325" s="6"/>
      <c r="DP325" s="11">
        <v>3</v>
      </c>
      <c r="DQ325" s="6" t="s">
        <v>105</v>
      </c>
      <c r="DR325" s="9">
        <v>3</v>
      </c>
    </row>
    <row r="326" spans="1:125" x14ac:dyDescent="0.2">
      <c r="A326" s="6">
        <v>247</v>
      </c>
      <c r="B326" s="8">
        <v>42926</v>
      </c>
      <c r="C326" s="6" t="s">
        <v>95</v>
      </c>
      <c r="D326" s="6">
        <v>57</v>
      </c>
      <c r="E326" s="16" t="s">
        <v>2267</v>
      </c>
      <c r="G326" s="6" t="s">
        <v>3145</v>
      </c>
      <c r="H326" s="6" t="s">
        <v>3001</v>
      </c>
      <c r="L326" s="6">
        <v>2</v>
      </c>
      <c r="M326" s="15" t="s">
        <v>3146</v>
      </c>
      <c r="N326" s="6" t="s">
        <v>99</v>
      </c>
      <c r="O326" s="6" t="s">
        <v>99</v>
      </c>
      <c r="P326" s="6" t="s">
        <v>99</v>
      </c>
      <c r="Q326" s="6" t="s">
        <v>110</v>
      </c>
      <c r="R326" s="6"/>
      <c r="S326" s="6" t="s">
        <v>3147</v>
      </c>
      <c r="T326" s="6" t="s">
        <v>110</v>
      </c>
      <c r="U326" s="6" t="s">
        <v>3148</v>
      </c>
      <c r="W326" s="6"/>
      <c r="X326" s="6"/>
      <c r="Y326" s="6" t="s">
        <v>2501</v>
      </c>
      <c r="AA326" s="16" t="s">
        <v>2267</v>
      </c>
      <c r="AB326" s="16" t="s">
        <v>2267</v>
      </c>
      <c r="AC326" s="16" t="s">
        <v>2267</v>
      </c>
      <c r="AD326" s="16" t="s">
        <v>2267</v>
      </c>
      <c r="AE326" s="15" t="s">
        <v>570</v>
      </c>
      <c r="AF326" s="6"/>
      <c r="AG326" s="15" t="s">
        <v>3149</v>
      </c>
      <c r="AH326" s="6"/>
      <c r="AI326" s="6"/>
      <c r="AJ326" s="6"/>
      <c r="AK326" s="6"/>
      <c r="AL326" s="6">
        <v>62.6</v>
      </c>
      <c r="AN326" s="6">
        <v>74</v>
      </c>
      <c r="AO326" s="6">
        <v>96</v>
      </c>
      <c r="AP326" s="6">
        <v>37.6</v>
      </c>
      <c r="AQ326" s="6">
        <v>8</v>
      </c>
      <c r="AR326" s="6">
        <v>36</v>
      </c>
      <c r="AS326" s="6">
        <v>56</v>
      </c>
      <c r="AT326" s="6">
        <v>25.1</v>
      </c>
      <c r="AU326" s="6">
        <v>105</v>
      </c>
      <c r="AV326" s="6">
        <v>75</v>
      </c>
      <c r="AX326" s="9" t="s">
        <v>2767</v>
      </c>
      <c r="AY326" s="9" t="s">
        <v>3150</v>
      </c>
      <c r="AZ326" s="9" t="s">
        <v>3151</v>
      </c>
      <c r="BB326" s="9" t="s">
        <v>346</v>
      </c>
      <c r="BC326" s="9" t="s">
        <v>3152</v>
      </c>
      <c r="BF326" s="9" t="s">
        <v>1173</v>
      </c>
      <c r="BG326" s="9" t="s">
        <v>3153</v>
      </c>
      <c r="BH326" s="9" t="s">
        <v>175</v>
      </c>
      <c r="BI326" s="9" t="s">
        <v>1173</v>
      </c>
      <c r="BJ326" s="9" t="s">
        <v>175</v>
      </c>
      <c r="BK326" s="9" t="s">
        <v>3154</v>
      </c>
      <c r="BM326" s="9" t="s">
        <v>2607</v>
      </c>
      <c r="BN326" s="9" t="s">
        <v>3155</v>
      </c>
      <c r="BO326" s="9" t="s">
        <v>179</v>
      </c>
      <c r="BP326" s="9" t="s">
        <v>3156</v>
      </c>
      <c r="BV326" s="9" t="s">
        <v>985</v>
      </c>
      <c r="BY326" s="9" t="s">
        <v>2607</v>
      </c>
      <c r="BZ326" s="9" t="s">
        <v>183</v>
      </c>
      <c r="CA326" s="9" t="s">
        <v>182</v>
      </c>
      <c r="CB326" s="9" t="s">
        <v>3157</v>
      </c>
      <c r="CH326" s="9" t="s">
        <v>2575</v>
      </c>
      <c r="CL326" s="9" t="s">
        <v>3158</v>
      </c>
      <c r="CM326" s="9" t="s">
        <v>3159</v>
      </c>
      <c r="CP326" s="9" t="s">
        <v>3160</v>
      </c>
      <c r="CQ326" s="9" t="s">
        <v>3161</v>
      </c>
      <c r="CR326" s="9" t="s">
        <v>3162</v>
      </c>
      <c r="CT326" s="9" t="s">
        <v>2824</v>
      </c>
      <c r="CU326" s="9" t="s">
        <v>980</v>
      </c>
      <c r="CW326" s="9">
        <v>3</v>
      </c>
      <c r="CX326" s="9" t="s">
        <v>110</v>
      </c>
      <c r="CY326" s="9" t="s">
        <v>110</v>
      </c>
      <c r="CZ326" s="9">
        <v>50</v>
      </c>
      <c r="DA326" s="9">
        <v>20</v>
      </c>
      <c r="DB326" s="9">
        <v>30</v>
      </c>
      <c r="DC326" s="91">
        <v>106</v>
      </c>
      <c r="DD326" s="82">
        <v>0.61</v>
      </c>
      <c r="DE326" s="91">
        <v>211</v>
      </c>
      <c r="DF326" s="82">
        <v>136</v>
      </c>
      <c r="DG326" s="9">
        <f t="shared" si="5"/>
        <v>4.7880469899240596</v>
      </c>
      <c r="DH326" s="82">
        <v>27</v>
      </c>
      <c r="DI326" s="82">
        <v>3.88</v>
      </c>
      <c r="DJ326" s="6"/>
      <c r="DK326" s="6"/>
      <c r="DL326" s="6">
        <v>66</v>
      </c>
      <c r="DM326" s="6">
        <v>118</v>
      </c>
      <c r="DN326" s="6"/>
      <c r="DP326" s="11">
        <v>2</v>
      </c>
      <c r="DQ326" s="6" t="s">
        <v>105</v>
      </c>
      <c r="DR326" s="9">
        <v>3</v>
      </c>
      <c r="DU326" s="9">
        <v>3.2</v>
      </c>
    </row>
    <row r="327" spans="1:125" x14ac:dyDescent="0.2">
      <c r="A327" s="6">
        <v>248</v>
      </c>
      <c r="B327" s="8">
        <v>42976</v>
      </c>
      <c r="C327" s="6" t="s">
        <v>95</v>
      </c>
      <c r="D327" s="6">
        <v>38</v>
      </c>
      <c r="E327" s="6" t="s">
        <v>100</v>
      </c>
      <c r="F327" s="17">
        <v>28761</v>
      </c>
      <c r="G327" s="6" t="s">
        <v>197</v>
      </c>
      <c r="H327" s="6" t="s">
        <v>2628</v>
      </c>
      <c r="I327" s="9">
        <v>12</v>
      </c>
      <c r="J327" s="9" t="s">
        <v>99</v>
      </c>
      <c r="L327" s="12" t="s">
        <v>3163</v>
      </c>
      <c r="M327" s="9" t="s">
        <v>99</v>
      </c>
      <c r="N327" s="6" t="s">
        <v>99</v>
      </c>
      <c r="O327" s="9" t="s">
        <v>99</v>
      </c>
      <c r="P327" s="6" t="s">
        <v>110</v>
      </c>
      <c r="Q327" s="6" t="s">
        <v>110</v>
      </c>
      <c r="R327" s="6" t="s">
        <v>110</v>
      </c>
      <c r="S327" s="6" t="s">
        <v>110</v>
      </c>
      <c r="T327" s="6" t="s">
        <v>110</v>
      </c>
      <c r="U327" s="6" t="s">
        <v>99</v>
      </c>
      <c r="V327" s="9" t="s">
        <v>240</v>
      </c>
      <c r="W327" s="6" t="s">
        <v>99</v>
      </c>
      <c r="X327" s="6"/>
      <c r="Y327" s="6" t="s">
        <v>1903</v>
      </c>
      <c r="AA327" s="9" t="s">
        <v>100</v>
      </c>
      <c r="AB327" s="6" t="s">
        <v>100</v>
      </c>
      <c r="AC327" s="6" t="s">
        <v>100</v>
      </c>
      <c r="AD327" s="9" t="s">
        <v>100</v>
      </c>
      <c r="AE327" s="15" t="s">
        <v>3164</v>
      </c>
      <c r="AF327" s="15" t="s">
        <v>118</v>
      </c>
      <c r="AG327" s="15" t="s">
        <v>125</v>
      </c>
      <c r="AH327" s="15" t="s">
        <v>2503</v>
      </c>
      <c r="AI327" s="6" t="s">
        <v>99</v>
      </c>
      <c r="AJ327" s="6"/>
      <c r="AK327" s="15" t="s">
        <v>3165</v>
      </c>
      <c r="AL327" s="6">
        <v>68</v>
      </c>
      <c r="AN327" s="15">
        <v>95</v>
      </c>
      <c r="AO327" s="6">
        <v>103.3</v>
      </c>
      <c r="AP327" s="6">
        <v>42.3</v>
      </c>
      <c r="AQ327" s="6">
        <v>8</v>
      </c>
      <c r="AR327" s="6">
        <v>24.8</v>
      </c>
      <c r="AS327" s="6">
        <v>54</v>
      </c>
      <c r="AT327" s="6">
        <v>28.3</v>
      </c>
      <c r="AU327" s="6">
        <v>104</v>
      </c>
      <c r="AV327" s="6">
        <v>80</v>
      </c>
      <c r="DC327" s="6">
        <v>102</v>
      </c>
      <c r="DD327" s="6">
        <v>0.7</v>
      </c>
      <c r="DE327" s="6">
        <v>216</v>
      </c>
      <c r="DF327" s="6">
        <v>212</v>
      </c>
      <c r="DG327" s="9">
        <f t="shared" si="5"/>
        <v>4.9907795439781415</v>
      </c>
      <c r="DH327" s="6">
        <v>42.4</v>
      </c>
      <c r="DI327" s="6">
        <v>3.84</v>
      </c>
      <c r="DJ327" s="6"/>
      <c r="DK327" s="6"/>
      <c r="DL327" s="6">
        <v>62.8</v>
      </c>
      <c r="DM327" s="6">
        <v>110.8</v>
      </c>
      <c r="DN327" s="6"/>
      <c r="DQ327" s="6" t="s">
        <v>111</v>
      </c>
    </row>
    <row r="328" spans="1:125" x14ac:dyDescent="0.2">
      <c r="A328" s="6">
        <v>249</v>
      </c>
      <c r="B328" s="8">
        <v>42927</v>
      </c>
      <c r="C328" s="6" t="s">
        <v>95</v>
      </c>
      <c r="D328" s="6">
        <v>52</v>
      </c>
      <c r="E328" s="6" t="s">
        <v>100</v>
      </c>
      <c r="F328" s="17">
        <v>23573</v>
      </c>
      <c r="G328" s="6" t="s">
        <v>813</v>
      </c>
      <c r="H328" s="6" t="s">
        <v>3166</v>
      </c>
      <c r="I328" s="9">
        <v>12</v>
      </c>
      <c r="J328" s="10">
        <v>2004</v>
      </c>
      <c r="K328" s="9">
        <v>1990</v>
      </c>
      <c r="L328" s="6">
        <v>3</v>
      </c>
      <c r="M328" s="6" t="s">
        <v>99</v>
      </c>
      <c r="N328" s="6" t="s">
        <v>99</v>
      </c>
      <c r="O328" s="6" t="s">
        <v>99</v>
      </c>
      <c r="P328" s="6" t="s">
        <v>110</v>
      </c>
      <c r="Q328" s="6" t="s">
        <v>99</v>
      </c>
      <c r="R328" s="6" t="s">
        <v>3167</v>
      </c>
      <c r="S328" s="6" t="s">
        <v>110</v>
      </c>
      <c r="T328" s="6" t="s">
        <v>99</v>
      </c>
      <c r="U328" s="6" t="s">
        <v>99</v>
      </c>
      <c r="V328" s="9" t="s">
        <v>99</v>
      </c>
      <c r="W328" s="6" t="s">
        <v>3168</v>
      </c>
      <c r="X328" s="6"/>
      <c r="Y328" s="6" t="s">
        <v>3169</v>
      </c>
      <c r="AA328" s="9" t="s">
        <v>100</v>
      </c>
      <c r="AB328" s="6" t="s">
        <v>100</v>
      </c>
      <c r="AC328" s="6" t="s">
        <v>100</v>
      </c>
      <c r="AD328" s="9" t="s">
        <v>100</v>
      </c>
      <c r="AE328" s="6" t="s">
        <v>99</v>
      </c>
      <c r="AF328" s="15" t="s">
        <v>118</v>
      </c>
      <c r="AG328" s="6" t="s">
        <v>99</v>
      </c>
      <c r="AH328" s="6" t="s">
        <v>99</v>
      </c>
      <c r="AI328" s="6" t="s">
        <v>99</v>
      </c>
      <c r="AJ328" s="6" t="s">
        <v>99</v>
      </c>
      <c r="AK328" s="6"/>
      <c r="AL328" s="6">
        <v>57</v>
      </c>
      <c r="AM328" s="9">
        <v>155</v>
      </c>
      <c r="AN328" s="6">
        <v>79</v>
      </c>
      <c r="AO328" s="6">
        <v>92</v>
      </c>
      <c r="AP328" s="6">
        <v>37.1</v>
      </c>
      <c r="AQ328" s="6">
        <v>7</v>
      </c>
      <c r="AR328" s="6">
        <v>25.3</v>
      </c>
      <c r="AS328" s="6">
        <v>51</v>
      </c>
      <c r="AT328" s="79">
        <v>23.9</v>
      </c>
      <c r="AU328" s="6">
        <v>101</v>
      </c>
      <c r="AV328" s="6">
        <v>76</v>
      </c>
      <c r="AX328" s="9" t="s">
        <v>2937</v>
      </c>
      <c r="AY328" s="9" t="s">
        <v>3170</v>
      </c>
      <c r="BB328" s="9" t="s">
        <v>346</v>
      </c>
      <c r="BC328" s="9" t="s">
        <v>3171</v>
      </c>
      <c r="BD328" s="9" t="s">
        <v>2965</v>
      </c>
      <c r="BF328" s="9" t="s">
        <v>176</v>
      </c>
      <c r="BG328" s="9" t="s">
        <v>683</v>
      </c>
      <c r="BH328" s="9" t="s">
        <v>683</v>
      </c>
      <c r="BI328" s="9" t="s">
        <v>175</v>
      </c>
      <c r="BJ328" s="9" t="s">
        <v>176</v>
      </c>
      <c r="BK328" s="9" t="s">
        <v>683</v>
      </c>
      <c r="BN328" s="9" t="s">
        <v>1176</v>
      </c>
      <c r="BO328" s="14" t="s">
        <v>125</v>
      </c>
      <c r="BP328" s="9" t="s">
        <v>178</v>
      </c>
      <c r="BV328" s="9" t="s">
        <v>734</v>
      </c>
      <c r="BZ328" s="9" t="s">
        <v>808</v>
      </c>
      <c r="CA328" s="9" t="s">
        <v>182</v>
      </c>
      <c r="CB328" s="9" t="s">
        <v>183</v>
      </c>
      <c r="CL328" s="9" t="s">
        <v>579</v>
      </c>
      <c r="CM328" s="9" t="s">
        <v>980</v>
      </c>
      <c r="CP328" s="9" t="s">
        <v>361</v>
      </c>
      <c r="CQ328" s="9" t="s">
        <v>2534</v>
      </c>
      <c r="CR328" s="9" t="s">
        <v>362</v>
      </c>
      <c r="CT328" s="9" t="s">
        <v>3172</v>
      </c>
      <c r="CU328" s="9" t="s">
        <v>1729</v>
      </c>
      <c r="CW328" s="9">
        <v>3</v>
      </c>
      <c r="CX328" s="9" t="s">
        <v>110</v>
      </c>
      <c r="CY328" s="9" t="s">
        <v>99</v>
      </c>
      <c r="CZ328" s="9">
        <v>20</v>
      </c>
      <c r="DA328" s="9">
        <v>30</v>
      </c>
      <c r="DB328" s="9">
        <v>50</v>
      </c>
      <c r="DC328" s="91">
        <v>103</v>
      </c>
      <c r="DD328" s="82">
        <v>0.79</v>
      </c>
      <c r="DE328" s="82">
        <v>158</v>
      </c>
      <c r="DF328" s="82">
        <v>146</v>
      </c>
      <c r="DG328" s="9">
        <f t="shared" si="5"/>
        <v>4.8091678049689861</v>
      </c>
      <c r="DH328" s="82">
        <v>31</v>
      </c>
      <c r="DI328" s="82">
        <v>5.21</v>
      </c>
      <c r="DJ328" s="6"/>
      <c r="DK328" s="6"/>
      <c r="DL328" s="6">
        <v>56</v>
      </c>
      <c r="DM328" s="6">
        <v>71</v>
      </c>
      <c r="DN328" s="6"/>
      <c r="DP328" s="11">
        <v>2</v>
      </c>
      <c r="DQ328" s="6" t="s">
        <v>111</v>
      </c>
      <c r="DR328" s="9">
        <v>2</v>
      </c>
      <c r="DU328" s="9">
        <v>8</v>
      </c>
    </row>
    <row r="329" spans="1:125" x14ac:dyDescent="0.2">
      <c r="A329" s="16">
        <v>250</v>
      </c>
      <c r="B329" s="8">
        <v>42924</v>
      </c>
      <c r="C329" s="6" t="s">
        <v>95</v>
      </c>
      <c r="D329" s="6">
        <v>45</v>
      </c>
      <c r="E329" s="6" t="s">
        <v>100</v>
      </c>
      <c r="F329" s="17">
        <v>26458</v>
      </c>
      <c r="G329" s="6"/>
      <c r="H329" s="6" t="s">
        <v>3173</v>
      </c>
      <c r="I329" s="9">
        <v>12</v>
      </c>
      <c r="J329" s="9" t="s">
        <v>483</v>
      </c>
      <c r="K329" s="9">
        <v>2010</v>
      </c>
      <c r="L329" s="6">
        <v>3</v>
      </c>
      <c r="M329" s="15" t="s">
        <v>3109</v>
      </c>
      <c r="N329" s="6" t="s">
        <v>99</v>
      </c>
      <c r="O329" s="6"/>
      <c r="P329" s="6" t="s">
        <v>110</v>
      </c>
      <c r="Q329" s="6" t="s">
        <v>99</v>
      </c>
      <c r="R329" s="6" t="s">
        <v>588</v>
      </c>
      <c r="S329" s="6"/>
      <c r="T329" s="6"/>
      <c r="U329" s="6"/>
      <c r="W329" s="6"/>
      <c r="X329" s="6"/>
      <c r="Y329" s="6" t="s">
        <v>1903</v>
      </c>
      <c r="AA329" s="9" t="s">
        <v>100</v>
      </c>
      <c r="AB329" s="6" t="s">
        <v>100</v>
      </c>
      <c r="AC329" s="6" t="s">
        <v>100</v>
      </c>
      <c r="AD329" s="35" t="s">
        <v>155</v>
      </c>
      <c r="AE329" s="15" t="s">
        <v>3174</v>
      </c>
      <c r="AF329" s="15" t="s">
        <v>3175</v>
      </c>
      <c r="AG329" s="15" t="s">
        <v>3175</v>
      </c>
      <c r="AH329" s="6" t="s">
        <v>99</v>
      </c>
      <c r="AI329" s="15" t="s">
        <v>664</v>
      </c>
      <c r="AJ329" s="6"/>
      <c r="AK329" s="6"/>
      <c r="AL329" s="6">
        <v>67.400000000000006</v>
      </c>
      <c r="AN329" s="15">
        <v>90</v>
      </c>
      <c r="AO329" s="6">
        <v>105</v>
      </c>
      <c r="AP329" s="6">
        <v>45.1</v>
      </c>
      <c r="AQ329" s="6">
        <v>8</v>
      </c>
      <c r="AR329" s="6">
        <v>22.41</v>
      </c>
      <c r="AS329" s="6">
        <v>56</v>
      </c>
      <c r="AT329" s="6">
        <v>28.1</v>
      </c>
      <c r="AU329" s="6">
        <v>95</v>
      </c>
      <c r="AV329" s="6">
        <v>68</v>
      </c>
      <c r="DC329" s="91">
        <v>109.5</v>
      </c>
      <c r="DD329" s="82">
        <v>0.57999999999999996</v>
      </c>
      <c r="DE329" s="82">
        <v>188</v>
      </c>
      <c r="DF329" s="91">
        <v>168</v>
      </c>
      <c r="DG329" s="9">
        <f t="shared" si="5"/>
        <v>4.9099442643299076</v>
      </c>
      <c r="DH329" s="82">
        <v>34</v>
      </c>
      <c r="DI329" s="82">
        <v>4.67</v>
      </c>
      <c r="DJ329" s="6"/>
      <c r="DK329" s="6"/>
      <c r="DL329" s="6">
        <v>65</v>
      </c>
      <c r="DM329" s="6">
        <v>89</v>
      </c>
      <c r="DN329" s="6"/>
      <c r="DP329" s="11">
        <v>3</v>
      </c>
      <c r="DQ329" s="6" t="s">
        <v>111</v>
      </c>
      <c r="DR329" s="9">
        <v>2</v>
      </c>
      <c r="DU329" s="9">
        <v>12</v>
      </c>
    </row>
    <row r="330" spans="1:125" x14ac:dyDescent="0.2">
      <c r="A330" s="16">
        <v>251</v>
      </c>
      <c r="B330" s="8">
        <v>42924</v>
      </c>
      <c r="C330" s="6" t="s">
        <v>95</v>
      </c>
      <c r="D330" s="6">
        <v>50</v>
      </c>
      <c r="E330" s="6" t="s">
        <v>100</v>
      </c>
      <c r="F330" s="17">
        <v>24446</v>
      </c>
      <c r="G330" s="6" t="s">
        <v>3176</v>
      </c>
      <c r="H330" s="6" t="s">
        <v>3177</v>
      </c>
      <c r="I330" s="9">
        <v>14</v>
      </c>
      <c r="J330" s="10">
        <v>42</v>
      </c>
      <c r="K330" s="9">
        <v>2004</v>
      </c>
      <c r="L330" s="6">
        <v>2</v>
      </c>
      <c r="M330" s="6" t="s">
        <v>99</v>
      </c>
      <c r="N330" s="6" t="s">
        <v>99</v>
      </c>
      <c r="O330" s="6" t="s">
        <v>99</v>
      </c>
      <c r="P330" s="6" t="s">
        <v>110</v>
      </c>
      <c r="Q330" s="6" t="s">
        <v>99</v>
      </c>
      <c r="R330" s="6"/>
      <c r="S330" s="6" t="s">
        <v>99</v>
      </c>
      <c r="T330" s="6" t="s">
        <v>110</v>
      </c>
      <c r="U330" s="6" t="s">
        <v>3178</v>
      </c>
      <c r="W330" s="6" t="s">
        <v>99</v>
      </c>
      <c r="X330" s="6"/>
      <c r="Y330" s="6" t="s">
        <v>2596</v>
      </c>
      <c r="AA330" s="9" t="s">
        <v>100</v>
      </c>
      <c r="AB330" s="6" t="s">
        <v>100</v>
      </c>
      <c r="AC330" s="6" t="s">
        <v>100</v>
      </c>
      <c r="AD330" s="9" t="s">
        <v>100</v>
      </c>
      <c r="AE330" s="9" t="s">
        <v>99</v>
      </c>
      <c r="AF330" s="15" t="s">
        <v>118</v>
      </c>
      <c r="AG330" s="15" t="s">
        <v>3179</v>
      </c>
      <c r="AH330" s="15" t="s">
        <v>3180</v>
      </c>
      <c r="AI330" s="6" t="s">
        <v>99</v>
      </c>
      <c r="AJ330" s="6" t="s">
        <v>99</v>
      </c>
      <c r="AK330" s="6" t="s">
        <v>99</v>
      </c>
      <c r="AL330" s="6">
        <v>73.8</v>
      </c>
      <c r="AM330" s="9">
        <v>162</v>
      </c>
      <c r="AN330" s="15">
        <v>87</v>
      </c>
      <c r="AO330" s="6">
        <v>107</v>
      </c>
      <c r="AP330" s="6">
        <v>41.1</v>
      </c>
      <c r="AQ330" s="6">
        <v>9</v>
      </c>
      <c r="AR330" s="6">
        <v>25.5</v>
      </c>
      <c r="AS330" s="6">
        <v>57</v>
      </c>
      <c r="AT330" s="6">
        <v>28.1</v>
      </c>
      <c r="AU330" s="15">
        <v>135</v>
      </c>
      <c r="AV330" s="15">
        <v>104</v>
      </c>
      <c r="DC330" s="91">
        <v>111</v>
      </c>
      <c r="DD330" s="82">
        <v>0.69</v>
      </c>
      <c r="DE330" s="91">
        <v>278</v>
      </c>
      <c r="DF330" s="91">
        <v>230</v>
      </c>
      <c r="DG330" s="9">
        <f t="shared" si="5"/>
        <v>5.0738047551177647</v>
      </c>
      <c r="DH330" s="82">
        <v>46</v>
      </c>
      <c r="DI330" s="82">
        <v>6.25</v>
      </c>
      <c r="DJ330" s="6"/>
      <c r="DK330" s="6"/>
      <c r="DL330" s="6">
        <v>48</v>
      </c>
      <c r="DM330" s="6">
        <v>184</v>
      </c>
      <c r="DN330" s="6"/>
      <c r="DQ330" s="6" t="s">
        <v>105</v>
      </c>
      <c r="DR330" s="9">
        <v>2</v>
      </c>
      <c r="DT330" s="9">
        <v>5.17</v>
      </c>
      <c r="DU330" s="9">
        <v>6.4</v>
      </c>
    </row>
    <row r="331" spans="1:125" x14ac:dyDescent="0.2">
      <c r="A331" s="16">
        <v>252</v>
      </c>
      <c r="B331" s="8">
        <v>42924</v>
      </c>
      <c r="C331" s="6" t="s">
        <v>95</v>
      </c>
      <c r="D331" s="6">
        <v>51</v>
      </c>
      <c r="E331" s="6" t="s">
        <v>100</v>
      </c>
      <c r="F331" s="17">
        <v>24035</v>
      </c>
      <c r="G331" s="6" t="s">
        <v>3079</v>
      </c>
      <c r="H331" s="6" t="s">
        <v>3181</v>
      </c>
      <c r="I331" s="9">
        <v>13</v>
      </c>
      <c r="J331" s="10">
        <v>2016</v>
      </c>
      <c r="K331" s="9">
        <v>2008</v>
      </c>
      <c r="L331" s="16" t="s">
        <v>2438</v>
      </c>
      <c r="M331" s="6" t="s">
        <v>99</v>
      </c>
      <c r="N331" s="6" t="s">
        <v>99</v>
      </c>
      <c r="O331" s="6" t="s">
        <v>99</v>
      </c>
      <c r="P331" s="6" t="s">
        <v>99</v>
      </c>
      <c r="Q331" s="6" t="s">
        <v>110</v>
      </c>
      <c r="R331" s="6" t="s">
        <v>110</v>
      </c>
      <c r="S331" s="6" t="s">
        <v>99</v>
      </c>
      <c r="T331" s="6" t="s">
        <v>110</v>
      </c>
      <c r="U331" s="6" t="s">
        <v>3182</v>
      </c>
      <c r="W331" s="6" t="s">
        <v>3183</v>
      </c>
      <c r="X331" s="6" t="s">
        <v>99</v>
      </c>
      <c r="Y331" s="6" t="s">
        <v>3184</v>
      </c>
      <c r="AA331" s="9" t="s">
        <v>100</v>
      </c>
      <c r="AB331" s="6" t="s">
        <v>100</v>
      </c>
      <c r="AC331" s="6" t="s">
        <v>100</v>
      </c>
      <c r="AD331" s="9" t="s">
        <v>100</v>
      </c>
      <c r="AE331" s="15" t="s">
        <v>3185</v>
      </c>
      <c r="AF331" s="15" t="s">
        <v>118</v>
      </c>
      <c r="AG331" s="6" t="s">
        <v>99</v>
      </c>
      <c r="AH331" s="15" t="s">
        <v>125</v>
      </c>
      <c r="AI331" s="6" t="s">
        <v>99</v>
      </c>
      <c r="AJ331" s="6" t="s">
        <v>99</v>
      </c>
      <c r="AK331" s="6" t="s">
        <v>99</v>
      </c>
      <c r="AL331" s="6">
        <v>87.1</v>
      </c>
      <c r="AM331" s="9">
        <v>158</v>
      </c>
      <c r="AN331" s="15">
        <v>96</v>
      </c>
      <c r="AO331" s="6">
        <v>114</v>
      </c>
      <c r="AP331" s="6">
        <v>53.3</v>
      </c>
      <c r="AQ331" s="6">
        <v>12</v>
      </c>
      <c r="AR331" s="6">
        <v>19.5</v>
      </c>
      <c r="AS331" s="6">
        <v>72</v>
      </c>
      <c r="AT331" s="6">
        <v>34.9</v>
      </c>
      <c r="AU331" s="15">
        <v>130</v>
      </c>
      <c r="AV331" s="15">
        <v>88</v>
      </c>
      <c r="AX331" s="9" t="s">
        <v>3186</v>
      </c>
      <c r="AY331" s="9" t="s">
        <v>3187</v>
      </c>
      <c r="AZ331" s="9" t="s">
        <v>2896</v>
      </c>
      <c r="BB331" s="9" t="s">
        <v>346</v>
      </c>
      <c r="BF331" s="9" t="s">
        <v>176</v>
      </c>
      <c r="BG331" s="9" t="s">
        <v>683</v>
      </c>
      <c r="BH331" s="9" t="s">
        <v>175</v>
      </c>
      <c r="BI331" s="9" t="s">
        <v>1173</v>
      </c>
      <c r="BJ331" s="9" t="s">
        <v>215</v>
      </c>
      <c r="BK331" s="9" t="s">
        <v>1172</v>
      </c>
      <c r="BM331" s="9" t="s">
        <v>2607</v>
      </c>
      <c r="BN331" s="9" t="s">
        <v>180</v>
      </c>
      <c r="BO331" s="9" t="s">
        <v>219</v>
      </c>
      <c r="BP331" s="9" t="s">
        <v>179</v>
      </c>
      <c r="BQ331" s="9" t="s">
        <v>1172</v>
      </c>
      <c r="BR331" s="9" t="s">
        <v>2573</v>
      </c>
      <c r="BS331" s="9" t="s">
        <v>178</v>
      </c>
      <c r="BT331" s="9" t="s">
        <v>179</v>
      </c>
      <c r="BU331" s="9" t="s">
        <v>1172</v>
      </c>
      <c r="BV331" s="9" t="s">
        <v>734</v>
      </c>
      <c r="BY331" s="9" t="s">
        <v>3188</v>
      </c>
      <c r="BZ331" s="9" t="s">
        <v>822</v>
      </c>
      <c r="CA331" s="9" t="s">
        <v>183</v>
      </c>
      <c r="CB331" s="9" t="s">
        <v>577</v>
      </c>
      <c r="CL331" s="9" t="s">
        <v>685</v>
      </c>
      <c r="CP331" s="9" t="s">
        <v>2641</v>
      </c>
      <c r="CQ331" s="9" t="s">
        <v>981</v>
      </c>
      <c r="CR331" s="9" t="s">
        <v>362</v>
      </c>
      <c r="CT331" s="9" t="s">
        <v>3189</v>
      </c>
      <c r="CU331" s="9" t="s">
        <v>363</v>
      </c>
      <c r="CV331" s="9" t="s">
        <v>187</v>
      </c>
      <c r="CW331" s="9">
        <v>2</v>
      </c>
      <c r="CX331" s="9" t="s">
        <v>99</v>
      </c>
      <c r="CY331" s="9" t="s">
        <v>99</v>
      </c>
      <c r="DC331" s="91">
        <v>102</v>
      </c>
      <c r="DD331" s="82">
        <v>0.5</v>
      </c>
      <c r="DE331" s="91">
        <v>215</v>
      </c>
      <c r="DF331" s="91">
        <v>165</v>
      </c>
      <c r="DG331" s="9">
        <f t="shared" si="5"/>
        <v>4.8654591435924255</v>
      </c>
      <c r="DH331" s="82">
        <v>33</v>
      </c>
      <c r="DI331" s="82">
        <v>3.66</v>
      </c>
      <c r="DJ331" s="6"/>
      <c r="DK331" s="6"/>
      <c r="DL331" s="6">
        <v>59</v>
      </c>
      <c r="DM331" s="6">
        <v>123</v>
      </c>
      <c r="DN331" s="6"/>
      <c r="DP331" s="11">
        <v>2</v>
      </c>
      <c r="DQ331" s="6" t="s">
        <v>111</v>
      </c>
      <c r="DR331" s="9">
        <v>2</v>
      </c>
      <c r="DU331" s="9">
        <v>8.4</v>
      </c>
    </row>
    <row r="332" spans="1:125" x14ac:dyDescent="0.2">
      <c r="A332" s="6">
        <v>253</v>
      </c>
      <c r="B332" s="8"/>
      <c r="C332" s="6"/>
      <c r="D332" s="6"/>
      <c r="E332" s="6"/>
      <c r="G332" s="6"/>
      <c r="H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W332" s="6"/>
      <c r="X332" s="6"/>
      <c r="Y332" s="6"/>
      <c r="AB332" s="6"/>
      <c r="AC332" s="6"/>
      <c r="AE332" s="6"/>
      <c r="AF332" s="6"/>
      <c r="AG332" s="6"/>
      <c r="AH332" s="6"/>
      <c r="AI332" s="6"/>
      <c r="AJ332" s="6"/>
      <c r="AK332" s="6"/>
      <c r="AL332" s="6"/>
      <c r="AN332" s="6"/>
      <c r="AO332" s="6"/>
      <c r="AP332" s="6"/>
      <c r="AQ332" s="6"/>
      <c r="AR332" s="6"/>
      <c r="AS332" s="6"/>
      <c r="AT332" s="6"/>
      <c r="AU332" s="6"/>
      <c r="AV332" s="6"/>
      <c r="DC332" s="6"/>
      <c r="DD332" s="6"/>
      <c r="DE332" s="6"/>
      <c r="DF332" s="6"/>
      <c r="DG332" s="9" t="e">
        <f t="shared" si="5"/>
        <v>#NUM!</v>
      </c>
      <c r="DH332" s="6"/>
      <c r="DI332" s="6"/>
      <c r="DJ332" s="6"/>
      <c r="DK332" s="6"/>
      <c r="DL332" s="6"/>
      <c r="DM332" s="6"/>
      <c r="DN332" s="6"/>
      <c r="DQ332" s="6"/>
    </row>
    <row r="333" spans="1:125" x14ac:dyDescent="0.2">
      <c r="A333" s="103">
        <v>254</v>
      </c>
      <c r="B333" s="8">
        <v>42927</v>
      </c>
      <c r="C333" s="6" t="s">
        <v>196</v>
      </c>
      <c r="D333" s="6">
        <v>46</v>
      </c>
      <c r="E333" s="6" t="s">
        <v>100</v>
      </c>
      <c r="F333" s="17">
        <v>25865</v>
      </c>
      <c r="G333" s="6" t="s">
        <v>3190</v>
      </c>
      <c r="H333" s="6" t="s">
        <v>3191</v>
      </c>
      <c r="I333" s="9">
        <v>12</v>
      </c>
      <c r="J333" s="10" t="s">
        <v>3192</v>
      </c>
      <c r="K333" s="9" t="s">
        <v>3193</v>
      </c>
      <c r="L333" s="16" t="s">
        <v>2790</v>
      </c>
      <c r="M333" s="15" t="s">
        <v>2341</v>
      </c>
      <c r="N333" s="9" t="s">
        <v>99</v>
      </c>
      <c r="O333" s="9" t="s">
        <v>3194</v>
      </c>
      <c r="P333" s="6" t="s">
        <v>99</v>
      </c>
      <c r="Q333" s="6" t="s">
        <v>110</v>
      </c>
      <c r="R333" s="6" t="s">
        <v>110</v>
      </c>
      <c r="S333" s="6" t="s">
        <v>99</v>
      </c>
      <c r="T333" s="6" t="s">
        <v>110</v>
      </c>
      <c r="U333" s="6" t="s">
        <v>3195</v>
      </c>
      <c r="V333" s="9" t="s">
        <v>99</v>
      </c>
      <c r="W333" s="16" t="s">
        <v>3196</v>
      </c>
      <c r="X333" s="6" t="s">
        <v>99</v>
      </c>
      <c r="Y333" s="6" t="s">
        <v>3197</v>
      </c>
      <c r="AA333" s="9" t="s">
        <v>100</v>
      </c>
      <c r="AB333" s="6" t="s">
        <v>100</v>
      </c>
      <c r="AC333" s="6" t="s">
        <v>100</v>
      </c>
      <c r="AD333" s="9" t="s">
        <v>100</v>
      </c>
      <c r="AE333" s="15" t="s">
        <v>135</v>
      </c>
      <c r="AF333" s="6" t="s">
        <v>99</v>
      </c>
      <c r="AG333" s="6" t="s">
        <v>99</v>
      </c>
      <c r="AH333" s="6" t="s">
        <v>99</v>
      </c>
      <c r="AI333" s="6"/>
      <c r="AJ333" s="6"/>
      <c r="AK333" s="6"/>
      <c r="AL333" s="6">
        <v>82.7</v>
      </c>
      <c r="AN333" s="15">
        <v>88</v>
      </c>
      <c r="AO333" s="6">
        <v>105</v>
      </c>
      <c r="AP333" s="6">
        <v>44.2</v>
      </c>
      <c r="AQ333" s="6">
        <v>9</v>
      </c>
      <c r="AR333" s="6">
        <v>24.2</v>
      </c>
      <c r="AS333" s="6">
        <v>57</v>
      </c>
      <c r="AT333" s="6">
        <v>29.7</v>
      </c>
      <c r="AU333" s="6">
        <v>101</v>
      </c>
      <c r="AV333" s="6">
        <v>73</v>
      </c>
      <c r="AX333" s="9" t="s">
        <v>3198</v>
      </c>
      <c r="AY333" s="9" t="s">
        <v>3199</v>
      </c>
      <c r="AZ333" s="9" t="s">
        <v>3200</v>
      </c>
      <c r="BB333" s="9" t="s">
        <v>346</v>
      </c>
      <c r="BC333" s="9" t="s">
        <v>3201</v>
      </c>
      <c r="BF333" s="9" t="s">
        <v>176</v>
      </c>
      <c r="BG333" s="9" t="s">
        <v>350</v>
      </c>
      <c r="BH333" s="9" t="s">
        <v>350</v>
      </c>
      <c r="BJ333" s="9" t="s">
        <v>2607</v>
      </c>
      <c r="BK333" s="9" t="s">
        <v>3202</v>
      </c>
      <c r="BM333" s="9" t="s">
        <v>350</v>
      </c>
      <c r="BN333" s="9" t="s">
        <v>180</v>
      </c>
      <c r="BO333" s="9" t="s">
        <v>179</v>
      </c>
      <c r="BP333" s="9" t="s">
        <v>219</v>
      </c>
      <c r="BV333" s="9" t="s">
        <v>1178</v>
      </c>
      <c r="BY333" s="9" t="s">
        <v>176</v>
      </c>
      <c r="BZ333" s="9" t="s">
        <v>182</v>
      </c>
      <c r="CA333" s="14" t="s">
        <v>859</v>
      </c>
      <c r="CB333" s="9" t="s">
        <v>3203</v>
      </c>
      <c r="CL333" s="9" t="s">
        <v>823</v>
      </c>
      <c r="CM333" s="9" t="s">
        <v>3204</v>
      </c>
      <c r="CN333" s="9" t="s">
        <v>3205</v>
      </c>
      <c r="CP333" s="9" t="s">
        <v>3206</v>
      </c>
      <c r="CQ333" s="9" t="s">
        <v>3207</v>
      </c>
      <c r="CR333" s="9" t="s">
        <v>3208</v>
      </c>
      <c r="CT333" s="9" t="s">
        <v>3209</v>
      </c>
      <c r="CW333" s="9">
        <v>3</v>
      </c>
      <c r="CX333" s="9" t="s">
        <v>110</v>
      </c>
      <c r="CY333" s="9" t="s">
        <v>110</v>
      </c>
      <c r="DC333" s="82">
        <v>95</v>
      </c>
      <c r="DD333" s="82">
        <v>0.52</v>
      </c>
      <c r="DE333" s="82">
        <v>195</v>
      </c>
      <c r="DF333" s="91">
        <v>210</v>
      </c>
      <c r="DG333" s="9">
        <f t="shared" si="5"/>
        <v>4.9504922111590046</v>
      </c>
      <c r="DH333" s="82">
        <v>40</v>
      </c>
      <c r="DI333" s="82">
        <v>6.17</v>
      </c>
      <c r="DJ333" s="6"/>
      <c r="DK333" s="6"/>
      <c r="DL333" s="6">
        <v>53</v>
      </c>
      <c r="DM333" s="6">
        <v>102</v>
      </c>
      <c r="DN333" s="6"/>
      <c r="DP333" s="11">
        <v>2</v>
      </c>
      <c r="DQ333" s="19" t="s">
        <v>112</v>
      </c>
      <c r="DR333" s="9">
        <v>3</v>
      </c>
      <c r="DT333" s="9">
        <v>6.22</v>
      </c>
    </row>
    <row r="334" spans="1:125" x14ac:dyDescent="0.2">
      <c r="A334" s="6">
        <v>255</v>
      </c>
      <c r="B334" s="8">
        <v>42927</v>
      </c>
      <c r="C334" s="6" t="s">
        <v>675</v>
      </c>
      <c r="D334" s="6">
        <v>52</v>
      </c>
      <c r="E334" s="6" t="s">
        <v>100</v>
      </c>
      <c r="F334" s="17">
        <v>23975</v>
      </c>
      <c r="G334" s="6" t="s">
        <v>234</v>
      </c>
      <c r="H334" s="6" t="s">
        <v>3210</v>
      </c>
      <c r="L334" s="6"/>
      <c r="M334" s="6" t="s">
        <v>99</v>
      </c>
      <c r="N334" s="6" t="s">
        <v>99</v>
      </c>
      <c r="O334" s="6" t="s">
        <v>99</v>
      </c>
      <c r="P334" s="6" t="s">
        <v>110</v>
      </c>
      <c r="Q334" s="6" t="s">
        <v>110</v>
      </c>
      <c r="R334" s="6" t="s">
        <v>110</v>
      </c>
      <c r="S334" s="6" t="s">
        <v>110</v>
      </c>
      <c r="T334" s="6" t="s">
        <v>110</v>
      </c>
      <c r="U334" s="6" t="s">
        <v>3211</v>
      </c>
      <c r="W334" s="6"/>
      <c r="X334" s="6"/>
      <c r="Y334" s="6" t="s">
        <v>3212</v>
      </c>
      <c r="AA334" s="9" t="s">
        <v>100</v>
      </c>
      <c r="AB334" s="6" t="s">
        <v>100</v>
      </c>
      <c r="AC334" s="6" t="s">
        <v>100</v>
      </c>
      <c r="AD334" s="9" t="s">
        <v>100</v>
      </c>
      <c r="AE334" s="9" t="s">
        <v>99</v>
      </c>
      <c r="AF334" s="9" t="s">
        <v>99</v>
      </c>
      <c r="AG334" s="9" t="s">
        <v>99</v>
      </c>
      <c r="AH334" s="9" t="s">
        <v>99</v>
      </c>
      <c r="AI334" s="9" t="s">
        <v>99</v>
      </c>
      <c r="AJ334" s="9" t="s">
        <v>99</v>
      </c>
      <c r="AK334" s="9" t="s">
        <v>99</v>
      </c>
      <c r="AL334" s="6">
        <v>81</v>
      </c>
      <c r="AN334" s="15">
        <v>95</v>
      </c>
      <c r="AO334" s="6">
        <v>95</v>
      </c>
      <c r="AP334" s="6">
        <v>21.5</v>
      </c>
      <c r="AQ334" s="6">
        <v>12</v>
      </c>
      <c r="AR334" s="6">
        <v>36.799999999999997</v>
      </c>
      <c r="AS334" s="6">
        <v>53</v>
      </c>
      <c r="AT334" s="6">
        <v>28</v>
      </c>
      <c r="AU334" s="6">
        <v>120</v>
      </c>
      <c r="AV334" s="6">
        <v>79</v>
      </c>
      <c r="AX334" s="9" t="s">
        <v>2633</v>
      </c>
      <c r="AY334" s="9" t="s">
        <v>1657</v>
      </c>
      <c r="AZ334" s="9" t="s">
        <v>1233</v>
      </c>
      <c r="BB334" s="9" t="s">
        <v>3213</v>
      </c>
      <c r="BC334" s="9" t="s">
        <v>3214</v>
      </c>
      <c r="BF334" s="9" t="s">
        <v>176</v>
      </c>
      <c r="BG334" s="9" t="s">
        <v>176</v>
      </c>
      <c r="BH334" s="9" t="s">
        <v>350</v>
      </c>
      <c r="BI334" s="9" t="s">
        <v>176</v>
      </c>
      <c r="BJ334" s="9" t="s">
        <v>350</v>
      </c>
      <c r="BK334" s="9" t="s">
        <v>350</v>
      </c>
      <c r="BM334" s="9" t="s">
        <v>684</v>
      </c>
      <c r="BZ334" s="9" t="s">
        <v>684</v>
      </c>
      <c r="CD334" s="9" t="s">
        <v>3215</v>
      </c>
      <c r="CL334" s="9" t="s">
        <v>685</v>
      </c>
      <c r="CO334" s="9" t="s">
        <v>350</v>
      </c>
      <c r="CS334" s="9" t="s">
        <v>350</v>
      </c>
      <c r="CW334" s="9">
        <v>3</v>
      </c>
      <c r="DC334" s="82">
        <v>90</v>
      </c>
      <c r="DD334" s="82">
        <v>0.81</v>
      </c>
      <c r="DE334" s="82">
        <v>157</v>
      </c>
      <c r="DF334" s="91">
        <v>160</v>
      </c>
      <c r="DG334" s="9">
        <f t="shared" si="5"/>
        <v>4.7874917427820458</v>
      </c>
      <c r="DH334" s="82">
        <v>29</v>
      </c>
      <c r="DI334" s="82">
        <v>6.23</v>
      </c>
      <c r="DJ334" s="6"/>
      <c r="DK334" s="6"/>
      <c r="DL334" s="6">
        <v>42</v>
      </c>
      <c r="DM334" s="6">
        <v>86</v>
      </c>
      <c r="DN334" s="6"/>
      <c r="DP334" s="11">
        <v>3</v>
      </c>
      <c r="DQ334" s="6" t="s">
        <v>111</v>
      </c>
      <c r="DR334" s="9">
        <v>3</v>
      </c>
      <c r="DT334" s="9">
        <v>10</v>
      </c>
    </row>
    <row r="335" spans="1:125" x14ac:dyDescent="0.2">
      <c r="A335" s="78">
        <v>256</v>
      </c>
      <c r="B335" s="8">
        <v>42927</v>
      </c>
      <c r="C335" s="6" t="s">
        <v>675</v>
      </c>
      <c r="D335" s="6">
        <v>32</v>
      </c>
      <c r="E335" s="6" t="s">
        <v>100</v>
      </c>
      <c r="F335" s="17">
        <v>30914</v>
      </c>
      <c r="G335" s="6" t="s">
        <v>481</v>
      </c>
      <c r="H335" s="6" t="s">
        <v>3191</v>
      </c>
      <c r="L335" s="6"/>
      <c r="M335" s="6" t="s">
        <v>99</v>
      </c>
      <c r="N335" s="6" t="s">
        <v>99</v>
      </c>
      <c r="O335" s="6" t="s">
        <v>99</v>
      </c>
      <c r="P335" s="6" t="s">
        <v>99</v>
      </c>
      <c r="Q335" s="6" t="s">
        <v>110</v>
      </c>
      <c r="R335" s="6" t="s">
        <v>110</v>
      </c>
      <c r="S335" s="6"/>
      <c r="T335" s="6"/>
      <c r="U335" s="6"/>
      <c r="W335" s="6"/>
      <c r="X335" s="6"/>
      <c r="Y335" s="6" t="s">
        <v>99</v>
      </c>
      <c r="AA335" s="9" t="s">
        <v>100</v>
      </c>
      <c r="AB335" s="6" t="s">
        <v>100</v>
      </c>
      <c r="AC335" s="6" t="s">
        <v>100</v>
      </c>
      <c r="AD335" s="9" t="s">
        <v>100</v>
      </c>
      <c r="AE335" s="15" t="s">
        <v>135</v>
      </c>
      <c r="AF335" s="15" t="s">
        <v>135</v>
      </c>
      <c r="AG335" s="6"/>
      <c r="AH335" s="6"/>
      <c r="AI335" s="6"/>
      <c r="AJ335" s="6"/>
      <c r="AK335" s="6"/>
      <c r="AL335" s="6">
        <v>105.3</v>
      </c>
      <c r="AN335" s="15">
        <v>111</v>
      </c>
      <c r="AO335" s="6">
        <v>106</v>
      </c>
      <c r="AP335" s="6">
        <v>36.299999999999997</v>
      </c>
      <c r="AQ335" s="6">
        <v>17</v>
      </c>
      <c r="AR335" s="6">
        <v>30.1</v>
      </c>
      <c r="AS335" s="6">
        <v>68</v>
      </c>
      <c r="AT335" s="6">
        <v>35.6</v>
      </c>
      <c r="AU335" s="15">
        <v>134</v>
      </c>
      <c r="AV335" s="15">
        <v>102</v>
      </c>
      <c r="AW335" s="9" t="s">
        <v>176</v>
      </c>
      <c r="AX335" s="9" t="s">
        <v>1729</v>
      </c>
      <c r="AY335" s="9" t="s">
        <v>3216</v>
      </c>
      <c r="AZ335" s="9" t="s">
        <v>3217</v>
      </c>
      <c r="BA335" s="9" t="s">
        <v>176</v>
      </c>
      <c r="BE335" s="9" t="s">
        <v>176</v>
      </c>
      <c r="BF335" s="9" t="s">
        <v>110</v>
      </c>
      <c r="BG335" s="9" t="s">
        <v>110</v>
      </c>
      <c r="BH335" s="9" t="s">
        <v>110</v>
      </c>
      <c r="BI335" s="9" t="s">
        <v>110</v>
      </c>
      <c r="BJ335" s="9" t="s">
        <v>3218</v>
      </c>
      <c r="BK335" s="9" t="s">
        <v>110</v>
      </c>
      <c r="BM335" s="9" t="s">
        <v>176</v>
      </c>
      <c r="BN335" s="14" t="s">
        <v>1664</v>
      </c>
      <c r="BO335" s="14" t="s">
        <v>857</v>
      </c>
      <c r="BP335" s="9" t="s">
        <v>2534</v>
      </c>
      <c r="BY335" s="9" t="s">
        <v>176</v>
      </c>
      <c r="BZ335" s="9" t="s">
        <v>1730</v>
      </c>
      <c r="CA335" s="14" t="s">
        <v>859</v>
      </c>
      <c r="CB335" s="9" t="s">
        <v>1137</v>
      </c>
      <c r="CK335" s="9" t="s">
        <v>176</v>
      </c>
      <c r="CL335" s="9" t="s">
        <v>579</v>
      </c>
      <c r="CM335" s="9" t="s">
        <v>980</v>
      </c>
      <c r="CP335" s="9" t="s">
        <v>362</v>
      </c>
      <c r="CQ335" s="9" t="s">
        <v>3219</v>
      </c>
      <c r="CS335" s="9" t="s">
        <v>176</v>
      </c>
      <c r="CT335" s="9" t="s">
        <v>3209</v>
      </c>
      <c r="CU335" s="9" t="s">
        <v>980</v>
      </c>
      <c r="CV335" s="9" t="s">
        <v>3220</v>
      </c>
      <c r="CW335" s="9">
        <v>3</v>
      </c>
      <c r="CX335" s="9" t="s">
        <v>99</v>
      </c>
      <c r="CY335" s="9" t="s">
        <v>99</v>
      </c>
      <c r="CZ335" s="9">
        <v>20</v>
      </c>
      <c r="DA335" s="9">
        <v>30</v>
      </c>
      <c r="DB335" s="9">
        <v>50</v>
      </c>
      <c r="DC335" s="82">
        <v>91.7</v>
      </c>
      <c r="DD335" s="6">
        <v>1.08</v>
      </c>
      <c r="DE335" s="6">
        <v>196</v>
      </c>
      <c r="DF335" s="15">
        <v>200</v>
      </c>
      <c r="DG335" s="9">
        <f t="shared" si="5"/>
        <v>4.9084198729052275</v>
      </c>
      <c r="DH335" s="6"/>
      <c r="DI335" s="15">
        <v>9.58</v>
      </c>
      <c r="DJ335" s="6"/>
      <c r="DK335" s="6"/>
      <c r="DL335" s="6">
        <v>63</v>
      </c>
      <c r="DM335" s="6"/>
      <c r="DN335" s="6"/>
      <c r="DP335" s="11">
        <v>2</v>
      </c>
      <c r="DQ335" s="6" t="s">
        <v>105</v>
      </c>
      <c r="DR335" s="9">
        <v>2</v>
      </c>
      <c r="DU335" s="9">
        <v>7</v>
      </c>
    </row>
    <row r="336" spans="1:125" x14ac:dyDescent="0.2">
      <c r="A336" s="6">
        <v>257</v>
      </c>
      <c r="B336" s="8">
        <v>42927</v>
      </c>
      <c r="C336" s="6" t="s">
        <v>196</v>
      </c>
      <c r="D336" s="6">
        <v>41</v>
      </c>
      <c r="E336" s="86" t="s">
        <v>155</v>
      </c>
      <c r="F336" s="17">
        <v>27720</v>
      </c>
      <c r="G336" s="6" t="s">
        <v>197</v>
      </c>
      <c r="H336" s="6" t="s">
        <v>3221</v>
      </c>
      <c r="K336" s="9" t="s">
        <v>3222</v>
      </c>
      <c r="L336" s="6">
        <v>2</v>
      </c>
      <c r="M336" s="6" t="s">
        <v>99</v>
      </c>
      <c r="N336" s="6" t="s">
        <v>99</v>
      </c>
      <c r="O336" s="6" t="s">
        <v>99</v>
      </c>
      <c r="P336" s="6" t="s">
        <v>99</v>
      </c>
      <c r="Q336" s="6" t="s">
        <v>99</v>
      </c>
      <c r="R336" s="6" t="s">
        <v>110</v>
      </c>
      <c r="S336" s="6" t="s">
        <v>99</v>
      </c>
      <c r="T336" s="6" t="s">
        <v>99</v>
      </c>
      <c r="U336" s="6"/>
      <c r="W336" s="6"/>
      <c r="X336" s="6" t="s">
        <v>99</v>
      </c>
      <c r="Y336" s="6"/>
      <c r="AA336" s="14" t="s">
        <v>840</v>
      </c>
      <c r="AB336" s="16" t="s">
        <v>840</v>
      </c>
      <c r="AC336" s="16" t="s">
        <v>840</v>
      </c>
      <c r="AD336" s="16" t="s">
        <v>840</v>
      </c>
      <c r="AE336" s="15" t="s">
        <v>3223</v>
      </c>
      <c r="AF336" s="15" t="s">
        <v>118</v>
      </c>
      <c r="AG336" s="15" t="s">
        <v>3223</v>
      </c>
      <c r="AH336" s="15" t="s">
        <v>571</v>
      </c>
      <c r="AI336" s="15" t="s">
        <v>2355</v>
      </c>
      <c r="AJ336" s="6"/>
      <c r="AK336" s="6"/>
      <c r="AL336" s="6">
        <v>86.8</v>
      </c>
      <c r="AN336" s="15">
        <v>99</v>
      </c>
      <c r="AO336" s="6">
        <v>106</v>
      </c>
      <c r="AP336" s="6">
        <v>40.200000000000003</v>
      </c>
      <c r="AQ336" s="6">
        <v>8</v>
      </c>
      <c r="AR336" s="6">
        <v>26.7</v>
      </c>
      <c r="AS336" s="6">
        <v>51</v>
      </c>
      <c r="AT336" s="6">
        <v>29.7</v>
      </c>
      <c r="AU336" s="6">
        <v>105</v>
      </c>
      <c r="AV336" s="6">
        <v>79</v>
      </c>
      <c r="DC336" s="6">
        <v>85</v>
      </c>
      <c r="DD336" s="6">
        <v>0.63</v>
      </c>
      <c r="DE336" s="6">
        <v>173</v>
      </c>
      <c r="DF336" s="6" t="s">
        <v>3224</v>
      </c>
      <c r="DG336" s="9" t="e">
        <f t="shared" si="5"/>
        <v>#VALUE!</v>
      </c>
      <c r="DH336" s="6"/>
      <c r="DI336" s="6">
        <v>5.57</v>
      </c>
      <c r="DJ336" s="6"/>
      <c r="DK336" s="6"/>
      <c r="DL336" s="6">
        <v>57</v>
      </c>
      <c r="DM336" s="6"/>
      <c r="DN336" s="6"/>
      <c r="DQ336" s="6" t="s">
        <v>99</v>
      </c>
    </row>
    <row r="337" spans="1:125" x14ac:dyDescent="0.2">
      <c r="A337" s="6">
        <v>258</v>
      </c>
      <c r="B337" s="8">
        <v>42927</v>
      </c>
      <c r="C337" s="6" t="s">
        <v>95</v>
      </c>
      <c r="D337" s="6">
        <v>52</v>
      </c>
      <c r="E337" s="6" t="s">
        <v>100</v>
      </c>
      <c r="F337" s="17">
        <v>23927</v>
      </c>
      <c r="G337" s="6" t="s">
        <v>234</v>
      </c>
      <c r="H337" s="6"/>
      <c r="I337" s="9">
        <v>13</v>
      </c>
      <c r="J337" s="9">
        <v>49</v>
      </c>
      <c r="K337" s="9">
        <v>2001</v>
      </c>
      <c r="L337" s="6">
        <v>1</v>
      </c>
      <c r="M337" s="6" t="s">
        <v>99</v>
      </c>
      <c r="N337" s="6" t="s">
        <v>99</v>
      </c>
      <c r="O337" s="6" t="s">
        <v>99</v>
      </c>
      <c r="P337" s="6" t="s">
        <v>99</v>
      </c>
      <c r="Q337" s="6" t="s">
        <v>99</v>
      </c>
      <c r="R337" s="6" t="s">
        <v>110</v>
      </c>
      <c r="S337" s="6"/>
      <c r="T337" s="6"/>
      <c r="U337" s="6"/>
      <c r="W337" s="6"/>
      <c r="X337" s="6"/>
      <c r="Y337" s="6"/>
      <c r="AA337" s="9" t="s">
        <v>100</v>
      </c>
      <c r="AB337" s="16" t="s">
        <v>840</v>
      </c>
      <c r="AC337" s="16" t="s">
        <v>840</v>
      </c>
      <c r="AD337" s="16" t="s">
        <v>840</v>
      </c>
      <c r="AE337" s="88" t="s">
        <v>3225</v>
      </c>
      <c r="AF337" s="6" t="s">
        <v>99</v>
      </c>
      <c r="AG337" s="88" t="s">
        <v>2536</v>
      </c>
      <c r="AH337" s="6" t="s">
        <v>99</v>
      </c>
      <c r="AI337" s="6" t="s">
        <v>99</v>
      </c>
      <c r="AJ337" s="6" t="s">
        <v>99</v>
      </c>
      <c r="AK337" s="6" t="s">
        <v>3226</v>
      </c>
      <c r="AL337" s="6">
        <v>66.8</v>
      </c>
      <c r="AM337" s="9">
        <v>155</v>
      </c>
      <c r="AN337" s="6">
        <v>91</v>
      </c>
      <c r="AO337" s="6">
        <v>95</v>
      </c>
      <c r="AP337" s="6">
        <v>43.1</v>
      </c>
      <c r="AQ337" s="6">
        <v>9</v>
      </c>
      <c r="AR337" s="6">
        <v>23.7</v>
      </c>
      <c r="AS337" s="6">
        <v>60</v>
      </c>
      <c r="AT337" s="6">
        <v>27.8</v>
      </c>
      <c r="AU337" s="6">
        <v>95</v>
      </c>
      <c r="AV337" s="6">
        <v>72</v>
      </c>
      <c r="DC337" s="6"/>
      <c r="DD337" s="6"/>
      <c r="DE337" s="6"/>
      <c r="DF337" s="6"/>
      <c r="DG337" s="9" t="e">
        <f t="shared" si="5"/>
        <v>#NUM!</v>
      </c>
      <c r="DH337" s="6"/>
      <c r="DI337" s="6"/>
      <c r="DJ337" s="6"/>
      <c r="DK337" s="6"/>
      <c r="DL337" s="6"/>
      <c r="DM337" s="6"/>
      <c r="DN337" s="6"/>
      <c r="DP337" s="11">
        <v>2</v>
      </c>
      <c r="DQ337" s="6" t="s">
        <v>105</v>
      </c>
    </row>
    <row r="338" spans="1:125" x14ac:dyDescent="0.2">
      <c r="A338" s="16">
        <v>259</v>
      </c>
      <c r="B338" s="8">
        <v>42927</v>
      </c>
      <c r="C338" s="6" t="s">
        <v>196</v>
      </c>
      <c r="D338" s="6">
        <v>55</v>
      </c>
      <c r="E338" s="6" t="s">
        <v>100</v>
      </c>
      <c r="F338" s="17">
        <v>22677</v>
      </c>
      <c r="G338" s="6" t="s">
        <v>3227</v>
      </c>
      <c r="H338" s="6" t="s">
        <v>3010</v>
      </c>
      <c r="I338" s="9">
        <v>1974</v>
      </c>
      <c r="J338" s="10">
        <v>2012</v>
      </c>
      <c r="K338" s="9">
        <v>1997</v>
      </c>
      <c r="L338" s="6">
        <v>1</v>
      </c>
      <c r="M338" s="6" t="s">
        <v>99</v>
      </c>
      <c r="N338" s="6" t="s">
        <v>99</v>
      </c>
      <c r="O338" s="6" t="s">
        <v>99</v>
      </c>
      <c r="P338" s="6" t="s">
        <v>99</v>
      </c>
      <c r="Q338" s="6" t="s">
        <v>110</v>
      </c>
      <c r="R338" s="6"/>
      <c r="S338" s="6" t="s">
        <v>99</v>
      </c>
      <c r="T338" s="6" t="s">
        <v>110</v>
      </c>
      <c r="U338" s="6">
        <v>1</v>
      </c>
      <c r="W338" s="6"/>
      <c r="X338" s="6"/>
      <c r="Y338" s="6" t="s">
        <v>99</v>
      </c>
      <c r="AA338" s="9" t="s">
        <v>100</v>
      </c>
      <c r="AB338" s="6" t="s">
        <v>100</v>
      </c>
      <c r="AC338" s="6" t="s">
        <v>100</v>
      </c>
      <c r="AD338" s="9" t="s">
        <v>100</v>
      </c>
      <c r="AE338" s="15" t="s">
        <v>118</v>
      </c>
      <c r="AF338" s="15" t="s">
        <v>2268</v>
      </c>
      <c r="AG338" s="15" t="s">
        <v>3228</v>
      </c>
      <c r="AH338" s="15" t="s">
        <v>118</v>
      </c>
      <c r="AI338" s="6" t="s">
        <v>99</v>
      </c>
      <c r="AJ338" s="6" t="s">
        <v>99</v>
      </c>
      <c r="AK338" s="16" t="s">
        <v>3229</v>
      </c>
      <c r="AL338" s="6">
        <v>66.099999999999994</v>
      </c>
      <c r="AN338" s="15">
        <v>85</v>
      </c>
      <c r="AO338" s="6">
        <v>101</v>
      </c>
      <c r="AP338" s="6">
        <v>40.6</v>
      </c>
      <c r="AQ338" s="6">
        <v>8</v>
      </c>
      <c r="AR338" s="6">
        <v>23.9</v>
      </c>
      <c r="AS338" s="6">
        <v>54</v>
      </c>
      <c r="AT338" s="6">
        <v>25.2</v>
      </c>
      <c r="AU338" s="6">
        <v>108</v>
      </c>
      <c r="AV338" s="6">
        <v>84</v>
      </c>
      <c r="AX338" s="9" t="s">
        <v>1977</v>
      </c>
      <c r="AY338" s="9" t="s">
        <v>666</v>
      </c>
      <c r="AZ338" s="9" t="s">
        <v>679</v>
      </c>
      <c r="BB338" s="9" t="s">
        <v>346</v>
      </c>
      <c r="BC338" s="9" t="s">
        <v>3230</v>
      </c>
      <c r="BD338" s="9" t="s">
        <v>3231</v>
      </c>
      <c r="BF338" s="9" t="s">
        <v>3232</v>
      </c>
      <c r="BG338" s="9" t="s">
        <v>3233</v>
      </c>
      <c r="BH338" s="9" t="s">
        <v>700</v>
      </c>
      <c r="BI338" s="9" t="s">
        <v>176</v>
      </c>
      <c r="BJ338" s="9" t="s">
        <v>176</v>
      </c>
      <c r="BK338" s="9" t="s">
        <v>3234</v>
      </c>
      <c r="BM338" s="14" t="s">
        <v>363</v>
      </c>
      <c r="BN338" s="9" t="s">
        <v>3235</v>
      </c>
      <c r="BO338" s="9" t="s">
        <v>3236</v>
      </c>
      <c r="BP338" s="9" t="s">
        <v>3237</v>
      </c>
      <c r="BU338" s="9" t="s">
        <v>3238</v>
      </c>
      <c r="BV338" s="14" t="s">
        <v>125</v>
      </c>
      <c r="BW338" s="9" t="s">
        <v>3239</v>
      </c>
      <c r="BX338" s="9" t="s">
        <v>3240</v>
      </c>
      <c r="BZ338" s="9" t="s">
        <v>3241</v>
      </c>
      <c r="CL338" s="9" t="s">
        <v>685</v>
      </c>
      <c r="CM338" s="9" t="s">
        <v>3242</v>
      </c>
      <c r="CO338" s="9" t="s">
        <v>362</v>
      </c>
      <c r="CP338" s="9" t="s">
        <v>716</v>
      </c>
      <c r="CQ338" s="9" t="s">
        <v>361</v>
      </c>
      <c r="CR338" s="9" t="s">
        <v>3243</v>
      </c>
      <c r="CT338" s="9" t="s">
        <v>363</v>
      </c>
      <c r="CU338" s="9" t="s">
        <v>1661</v>
      </c>
      <c r="CW338" s="9">
        <v>3</v>
      </c>
      <c r="CX338" s="9" t="s">
        <v>110</v>
      </c>
      <c r="CY338" s="9" t="s">
        <v>110</v>
      </c>
      <c r="CZ338" s="9">
        <v>10</v>
      </c>
      <c r="DA338" s="9">
        <v>20</v>
      </c>
      <c r="DB338" s="9">
        <v>70</v>
      </c>
      <c r="DC338" s="15">
        <v>102</v>
      </c>
      <c r="DD338" s="6">
        <v>0.77</v>
      </c>
      <c r="DE338" s="15">
        <v>280</v>
      </c>
      <c r="DF338" s="15">
        <v>170</v>
      </c>
      <c r="DG338" s="9">
        <f t="shared" si="5"/>
        <v>4.8803856251672668</v>
      </c>
      <c r="DH338" s="6">
        <v>34</v>
      </c>
      <c r="DI338" s="6">
        <v>5.29</v>
      </c>
      <c r="DJ338" s="6"/>
      <c r="DK338" s="6"/>
      <c r="DL338" s="6">
        <v>44</v>
      </c>
      <c r="DM338" s="6">
        <v>202</v>
      </c>
      <c r="DN338" s="6"/>
      <c r="DP338" s="11">
        <v>2</v>
      </c>
      <c r="DQ338" s="6" t="s">
        <v>105</v>
      </c>
      <c r="DU338" s="9">
        <v>10.199999999999999</v>
      </c>
    </row>
    <row r="339" spans="1:125" x14ac:dyDescent="0.2">
      <c r="A339" s="6">
        <v>260</v>
      </c>
      <c r="B339" s="8">
        <v>42927</v>
      </c>
      <c r="C339" s="6" t="s">
        <v>196</v>
      </c>
      <c r="D339" s="6">
        <v>57</v>
      </c>
      <c r="E339" s="6" t="s">
        <v>100</v>
      </c>
      <c r="F339" s="17">
        <v>22098</v>
      </c>
      <c r="G339" s="6" t="s">
        <v>197</v>
      </c>
      <c r="H339" s="6" t="s">
        <v>3001</v>
      </c>
      <c r="I339" s="9">
        <v>11</v>
      </c>
      <c r="J339" s="10" t="s">
        <v>3244</v>
      </c>
      <c r="K339" s="9">
        <v>1985</v>
      </c>
      <c r="L339" s="6">
        <v>4</v>
      </c>
      <c r="M339" s="6" t="s">
        <v>99</v>
      </c>
      <c r="N339" s="6" t="s">
        <v>99</v>
      </c>
      <c r="O339" s="6" t="s">
        <v>99</v>
      </c>
      <c r="P339" s="6" t="s">
        <v>110</v>
      </c>
      <c r="Q339" s="6" t="s">
        <v>110</v>
      </c>
      <c r="R339" s="6" t="s">
        <v>110</v>
      </c>
      <c r="S339" s="6" t="s">
        <v>110</v>
      </c>
      <c r="T339" s="6" t="s">
        <v>110</v>
      </c>
      <c r="U339" s="6" t="s">
        <v>3245</v>
      </c>
      <c r="W339" s="16" t="s">
        <v>3246</v>
      </c>
      <c r="X339" s="6" t="s">
        <v>99</v>
      </c>
      <c r="Y339" s="6" t="s">
        <v>1903</v>
      </c>
      <c r="AA339" s="9" t="s">
        <v>100</v>
      </c>
      <c r="AB339" s="6"/>
      <c r="AC339" s="6" t="s">
        <v>100</v>
      </c>
      <c r="AE339" s="6" t="s">
        <v>99</v>
      </c>
      <c r="AF339" s="6" t="s">
        <v>99</v>
      </c>
      <c r="AG339" s="15" t="s">
        <v>3247</v>
      </c>
      <c r="AH339" s="6" t="s">
        <v>99</v>
      </c>
      <c r="AI339" s="6" t="s">
        <v>99</v>
      </c>
      <c r="AJ339" s="6" t="s">
        <v>99</v>
      </c>
      <c r="AK339" s="6" t="s">
        <v>99</v>
      </c>
      <c r="AL339" s="6">
        <v>72.099999999999994</v>
      </c>
      <c r="AN339" s="6">
        <v>79.5</v>
      </c>
      <c r="AO339" s="6">
        <v>109</v>
      </c>
      <c r="AP339" s="6">
        <v>42.5</v>
      </c>
      <c r="AQ339" s="6">
        <v>9</v>
      </c>
      <c r="AR339" s="6">
        <v>23.9</v>
      </c>
      <c r="AS339" s="6">
        <v>59</v>
      </c>
      <c r="AT339" s="6">
        <v>27.1</v>
      </c>
      <c r="AU339" s="6">
        <v>123</v>
      </c>
      <c r="AV339" s="6">
        <v>71</v>
      </c>
      <c r="AX339" s="9" t="s">
        <v>3248</v>
      </c>
      <c r="AY339" s="9" t="s">
        <v>1977</v>
      </c>
      <c r="BF339" s="9" t="s">
        <v>350</v>
      </c>
      <c r="BG339" s="9" t="s">
        <v>350</v>
      </c>
      <c r="BH339" s="9" t="s">
        <v>350</v>
      </c>
      <c r="BI339" s="9" t="s">
        <v>350</v>
      </c>
      <c r="BJ339" s="9" t="s">
        <v>655</v>
      </c>
      <c r="BK339" s="9" t="s">
        <v>655</v>
      </c>
      <c r="BN339" s="9" t="s">
        <v>3249</v>
      </c>
      <c r="BO339" s="9" t="s">
        <v>2970</v>
      </c>
      <c r="BP339" s="9" t="s">
        <v>3250</v>
      </c>
      <c r="BV339" s="9" t="s">
        <v>985</v>
      </c>
      <c r="BZ339" s="9" t="s">
        <v>3251</v>
      </c>
      <c r="CA339" s="9" t="s">
        <v>808</v>
      </c>
      <c r="CB339" s="9" t="s">
        <v>3252</v>
      </c>
      <c r="CL339" s="9" t="s">
        <v>360</v>
      </c>
      <c r="CM339" s="9" t="s">
        <v>823</v>
      </c>
      <c r="CN339" s="9" t="s">
        <v>887</v>
      </c>
      <c r="CP339" s="9" t="s">
        <v>361</v>
      </c>
      <c r="CQ339" s="9" t="s">
        <v>3253</v>
      </c>
      <c r="CR339" s="9" t="s">
        <v>3254</v>
      </c>
      <c r="CT339" s="9" t="s">
        <v>3255</v>
      </c>
      <c r="CW339" s="9">
        <v>5</v>
      </c>
      <c r="CX339" s="9" t="s">
        <v>110</v>
      </c>
      <c r="CY339" s="9" t="s">
        <v>110</v>
      </c>
      <c r="CZ339" s="9">
        <v>70</v>
      </c>
      <c r="DA339" s="9">
        <v>15</v>
      </c>
      <c r="DB339" s="9">
        <v>15</v>
      </c>
      <c r="DC339" s="6">
        <v>91.3</v>
      </c>
      <c r="DD339" s="6">
        <v>0.6</v>
      </c>
      <c r="DE339" s="15">
        <v>222</v>
      </c>
      <c r="DF339" s="6">
        <v>84</v>
      </c>
      <c r="DG339" s="9">
        <f t="shared" si="5"/>
        <v>4.4724837932221178</v>
      </c>
      <c r="DH339" s="6"/>
      <c r="DI339" s="6">
        <v>4.53</v>
      </c>
      <c r="DJ339" s="6"/>
      <c r="DK339" s="6"/>
      <c r="DL339" s="6"/>
      <c r="DM339" s="6"/>
      <c r="DN339" s="6"/>
      <c r="DP339" s="11">
        <v>3</v>
      </c>
      <c r="DQ339" s="6" t="s">
        <v>111</v>
      </c>
      <c r="DR339" s="9">
        <v>2</v>
      </c>
    </row>
    <row r="340" spans="1:125" x14ac:dyDescent="0.2">
      <c r="A340" s="16">
        <v>261</v>
      </c>
      <c r="B340" s="8">
        <v>42927</v>
      </c>
      <c r="C340" s="6" t="s">
        <v>196</v>
      </c>
      <c r="D340" s="6">
        <v>50</v>
      </c>
      <c r="E340" s="6" t="s">
        <v>100</v>
      </c>
      <c r="G340" s="6" t="s">
        <v>3256</v>
      </c>
      <c r="H340" s="6" t="s">
        <v>3191</v>
      </c>
      <c r="I340" s="9">
        <v>10</v>
      </c>
      <c r="J340" s="10">
        <v>36</v>
      </c>
      <c r="K340" s="9" t="s">
        <v>2511</v>
      </c>
      <c r="L340" s="6">
        <v>1</v>
      </c>
      <c r="M340" s="15" t="s">
        <v>3257</v>
      </c>
      <c r="N340" s="6" t="s">
        <v>99</v>
      </c>
      <c r="O340" s="15" t="s">
        <v>110</v>
      </c>
      <c r="P340" s="6" t="s">
        <v>99</v>
      </c>
      <c r="Q340" s="6" t="s">
        <v>99</v>
      </c>
      <c r="R340" s="6"/>
      <c r="S340" s="6" t="s">
        <v>99</v>
      </c>
      <c r="T340" s="6" t="s">
        <v>110</v>
      </c>
      <c r="U340" s="6" t="s">
        <v>2418</v>
      </c>
      <c r="W340" s="16" t="s">
        <v>3258</v>
      </c>
      <c r="X340" s="6" t="s">
        <v>99</v>
      </c>
      <c r="Y340" s="6" t="s">
        <v>110</v>
      </c>
      <c r="AA340" s="9" t="s">
        <v>100</v>
      </c>
      <c r="AB340" s="6" t="s">
        <v>100</v>
      </c>
      <c r="AC340" s="16" t="s">
        <v>3259</v>
      </c>
      <c r="AD340" s="9" t="s">
        <v>100</v>
      </c>
      <c r="AE340" s="15" t="s">
        <v>363</v>
      </c>
      <c r="AF340" s="15" t="s">
        <v>3260</v>
      </c>
      <c r="AG340" s="6" t="s">
        <v>99</v>
      </c>
      <c r="AH340" s="6" t="s">
        <v>99</v>
      </c>
      <c r="AI340" s="6" t="s">
        <v>99</v>
      </c>
      <c r="AJ340" s="6" t="s">
        <v>99</v>
      </c>
      <c r="AK340" s="6" t="s">
        <v>99</v>
      </c>
      <c r="AL340" s="6">
        <v>72.599999999999994</v>
      </c>
      <c r="AM340" s="9">
        <v>156</v>
      </c>
      <c r="AN340" s="15">
        <v>90</v>
      </c>
      <c r="AO340" s="6">
        <v>100</v>
      </c>
      <c r="AP340" s="6">
        <v>46.3</v>
      </c>
      <c r="AQ340" s="6">
        <v>10</v>
      </c>
      <c r="AR340" s="6">
        <v>22.5</v>
      </c>
      <c r="AS340" s="6">
        <v>63</v>
      </c>
      <c r="AT340" s="6">
        <v>29.8</v>
      </c>
      <c r="AU340" s="15">
        <v>141</v>
      </c>
      <c r="AV340" s="15">
        <v>87</v>
      </c>
      <c r="AX340" s="9" t="s">
        <v>3261</v>
      </c>
      <c r="AY340" s="9" t="s">
        <v>2050</v>
      </c>
      <c r="AZ340" s="9" t="s">
        <v>3262</v>
      </c>
      <c r="BB340" s="9" t="s">
        <v>3263</v>
      </c>
      <c r="BC340" s="9" t="s">
        <v>3264</v>
      </c>
      <c r="BF340" s="9" t="s">
        <v>176</v>
      </c>
      <c r="BG340" s="9" t="s">
        <v>3265</v>
      </c>
      <c r="BH340" s="9" t="s">
        <v>1979</v>
      </c>
      <c r="BI340" s="9" t="s">
        <v>2654</v>
      </c>
      <c r="BJ340" s="9" t="s">
        <v>3266</v>
      </c>
      <c r="BK340" s="9" t="s">
        <v>3267</v>
      </c>
      <c r="BN340" s="9" t="s">
        <v>3268</v>
      </c>
      <c r="BO340" s="9" t="s">
        <v>3269</v>
      </c>
      <c r="BP340" s="9" t="s">
        <v>3270</v>
      </c>
      <c r="BZ340" s="9" t="s">
        <v>182</v>
      </c>
      <c r="CA340" s="14" t="s">
        <v>859</v>
      </c>
      <c r="CB340" s="9" t="s">
        <v>752</v>
      </c>
      <c r="CD340" s="9" t="s">
        <v>99</v>
      </c>
      <c r="CH340" s="9" t="s">
        <v>99</v>
      </c>
      <c r="CL340" s="9" t="s">
        <v>1181</v>
      </c>
      <c r="CM340" s="9" t="s">
        <v>3271</v>
      </c>
      <c r="CP340" s="9" t="s">
        <v>3272</v>
      </c>
      <c r="CQ340" s="9" t="s">
        <v>757</v>
      </c>
      <c r="CR340" s="9" t="s">
        <v>3273</v>
      </c>
      <c r="CT340" s="9" t="s">
        <v>350</v>
      </c>
      <c r="CW340" s="9">
        <v>3</v>
      </c>
      <c r="CX340" s="9" t="s">
        <v>110</v>
      </c>
      <c r="CY340" s="9" t="s">
        <v>110</v>
      </c>
      <c r="DC340" s="15">
        <v>165.2</v>
      </c>
      <c r="DD340" s="6">
        <v>0.59</v>
      </c>
      <c r="DE340" s="15">
        <v>215</v>
      </c>
      <c r="DF340" s="15">
        <v>156</v>
      </c>
      <c r="DG340" s="9">
        <f t="shared" si="5"/>
        <v>5.0785064341682071</v>
      </c>
      <c r="DH340" s="6">
        <v>31</v>
      </c>
      <c r="DI340" s="15">
        <v>6.81</v>
      </c>
      <c r="DJ340" s="6"/>
      <c r="DK340" s="6"/>
      <c r="DL340" s="6">
        <v>50</v>
      </c>
      <c r="DM340" s="6">
        <v>134</v>
      </c>
      <c r="DN340" s="6"/>
      <c r="DP340" s="11">
        <v>3</v>
      </c>
      <c r="DQ340" s="6" t="s">
        <v>105</v>
      </c>
      <c r="DR340" s="9">
        <v>3</v>
      </c>
      <c r="DT340" s="9">
        <v>14.3</v>
      </c>
      <c r="DU340" s="9">
        <v>13.87</v>
      </c>
    </row>
    <row r="341" spans="1:125" x14ac:dyDescent="0.2">
      <c r="A341" s="103">
        <v>262</v>
      </c>
      <c r="B341" s="8">
        <v>42927</v>
      </c>
      <c r="C341" s="6" t="s">
        <v>675</v>
      </c>
      <c r="D341" s="6">
        <v>33</v>
      </c>
      <c r="E341" s="6" t="s">
        <v>100</v>
      </c>
      <c r="F341" s="17">
        <v>30775</v>
      </c>
      <c r="G341" s="6" t="s">
        <v>915</v>
      </c>
      <c r="H341" s="6" t="s">
        <v>3001</v>
      </c>
      <c r="L341" s="6"/>
      <c r="M341" s="6" t="s">
        <v>99</v>
      </c>
      <c r="N341" s="6" t="s">
        <v>99</v>
      </c>
      <c r="O341" s="6" t="s">
        <v>99</v>
      </c>
      <c r="P341" s="6" t="s">
        <v>99</v>
      </c>
      <c r="Q341" s="6" t="s">
        <v>110</v>
      </c>
      <c r="R341" s="6" t="s">
        <v>110</v>
      </c>
      <c r="S341" s="6" t="s">
        <v>99</v>
      </c>
      <c r="T341" s="6" t="s">
        <v>110</v>
      </c>
      <c r="U341" s="6"/>
      <c r="W341" s="6"/>
      <c r="X341" s="6"/>
      <c r="Y341" s="6"/>
      <c r="AA341" s="9" t="s">
        <v>100</v>
      </c>
      <c r="AB341" s="6" t="s">
        <v>100</v>
      </c>
      <c r="AC341" s="6" t="s">
        <v>100</v>
      </c>
      <c r="AD341" s="9" t="s">
        <v>100</v>
      </c>
      <c r="AE341" s="15" t="s">
        <v>3274</v>
      </c>
      <c r="AF341" s="15" t="s">
        <v>2268</v>
      </c>
      <c r="AG341" s="15" t="s">
        <v>2275</v>
      </c>
      <c r="AH341" s="15" t="s">
        <v>2320</v>
      </c>
      <c r="AI341" s="6" t="s">
        <v>99</v>
      </c>
      <c r="AJ341" s="6" t="s">
        <v>99</v>
      </c>
      <c r="AK341" s="6" t="s">
        <v>99</v>
      </c>
      <c r="AL341" s="6">
        <v>75.5</v>
      </c>
      <c r="AM341" s="9">
        <v>170</v>
      </c>
      <c r="AN341" s="15">
        <v>88</v>
      </c>
      <c r="AO341" s="6">
        <v>97</v>
      </c>
      <c r="AP341" s="6">
        <v>26.1</v>
      </c>
      <c r="AQ341" s="6">
        <v>9</v>
      </c>
      <c r="AR341" s="6">
        <v>36</v>
      </c>
      <c r="AS341" s="6">
        <v>41</v>
      </c>
      <c r="AT341" s="6">
        <v>26.1</v>
      </c>
      <c r="AU341" s="6">
        <v>102</v>
      </c>
      <c r="AV341" s="6">
        <v>77</v>
      </c>
      <c r="AX341" s="9" t="s">
        <v>1977</v>
      </c>
      <c r="AY341" s="9" t="s">
        <v>3275</v>
      </c>
      <c r="BB341" s="9" t="s">
        <v>3276</v>
      </c>
      <c r="BC341" s="9" t="s">
        <v>346</v>
      </c>
      <c r="BF341" s="9" t="s">
        <v>3277</v>
      </c>
      <c r="BG341" s="9" t="s">
        <v>176</v>
      </c>
      <c r="BI341" s="9" t="s">
        <v>176</v>
      </c>
      <c r="BJ341" s="9" t="s">
        <v>176</v>
      </c>
      <c r="BK341" s="9" t="s">
        <v>350</v>
      </c>
      <c r="BM341" s="9" t="s">
        <v>3140</v>
      </c>
      <c r="BZ341" s="9" t="s">
        <v>3278</v>
      </c>
      <c r="CW341" s="9">
        <v>3</v>
      </c>
      <c r="CY341" s="9" t="s">
        <v>110</v>
      </c>
      <c r="DC341" s="6">
        <v>95</v>
      </c>
      <c r="DD341" s="6">
        <v>0.76</v>
      </c>
      <c r="DE341" s="6">
        <v>176</v>
      </c>
      <c r="DF341" s="15">
        <v>180</v>
      </c>
      <c r="DG341" s="9">
        <f t="shared" si="5"/>
        <v>4.873416871245376</v>
      </c>
      <c r="DH341" s="6">
        <v>36</v>
      </c>
      <c r="DI341" s="15">
        <v>9.75</v>
      </c>
      <c r="DJ341" s="6"/>
      <c r="DK341" s="6"/>
      <c r="DL341" s="6">
        <v>63</v>
      </c>
      <c r="DM341" s="6">
        <v>77</v>
      </c>
      <c r="DN341" s="6"/>
      <c r="DP341" s="11">
        <v>3</v>
      </c>
      <c r="DQ341" s="6" t="s">
        <v>111</v>
      </c>
      <c r="DR341" s="9">
        <v>2</v>
      </c>
    </row>
    <row r="342" spans="1:125" x14ac:dyDescent="0.2">
      <c r="A342" s="79">
        <v>263</v>
      </c>
      <c r="B342" s="8">
        <v>42927</v>
      </c>
      <c r="C342" s="6" t="s">
        <v>675</v>
      </c>
      <c r="D342" s="6">
        <v>58</v>
      </c>
      <c r="E342" s="6" t="s">
        <v>100</v>
      </c>
      <c r="F342" s="17">
        <v>21593</v>
      </c>
      <c r="G342" s="6" t="s">
        <v>3017</v>
      </c>
      <c r="H342" s="6" t="s">
        <v>2807</v>
      </c>
      <c r="J342" s="10">
        <v>40</v>
      </c>
      <c r="K342" s="9">
        <v>1992</v>
      </c>
      <c r="L342" s="6">
        <v>3</v>
      </c>
      <c r="M342" s="6" t="s">
        <v>99</v>
      </c>
      <c r="N342" s="6" t="s">
        <v>99</v>
      </c>
      <c r="O342" s="6"/>
      <c r="P342" s="6" t="s">
        <v>99</v>
      </c>
      <c r="Q342" s="6" t="s">
        <v>99</v>
      </c>
      <c r="R342" s="6"/>
      <c r="S342" s="6" t="s">
        <v>99</v>
      </c>
      <c r="T342" s="6" t="s">
        <v>99</v>
      </c>
      <c r="U342" s="6" t="s">
        <v>99</v>
      </c>
      <c r="W342" s="16" t="s">
        <v>3279</v>
      </c>
      <c r="X342" s="6" t="s">
        <v>99</v>
      </c>
      <c r="Y342" s="6" t="s">
        <v>3280</v>
      </c>
      <c r="AA342" s="9" t="s">
        <v>3281</v>
      </c>
      <c r="AB342" s="6" t="s">
        <v>3281</v>
      </c>
      <c r="AC342" s="6" t="s">
        <v>3281</v>
      </c>
      <c r="AD342" s="9" t="s">
        <v>3281</v>
      </c>
      <c r="AE342" s="9" t="s">
        <v>99</v>
      </c>
      <c r="AF342" s="9" t="s">
        <v>99</v>
      </c>
      <c r="AG342" s="9" t="s">
        <v>99</v>
      </c>
      <c r="AH342" s="9" t="s">
        <v>99</v>
      </c>
      <c r="AI342" s="9" t="s">
        <v>99</v>
      </c>
      <c r="AJ342" s="9" t="s">
        <v>99</v>
      </c>
      <c r="AK342" s="9" t="s">
        <v>99</v>
      </c>
      <c r="AL342" s="6">
        <v>54.7</v>
      </c>
      <c r="AM342" s="9">
        <v>152</v>
      </c>
      <c r="AN342" s="6">
        <v>78</v>
      </c>
      <c r="AO342" s="6">
        <v>96</v>
      </c>
      <c r="AP342" s="6">
        <v>37.1</v>
      </c>
      <c r="AQ342" s="6">
        <v>7</v>
      </c>
      <c r="AR342" s="6">
        <v>24.7</v>
      </c>
      <c r="AS342" s="6">
        <v>54</v>
      </c>
      <c r="AT342" s="79">
        <v>23.7</v>
      </c>
      <c r="AU342" s="6"/>
      <c r="AV342" s="6"/>
      <c r="AX342" s="9" t="s">
        <v>3282</v>
      </c>
      <c r="AY342" s="9" t="s">
        <v>3283</v>
      </c>
      <c r="BB342" s="9" t="s">
        <v>3284</v>
      </c>
      <c r="BF342" s="9" t="s">
        <v>350</v>
      </c>
      <c r="BH342" s="9" t="s">
        <v>1979</v>
      </c>
      <c r="BI342" s="9" t="s">
        <v>176</v>
      </c>
      <c r="BK342" s="9" t="s">
        <v>350</v>
      </c>
      <c r="BM342" s="9" t="s">
        <v>176</v>
      </c>
      <c r="CL342" s="9" t="s">
        <v>1181</v>
      </c>
      <c r="CM342" s="9" t="s">
        <v>3285</v>
      </c>
      <c r="CP342" s="9" t="s">
        <v>3286</v>
      </c>
      <c r="CQ342" s="9" t="s">
        <v>715</v>
      </c>
      <c r="CR342" s="9" t="s">
        <v>716</v>
      </c>
      <c r="CT342" s="9" t="s">
        <v>2385</v>
      </c>
      <c r="CW342" s="9">
        <v>3</v>
      </c>
      <c r="CX342" s="9" t="s">
        <v>99</v>
      </c>
      <c r="CY342" s="9" t="s">
        <v>110</v>
      </c>
      <c r="CZ342" s="9">
        <v>50</v>
      </c>
      <c r="DA342" s="9">
        <v>3</v>
      </c>
      <c r="DB342" s="9">
        <v>50</v>
      </c>
      <c r="DC342" s="6">
        <v>81.7</v>
      </c>
      <c r="DD342" s="6">
        <v>0.75</v>
      </c>
      <c r="DE342" s="6">
        <v>189</v>
      </c>
      <c r="DF342" s="6" t="s">
        <v>3287</v>
      </c>
      <c r="DG342" s="9" t="e">
        <f t="shared" si="5"/>
        <v>#VALUE!</v>
      </c>
      <c r="DH342" s="6"/>
      <c r="DI342" s="6">
        <v>4.99</v>
      </c>
      <c r="DJ342" s="6"/>
      <c r="DK342" s="6"/>
      <c r="DL342" s="6"/>
      <c r="DM342" s="6"/>
      <c r="DN342" s="6"/>
      <c r="DP342" s="11">
        <v>3</v>
      </c>
      <c r="DQ342" s="6" t="s">
        <v>105</v>
      </c>
      <c r="DR342" s="9">
        <v>2</v>
      </c>
      <c r="DT342" s="9">
        <v>16.3</v>
      </c>
      <c r="DU342" s="9">
        <v>3.49</v>
      </c>
    </row>
    <row r="343" spans="1:125" x14ac:dyDescent="0.2">
      <c r="A343" s="103">
        <v>264</v>
      </c>
      <c r="B343" s="8">
        <v>42928</v>
      </c>
      <c r="C343" s="6" t="s">
        <v>196</v>
      </c>
      <c r="D343" s="6">
        <v>56</v>
      </c>
      <c r="E343" s="6" t="s">
        <v>100</v>
      </c>
      <c r="F343" s="17">
        <v>22333</v>
      </c>
      <c r="G343" s="6" t="s">
        <v>3288</v>
      </c>
      <c r="H343" s="6" t="s">
        <v>3001</v>
      </c>
      <c r="I343" s="9">
        <v>12</v>
      </c>
      <c r="J343" s="10">
        <v>52</v>
      </c>
      <c r="L343" s="6"/>
      <c r="M343" s="6" t="s">
        <v>99</v>
      </c>
      <c r="N343" s="6" t="s">
        <v>99</v>
      </c>
      <c r="O343" s="6" t="s">
        <v>99</v>
      </c>
      <c r="P343" s="6" t="s">
        <v>99</v>
      </c>
      <c r="Q343" s="6" t="s">
        <v>99</v>
      </c>
      <c r="R343" s="6"/>
      <c r="S343" s="6" t="s">
        <v>110</v>
      </c>
      <c r="T343" s="6" t="s">
        <v>110</v>
      </c>
      <c r="U343" s="6" t="s">
        <v>3289</v>
      </c>
      <c r="V343" s="9" t="s">
        <v>99</v>
      </c>
      <c r="W343" s="6" t="s">
        <v>99</v>
      </c>
      <c r="X343" s="6"/>
      <c r="Y343" s="6" t="s">
        <v>99</v>
      </c>
      <c r="AA343" s="9" t="s">
        <v>100</v>
      </c>
      <c r="AB343" s="6" t="s">
        <v>100</v>
      </c>
      <c r="AC343" s="6" t="s">
        <v>1123</v>
      </c>
      <c r="AD343" s="9" t="s">
        <v>100</v>
      </c>
      <c r="AE343" s="9" t="s">
        <v>99</v>
      </c>
      <c r="AF343" s="9" t="s">
        <v>99</v>
      </c>
      <c r="AG343" s="15" t="s">
        <v>125</v>
      </c>
      <c r="AH343" s="9" t="s">
        <v>99</v>
      </c>
      <c r="AI343" s="15" t="s">
        <v>664</v>
      </c>
      <c r="AJ343" s="9" t="s">
        <v>99</v>
      </c>
      <c r="AK343" s="6" t="s">
        <v>99</v>
      </c>
      <c r="AL343" s="6">
        <v>52.5</v>
      </c>
      <c r="AM343" s="9">
        <v>158</v>
      </c>
      <c r="AN343" s="6">
        <v>74</v>
      </c>
      <c r="AO343" s="6">
        <v>95</v>
      </c>
      <c r="AP343" s="6">
        <v>33.200000000000003</v>
      </c>
      <c r="AQ343" s="6">
        <v>5</v>
      </c>
      <c r="AR343" s="6">
        <v>24.3</v>
      </c>
      <c r="AS343" s="6">
        <v>39</v>
      </c>
      <c r="AT343" s="79">
        <v>21</v>
      </c>
      <c r="AU343" s="6">
        <v>122</v>
      </c>
      <c r="AV343" s="6">
        <v>79</v>
      </c>
      <c r="AX343" s="9" t="s">
        <v>3290</v>
      </c>
      <c r="AY343" s="9" t="s">
        <v>2878</v>
      </c>
      <c r="AZ343" s="9" t="s">
        <v>1097</v>
      </c>
      <c r="BB343" s="9" t="s">
        <v>346</v>
      </c>
      <c r="BC343" s="9" t="s">
        <v>2635</v>
      </c>
      <c r="BD343" s="9" t="s">
        <v>3291</v>
      </c>
      <c r="BF343" s="9" t="s">
        <v>176</v>
      </c>
      <c r="BG343" s="9" t="s">
        <v>3234</v>
      </c>
      <c r="BH343" s="9" t="s">
        <v>3215</v>
      </c>
      <c r="BI343" s="9" t="s">
        <v>176</v>
      </c>
      <c r="BK343" s="9" t="s">
        <v>683</v>
      </c>
      <c r="BN343" s="9" t="s">
        <v>3292</v>
      </c>
      <c r="BO343" s="9" t="s">
        <v>3293</v>
      </c>
      <c r="BP343" s="9" t="s">
        <v>2557</v>
      </c>
      <c r="BV343" s="9" t="s">
        <v>3089</v>
      </c>
      <c r="BZ343" s="9" t="s">
        <v>2640</v>
      </c>
      <c r="CA343" s="9" t="s">
        <v>578</v>
      </c>
      <c r="CB343" s="9" t="s">
        <v>3294</v>
      </c>
      <c r="CL343" s="9" t="s">
        <v>3158</v>
      </c>
      <c r="CM343" s="9" t="s">
        <v>3295</v>
      </c>
      <c r="CP343" s="9" t="s">
        <v>890</v>
      </c>
      <c r="CQ343" s="9" t="s">
        <v>2892</v>
      </c>
      <c r="CR343" s="9" t="s">
        <v>2641</v>
      </c>
      <c r="CW343" s="9">
        <v>3</v>
      </c>
      <c r="CX343" s="9" t="s">
        <v>110</v>
      </c>
      <c r="CY343" s="9" t="s">
        <v>110</v>
      </c>
      <c r="DC343" s="6">
        <v>82.5</v>
      </c>
      <c r="DD343" s="6">
        <v>0.71</v>
      </c>
      <c r="DE343" s="15" t="s">
        <v>3296</v>
      </c>
      <c r="DF343" s="15" t="s">
        <v>3297</v>
      </c>
      <c r="DG343" s="9" t="e">
        <f t="shared" si="5"/>
        <v>#VALUE!</v>
      </c>
      <c r="DH343" s="6">
        <v>42.4</v>
      </c>
      <c r="DI343" s="6">
        <v>4.37</v>
      </c>
      <c r="DJ343" s="6"/>
      <c r="DK343" s="6"/>
      <c r="DL343" s="6">
        <v>62.8</v>
      </c>
      <c r="DM343" s="6">
        <v>110.8</v>
      </c>
      <c r="DN343" s="6"/>
      <c r="DP343" s="11">
        <v>3</v>
      </c>
      <c r="DQ343" s="19" t="s">
        <v>112</v>
      </c>
      <c r="DR343" s="9">
        <v>3</v>
      </c>
      <c r="DT343" s="9">
        <v>5.61</v>
      </c>
      <c r="DU343" s="9">
        <v>4.17</v>
      </c>
    </row>
    <row r="344" spans="1:125" x14ac:dyDescent="0.2">
      <c r="A344" s="6">
        <v>265</v>
      </c>
      <c r="B344" s="8">
        <v>42928</v>
      </c>
      <c r="C344" s="6" t="s">
        <v>196</v>
      </c>
      <c r="D344" s="6">
        <v>33</v>
      </c>
      <c r="E344" s="6" t="s">
        <v>100</v>
      </c>
      <c r="G344" s="6" t="s">
        <v>197</v>
      </c>
      <c r="H344" s="6" t="s">
        <v>3001</v>
      </c>
      <c r="J344" s="9" t="s">
        <v>99</v>
      </c>
      <c r="L344" s="6"/>
      <c r="M344" s="6" t="s">
        <v>99</v>
      </c>
      <c r="N344" s="6" t="s">
        <v>99</v>
      </c>
      <c r="O344" s="6" t="s">
        <v>99</v>
      </c>
      <c r="P344" s="6" t="s">
        <v>99</v>
      </c>
      <c r="Q344" s="6" t="s">
        <v>99</v>
      </c>
      <c r="R344" s="6" t="s">
        <v>110</v>
      </c>
      <c r="S344" s="6" t="s">
        <v>99</v>
      </c>
      <c r="T344" s="6" t="s">
        <v>99</v>
      </c>
      <c r="U344" s="6" t="s">
        <v>3298</v>
      </c>
      <c r="W344" s="6"/>
      <c r="X344" s="6"/>
      <c r="Y344" s="6"/>
      <c r="AA344" s="9" t="s">
        <v>100</v>
      </c>
      <c r="AB344" s="6" t="s">
        <v>100</v>
      </c>
      <c r="AC344" s="6" t="s">
        <v>100</v>
      </c>
      <c r="AD344" s="9" t="s">
        <v>100</v>
      </c>
      <c r="AE344" s="15" t="s">
        <v>118</v>
      </c>
      <c r="AF344" s="15" t="s">
        <v>125</v>
      </c>
      <c r="AG344" s="6" t="s">
        <v>99</v>
      </c>
      <c r="AH344" s="15" t="s">
        <v>125</v>
      </c>
      <c r="AI344" s="6" t="s">
        <v>99</v>
      </c>
      <c r="AJ344" s="6" t="s">
        <v>99</v>
      </c>
      <c r="AK344" s="6"/>
      <c r="AL344" s="6">
        <v>68.8</v>
      </c>
      <c r="AM344" s="9">
        <v>158</v>
      </c>
      <c r="AN344" s="15">
        <v>85</v>
      </c>
      <c r="AO344" s="6">
        <v>110</v>
      </c>
      <c r="AP344" s="6">
        <v>43.4</v>
      </c>
      <c r="AQ344" s="6">
        <v>7</v>
      </c>
      <c r="AR344" s="6">
        <v>23.7</v>
      </c>
      <c r="AS344" s="6">
        <v>49</v>
      </c>
      <c r="AT344" s="6">
        <v>27.6</v>
      </c>
      <c r="AU344" s="6">
        <v>111</v>
      </c>
      <c r="AV344" s="6">
        <v>77</v>
      </c>
      <c r="AX344" s="9" t="s">
        <v>2937</v>
      </c>
      <c r="AY344" s="9" t="s">
        <v>1977</v>
      </c>
      <c r="AZ344" s="9" t="s">
        <v>3299</v>
      </c>
      <c r="BB344" s="9" t="s">
        <v>3300</v>
      </c>
      <c r="BC344" s="9" t="s">
        <v>2053</v>
      </c>
      <c r="BD344" s="9" t="s">
        <v>3301</v>
      </c>
      <c r="BF344" s="9" t="s">
        <v>176</v>
      </c>
      <c r="BG344" s="9" t="s">
        <v>700</v>
      </c>
      <c r="BH344" s="9" t="s">
        <v>852</v>
      </c>
      <c r="BI344" s="9" t="s">
        <v>3234</v>
      </c>
      <c r="BJ344" s="9" t="s">
        <v>215</v>
      </c>
      <c r="BK344" s="9" t="s">
        <v>175</v>
      </c>
      <c r="BM344" s="9" t="s">
        <v>3302</v>
      </c>
      <c r="BN344" s="9" t="s">
        <v>3303</v>
      </c>
      <c r="BO344" s="9" t="s">
        <v>3304</v>
      </c>
      <c r="BV344" s="9" t="s">
        <v>3305</v>
      </c>
      <c r="BW344" s="9" t="s">
        <v>3306</v>
      </c>
      <c r="BZ344" s="9" t="s">
        <v>3125</v>
      </c>
      <c r="CA344" s="14" t="s">
        <v>3307</v>
      </c>
      <c r="CB344" s="14" t="s">
        <v>3308</v>
      </c>
      <c r="CL344" s="9" t="s">
        <v>3309</v>
      </c>
      <c r="CM344" s="9" t="s">
        <v>823</v>
      </c>
      <c r="CN344" s="9" t="s">
        <v>3310</v>
      </c>
      <c r="CP344" s="9" t="s">
        <v>3144</v>
      </c>
      <c r="CQ344" s="9" t="s">
        <v>3311</v>
      </c>
      <c r="CR344" s="9" t="s">
        <v>3312</v>
      </c>
      <c r="CT344" s="9" t="s">
        <v>2562</v>
      </c>
      <c r="CW344" s="9">
        <v>3</v>
      </c>
      <c r="CX344" s="9" t="s">
        <v>110</v>
      </c>
      <c r="CY344" s="9" t="s">
        <v>110</v>
      </c>
      <c r="CZ344" s="9">
        <v>50</v>
      </c>
      <c r="DA344" s="9">
        <v>20</v>
      </c>
      <c r="DB344" s="9">
        <v>30</v>
      </c>
      <c r="DC344" s="6">
        <v>83.6</v>
      </c>
      <c r="DD344" s="6">
        <v>0.36</v>
      </c>
      <c r="DE344" s="6">
        <v>178</v>
      </c>
      <c r="DF344" s="6">
        <v>72</v>
      </c>
      <c r="DG344" s="9">
        <f t="shared" si="5"/>
        <v>4.3513548195533556</v>
      </c>
      <c r="DH344" s="6"/>
      <c r="DI344" s="6">
        <v>4.05</v>
      </c>
      <c r="DJ344" s="6"/>
      <c r="DK344" s="6"/>
      <c r="DL344" s="6"/>
      <c r="DM344" s="6"/>
      <c r="DN344" s="6"/>
      <c r="DP344" s="11">
        <v>2</v>
      </c>
      <c r="DQ344" s="6" t="s">
        <v>111</v>
      </c>
      <c r="DR344" s="9">
        <v>2</v>
      </c>
    </row>
    <row r="345" spans="1:125" x14ac:dyDescent="0.2">
      <c r="A345" s="100">
        <v>266</v>
      </c>
      <c r="B345" s="8">
        <v>42928</v>
      </c>
      <c r="C345" s="6" t="s">
        <v>196</v>
      </c>
      <c r="D345" s="6">
        <v>52</v>
      </c>
      <c r="E345" s="6" t="s">
        <v>100</v>
      </c>
      <c r="F345" s="17">
        <v>23736</v>
      </c>
      <c r="G345" s="6" t="s">
        <v>197</v>
      </c>
      <c r="H345" s="6" t="s">
        <v>3001</v>
      </c>
      <c r="I345" s="9">
        <v>10</v>
      </c>
      <c r="J345" s="10">
        <v>50</v>
      </c>
      <c r="K345" s="9">
        <v>94</v>
      </c>
      <c r="L345" s="6">
        <v>3</v>
      </c>
      <c r="M345" s="6" t="s">
        <v>99</v>
      </c>
      <c r="N345" s="6" t="s">
        <v>99</v>
      </c>
      <c r="O345" s="6" t="s">
        <v>99</v>
      </c>
      <c r="P345" s="6" t="s">
        <v>99</v>
      </c>
      <c r="Q345" s="6" t="s">
        <v>99</v>
      </c>
      <c r="R345" s="6" t="s">
        <v>110</v>
      </c>
      <c r="S345" s="6" t="s">
        <v>99</v>
      </c>
      <c r="T345" s="6" t="s">
        <v>110</v>
      </c>
      <c r="U345" s="6" t="s">
        <v>3313</v>
      </c>
      <c r="V345" s="9" t="s">
        <v>99</v>
      </c>
      <c r="W345" s="16" t="s">
        <v>3314</v>
      </c>
      <c r="X345" s="6" t="s">
        <v>99</v>
      </c>
      <c r="Y345" s="6" t="s">
        <v>3315</v>
      </c>
      <c r="AA345" s="9" t="s">
        <v>100</v>
      </c>
      <c r="AB345" s="6" t="s">
        <v>100</v>
      </c>
      <c r="AC345" s="6" t="s">
        <v>100</v>
      </c>
      <c r="AD345" s="9" t="s">
        <v>100</v>
      </c>
      <c r="AE345" s="15" t="s">
        <v>3049</v>
      </c>
      <c r="AF345" s="6" t="s">
        <v>99</v>
      </c>
      <c r="AG345" s="15" t="s">
        <v>3316</v>
      </c>
      <c r="AH345" s="6" t="s">
        <v>99</v>
      </c>
      <c r="AI345" s="6" t="s">
        <v>99</v>
      </c>
      <c r="AJ345" s="6" t="s">
        <v>99</v>
      </c>
      <c r="AK345" s="6" t="s">
        <v>99</v>
      </c>
      <c r="AL345" s="6">
        <v>59.9</v>
      </c>
      <c r="AM345" s="9">
        <v>151</v>
      </c>
      <c r="AN345" s="15">
        <v>83</v>
      </c>
      <c r="AO345" s="6">
        <v>102</v>
      </c>
      <c r="AP345" s="6">
        <v>43</v>
      </c>
      <c r="AQ345" s="6">
        <v>8</v>
      </c>
      <c r="AR345" s="6">
        <v>22.3</v>
      </c>
      <c r="AS345" s="6">
        <v>57</v>
      </c>
      <c r="AT345" s="6">
        <v>26.3</v>
      </c>
      <c r="AU345" s="6">
        <v>88</v>
      </c>
      <c r="AV345" s="6">
        <v>67</v>
      </c>
      <c r="AX345" s="9" t="s">
        <v>1977</v>
      </c>
      <c r="AY345" s="9" t="s">
        <v>592</v>
      </c>
      <c r="AZ345" s="9" t="s">
        <v>729</v>
      </c>
      <c r="BB345" s="9" t="s">
        <v>1080</v>
      </c>
      <c r="BC345" s="9" t="s">
        <v>3317</v>
      </c>
      <c r="BF345" s="9" t="s">
        <v>3318</v>
      </c>
      <c r="BG345" s="9" t="s">
        <v>683</v>
      </c>
      <c r="BH345" s="9" t="s">
        <v>3215</v>
      </c>
      <c r="BI345" s="9" t="s">
        <v>683</v>
      </c>
      <c r="BJ345" s="9" t="s">
        <v>99</v>
      </c>
      <c r="BK345" s="9" t="s">
        <v>683</v>
      </c>
      <c r="BN345" s="9" t="s">
        <v>219</v>
      </c>
      <c r="BO345" s="9" t="s">
        <v>180</v>
      </c>
      <c r="BP345" s="9" t="s">
        <v>353</v>
      </c>
      <c r="BZ345" s="9" t="s">
        <v>709</v>
      </c>
      <c r="CA345" s="9" t="s">
        <v>3319</v>
      </c>
      <c r="CB345" s="9" t="s">
        <v>1137</v>
      </c>
      <c r="CL345" s="9" t="s">
        <v>1180</v>
      </c>
      <c r="CM345" s="9" t="s">
        <v>980</v>
      </c>
      <c r="CN345" s="9" t="s">
        <v>1181</v>
      </c>
      <c r="CP345" s="9" t="s">
        <v>716</v>
      </c>
      <c r="CQ345" s="9" t="s">
        <v>362</v>
      </c>
      <c r="CT345" s="9" t="s">
        <v>99</v>
      </c>
      <c r="CW345" s="9">
        <v>5</v>
      </c>
      <c r="CX345" s="9" t="s">
        <v>110</v>
      </c>
      <c r="CY345" s="9" t="s">
        <v>110</v>
      </c>
      <c r="CZ345" s="9">
        <v>50</v>
      </c>
      <c r="DA345" s="9">
        <v>25</v>
      </c>
      <c r="DB345" s="9">
        <v>25</v>
      </c>
      <c r="DC345" s="6">
        <v>84.2</v>
      </c>
      <c r="DD345" s="6">
        <v>0.76</v>
      </c>
      <c r="DE345" s="15">
        <v>203</v>
      </c>
      <c r="DF345" s="6" t="s">
        <v>3320</v>
      </c>
      <c r="DG345" s="9" t="e">
        <f t="shared" si="5"/>
        <v>#VALUE!</v>
      </c>
      <c r="DH345" s="6"/>
      <c r="DI345" s="6">
        <v>4.74</v>
      </c>
      <c r="DJ345" s="6"/>
      <c r="DK345" s="6"/>
      <c r="DL345" s="6"/>
      <c r="DM345" s="6"/>
      <c r="DN345" s="6"/>
      <c r="DP345" s="11">
        <v>2</v>
      </c>
      <c r="DQ345" s="6" t="s">
        <v>3321</v>
      </c>
      <c r="DT345" s="9">
        <v>5.56</v>
      </c>
    </row>
    <row r="346" spans="1:125" x14ac:dyDescent="0.2">
      <c r="A346" s="78">
        <v>267</v>
      </c>
      <c r="B346" s="8">
        <v>42928</v>
      </c>
      <c r="C346" s="6" t="s">
        <v>675</v>
      </c>
      <c r="D346" s="6">
        <v>55</v>
      </c>
      <c r="E346" s="6" t="s">
        <v>100</v>
      </c>
      <c r="F346" s="17">
        <v>22842</v>
      </c>
      <c r="G346" s="6" t="s">
        <v>234</v>
      </c>
      <c r="H346" s="6" t="s">
        <v>3001</v>
      </c>
      <c r="L346" s="6"/>
      <c r="M346" s="6" t="s">
        <v>99</v>
      </c>
      <c r="N346" s="6" t="s">
        <v>99</v>
      </c>
      <c r="O346" s="15" t="s">
        <v>110</v>
      </c>
      <c r="P346" s="6" t="s">
        <v>99</v>
      </c>
      <c r="Q346" s="6" t="s">
        <v>110</v>
      </c>
      <c r="R346" s="6" t="s">
        <v>110</v>
      </c>
      <c r="S346" s="6" t="s">
        <v>99</v>
      </c>
      <c r="T346" s="6" t="s">
        <v>99</v>
      </c>
      <c r="U346" s="6" t="s">
        <v>3322</v>
      </c>
      <c r="W346" s="16" t="s">
        <v>3323</v>
      </c>
      <c r="X346" s="6" t="s">
        <v>99</v>
      </c>
      <c r="Y346" s="6" t="s">
        <v>1903</v>
      </c>
      <c r="AA346" s="9" t="s">
        <v>100</v>
      </c>
      <c r="AB346" s="6" t="s">
        <v>100</v>
      </c>
      <c r="AC346" s="16" t="s">
        <v>840</v>
      </c>
      <c r="AD346" s="9" t="s">
        <v>100</v>
      </c>
      <c r="AE346" s="15" t="s">
        <v>2811</v>
      </c>
      <c r="AF346" s="15" t="s">
        <v>3324</v>
      </c>
      <c r="AG346" s="6" t="s">
        <v>99</v>
      </c>
      <c r="AH346" s="15" t="s">
        <v>125</v>
      </c>
      <c r="AI346" s="6" t="s">
        <v>99</v>
      </c>
      <c r="AJ346" s="6" t="s">
        <v>99</v>
      </c>
      <c r="AK346" s="15" t="s">
        <v>3325</v>
      </c>
      <c r="AL346" s="6">
        <v>122.7</v>
      </c>
      <c r="AM346" s="9">
        <v>172</v>
      </c>
      <c r="AN346" s="15">
        <v>120</v>
      </c>
      <c r="AO346" s="6">
        <v>117</v>
      </c>
      <c r="AP346" s="6">
        <v>42.5</v>
      </c>
      <c r="AQ346" s="6">
        <v>27</v>
      </c>
      <c r="AR346" s="6">
        <v>25.1</v>
      </c>
      <c r="AS346" s="6">
        <v>80</v>
      </c>
      <c r="AT346" s="16">
        <v>41.5</v>
      </c>
      <c r="AU346" s="15">
        <v>130</v>
      </c>
      <c r="AV346" s="15">
        <v>92</v>
      </c>
      <c r="AX346" s="9" t="s">
        <v>729</v>
      </c>
      <c r="AY346" s="9" t="s">
        <v>3326</v>
      </c>
      <c r="AZ346" s="9" t="s">
        <v>125</v>
      </c>
      <c r="BB346" s="9" t="s">
        <v>1080</v>
      </c>
      <c r="BC346" s="9" t="s">
        <v>2938</v>
      </c>
      <c r="BF346" s="9" t="s">
        <v>176</v>
      </c>
      <c r="BG346" s="9" t="s">
        <v>683</v>
      </c>
      <c r="BH346" s="9" t="s">
        <v>3215</v>
      </c>
      <c r="BI346" s="9" t="s">
        <v>3234</v>
      </c>
      <c r="BJ346" s="9" t="s">
        <v>99</v>
      </c>
      <c r="BK346" s="9" t="s">
        <v>683</v>
      </c>
      <c r="BN346" s="9" t="s">
        <v>2534</v>
      </c>
      <c r="BO346" s="9" t="s">
        <v>3155</v>
      </c>
      <c r="BP346" s="9" t="s">
        <v>180</v>
      </c>
      <c r="BR346" s="9" t="s">
        <v>99</v>
      </c>
      <c r="BV346" s="9" t="s">
        <v>3327</v>
      </c>
      <c r="BZ346" s="9" t="s">
        <v>3328</v>
      </c>
      <c r="CA346" s="9" t="s">
        <v>3329</v>
      </c>
      <c r="CB346" s="9" t="s">
        <v>2194</v>
      </c>
      <c r="CD346" s="9" t="s">
        <v>99</v>
      </c>
      <c r="CH346" s="9" t="s">
        <v>99</v>
      </c>
      <c r="CL346" s="9" t="s">
        <v>980</v>
      </c>
      <c r="CM346" s="9" t="s">
        <v>579</v>
      </c>
      <c r="CN346" s="9" t="s">
        <v>1659</v>
      </c>
      <c r="CP346" s="9" t="s">
        <v>3286</v>
      </c>
      <c r="CQ346" s="9" t="s">
        <v>2892</v>
      </c>
      <c r="CR346" s="9" t="s">
        <v>362</v>
      </c>
      <c r="CT346" s="9" t="s">
        <v>3330</v>
      </c>
      <c r="CU346" s="9" t="s">
        <v>984</v>
      </c>
      <c r="CV346" s="9" t="s">
        <v>3331</v>
      </c>
      <c r="CW346" s="9">
        <v>3</v>
      </c>
      <c r="CX346" s="9" t="s">
        <v>110</v>
      </c>
      <c r="CY346" s="9" t="s">
        <v>2756</v>
      </c>
      <c r="CZ346" s="9">
        <v>25</v>
      </c>
      <c r="DA346" s="9">
        <v>25</v>
      </c>
      <c r="DB346" s="9">
        <v>50</v>
      </c>
      <c r="DC346" s="82">
        <v>79.2</v>
      </c>
      <c r="DD346" s="6">
        <v>0.69</v>
      </c>
      <c r="DE346" s="6">
        <v>191</v>
      </c>
      <c r="DF346" s="15">
        <v>163</v>
      </c>
      <c r="DG346" s="9">
        <f t="shared" si="5"/>
        <v>4.7328632498135716</v>
      </c>
      <c r="DH346" s="6"/>
      <c r="DI346" s="6">
        <v>10.01</v>
      </c>
      <c r="DJ346" s="6"/>
      <c r="DK346" s="6"/>
      <c r="DL346" s="6"/>
      <c r="DM346" s="6"/>
      <c r="DN346" s="6"/>
      <c r="DP346" s="11">
        <v>3</v>
      </c>
      <c r="DQ346" s="6" t="s">
        <v>111</v>
      </c>
    </row>
    <row r="347" spans="1:125" x14ac:dyDescent="0.2">
      <c r="A347" s="78">
        <v>268</v>
      </c>
      <c r="B347" s="8">
        <v>42928</v>
      </c>
      <c r="C347" s="6" t="s">
        <v>196</v>
      </c>
      <c r="D347" s="6">
        <v>68</v>
      </c>
      <c r="E347" s="6" t="s">
        <v>100</v>
      </c>
      <c r="F347" s="17">
        <v>17967</v>
      </c>
      <c r="G347" s="6" t="s">
        <v>3332</v>
      </c>
      <c r="H347" s="6" t="s">
        <v>3333</v>
      </c>
      <c r="I347" s="9">
        <v>13</v>
      </c>
      <c r="J347" s="10">
        <v>48</v>
      </c>
      <c r="L347" s="6">
        <v>1</v>
      </c>
      <c r="M347" s="6" t="s">
        <v>99</v>
      </c>
      <c r="N347" s="6" t="s">
        <v>99</v>
      </c>
      <c r="O347" s="6" t="s">
        <v>99</v>
      </c>
      <c r="P347" s="6" t="s">
        <v>99</v>
      </c>
      <c r="Q347" s="6" t="s">
        <v>99</v>
      </c>
      <c r="R347" s="6" t="s">
        <v>110</v>
      </c>
      <c r="S347" s="6" t="s">
        <v>110</v>
      </c>
      <c r="T347" s="6" t="s">
        <v>110</v>
      </c>
      <c r="U347" s="6" t="s">
        <v>99</v>
      </c>
      <c r="W347" s="16" t="s">
        <v>3334</v>
      </c>
      <c r="X347" s="6" t="s">
        <v>99</v>
      </c>
      <c r="Y347" s="6" t="s">
        <v>3335</v>
      </c>
      <c r="Z347" s="9" t="s">
        <v>1903</v>
      </c>
      <c r="AA347" s="9" t="s">
        <v>100</v>
      </c>
      <c r="AB347" s="6" t="s">
        <v>100</v>
      </c>
      <c r="AC347" s="6" t="s">
        <v>100</v>
      </c>
      <c r="AD347" s="9" t="s">
        <v>100</v>
      </c>
      <c r="AE347" s="10" t="s">
        <v>118</v>
      </c>
      <c r="AF347" s="9" t="s">
        <v>99</v>
      </c>
      <c r="AG347" s="10" t="s">
        <v>126</v>
      </c>
      <c r="AH347" s="9" t="s">
        <v>99</v>
      </c>
      <c r="AI347" s="9" t="s">
        <v>99</v>
      </c>
      <c r="AJ347" s="9" t="s">
        <v>99</v>
      </c>
      <c r="AK347" s="9" t="s">
        <v>99</v>
      </c>
      <c r="AL347" s="6">
        <v>69.5</v>
      </c>
      <c r="AM347" s="9">
        <v>150</v>
      </c>
      <c r="AN347" s="15">
        <v>90</v>
      </c>
      <c r="AO347" s="6">
        <v>95</v>
      </c>
      <c r="AP347" s="6">
        <v>48.4</v>
      </c>
      <c r="AQ347" s="6">
        <v>13</v>
      </c>
      <c r="AR347" s="6">
        <v>21.1</v>
      </c>
      <c r="AS347" s="6">
        <v>76</v>
      </c>
      <c r="AT347" s="6">
        <v>30.9</v>
      </c>
      <c r="AU347" s="16">
        <v>155</v>
      </c>
      <c r="AV347" s="16">
        <v>110</v>
      </c>
      <c r="AX347" s="9" t="s">
        <v>1977</v>
      </c>
      <c r="AY347" s="9" t="s">
        <v>345</v>
      </c>
      <c r="AZ347" s="9" t="s">
        <v>574</v>
      </c>
      <c r="BB347" s="9" t="s">
        <v>1080</v>
      </c>
      <c r="BC347" s="9" t="s">
        <v>3336</v>
      </c>
      <c r="BF347" s="9" t="s">
        <v>3337</v>
      </c>
      <c r="BG347" s="9" t="s">
        <v>177</v>
      </c>
      <c r="BH347" s="9" t="s">
        <v>99</v>
      </c>
      <c r="DC347" s="82">
        <v>83.5</v>
      </c>
      <c r="DD347" s="6">
        <v>0.67</v>
      </c>
      <c r="DE347" s="15">
        <v>264</v>
      </c>
      <c r="DF347" s="15">
        <v>233</v>
      </c>
      <c r="DG347" s="9">
        <f t="shared" si="5"/>
        <v>4.9379425427112551</v>
      </c>
      <c r="DH347" s="6"/>
      <c r="DI347" s="6">
        <v>4.84</v>
      </c>
      <c r="DJ347" s="6"/>
      <c r="DK347" s="6"/>
      <c r="DL347" s="6"/>
      <c r="DM347" s="6"/>
      <c r="DN347" s="6"/>
      <c r="DQ347" s="6" t="s">
        <v>99</v>
      </c>
      <c r="DU347" s="9">
        <v>5</v>
      </c>
    </row>
    <row r="348" spans="1:125" x14ac:dyDescent="0.2">
      <c r="A348" s="6">
        <v>269</v>
      </c>
      <c r="B348" s="8">
        <v>42928</v>
      </c>
      <c r="C348" s="6" t="s">
        <v>675</v>
      </c>
      <c r="D348" s="6">
        <v>44</v>
      </c>
      <c r="E348" s="6" t="s">
        <v>100</v>
      </c>
      <c r="F348" s="17">
        <v>26839</v>
      </c>
      <c r="G348" s="6" t="s">
        <v>1636</v>
      </c>
      <c r="H348" s="6" t="s">
        <v>3191</v>
      </c>
      <c r="L348" s="6"/>
      <c r="M348" s="6" t="s">
        <v>483</v>
      </c>
      <c r="N348" s="15" t="s">
        <v>3338</v>
      </c>
      <c r="O348" s="6" t="s">
        <v>483</v>
      </c>
      <c r="P348" s="6" t="s">
        <v>99</v>
      </c>
      <c r="Q348" s="6" t="s">
        <v>110</v>
      </c>
      <c r="R348" s="6" t="s">
        <v>588</v>
      </c>
      <c r="S348" s="6" t="s">
        <v>99</v>
      </c>
      <c r="T348" s="6" t="s">
        <v>99</v>
      </c>
      <c r="U348" s="6" t="s">
        <v>3339</v>
      </c>
      <c r="W348" s="6" t="s">
        <v>99</v>
      </c>
      <c r="X348" s="6" t="s">
        <v>99</v>
      </c>
      <c r="Y348" s="6" t="s">
        <v>110</v>
      </c>
      <c r="AA348" s="9" t="s">
        <v>100</v>
      </c>
      <c r="AB348" s="6" t="s">
        <v>100</v>
      </c>
      <c r="AC348" s="6" t="s">
        <v>100</v>
      </c>
      <c r="AD348" s="9" t="s">
        <v>100</v>
      </c>
      <c r="AE348" s="15" t="s">
        <v>125</v>
      </c>
      <c r="AF348" s="15" t="s">
        <v>125</v>
      </c>
      <c r="AG348" s="6" t="s">
        <v>99</v>
      </c>
      <c r="AH348" s="6" t="s">
        <v>99</v>
      </c>
      <c r="AI348" s="6" t="s">
        <v>99</v>
      </c>
      <c r="AJ348" s="6" t="s">
        <v>99</v>
      </c>
      <c r="AK348" s="6"/>
      <c r="AL348" s="6">
        <v>97.1</v>
      </c>
      <c r="AM348" s="9">
        <v>177</v>
      </c>
      <c r="AN348" s="15">
        <v>108</v>
      </c>
      <c r="AO348" s="6">
        <v>105</v>
      </c>
      <c r="AP348" s="6">
        <v>29.6</v>
      </c>
      <c r="AQ348" s="6">
        <v>14</v>
      </c>
      <c r="AR348" s="6">
        <v>32.700000000000003</v>
      </c>
      <c r="AS348" s="6">
        <v>66</v>
      </c>
      <c r="AT348" s="6">
        <v>30.6</v>
      </c>
      <c r="AU348" s="15">
        <v>135</v>
      </c>
      <c r="AV348" s="15">
        <v>104</v>
      </c>
      <c r="AX348" s="9" t="s">
        <v>2937</v>
      </c>
      <c r="AY348" s="9" t="s">
        <v>3340</v>
      </c>
      <c r="AZ348" s="9" t="s">
        <v>3341</v>
      </c>
      <c r="BB348" s="9" t="s">
        <v>346</v>
      </c>
      <c r="BC348" s="9" t="s">
        <v>3342</v>
      </c>
      <c r="BF348" s="9" t="s">
        <v>3343</v>
      </c>
      <c r="BG348" s="9" t="s">
        <v>3344</v>
      </c>
      <c r="BH348" s="9" t="s">
        <v>3215</v>
      </c>
      <c r="BI348" s="9" t="s">
        <v>683</v>
      </c>
      <c r="BK348" s="9" t="s">
        <v>175</v>
      </c>
      <c r="BN348" s="9" t="s">
        <v>352</v>
      </c>
      <c r="BO348" s="9" t="s">
        <v>179</v>
      </c>
      <c r="BP348" s="9" t="s">
        <v>3345</v>
      </c>
      <c r="BZ348" s="9" t="s">
        <v>3346</v>
      </c>
      <c r="CA348" s="9" t="s">
        <v>183</v>
      </c>
      <c r="CB348" s="9" t="s">
        <v>709</v>
      </c>
      <c r="CL348" s="9" t="s">
        <v>3347</v>
      </c>
      <c r="CM348" s="9" t="s">
        <v>3348</v>
      </c>
      <c r="CN348" s="9" t="s">
        <v>823</v>
      </c>
      <c r="CP348" s="9" t="s">
        <v>890</v>
      </c>
      <c r="CQ348" s="9" t="s">
        <v>361</v>
      </c>
      <c r="CR348" s="9" t="s">
        <v>716</v>
      </c>
      <c r="CT348" s="9" t="s">
        <v>3349</v>
      </c>
      <c r="CU348" s="9" t="s">
        <v>2566</v>
      </c>
      <c r="CW348" s="9">
        <v>3</v>
      </c>
      <c r="CX348" s="9" t="s">
        <v>99</v>
      </c>
      <c r="CY348" s="9" t="s">
        <v>99</v>
      </c>
      <c r="CZ348" s="9">
        <v>40</v>
      </c>
      <c r="DA348" s="9">
        <v>20</v>
      </c>
      <c r="DB348" s="9">
        <v>40</v>
      </c>
      <c r="DC348" s="6">
        <v>88.1</v>
      </c>
      <c r="DD348" s="6">
        <v>1.1399999999999999</v>
      </c>
      <c r="DE348" s="6">
        <v>180</v>
      </c>
      <c r="DF348" s="6">
        <v>84</v>
      </c>
      <c r="DG348" s="9">
        <f t="shared" si="5"/>
        <v>4.4546446658927241</v>
      </c>
      <c r="DH348" s="6"/>
      <c r="DI348" s="6">
        <v>5.33</v>
      </c>
      <c r="DJ348" s="6"/>
      <c r="DK348" s="6"/>
      <c r="DL348" s="6"/>
      <c r="DM348" s="6"/>
      <c r="DN348" s="6"/>
      <c r="DP348" s="11">
        <v>2</v>
      </c>
      <c r="DQ348" s="6" t="s">
        <v>111</v>
      </c>
      <c r="DR348" s="9">
        <v>3</v>
      </c>
    </row>
    <row r="349" spans="1:125" x14ac:dyDescent="0.2">
      <c r="A349" s="79">
        <v>270</v>
      </c>
      <c r="B349" s="8">
        <v>42928</v>
      </c>
      <c r="C349" s="6" t="s">
        <v>675</v>
      </c>
      <c r="D349" s="6">
        <v>28</v>
      </c>
      <c r="E349" s="6" t="s">
        <v>100</v>
      </c>
      <c r="F349" s="17">
        <v>32574</v>
      </c>
      <c r="G349" s="6" t="s">
        <v>481</v>
      </c>
      <c r="H349" s="6" t="s">
        <v>3001</v>
      </c>
      <c r="L349" s="6"/>
      <c r="M349" s="6" t="s">
        <v>99</v>
      </c>
      <c r="N349" s="6" t="s">
        <v>99</v>
      </c>
      <c r="O349" s="6" t="s">
        <v>99</v>
      </c>
      <c r="P349" s="6" t="s">
        <v>99</v>
      </c>
      <c r="Q349" s="6" t="s">
        <v>110</v>
      </c>
      <c r="R349" s="6"/>
      <c r="S349" s="6" t="s">
        <v>110</v>
      </c>
      <c r="T349" s="6" t="s">
        <v>110</v>
      </c>
      <c r="U349" s="6" t="s">
        <v>99</v>
      </c>
      <c r="V349" s="9" t="s">
        <v>99</v>
      </c>
      <c r="W349" s="6" t="s">
        <v>99</v>
      </c>
      <c r="X349" s="6"/>
      <c r="Y349" s="6" t="s">
        <v>3350</v>
      </c>
      <c r="AA349" s="9" t="s">
        <v>100</v>
      </c>
      <c r="AB349" s="6" t="s">
        <v>100</v>
      </c>
      <c r="AC349" s="6" t="s">
        <v>100</v>
      </c>
      <c r="AD349" s="9" t="s">
        <v>100</v>
      </c>
      <c r="AE349" s="15" t="s">
        <v>122</v>
      </c>
      <c r="AF349" s="15" t="s">
        <v>122</v>
      </c>
      <c r="AG349" s="15" t="s">
        <v>122</v>
      </c>
      <c r="AH349" s="6" t="s">
        <v>99</v>
      </c>
      <c r="AI349" s="6" t="s">
        <v>99</v>
      </c>
      <c r="AJ349" s="6" t="s">
        <v>99</v>
      </c>
      <c r="AK349" s="6"/>
      <c r="AL349" s="6">
        <v>64.400000000000006</v>
      </c>
      <c r="AM349" s="9">
        <v>168</v>
      </c>
      <c r="AN349" s="6">
        <v>74</v>
      </c>
      <c r="AO349" s="6">
        <v>95</v>
      </c>
      <c r="AP349" s="6">
        <v>21.3</v>
      </c>
      <c r="AQ349" s="6">
        <v>6</v>
      </c>
      <c r="AR349" s="6">
        <v>38.799999999999997</v>
      </c>
      <c r="AS349" s="6">
        <v>26</v>
      </c>
      <c r="AT349" s="79">
        <v>22.8</v>
      </c>
      <c r="AU349" s="6">
        <v>119</v>
      </c>
      <c r="AV349" s="6">
        <v>84</v>
      </c>
      <c r="AX349" s="9" t="s">
        <v>1128</v>
      </c>
      <c r="AY349" s="9" t="s">
        <v>1657</v>
      </c>
      <c r="BB349" s="9" t="s">
        <v>1080</v>
      </c>
      <c r="BC349" s="9" t="s">
        <v>3351</v>
      </c>
      <c r="BD349" s="9" t="s">
        <v>3352</v>
      </c>
      <c r="BE349" s="9" t="s">
        <v>3353</v>
      </c>
      <c r="BF349" s="9" t="s">
        <v>3354</v>
      </c>
      <c r="BG349" s="9" t="s">
        <v>1173</v>
      </c>
      <c r="BH349" s="9" t="s">
        <v>99</v>
      </c>
      <c r="BI349" s="9" t="s">
        <v>176</v>
      </c>
      <c r="BJ349" s="9" t="s">
        <v>3355</v>
      </c>
      <c r="BK349" s="9" t="s">
        <v>2570</v>
      </c>
      <c r="BM349" s="9" t="s">
        <v>2748</v>
      </c>
      <c r="BN349" s="9" t="s">
        <v>178</v>
      </c>
      <c r="BO349" s="9" t="s">
        <v>859</v>
      </c>
      <c r="BQ349" s="9" t="s">
        <v>99</v>
      </c>
      <c r="BU349" s="9" t="s">
        <v>99</v>
      </c>
      <c r="BZ349" s="9" t="s">
        <v>2696</v>
      </c>
      <c r="CC349" s="9" t="s">
        <v>99</v>
      </c>
      <c r="CG349" s="9" t="s">
        <v>99</v>
      </c>
      <c r="CL349" s="9" t="s">
        <v>3356</v>
      </c>
      <c r="CM349" s="9" t="s">
        <v>1181</v>
      </c>
      <c r="CN349" s="9" t="s">
        <v>3357</v>
      </c>
      <c r="CP349" s="9" t="s">
        <v>716</v>
      </c>
      <c r="CQ349" s="9" t="s">
        <v>3358</v>
      </c>
      <c r="CR349" s="9" t="s">
        <v>361</v>
      </c>
      <c r="CT349" s="9" t="s">
        <v>2570</v>
      </c>
      <c r="CW349" s="9">
        <v>5</v>
      </c>
      <c r="CX349" s="9" t="s">
        <v>3359</v>
      </c>
      <c r="CY349" s="9" t="s">
        <v>110</v>
      </c>
      <c r="CZ349" s="9">
        <v>60</v>
      </c>
      <c r="DA349" s="9">
        <v>20</v>
      </c>
      <c r="DB349" s="9">
        <v>20</v>
      </c>
      <c r="DC349" s="6">
        <v>67.400000000000006</v>
      </c>
      <c r="DD349" s="6">
        <v>0.99</v>
      </c>
      <c r="DE349" s="6">
        <v>147</v>
      </c>
      <c r="DF349" s="6">
        <v>83</v>
      </c>
      <c r="DG349" s="9">
        <f t="shared" si="5"/>
        <v>4.3147428128574301</v>
      </c>
      <c r="DH349" s="6"/>
      <c r="DI349" s="6">
        <v>5.67</v>
      </c>
      <c r="DJ349" s="6"/>
      <c r="DK349" s="6"/>
      <c r="DL349" s="6"/>
      <c r="DM349" s="6"/>
      <c r="DN349" s="6"/>
      <c r="DQ349" s="6" t="s">
        <v>111</v>
      </c>
      <c r="DR349" s="9">
        <v>2</v>
      </c>
      <c r="DT349" s="9">
        <v>6.53</v>
      </c>
      <c r="DU349" s="9">
        <v>3.52</v>
      </c>
    </row>
    <row r="350" spans="1:125" x14ac:dyDescent="0.2">
      <c r="A350" s="19">
        <v>271</v>
      </c>
      <c r="B350" s="8">
        <v>42927</v>
      </c>
      <c r="C350" s="6" t="s">
        <v>196</v>
      </c>
      <c r="D350" s="6">
        <v>27</v>
      </c>
      <c r="E350" s="6" t="s">
        <v>100</v>
      </c>
      <c r="F350" s="17">
        <v>32860</v>
      </c>
      <c r="G350" s="6" t="s">
        <v>197</v>
      </c>
      <c r="H350" s="6" t="s">
        <v>3360</v>
      </c>
      <c r="J350" s="104">
        <v>42906</v>
      </c>
      <c r="K350" s="9" t="s">
        <v>3361</v>
      </c>
      <c r="L350" s="6">
        <v>1</v>
      </c>
      <c r="M350" s="6" t="s">
        <v>483</v>
      </c>
      <c r="N350" s="6" t="s">
        <v>483</v>
      </c>
      <c r="O350" s="6" t="s">
        <v>483</v>
      </c>
      <c r="P350" s="6" t="s">
        <v>110</v>
      </c>
      <c r="Q350" s="6" t="s">
        <v>110</v>
      </c>
      <c r="R350" s="6"/>
      <c r="S350" s="6" t="s">
        <v>99</v>
      </c>
      <c r="T350" s="6" t="s">
        <v>99</v>
      </c>
      <c r="U350" s="6" t="s">
        <v>3362</v>
      </c>
      <c r="V350" s="9" t="s">
        <v>483</v>
      </c>
      <c r="W350" s="6" t="s">
        <v>99</v>
      </c>
      <c r="X350" s="6" t="s">
        <v>99</v>
      </c>
      <c r="Y350" s="6" t="s">
        <v>99</v>
      </c>
      <c r="AA350" s="9" t="s">
        <v>100</v>
      </c>
      <c r="AB350" s="6" t="s">
        <v>100</v>
      </c>
      <c r="AC350" s="6" t="s">
        <v>100</v>
      </c>
      <c r="AD350" s="9" t="s">
        <v>100</v>
      </c>
      <c r="AE350" s="15" t="s">
        <v>122</v>
      </c>
      <c r="AF350" s="15" t="s">
        <v>118</v>
      </c>
      <c r="AG350" s="6" t="s">
        <v>99</v>
      </c>
      <c r="AH350" s="15" t="s">
        <v>1079</v>
      </c>
      <c r="AI350" s="15" t="s">
        <v>2252</v>
      </c>
      <c r="AJ350" s="15" t="s">
        <v>2252</v>
      </c>
      <c r="AK350" s="15" t="s">
        <v>3363</v>
      </c>
      <c r="AL350" s="6">
        <v>63.1</v>
      </c>
      <c r="AM350" s="9">
        <v>160</v>
      </c>
      <c r="AN350" s="15">
        <v>84</v>
      </c>
      <c r="AO350" s="6">
        <v>99</v>
      </c>
      <c r="AP350" s="6">
        <v>34</v>
      </c>
      <c r="AQ350" s="6">
        <v>5</v>
      </c>
      <c r="AR350" s="6">
        <v>28.5</v>
      </c>
      <c r="AS350" s="6">
        <v>37</v>
      </c>
      <c r="AT350" s="79">
        <v>24.6</v>
      </c>
      <c r="AU350" s="6">
        <v>96</v>
      </c>
      <c r="AV350" s="6">
        <v>72</v>
      </c>
      <c r="DC350" s="6">
        <v>77.2</v>
      </c>
      <c r="DD350" s="6">
        <v>0.95</v>
      </c>
      <c r="DE350" s="15">
        <v>232</v>
      </c>
      <c r="DF350" s="6" t="s">
        <v>3364</v>
      </c>
      <c r="DG350" s="9" t="e">
        <f t="shared" si="5"/>
        <v>#VALUE!</v>
      </c>
      <c r="DH350" s="6"/>
      <c r="DI350" s="15">
        <v>9.0299999999999994</v>
      </c>
      <c r="DJ350" s="6"/>
      <c r="DK350" s="6"/>
      <c r="DL350" s="6"/>
      <c r="DM350" s="6"/>
      <c r="DN350" s="6"/>
      <c r="DP350" s="11">
        <v>3</v>
      </c>
      <c r="DQ350" s="6" t="s">
        <v>111</v>
      </c>
      <c r="DR350" s="9">
        <v>2</v>
      </c>
      <c r="DU350" s="9">
        <v>5.7</v>
      </c>
    </row>
    <row r="351" spans="1:125" x14ac:dyDescent="0.2">
      <c r="A351" s="103">
        <v>272</v>
      </c>
      <c r="B351" s="8">
        <v>42928</v>
      </c>
      <c r="C351" s="6" t="s">
        <v>196</v>
      </c>
      <c r="D351" s="6">
        <v>68</v>
      </c>
      <c r="E351" s="16" t="s">
        <v>3365</v>
      </c>
      <c r="F351" s="17">
        <v>18101</v>
      </c>
      <c r="G351" s="6" t="s">
        <v>197</v>
      </c>
      <c r="H351" s="6" t="s">
        <v>3001</v>
      </c>
      <c r="I351" s="9">
        <v>11</v>
      </c>
      <c r="J351" s="10">
        <v>44</v>
      </c>
      <c r="K351" s="9">
        <v>1972</v>
      </c>
      <c r="L351" s="6">
        <v>5</v>
      </c>
      <c r="M351" s="6" t="s">
        <v>99</v>
      </c>
      <c r="N351" s="6" t="s">
        <v>99</v>
      </c>
      <c r="O351" s="15" t="s">
        <v>3366</v>
      </c>
      <c r="P351" s="6" t="s">
        <v>99</v>
      </c>
      <c r="Q351" s="6" t="s">
        <v>99</v>
      </c>
      <c r="R351" s="6"/>
      <c r="S351" s="6" t="s">
        <v>99</v>
      </c>
      <c r="T351" s="6" t="s">
        <v>110</v>
      </c>
      <c r="U351" s="6" t="s">
        <v>3367</v>
      </c>
      <c r="W351" s="6" t="s">
        <v>3368</v>
      </c>
      <c r="X351" s="15" t="s">
        <v>3369</v>
      </c>
      <c r="Y351" s="6" t="s">
        <v>3370</v>
      </c>
      <c r="AA351" s="14" t="s">
        <v>3371</v>
      </c>
      <c r="AB351" s="16" t="s">
        <v>840</v>
      </c>
      <c r="AC351" s="6"/>
      <c r="AE351" s="15" t="s">
        <v>126</v>
      </c>
      <c r="AF351" s="6" t="s">
        <v>99</v>
      </c>
      <c r="AG351" s="6" t="s">
        <v>99</v>
      </c>
      <c r="AH351" s="6" t="s">
        <v>99</v>
      </c>
      <c r="AI351" s="6" t="s">
        <v>99</v>
      </c>
      <c r="AJ351" s="6" t="s">
        <v>99</v>
      </c>
      <c r="AK351" s="15" t="s">
        <v>3372</v>
      </c>
      <c r="AL351" s="6">
        <v>78.3</v>
      </c>
      <c r="AM351" s="9">
        <v>163.5</v>
      </c>
      <c r="AN351" s="6"/>
      <c r="AO351" s="6"/>
      <c r="AP351" s="6">
        <v>43.3</v>
      </c>
      <c r="AQ351" s="6">
        <v>11</v>
      </c>
      <c r="AR351" s="6">
        <v>24.3</v>
      </c>
      <c r="AS351" s="6">
        <v>68</v>
      </c>
      <c r="AT351" s="6">
        <v>29.3</v>
      </c>
      <c r="AU351" s="6">
        <v>118</v>
      </c>
      <c r="AV351" s="6">
        <v>80</v>
      </c>
      <c r="AX351" s="9" t="s">
        <v>2878</v>
      </c>
      <c r="AY351" s="9" t="s">
        <v>3373</v>
      </c>
      <c r="AZ351" s="9" t="s">
        <v>3374</v>
      </c>
      <c r="BB351" s="9" t="s">
        <v>3375</v>
      </c>
      <c r="BF351" s="9" t="s">
        <v>3376</v>
      </c>
      <c r="BG351" s="9" t="s">
        <v>99</v>
      </c>
      <c r="BH351" s="9" t="s">
        <v>99</v>
      </c>
      <c r="BI351" s="9" t="s">
        <v>683</v>
      </c>
      <c r="BJ351" s="9" t="s">
        <v>3377</v>
      </c>
      <c r="BK351" s="9" t="s">
        <v>3202</v>
      </c>
      <c r="BN351" s="9" t="s">
        <v>3378</v>
      </c>
      <c r="BO351" s="9" t="s">
        <v>3379</v>
      </c>
      <c r="BP351" s="9" t="s">
        <v>3380</v>
      </c>
      <c r="BR351" s="9" t="s">
        <v>99</v>
      </c>
      <c r="BV351" s="9" t="s">
        <v>99</v>
      </c>
      <c r="BZ351" s="9" t="s">
        <v>3381</v>
      </c>
      <c r="CA351" s="9" t="s">
        <v>3382</v>
      </c>
      <c r="CB351" s="9" t="s">
        <v>752</v>
      </c>
      <c r="CD351" s="9" t="s">
        <v>3383</v>
      </c>
      <c r="CL351" s="9" t="s">
        <v>3384</v>
      </c>
      <c r="CM351" s="9" t="s">
        <v>3385</v>
      </c>
      <c r="CN351" s="9" t="s">
        <v>3205</v>
      </c>
      <c r="CO351" s="9" t="s">
        <v>3386</v>
      </c>
      <c r="CP351" s="9" t="s">
        <v>361</v>
      </c>
      <c r="CQ351" s="9" t="s">
        <v>362</v>
      </c>
      <c r="CR351" s="9" t="s">
        <v>716</v>
      </c>
      <c r="CT351" s="9" t="s">
        <v>3387</v>
      </c>
      <c r="CW351" s="9">
        <v>3</v>
      </c>
      <c r="CX351" s="9" t="s">
        <v>110</v>
      </c>
      <c r="CY351" s="9" t="s">
        <v>110</v>
      </c>
      <c r="CZ351" s="9">
        <v>50</v>
      </c>
      <c r="DA351" s="9">
        <v>25</v>
      </c>
      <c r="DB351" s="9">
        <v>25</v>
      </c>
      <c r="DC351" s="13">
        <v>97.3</v>
      </c>
      <c r="DD351" s="6">
        <v>0.59</v>
      </c>
      <c r="DE351" s="15">
        <v>244</v>
      </c>
      <c r="DF351" s="15">
        <v>204</v>
      </c>
      <c r="DG351" s="9">
        <f t="shared" si="5"/>
        <v>4.9479594915180876</v>
      </c>
      <c r="DH351" s="6"/>
      <c r="DI351" s="6">
        <v>4.8899999999999997</v>
      </c>
      <c r="DJ351" s="6"/>
      <c r="DK351" s="6"/>
      <c r="DL351" s="6"/>
      <c r="DM351" s="6"/>
      <c r="DN351" s="6"/>
      <c r="DP351" s="11">
        <v>2</v>
      </c>
      <c r="DQ351" s="6" t="s">
        <v>105</v>
      </c>
      <c r="DR351" s="9">
        <v>2</v>
      </c>
    </row>
    <row r="352" spans="1:125" x14ac:dyDescent="0.2">
      <c r="A352" s="103">
        <v>273</v>
      </c>
      <c r="B352" s="8">
        <v>42976</v>
      </c>
      <c r="C352" s="6" t="s">
        <v>196</v>
      </c>
      <c r="D352" s="6">
        <v>69</v>
      </c>
      <c r="E352" s="6" t="s">
        <v>100</v>
      </c>
      <c r="G352" s="6" t="s">
        <v>197</v>
      </c>
      <c r="H352" s="6" t="s">
        <v>2628</v>
      </c>
      <c r="I352" s="9">
        <v>12</v>
      </c>
      <c r="J352" s="10">
        <v>50</v>
      </c>
      <c r="K352" s="9">
        <v>27</v>
      </c>
      <c r="L352" s="9">
        <v>4</v>
      </c>
      <c r="M352" s="6" t="s">
        <v>99</v>
      </c>
      <c r="N352" s="6" t="s">
        <v>99</v>
      </c>
      <c r="O352" s="6" t="s">
        <v>99</v>
      </c>
      <c r="P352" s="6" t="s">
        <v>110</v>
      </c>
      <c r="Q352" s="6" t="s">
        <v>99</v>
      </c>
      <c r="R352" s="6" t="s">
        <v>110</v>
      </c>
      <c r="S352" s="6" t="s">
        <v>99</v>
      </c>
      <c r="T352" s="6" t="s">
        <v>110</v>
      </c>
      <c r="U352" s="6" t="s">
        <v>99</v>
      </c>
      <c r="V352" s="9" t="s">
        <v>99</v>
      </c>
      <c r="W352" s="6" t="s">
        <v>99</v>
      </c>
      <c r="X352" s="6" t="s">
        <v>99</v>
      </c>
      <c r="Y352" s="6" t="s">
        <v>2309</v>
      </c>
      <c r="AA352" s="9" t="s">
        <v>100</v>
      </c>
      <c r="AB352" s="6" t="s">
        <v>100</v>
      </c>
      <c r="AC352" s="6"/>
      <c r="AE352" s="15" t="s">
        <v>126</v>
      </c>
      <c r="AF352" s="15" t="s">
        <v>118</v>
      </c>
      <c r="AG352" s="6" t="s">
        <v>99</v>
      </c>
      <c r="AH352" s="6" t="s">
        <v>99</v>
      </c>
      <c r="AI352" s="6" t="s">
        <v>99</v>
      </c>
      <c r="AJ352" s="6" t="s">
        <v>99</v>
      </c>
      <c r="AK352" s="6" t="s">
        <v>99</v>
      </c>
      <c r="AL352" s="6">
        <v>76</v>
      </c>
      <c r="AM352" s="9">
        <v>156</v>
      </c>
      <c r="AN352" s="15">
        <v>104</v>
      </c>
      <c r="AO352" s="6">
        <v>110</v>
      </c>
      <c r="AP352" s="6">
        <v>48</v>
      </c>
      <c r="AQ352" s="6">
        <v>12</v>
      </c>
      <c r="AR352" s="6">
        <v>21.8</v>
      </c>
      <c r="AS352" s="6">
        <v>71</v>
      </c>
      <c r="AT352" s="6">
        <v>31.2</v>
      </c>
      <c r="AU352" s="6">
        <v>125</v>
      </c>
      <c r="AV352" s="6">
        <v>89</v>
      </c>
      <c r="DC352" s="82">
        <v>95</v>
      </c>
      <c r="DD352" s="82">
        <v>0.66</v>
      </c>
      <c r="DE352" s="82">
        <v>158</v>
      </c>
      <c r="DF352" s="82">
        <v>147</v>
      </c>
      <c r="DG352" s="9">
        <f t="shared" si="5"/>
        <v>4.7721547391896388</v>
      </c>
      <c r="DH352" s="82">
        <v>29.4</v>
      </c>
      <c r="DI352" s="82">
        <v>4.88</v>
      </c>
      <c r="DJ352" s="6"/>
      <c r="DK352" s="6"/>
      <c r="DL352" s="6">
        <v>38</v>
      </c>
      <c r="DM352" s="6">
        <v>90</v>
      </c>
      <c r="DN352" s="6"/>
      <c r="DP352" s="11">
        <v>3</v>
      </c>
      <c r="DQ352" s="6" t="s">
        <v>111</v>
      </c>
      <c r="DR352" s="9">
        <v>2</v>
      </c>
    </row>
    <row r="353" spans="1:125" x14ac:dyDescent="0.2">
      <c r="A353" s="6">
        <v>274</v>
      </c>
      <c r="B353" s="8">
        <v>42928</v>
      </c>
      <c r="C353" s="6" t="s">
        <v>196</v>
      </c>
      <c r="D353" s="6">
        <v>28</v>
      </c>
      <c r="E353" s="6" t="s">
        <v>100</v>
      </c>
      <c r="F353" s="17">
        <v>32631</v>
      </c>
      <c r="G353" s="6" t="s">
        <v>3388</v>
      </c>
      <c r="H353" s="6" t="s">
        <v>3001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W353" s="6"/>
      <c r="X353" s="6"/>
      <c r="Y353" s="6"/>
      <c r="AA353" s="9" t="s">
        <v>100</v>
      </c>
      <c r="AB353" s="6" t="s">
        <v>100</v>
      </c>
      <c r="AC353" s="6" t="s">
        <v>100</v>
      </c>
      <c r="AD353" s="9" t="s">
        <v>100</v>
      </c>
      <c r="AE353" s="15" t="s">
        <v>122</v>
      </c>
      <c r="AF353" s="6"/>
      <c r="AG353" s="6"/>
      <c r="AH353" s="6"/>
      <c r="AI353" s="6"/>
      <c r="AJ353" s="6"/>
      <c r="AK353" s="6"/>
      <c r="AL353" s="6">
        <v>67.400000000000006</v>
      </c>
      <c r="AM353" s="9">
        <v>169</v>
      </c>
      <c r="AN353" s="15">
        <v>81</v>
      </c>
      <c r="AO353" s="6">
        <v>107</v>
      </c>
      <c r="AP353" s="6">
        <v>36.4</v>
      </c>
      <c r="AQ353" s="6">
        <v>4</v>
      </c>
      <c r="AR353" s="6">
        <v>26.6</v>
      </c>
      <c r="AS353" s="6">
        <v>32</v>
      </c>
      <c r="AT353" s="79">
        <v>23.6</v>
      </c>
      <c r="AU353" s="6">
        <v>105</v>
      </c>
      <c r="AV353" s="6">
        <v>87</v>
      </c>
      <c r="AX353" s="9" t="s">
        <v>1097</v>
      </c>
      <c r="AY353" s="9" t="s">
        <v>2896</v>
      </c>
      <c r="BB353" s="9" t="s">
        <v>3389</v>
      </c>
      <c r="BC353" s="9" t="s">
        <v>3342</v>
      </c>
      <c r="BD353" s="9" t="s">
        <v>3390</v>
      </c>
      <c r="BF353" s="9" t="s">
        <v>2606</v>
      </c>
      <c r="BG353" s="9" t="s">
        <v>175</v>
      </c>
      <c r="BH353" s="9" t="s">
        <v>3391</v>
      </c>
      <c r="BI353" s="9" t="s">
        <v>1099</v>
      </c>
      <c r="BK353" s="9" t="s">
        <v>175</v>
      </c>
      <c r="BN353" s="9" t="s">
        <v>3392</v>
      </c>
      <c r="BO353" s="14" t="s">
        <v>3393</v>
      </c>
      <c r="BP353" s="9" t="s">
        <v>3345</v>
      </c>
      <c r="BR353" s="9" t="s">
        <v>99</v>
      </c>
      <c r="BV353" s="9" t="s">
        <v>2910</v>
      </c>
      <c r="BZ353" s="9" t="s">
        <v>2911</v>
      </c>
      <c r="CA353" s="9" t="s">
        <v>3394</v>
      </c>
      <c r="CB353" s="9" t="s">
        <v>3395</v>
      </c>
      <c r="CL353" s="9" t="s">
        <v>3396</v>
      </c>
      <c r="CM353" s="9" t="s">
        <v>3397</v>
      </c>
      <c r="CT353" s="9" t="s">
        <v>2824</v>
      </c>
      <c r="CU353" s="9" t="s">
        <v>3398</v>
      </c>
      <c r="CV353" s="9" t="s">
        <v>3399</v>
      </c>
      <c r="CW353" s="45">
        <v>43558</v>
      </c>
      <c r="CX353" s="9" t="s">
        <v>110</v>
      </c>
      <c r="DC353" s="6">
        <v>90.8</v>
      </c>
      <c r="DD353" s="6">
        <v>0.78</v>
      </c>
      <c r="DE353" s="6">
        <v>173</v>
      </c>
      <c r="DF353" s="6">
        <v>64</v>
      </c>
      <c r="DG353" s="9">
        <f t="shared" si="5"/>
        <v>4.3337711844834601</v>
      </c>
      <c r="DH353" s="6"/>
      <c r="DI353" s="6">
        <v>5.15</v>
      </c>
      <c r="DJ353" s="6"/>
      <c r="DK353" s="6"/>
      <c r="DL353" s="6"/>
      <c r="DM353" s="6"/>
      <c r="DN353" s="6"/>
      <c r="DP353" s="11">
        <v>3</v>
      </c>
      <c r="DQ353" s="6" t="s">
        <v>111</v>
      </c>
      <c r="DR353" s="9">
        <v>2</v>
      </c>
    </row>
    <row r="354" spans="1:125" x14ac:dyDescent="0.2">
      <c r="A354" s="103">
        <v>275</v>
      </c>
      <c r="B354" s="8"/>
      <c r="C354" s="6"/>
      <c r="D354" s="6"/>
      <c r="E354" s="6"/>
      <c r="G354" s="6"/>
      <c r="H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W354" s="6"/>
      <c r="X354" s="6"/>
      <c r="Y354" s="6"/>
      <c r="AB354" s="6"/>
      <c r="AC354" s="6"/>
      <c r="AE354" s="6"/>
      <c r="AF354" s="6"/>
      <c r="AG354" s="6"/>
      <c r="AH354" s="6"/>
      <c r="AI354" s="6"/>
      <c r="AJ354" s="6"/>
      <c r="AK354" s="6"/>
      <c r="AL354" s="6"/>
      <c r="AN354" s="6"/>
      <c r="AO354" s="6"/>
      <c r="AP354" s="6"/>
      <c r="AQ354" s="6"/>
      <c r="AR354" s="6"/>
      <c r="AS354" s="6"/>
      <c r="AT354" s="6"/>
      <c r="AU354" s="6"/>
      <c r="AV354" s="6"/>
      <c r="DC354" s="6"/>
      <c r="DD354" s="6"/>
      <c r="DE354" s="6"/>
      <c r="DF354" s="6"/>
      <c r="DG354" s="9" t="e">
        <f t="shared" si="5"/>
        <v>#NUM!</v>
      </c>
      <c r="DH354" s="6"/>
      <c r="DI354" s="6"/>
      <c r="DJ354" s="6"/>
      <c r="DK354" s="6"/>
      <c r="DL354" s="6"/>
      <c r="DM354" s="6"/>
      <c r="DN354" s="6"/>
      <c r="DP354" s="11">
        <v>2</v>
      </c>
      <c r="DQ354" s="6" t="s">
        <v>105</v>
      </c>
      <c r="DR354" s="9">
        <v>2</v>
      </c>
    </row>
    <row r="355" spans="1:125" x14ac:dyDescent="0.2">
      <c r="A355" s="16">
        <v>276</v>
      </c>
      <c r="B355" s="8">
        <v>42929</v>
      </c>
      <c r="C355" s="6" t="s">
        <v>95</v>
      </c>
      <c r="D355" s="6">
        <v>68</v>
      </c>
      <c r="E355" s="6" t="s">
        <v>100</v>
      </c>
      <c r="F355" s="17">
        <v>17978</v>
      </c>
      <c r="G355" s="6" t="s">
        <v>197</v>
      </c>
      <c r="H355" s="6" t="s">
        <v>723</v>
      </c>
      <c r="I355" s="9">
        <v>13</v>
      </c>
      <c r="J355" s="10">
        <v>48</v>
      </c>
      <c r="K355" s="9">
        <v>1981</v>
      </c>
      <c r="L355" s="6">
        <v>3</v>
      </c>
      <c r="M355" s="6" t="s">
        <v>99</v>
      </c>
      <c r="N355" s="6" t="s">
        <v>99</v>
      </c>
      <c r="O355" s="15" t="s">
        <v>110</v>
      </c>
      <c r="P355" s="6" t="s">
        <v>99</v>
      </c>
      <c r="Q355" s="6" t="s">
        <v>110</v>
      </c>
      <c r="R355" s="6" t="s">
        <v>110</v>
      </c>
      <c r="S355" s="6" t="s">
        <v>110</v>
      </c>
      <c r="T355" s="6" t="s">
        <v>110</v>
      </c>
      <c r="U355" s="6" t="s">
        <v>2418</v>
      </c>
      <c r="W355" s="6" t="s">
        <v>99</v>
      </c>
      <c r="X355" s="6" t="s">
        <v>99</v>
      </c>
      <c r="Y355" s="6" t="s">
        <v>99</v>
      </c>
      <c r="AA355" s="9" t="s">
        <v>100</v>
      </c>
      <c r="AB355" s="6" t="s">
        <v>100</v>
      </c>
      <c r="AC355" s="6" t="s">
        <v>100</v>
      </c>
      <c r="AD355" s="9" t="s">
        <v>100</v>
      </c>
      <c r="AE355" s="9" t="s">
        <v>99</v>
      </c>
      <c r="AF355" s="15" t="s">
        <v>363</v>
      </c>
      <c r="AG355" s="15" t="s">
        <v>126</v>
      </c>
      <c r="AH355" s="6" t="s">
        <v>99</v>
      </c>
      <c r="AI355" s="6" t="s">
        <v>99</v>
      </c>
      <c r="AJ355" s="6" t="s">
        <v>99</v>
      </c>
      <c r="AK355" s="15" t="s">
        <v>3400</v>
      </c>
      <c r="AL355" s="6">
        <v>64.099999999999994</v>
      </c>
      <c r="AM355" s="9">
        <v>154</v>
      </c>
      <c r="AN355" s="6">
        <v>80</v>
      </c>
      <c r="AO355" s="6">
        <v>109</v>
      </c>
      <c r="AP355" s="6">
        <v>39.700000000000003</v>
      </c>
      <c r="AQ355" s="6">
        <v>10</v>
      </c>
      <c r="AR355" s="6">
        <v>25.9</v>
      </c>
      <c r="AS355" s="6">
        <v>67</v>
      </c>
      <c r="AT355" s="6">
        <v>27</v>
      </c>
      <c r="AU355" s="15">
        <v>143</v>
      </c>
      <c r="AV355" s="15">
        <v>87</v>
      </c>
      <c r="AX355" s="9" t="s">
        <v>573</v>
      </c>
      <c r="AY355" s="9" t="s">
        <v>592</v>
      </c>
      <c r="AZ355" s="9" t="s">
        <v>3401</v>
      </c>
      <c r="BB355" s="9" t="s">
        <v>1080</v>
      </c>
      <c r="BC355" s="9" t="s">
        <v>2746</v>
      </c>
      <c r="BD355" s="9" t="s">
        <v>750</v>
      </c>
      <c r="BF355" s="9" t="s">
        <v>1099</v>
      </c>
      <c r="BG355" s="9" t="s">
        <v>2570</v>
      </c>
      <c r="BH355" s="9" t="s">
        <v>3402</v>
      </c>
      <c r="BI355" s="9" t="s">
        <v>172</v>
      </c>
      <c r="BJ355" s="9" t="s">
        <v>176</v>
      </c>
      <c r="BK355" s="9" t="s">
        <v>683</v>
      </c>
      <c r="BN355" s="9" t="s">
        <v>352</v>
      </c>
      <c r="BO355" s="9" t="s">
        <v>859</v>
      </c>
      <c r="BP355" s="9" t="s">
        <v>178</v>
      </c>
      <c r="BR355" s="9" t="s">
        <v>99</v>
      </c>
      <c r="BV355" s="9" t="s">
        <v>99</v>
      </c>
      <c r="BZ355" s="9" t="s">
        <v>182</v>
      </c>
      <c r="CA355" s="9" t="s">
        <v>184</v>
      </c>
      <c r="CB355" s="9" t="s">
        <v>183</v>
      </c>
      <c r="CD355" s="9" t="s">
        <v>99</v>
      </c>
      <c r="CH355" s="9" t="s">
        <v>99</v>
      </c>
      <c r="CL355" s="9" t="s">
        <v>1181</v>
      </c>
      <c r="CM355" s="9" t="s">
        <v>1180</v>
      </c>
      <c r="CN355" s="9" t="s">
        <v>825</v>
      </c>
      <c r="CP355" s="9" t="s">
        <v>716</v>
      </c>
      <c r="CQ355" s="9" t="s">
        <v>362</v>
      </c>
      <c r="CT355" s="9" t="s">
        <v>99</v>
      </c>
      <c r="CW355" s="9">
        <v>3</v>
      </c>
      <c r="CX355" s="9" t="s">
        <v>3403</v>
      </c>
      <c r="CY355" s="9" t="s">
        <v>110</v>
      </c>
      <c r="CZ355" s="9">
        <v>40</v>
      </c>
      <c r="DA355" s="9">
        <v>20</v>
      </c>
      <c r="DB355" s="9">
        <v>40</v>
      </c>
      <c r="DC355" s="15">
        <v>113.4</v>
      </c>
      <c r="DD355" s="6">
        <v>0.55000000000000004</v>
      </c>
      <c r="DE355" s="6">
        <v>145</v>
      </c>
      <c r="DF355" s="6">
        <v>109</v>
      </c>
      <c r="DG355" s="9">
        <f t="shared" si="5"/>
        <v>4.7111346367613978</v>
      </c>
      <c r="DH355" s="6"/>
      <c r="DI355" s="6">
        <v>4.6900000000000004</v>
      </c>
      <c r="DJ355" s="6"/>
      <c r="DK355" s="6"/>
      <c r="DL355" s="6"/>
      <c r="DM355" s="6"/>
      <c r="DN355" s="6"/>
      <c r="DQ355" s="6" t="s">
        <v>111</v>
      </c>
      <c r="DU355" s="9">
        <v>6</v>
      </c>
    </row>
    <row r="356" spans="1:125" x14ac:dyDescent="0.2">
      <c r="A356" s="6">
        <v>277</v>
      </c>
      <c r="B356" s="8">
        <v>42929</v>
      </c>
      <c r="C356" s="6" t="s">
        <v>95</v>
      </c>
      <c r="D356" s="6">
        <v>48</v>
      </c>
      <c r="E356" s="6" t="s">
        <v>100</v>
      </c>
      <c r="F356" s="17">
        <v>25046</v>
      </c>
      <c r="G356" s="6" t="s">
        <v>197</v>
      </c>
      <c r="H356" s="6" t="s">
        <v>3404</v>
      </c>
      <c r="I356" s="9">
        <v>10</v>
      </c>
      <c r="J356" s="10">
        <v>45</v>
      </c>
      <c r="K356" s="9">
        <v>30</v>
      </c>
      <c r="L356" s="6">
        <v>4</v>
      </c>
      <c r="M356" s="15" t="s">
        <v>3405</v>
      </c>
      <c r="N356" s="6" t="s">
        <v>99</v>
      </c>
      <c r="O356" s="15" t="s">
        <v>3406</v>
      </c>
      <c r="P356" s="6" t="s">
        <v>110</v>
      </c>
      <c r="Q356" s="6" t="s">
        <v>99</v>
      </c>
      <c r="R356" s="6" t="s">
        <v>110</v>
      </c>
      <c r="S356" s="6" t="s">
        <v>99</v>
      </c>
      <c r="T356" s="6" t="s">
        <v>110</v>
      </c>
      <c r="U356" s="6" t="s">
        <v>99</v>
      </c>
      <c r="W356" s="6"/>
      <c r="X356" s="6" t="s">
        <v>99</v>
      </c>
      <c r="Y356" s="6" t="s">
        <v>99</v>
      </c>
      <c r="AA356" s="14" t="s">
        <v>840</v>
      </c>
      <c r="AB356" s="86" t="s">
        <v>3407</v>
      </c>
      <c r="AC356" s="16" t="s">
        <v>840</v>
      </c>
      <c r="AD356" s="35" t="s">
        <v>3407</v>
      </c>
      <c r="AE356" s="15" t="s">
        <v>3408</v>
      </c>
      <c r="AF356" s="6" t="s">
        <v>99</v>
      </c>
      <c r="AG356" s="6" t="s">
        <v>99</v>
      </c>
      <c r="AH356" s="6" t="s">
        <v>99</v>
      </c>
      <c r="AI356" s="6" t="s">
        <v>99</v>
      </c>
      <c r="AJ356" s="6" t="s">
        <v>99</v>
      </c>
      <c r="AK356" s="6" t="s">
        <v>99</v>
      </c>
      <c r="AL356" s="6">
        <v>80.400000000000006</v>
      </c>
      <c r="AM356" s="9">
        <v>153</v>
      </c>
      <c r="AN356" s="15">
        <v>107</v>
      </c>
      <c r="AO356" s="6">
        <v>113</v>
      </c>
      <c r="AP356" s="6">
        <v>51.3</v>
      </c>
      <c r="AQ356" s="6">
        <v>11</v>
      </c>
      <c r="AR356" s="6">
        <v>20.8</v>
      </c>
      <c r="AS356" s="6">
        <v>70</v>
      </c>
      <c r="AT356" s="6">
        <v>34.4</v>
      </c>
      <c r="AU356" s="6">
        <v>109</v>
      </c>
      <c r="AV356" s="6">
        <v>92</v>
      </c>
      <c r="AX356" s="9" t="s">
        <v>1977</v>
      </c>
      <c r="AY356" s="9" t="s">
        <v>2877</v>
      </c>
      <c r="AZ356" s="9" t="s">
        <v>3409</v>
      </c>
      <c r="BB356" s="9" t="s">
        <v>3410</v>
      </c>
      <c r="BC356" s="9" t="s">
        <v>3411</v>
      </c>
      <c r="BD356" s="9" t="s">
        <v>346</v>
      </c>
      <c r="BF356" s="9" t="s">
        <v>3412</v>
      </c>
      <c r="BG356" s="9" t="s">
        <v>2570</v>
      </c>
      <c r="BH356" s="9" t="s">
        <v>99</v>
      </c>
      <c r="BI356" s="9" t="s">
        <v>2445</v>
      </c>
      <c r="BJ356" s="9" t="s">
        <v>350</v>
      </c>
      <c r="BK356" s="9" t="s">
        <v>3413</v>
      </c>
      <c r="BN356" s="9" t="s">
        <v>3414</v>
      </c>
      <c r="BO356" s="9" t="s">
        <v>3415</v>
      </c>
      <c r="BP356" s="9" t="s">
        <v>3416</v>
      </c>
      <c r="BR356" s="9" t="s">
        <v>99</v>
      </c>
      <c r="BU356" s="9" t="s">
        <v>99</v>
      </c>
      <c r="BY356" s="9" t="s">
        <v>818</v>
      </c>
      <c r="BZ356" s="9" t="s">
        <v>182</v>
      </c>
      <c r="CA356" s="9" t="s">
        <v>577</v>
      </c>
      <c r="CB356" s="9" t="s">
        <v>183</v>
      </c>
      <c r="CD356" s="9" t="s">
        <v>99</v>
      </c>
      <c r="CH356" s="9" t="s">
        <v>99</v>
      </c>
      <c r="CL356" s="9" t="s">
        <v>823</v>
      </c>
      <c r="CM356" s="9" t="s">
        <v>3417</v>
      </c>
      <c r="CN356" s="9" t="s">
        <v>3418</v>
      </c>
      <c r="CP356" s="9" t="s">
        <v>890</v>
      </c>
      <c r="CQ356" s="9" t="s">
        <v>2641</v>
      </c>
      <c r="CT356" s="9" t="s">
        <v>3419</v>
      </c>
      <c r="CU356" s="9" t="s">
        <v>3420</v>
      </c>
      <c r="CW356" s="9">
        <v>3</v>
      </c>
      <c r="CX356" s="9" t="s">
        <v>110</v>
      </c>
      <c r="CY356" s="9" t="s">
        <v>110</v>
      </c>
      <c r="CZ356" s="9">
        <v>25</v>
      </c>
      <c r="DA356" s="9">
        <v>25</v>
      </c>
      <c r="DB356" s="9">
        <v>33</v>
      </c>
      <c r="DC356" s="15">
        <v>124.1</v>
      </c>
      <c r="DD356" s="6">
        <v>0.55000000000000004</v>
      </c>
      <c r="DE356" s="15">
        <v>211</v>
      </c>
      <c r="DF356" s="6">
        <v>140</v>
      </c>
      <c r="DG356" s="9">
        <f t="shared" si="5"/>
        <v>4.8813650574099325</v>
      </c>
      <c r="DH356" s="6"/>
      <c r="DI356" s="6">
        <v>5.27</v>
      </c>
      <c r="DJ356" s="6"/>
      <c r="DK356" s="6"/>
      <c r="DL356" s="6"/>
      <c r="DM356" s="6"/>
      <c r="DN356" s="6"/>
      <c r="DQ356" s="6" t="s">
        <v>111</v>
      </c>
      <c r="DR356" s="9">
        <v>2</v>
      </c>
      <c r="DU356" s="9">
        <v>5.6</v>
      </c>
    </row>
    <row r="357" spans="1:125" x14ac:dyDescent="0.2">
      <c r="A357" s="6">
        <v>278</v>
      </c>
      <c r="B357" s="8">
        <v>42929</v>
      </c>
      <c r="C357" s="6" t="s">
        <v>95</v>
      </c>
      <c r="D357" s="6">
        <v>24</v>
      </c>
      <c r="E357" s="6" t="s">
        <v>100</v>
      </c>
      <c r="F357" s="17">
        <v>34121</v>
      </c>
      <c r="G357" s="6" t="s">
        <v>3421</v>
      </c>
      <c r="H357" s="6" t="s">
        <v>3422</v>
      </c>
      <c r="I357" s="9">
        <v>11</v>
      </c>
      <c r="J357" s="9" t="s">
        <v>99</v>
      </c>
      <c r="L357" s="6"/>
      <c r="M357" s="6" t="s">
        <v>99</v>
      </c>
      <c r="N357" s="6" t="s">
        <v>99</v>
      </c>
      <c r="O357" s="6" t="s">
        <v>99</v>
      </c>
      <c r="P357" s="6" t="s">
        <v>110</v>
      </c>
      <c r="Q357" s="6" t="s">
        <v>110</v>
      </c>
      <c r="R357" s="6" t="s">
        <v>110</v>
      </c>
      <c r="S357" s="6" t="s">
        <v>110</v>
      </c>
      <c r="T357" s="6" t="s">
        <v>99</v>
      </c>
      <c r="U357" s="6"/>
      <c r="W357" s="6" t="s">
        <v>99</v>
      </c>
      <c r="X357" s="6" t="s">
        <v>99</v>
      </c>
      <c r="Y357" s="6" t="s">
        <v>1903</v>
      </c>
      <c r="AA357" s="9" t="s">
        <v>100</v>
      </c>
      <c r="AB357" s="6" t="s">
        <v>100</v>
      </c>
      <c r="AC357" s="6" t="s">
        <v>3423</v>
      </c>
      <c r="AD357" s="9" t="s">
        <v>100</v>
      </c>
      <c r="AE357" s="15" t="s">
        <v>3424</v>
      </c>
      <c r="AF357" s="15" t="s">
        <v>534</v>
      </c>
      <c r="AG357" s="15" t="s">
        <v>1079</v>
      </c>
      <c r="AH357" s="15" t="s">
        <v>2627</v>
      </c>
      <c r="AI357" s="6"/>
      <c r="AJ357" s="6"/>
      <c r="AK357" s="15" t="s">
        <v>3425</v>
      </c>
      <c r="AL357" s="6">
        <v>68.7</v>
      </c>
      <c r="AM357" s="9">
        <v>163</v>
      </c>
      <c r="AN357" s="15">
        <v>81</v>
      </c>
      <c r="AO357" s="6">
        <v>108</v>
      </c>
      <c r="AP357" s="6">
        <v>41.5</v>
      </c>
      <c r="AQ357" s="6">
        <v>5</v>
      </c>
      <c r="AR357" s="6">
        <v>24.4</v>
      </c>
      <c r="AS357" s="6">
        <v>39</v>
      </c>
      <c r="AT357" s="6">
        <v>25.9</v>
      </c>
      <c r="AU357" s="6">
        <v>97</v>
      </c>
      <c r="AV357" s="6">
        <v>72</v>
      </c>
      <c r="AX357" s="9" t="s">
        <v>3426</v>
      </c>
      <c r="AY357" s="9" t="s">
        <v>2878</v>
      </c>
      <c r="AZ357" s="9" t="s">
        <v>729</v>
      </c>
      <c r="BA357" s="9" t="s">
        <v>175</v>
      </c>
      <c r="BB357" s="9" t="s">
        <v>346</v>
      </c>
      <c r="BC357" s="9" t="s">
        <v>3427</v>
      </c>
      <c r="BD357" s="9" t="s">
        <v>3428</v>
      </c>
      <c r="BF357" s="9" t="s">
        <v>176</v>
      </c>
      <c r="BG357" s="9" t="s">
        <v>2607</v>
      </c>
      <c r="BH357" s="9" t="s">
        <v>2445</v>
      </c>
      <c r="BI357" s="9" t="s">
        <v>1173</v>
      </c>
      <c r="BJ357" s="9" t="s">
        <v>2607</v>
      </c>
      <c r="BK357" s="9" t="s">
        <v>2607</v>
      </c>
      <c r="BN357" s="9" t="s">
        <v>3429</v>
      </c>
      <c r="BO357" s="9" t="s">
        <v>3430</v>
      </c>
      <c r="BV357" s="9" t="s">
        <v>3431</v>
      </c>
      <c r="BZ357" s="9" t="s">
        <v>3432</v>
      </c>
      <c r="CA357" s="9" t="s">
        <v>3433</v>
      </c>
      <c r="CB357" s="9" t="s">
        <v>2886</v>
      </c>
      <c r="CL357" s="9" t="s">
        <v>2613</v>
      </c>
      <c r="CM357" s="9" t="s">
        <v>3434</v>
      </c>
      <c r="CN357" s="9" t="s">
        <v>3158</v>
      </c>
      <c r="CP357" s="9" t="s">
        <v>3435</v>
      </c>
      <c r="CQ357" s="9" t="s">
        <v>890</v>
      </c>
      <c r="CR357" s="9" t="s">
        <v>3436</v>
      </c>
      <c r="CT357" s="9" t="s">
        <v>3437</v>
      </c>
      <c r="CU357" s="9" t="s">
        <v>3438</v>
      </c>
      <c r="CV357" s="9" t="s">
        <v>3439</v>
      </c>
      <c r="CW357" s="9">
        <v>5</v>
      </c>
      <c r="CX357" s="9" t="s">
        <v>110</v>
      </c>
      <c r="CY357" s="9" t="s">
        <v>110</v>
      </c>
      <c r="DC357" s="6">
        <v>78.099999999999994</v>
      </c>
      <c r="DD357" s="6">
        <v>0.8</v>
      </c>
      <c r="DE357" s="6">
        <v>169</v>
      </c>
      <c r="DF357" s="6">
        <v>62</v>
      </c>
      <c r="DG357" s="9">
        <f t="shared" si="5"/>
        <v>4.2425622209453655</v>
      </c>
      <c r="DH357" s="6"/>
      <c r="DI357" s="6">
        <v>4.3099999999999996</v>
      </c>
      <c r="DJ357" s="6"/>
      <c r="DK357" s="6"/>
      <c r="DL357" s="6">
        <v>76.599999999999994</v>
      </c>
      <c r="DM357" s="6"/>
      <c r="DN357" s="6"/>
      <c r="DP357" s="11">
        <v>2</v>
      </c>
      <c r="DQ357" s="6" t="s">
        <v>111</v>
      </c>
      <c r="DR357" s="9">
        <v>2</v>
      </c>
    </row>
    <row r="358" spans="1:125" x14ac:dyDescent="0.2">
      <c r="A358" s="6">
        <v>279</v>
      </c>
      <c r="B358" s="8">
        <v>42929</v>
      </c>
      <c r="C358" s="6" t="s">
        <v>95</v>
      </c>
      <c r="D358" s="6">
        <v>57</v>
      </c>
      <c r="E358" s="6" t="s">
        <v>100</v>
      </c>
      <c r="F358" s="17">
        <v>21760</v>
      </c>
      <c r="G358" s="6" t="s">
        <v>197</v>
      </c>
      <c r="H358" s="6" t="s">
        <v>3422</v>
      </c>
      <c r="I358" s="9">
        <v>12</v>
      </c>
      <c r="J358" s="10">
        <v>40</v>
      </c>
      <c r="K358" s="9">
        <v>37</v>
      </c>
      <c r="L358" s="6">
        <v>4</v>
      </c>
      <c r="M358" s="6" t="s">
        <v>99</v>
      </c>
      <c r="N358" s="6" t="s">
        <v>99</v>
      </c>
      <c r="O358" s="15" t="s">
        <v>110</v>
      </c>
      <c r="P358" s="6" t="s">
        <v>110</v>
      </c>
      <c r="Q358" s="6"/>
      <c r="R358" s="6"/>
      <c r="S358" s="6" t="s">
        <v>99</v>
      </c>
      <c r="T358" s="6" t="s">
        <v>110</v>
      </c>
      <c r="U358" s="6" t="s">
        <v>3440</v>
      </c>
      <c r="W358" s="15" t="s">
        <v>3441</v>
      </c>
      <c r="X358" s="6"/>
      <c r="Y358" s="6" t="s">
        <v>3442</v>
      </c>
      <c r="Z358" s="9" t="s">
        <v>99</v>
      </c>
      <c r="AA358" s="9" t="s">
        <v>100</v>
      </c>
      <c r="AB358" s="6" t="s">
        <v>1123</v>
      </c>
      <c r="AC358" s="6" t="s">
        <v>100</v>
      </c>
      <c r="AD358" s="6" t="s">
        <v>1123</v>
      </c>
      <c r="AE358" s="15" t="s">
        <v>125</v>
      </c>
      <c r="AF358" s="15" t="s">
        <v>363</v>
      </c>
      <c r="AG358" s="15" t="s">
        <v>118</v>
      </c>
      <c r="AH358" s="15" t="s">
        <v>125</v>
      </c>
      <c r="AI358" s="6" t="s">
        <v>99</v>
      </c>
      <c r="AJ358" s="6" t="s">
        <v>99</v>
      </c>
      <c r="AK358" s="6" t="s">
        <v>99</v>
      </c>
      <c r="AL358" s="6">
        <v>60</v>
      </c>
      <c r="AM358" s="9" t="s">
        <v>3443</v>
      </c>
      <c r="AN358" s="19">
        <v>92</v>
      </c>
      <c r="AO358" s="6">
        <v>101</v>
      </c>
      <c r="AP358" s="6">
        <v>37.9</v>
      </c>
      <c r="AQ358" s="6">
        <v>7</v>
      </c>
      <c r="AR358" s="6">
        <v>24.7</v>
      </c>
      <c r="AS358" s="6">
        <v>52</v>
      </c>
      <c r="AT358" s="19">
        <v>23.9</v>
      </c>
      <c r="AU358" s="6">
        <v>95</v>
      </c>
      <c r="AV358" s="6">
        <v>67</v>
      </c>
      <c r="AX358" s="9" t="s">
        <v>592</v>
      </c>
      <c r="AY358" s="9" t="s">
        <v>2878</v>
      </c>
      <c r="AZ358" s="9" t="s">
        <v>3401</v>
      </c>
      <c r="BB358" s="9" t="s">
        <v>750</v>
      </c>
      <c r="BC358" s="9" t="s">
        <v>1080</v>
      </c>
      <c r="BD358" s="9" t="s">
        <v>749</v>
      </c>
      <c r="BF358" s="9" t="s">
        <v>176</v>
      </c>
      <c r="BG358" s="9" t="s">
        <v>175</v>
      </c>
      <c r="BH358" s="9" t="s">
        <v>175</v>
      </c>
      <c r="BI358" s="9" t="s">
        <v>1173</v>
      </c>
      <c r="BJ358" s="9" t="s">
        <v>1173</v>
      </c>
      <c r="BK358" s="9" t="s">
        <v>175</v>
      </c>
      <c r="BN358" s="9" t="s">
        <v>179</v>
      </c>
      <c r="BO358" s="9" t="s">
        <v>180</v>
      </c>
      <c r="BP358" s="9" t="s">
        <v>352</v>
      </c>
      <c r="BR358" s="9" t="s">
        <v>99</v>
      </c>
      <c r="BV358" s="9" t="s">
        <v>99</v>
      </c>
      <c r="BZ358" s="9" t="s">
        <v>752</v>
      </c>
      <c r="CA358" s="9" t="s">
        <v>709</v>
      </c>
      <c r="CB358" s="9" t="s">
        <v>183</v>
      </c>
      <c r="CD358" s="9" t="s">
        <v>99</v>
      </c>
      <c r="CH358" s="9" t="s">
        <v>99</v>
      </c>
      <c r="CL358" s="9" t="s">
        <v>2822</v>
      </c>
      <c r="CM358" s="9" t="s">
        <v>2447</v>
      </c>
      <c r="CN358" s="9" t="s">
        <v>579</v>
      </c>
      <c r="CP358" s="9" t="s">
        <v>890</v>
      </c>
      <c r="CQ358" s="9" t="s">
        <v>716</v>
      </c>
      <c r="CR358" s="9" t="s">
        <v>361</v>
      </c>
      <c r="CT358" s="9" t="s">
        <v>99</v>
      </c>
      <c r="CW358" s="9">
        <v>3</v>
      </c>
      <c r="CX358" s="9" t="s">
        <v>110</v>
      </c>
      <c r="CY358" s="9" t="s">
        <v>110</v>
      </c>
      <c r="CZ358" s="9">
        <v>25</v>
      </c>
      <c r="DA358" s="9">
        <v>25</v>
      </c>
      <c r="DB358" s="9">
        <v>50</v>
      </c>
      <c r="DC358" s="79">
        <v>68.099999999999994</v>
      </c>
      <c r="DD358" s="6">
        <v>0.59</v>
      </c>
      <c r="DE358" s="15">
        <v>238</v>
      </c>
      <c r="DF358" s="6">
        <v>118</v>
      </c>
      <c r="DG358" s="9">
        <f t="shared" si="5"/>
        <v>4.4958309188105661</v>
      </c>
      <c r="DH358" s="6"/>
      <c r="DI358" s="6">
        <v>2.61</v>
      </c>
      <c r="DJ358" s="6"/>
      <c r="DK358" s="6"/>
      <c r="DL358" s="6">
        <v>78.5</v>
      </c>
      <c r="DM358" s="6"/>
      <c r="DN358" s="6"/>
      <c r="DP358" s="11">
        <v>2</v>
      </c>
      <c r="DQ358" s="6" t="s">
        <v>111</v>
      </c>
      <c r="DR358" s="9">
        <v>2</v>
      </c>
    </row>
    <row r="359" spans="1:125" x14ac:dyDescent="0.2">
      <c r="A359" s="79">
        <v>280</v>
      </c>
      <c r="B359" s="8">
        <v>42929</v>
      </c>
      <c r="C359" s="6" t="s">
        <v>107</v>
      </c>
      <c r="D359" s="6">
        <v>31</v>
      </c>
      <c r="E359" s="6" t="s">
        <v>100</v>
      </c>
      <c r="F359" s="17">
        <v>31631</v>
      </c>
      <c r="G359" s="6" t="s">
        <v>3444</v>
      </c>
      <c r="H359" s="6"/>
      <c r="L359" s="6"/>
      <c r="M359" s="6" t="s">
        <v>99</v>
      </c>
      <c r="N359" s="6" t="s">
        <v>99</v>
      </c>
      <c r="O359" s="6" t="s">
        <v>99</v>
      </c>
      <c r="P359" s="6" t="s">
        <v>99</v>
      </c>
      <c r="Q359" s="6" t="s">
        <v>110</v>
      </c>
      <c r="R359" s="6" t="s">
        <v>99</v>
      </c>
      <c r="S359" s="6" t="s">
        <v>110</v>
      </c>
      <c r="T359" s="6" t="s">
        <v>110</v>
      </c>
      <c r="U359" s="6" t="s">
        <v>99</v>
      </c>
      <c r="W359" s="6" t="s">
        <v>99</v>
      </c>
      <c r="X359" s="6" t="s">
        <v>99</v>
      </c>
      <c r="Y359" s="6" t="s">
        <v>3445</v>
      </c>
      <c r="Z359" s="9" t="s">
        <v>1222</v>
      </c>
      <c r="AA359" s="9" t="s">
        <v>100</v>
      </c>
      <c r="AB359" s="6" t="s">
        <v>100</v>
      </c>
      <c r="AC359" s="6"/>
      <c r="AE359" s="15" t="s">
        <v>118</v>
      </c>
      <c r="AF359" s="15" t="s">
        <v>118</v>
      </c>
      <c r="AG359" s="6" t="s">
        <v>99</v>
      </c>
      <c r="AH359" s="6" t="s">
        <v>99</v>
      </c>
      <c r="AI359" s="6" t="s">
        <v>99</v>
      </c>
      <c r="AJ359" s="6" t="s">
        <v>99</v>
      </c>
      <c r="AK359" s="6" t="s">
        <v>99</v>
      </c>
      <c r="AL359" s="6">
        <v>71.3</v>
      </c>
      <c r="AM359" s="9">
        <v>182</v>
      </c>
      <c r="AN359" s="6">
        <v>79</v>
      </c>
      <c r="AO359" s="6">
        <v>96</v>
      </c>
      <c r="AP359" s="6">
        <v>13.2</v>
      </c>
      <c r="AQ359" s="6">
        <v>4</v>
      </c>
      <c r="AR359" s="6">
        <v>42.6</v>
      </c>
      <c r="AS359" s="6">
        <v>31</v>
      </c>
      <c r="AT359" s="79">
        <v>21.5</v>
      </c>
      <c r="AU359" s="6">
        <v>110</v>
      </c>
      <c r="AV359" s="6">
        <v>79</v>
      </c>
      <c r="AX359" s="9" t="s">
        <v>666</v>
      </c>
      <c r="AY359" s="9" t="s">
        <v>665</v>
      </c>
      <c r="AZ359" s="9" t="s">
        <v>3446</v>
      </c>
      <c r="BB359" s="9" t="s">
        <v>346</v>
      </c>
      <c r="BC359" s="9" t="s">
        <v>3276</v>
      </c>
      <c r="BD359" s="9" t="s">
        <v>3447</v>
      </c>
      <c r="BF359" s="9" t="s">
        <v>3448</v>
      </c>
      <c r="BG359" s="9" t="s">
        <v>3449</v>
      </c>
      <c r="BH359" s="9" t="s">
        <v>350</v>
      </c>
      <c r="BI359" s="9" t="s">
        <v>176</v>
      </c>
      <c r="BJ359" s="9" t="s">
        <v>176</v>
      </c>
      <c r="BK359" s="9" t="s">
        <v>1979</v>
      </c>
      <c r="BN359" s="9" t="s">
        <v>3450</v>
      </c>
      <c r="BO359" s="9" t="s">
        <v>3451</v>
      </c>
      <c r="BP359" s="9" t="s">
        <v>3452</v>
      </c>
      <c r="BR359" s="9" t="s">
        <v>99</v>
      </c>
      <c r="BV359" s="9" t="s">
        <v>3453</v>
      </c>
      <c r="BW359" s="9" t="s">
        <v>3454</v>
      </c>
      <c r="BX359" s="9" t="s">
        <v>3455</v>
      </c>
      <c r="BZ359" s="9" t="s">
        <v>2640</v>
      </c>
      <c r="CA359" s="9" t="s">
        <v>1136</v>
      </c>
      <c r="CB359" s="9" t="s">
        <v>3456</v>
      </c>
      <c r="CD359" s="9" t="s">
        <v>99</v>
      </c>
      <c r="CH359" s="9" t="s">
        <v>3457</v>
      </c>
      <c r="CI359" s="9" t="s">
        <v>3458</v>
      </c>
      <c r="CL359" s="9" t="s">
        <v>823</v>
      </c>
      <c r="CM359" s="9" t="s">
        <v>3459</v>
      </c>
      <c r="CN359" s="9" t="s">
        <v>3460</v>
      </c>
      <c r="CP359" s="9" t="s">
        <v>890</v>
      </c>
      <c r="CQ359" s="9" t="s">
        <v>2892</v>
      </c>
      <c r="CR359" s="9" t="s">
        <v>2641</v>
      </c>
      <c r="CT359" s="9" t="s">
        <v>3461</v>
      </c>
      <c r="CU359" s="9" t="s">
        <v>3248</v>
      </c>
      <c r="CV359" s="9" t="s">
        <v>3462</v>
      </c>
      <c r="CW359" s="9">
        <v>3</v>
      </c>
      <c r="CX359" s="9" t="s">
        <v>99</v>
      </c>
      <c r="CY359" s="9" t="s">
        <v>3463</v>
      </c>
      <c r="CZ359" s="9">
        <v>35</v>
      </c>
      <c r="DA359" s="9">
        <v>40</v>
      </c>
      <c r="DB359" s="9">
        <v>25</v>
      </c>
      <c r="DC359" s="6">
        <v>83.3</v>
      </c>
      <c r="DD359" s="6">
        <v>0.96</v>
      </c>
      <c r="DE359" s="6">
        <v>144</v>
      </c>
      <c r="DF359" s="6">
        <v>69</v>
      </c>
      <c r="DG359" s="9">
        <f t="shared" si="5"/>
        <v>4.328277526885028</v>
      </c>
      <c r="DH359" s="6"/>
      <c r="DI359" s="6">
        <v>5.6</v>
      </c>
      <c r="DJ359" s="6"/>
      <c r="DK359" s="6"/>
      <c r="DL359" s="6"/>
      <c r="DM359" s="6"/>
      <c r="DN359" s="6"/>
      <c r="DP359" s="11">
        <v>3</v>
      </c>
      <c r="DQ359" s="6" t="s">
        <v>105</v>
      </c>
      <c r="DR359" s="9">
        <v>2</v>
      </c>
      <c r="DT359" s="9">
        <v>12</v>
      </c>
      <c r="DU359" s="9">
        <v>4.53</v>
      </c>
    </row>
    <row r="360" spans="1:125" x14ac:dyDescent="0.2">
      <c r="A360" s="6">
        <v>281</v>
      </c>
      <c r="B360" s="8">
        <v>42929</v>
      </c>
      <c r="C360" s="6" t="s">
        <v>95</v>
      </c>
      <c r="D360" s="6">
        <v>56</v>
      </c>
      <c r="E360" s="6"/>
      <c r="F360" s="17">
        <v>22317</v>
      </c>
      <c r="G360" s="6" t="s">
        <v>197</v>
      </c>
      <c r="H360" s="6" t="s">
        <v>723</v>
      </c>
      <c r="K360" s="9">
        <v>1984</v>
      </c>
      <c r="L360" s="6"/>
      <c r="M360" s="6" t="s">
        <v>99</v>
      </c>
      <c r="N360" s="6" t="s">
        <v>99</v>
      </c>
      <c r="O360" s="6" t="s">
        <v>99</v>
      </c>
      <c r="P360" s="6" t="s">
        <v>99</v>
      </c>
      <c r="Q360" s="6" t="s">
        <v>99</v>
      </c>
      <c r="R360" s="6" t="s">
        <v>110</v>
      </c>
      <c r="S360" s="6" t="s">
        <v>99</v>
      </c>
      <c r="T360" s="6" t="s">
        <v>99</v>
      </c>
      <c r="U360" s="6" t="s">
        <v>99</v>
      </c>
      <c r="W360" s="6" t="s">
        <v>3044</v>
      </c>
      <c r="X360" s="6"/>
      <c r="Y360" s="6" t="s">
        <v>3464</v>
      </c>
      <c r="AA360" s="9" t="s">
        <v>100</v>
      </c>
      <c r="AB360" s="6" t="s">
        <v>100</v>
      </c>
      <c r="AC360" s="6"/>
      <c r="AE360" s="6" t="s">
        <v>99</v>
      </c>
      <c r="AF360" s="15" t="s">
        <v>118</v>
      </c>
      <c r="AG360" s="15" t="s">
        <v>125</v>
      </c>
      <c r="AH360" s="15" t="s">
        <v>118</v>
      </c>
      <c r="AI360" s="6" t="s">
        <v>99</v>
      </c>
      <c r="AJ360" s="6" t="s">
        <v>99</v>
      </c>
      <c r="AK360" s="6"/>
      <c r="AL360" s="6">
        <v>62.6</v>
      </c>
      <c r="AM360" s="9">
        <v>156</v>
      </c>
      <c r="AN360" s="15">
        <v>91</v>
      </c>
      <c r="AO360" s="6">
        <v>96</v>
      </c>
      <c r="AP360" s="6">
        <v>40.299999999999997</v>
      </c>
      <c r="AQ360" s="6">
        <v>8</v>
      </c>
      <c r="AR360" s="6">
        <v>24.2</v>
      </c>
      <c r="AS360" s="6">
        <v>57</v>
      </c>
      <c r="AT360" s="6">
        <v>25.7</v>
      </c>
      <c r="AU360" s="6">
        <v>106</v>
      </c>
      <c r="AV360" s="6">
        <v>67</v>
      </c>
      <c r="AX360" s="9" t="s">
        <v>3083</v>
      </c>
      <c r="AY360" s="9" t="s">
        <v>3465</v>
      </c>
      <c r="BB360" s="9" t="s">
        <v>346</v>
      </c>
      <c r="BC360" s="9" t="s">
        <v>3466</v>
      </c>
      <c r="BD360" s="9" t="s">
        <v>3467</v>
      </c>
      <c r="BF360" s="9" t="s">
        <v>3468</v>
      </c>
      <c r="BG360" s="9" t="s">
        <v>1099</v>
      </c>
      <c r="BH360" s="9" t="s">
        <v>683</v>
      </c>
      <c r="BI360" s="9" t="s">
        <v>175</v>
      </c>
      <c r="BJ360" s="9" t="s">
        <v>215</v>
      </c>
      <c r="BK360" s="9" t="s">
        <v>1172</v>
      </c>
      <c r="BN360" s="9" t="s">
        <v>3469</v>
      </c>
      <c r="BO360" s="9" t="s">
        <v>2770</v>
      </c>
      <c r="BP360" s="9" t="s">
        <v>2573</v>
      </c>
      <c r="BR360" s="9" t="s">
        <v>3470</v>
      </c>
      <c r="BS360" s="9" t="s">
        <v>3471</v>
      </c>
      <c r="BV360" s="9" t="s">
        <v>857</v>
      </c>
      <c r="BZ360" s="9" t="s">
        <v>2887</v>
      </c>
      <c r="CA360" s="9" t="s">
        <v>821</v>
      </c>
      <c r="CB360" s="9" t="s">
        <v>182</v>
      </c>
      <c r="CL360" s="9" t="s">
        <v>1181</v>
      </c>
      <c r="CM360" s="9" t="s">
        <v>3472</v>
      </c>
      <c r="CP360" s="9" t="s">
        <v>890</v>
      </c>
      <c r="CQ360" s="9" t="s">
        <v>716</v>
      </c>
      <c r="CR360" s="9" t="s">
        <v>361</v>
      </c>
      <c r="CT360" s="9" t="s">
        <v>3473</v>
      </c>
      <c r="CU360" s="9" t="s">
        <v>3420</v>
      </c>
      <c r="CV360" s="9" t="s">
        <v>3058</v>
      </c>
      <c r="CW360" s="9">
        <v>3</v>
      </c>
      <c r="CX360" s="9" t="s">
        <v>99</v>
      </c>
      <c r="CY360" s="9" t="s">
        <v>110</v>
      </c>
      <c r="CZ360" s="9">
        <v>30</v>
      </c>
      <c r="DA360" s="9">
        <v>20</v>
      </c>
      <c r="DB360" s="9">
        <v>50</v>
      </c>
      <c r="DC360" s="6">
        <v>90</v>
      </c>
      <c r="DD360" s="6">
        <v>0.56000000000000005</v>
      </c>
      <c r="DE360" s="15">
        <v>219</v>
      </c>
      <c r="DF360" s="6">
        <v>78</v>
      </c>
      <c r="DG360" s="9">
        <f t="shared" si="5"/>
        <v>4.4282592485099288</v>
      </c>
      <c r="DH360" s="6"/>
      <c r="DI360" s="6">
        <v>5.18</v>
      </c>
      <c r="DJ360" s="6"/>
      <c r="DK360" s="6"/>
      <c r="DL360" s="6"/>
      <c r="DM360" s="6"/>
      <c r="DN360" s="6"/>
      <c r="DP360" s="11">
        <v>3</v>
      </c>
      <c r="DQ360" s="6" t="s">
        <v>105</v>
      </c>
    </row>
    <row r="361" spans="1:125" x14ac:dyDescent="0.2">
      <c r="A361" s="6">
        <v>282</v>
      </c>
      <c r="B361" s="8">
        <v>42929</v>
      </c>
      <c r="C361" s="6" t="s">
        <v>95</v>
      </c>
      <c r="D361" s="6">
        <v>45</v>
      </c>
      <c r="E361" s="6" t="s">
        <v>100</v>
      </c>
      <c r="F361" s="17">
        <v>26355</v>
      </c>
      <c r="G361" s="6"/>
      <c r="H361" s="6" t="s">
        <v>723</v>
      </c>
      <c r="J361" s="10">
        <v>2014</v>
      </c>
      <c r="L361" s="6"/>
      <c r="M361" s="6" t="s">
        <v>99</v>
      </c>
      <c r="N361" s="6" t="s">
        <v>99</v>
      </c>
      <c r="O361" s="6" t="s">
        <v>99</v>
      </c>
      <c r="P361" s="6" t="s">
        <v>99</v>
      </c>
      <c r="Q361" s="6" t="s">
        <v>99</v>
      </c>
      <c r="R361" s="6"/>
      <c r="S361" s="6" t="s">
        <v>99</v>
      </c>
      <c r="T361" s="6" t="s">
        <v>99</v>
      </c>
      <c r="U361" s="6" t="s">
        <v>99</v>
      </c>
      <c r="V361" s="9" t="s">
        <v>99</v>
      </c>
      <c r="W361" s="6"/>
      <c r="X361" s="6"/>
      <c r="Y361" s="6" t="s">
        <v>3474</v>
      </c>
      <c r="AA361" s="9" t="s">
        <v>100</v>
      </c>
      <c r="AB361" s="6" t="s">
        <v>100</v>
      </c>
      <c r="AC361" s="6"/>
      <c r="AE361" s="15" t="s">
        <v>3475</v>
      </c>
      <c r="AF361" s="6" t="s">
        <v>99</v>
      </c>
      <c r="AG361" s="6" t="s">
        <v>99</v>
      </c>
      <c r="AH361" s="15" t="s">
        <v>118</v>
      </c>
      <c r="AI361" s="15" t="s">
        <v>2398</v>
      </c>
      <c r="AJ361" s="6" t="s">
        <v>99</v>
      </c>
      <c r="AK361" s="6"/>
      <c r="AL361" s="6">
        <v>50.9</v>
      </c>
      <c r="AM361" s="9">
        <v>140</v>
      </c>
      <c r="AN361" s="15">
        <v>83</v>
      </c>
      <c r="AO361" s="6">
        <v>90</v>
      </c>
      <c r="AP361" s="6">
        <v>33.4</v>
      </c>
      <c r="AQ361" s="6">
        <v>7</v>
      </c>
      <c r="AR361" s="6">
        <v>29.5</v>
      </c>
      <c r="AS361" s="6">
        <v>56</v>
      </c>
      <c r="AT361" s="6">
        <v>26</v>
      </c>
      <c r="AU361" s="6">
        <v>110</v>
      </c>
      <c r="AV361" s="6">
        <v>82</v>
      </c>
      <c r="AX361" s="9" t="s">
        <v>1128</v>
      </c>
      <c r="AY361" s="9" t="s">
        <v>729</v>
      </c>
      <c r="AZ361" s="9" t="s">
        <v>125</v>
      </c>
      <c r="BB361" s="9" t="s">
        <v>346</v>
      </c>
      <c r="BC361" s="9" t="s">
        <v>3476</v>
      </c>
      <c r="BD361" s="9" t="s">
        <v>3477</v>
      </c>
      <c r="BF361" s="9" t="s">
        <v>3376</v>
      </c>
      <c r="BG361" s="9" t="s">
        <v>3478</v>
      </c>
      <c r="BH361" s="9" t="s">
        <v>3479</v>
      </c>
      <c r="BI361" s="9" t="s">
        <v>3480</v>
      </c>
      <c r="BJ361" s="9" t="s">
        <v>215</v>
      </c>
      <c r="BK361" s="9" t="s">
        <v>1172</v>
      </c>
      <c r="BN361" s="9" t="s">
        <v>3481</v>
      </c>
      <c r="BO361" s="9" t="s">
        <v>178</v>
      </c>
      <c r="BP361" s="9" t="s">
        <v>180</v>
      </c>
      <c r="BV361" s="9" t="s">
        <v>857</v>
      </c>
      <c r="BZ361" s="9" t="s">
        <v>2887</v>
      </c>
      <c r="CA361" s="9" t="s">
        <v>1100</v>
      </c>
      <c r="CB361" s="9" t="s">
        <v>821</v>
      </c>
      <c r="CL361" s="9" t="s">
        <v>579</v>
      </c>
      <c r="CM361" s="9" t="s">
        <v>824</v>
      </c>
      <c r="CP361" s="9" t="s">
        <v>890</v>
      </c>
      <c r="CQ361" s="9" t="s">
        <v>3482</v>
      </c>
      <c r="CT361" s="9" t="s">
        <v>649</v>
      </c>
      <c r="CU361" s="9" t="s">
        <v>3483</v>
      </c>
      <c r="CW361" s="9">
        <v>3</v>
      </c>
      <c r="CX361" s="9" t="s">
        <v>99</v>
      </c>
      <c r="CY361" s="9" t="s">
        <v>110</v>
      </c>
      <c r="CZ361" s="9">
        <v>30</v>
      </c>
      <c r="DA361" s="9">
        <v>20</v>
      </c>
      <c r="DB361" s="9">
        <v>50</v>
      </c>
      <c r="DC361" s="6">
        <v>85.1</v>
      </c>
      <c r="DD361" s="6">
        <v>0.43</v>
      </c>
      <c r="DE361" s="6">
        <v>136</v>
      </c>
      <c r="DF361" s="6" t="s">
        <v>3484</v>
      </c>
      <c r="DG361" s="9" t="e">
        <f t="shared" si="5"/>
        <v>#VALUE!</v>
      </c>
      <c r="DH361" s="6"/>
      <c r="DI361" s="6">
        <v>3.37</v>
      </c>
      <c r="DJ361" s="6"/>
      <c r="DK361" s="6"/>
      <c r="DL361" s="6"/>
      <c r="DM361" s="6"/>
      <c r="DN361" s="6"/>
      <c r="DP361" s="11">
        <v>2</v>
      </c>
      <c r="DQ361" s="6" t="s">
        <v>111</v>
      </c>
      <c r="DR361" s="9">
        <v>2</v>
      </c>
    </row>
    <row r="362" spans="1:125" x14ac:dyDescent="0.2">
      <c r="A362" s="16">
        <v>283</v>
      </c>
      <c r="B362" s="8">
        <v>42929</v>
      </c>
      <c r="C362" s="6" t="s">
        <v>95</v>
      </c>
      <c r="D362" s="6">
        <v>45</v>
      </c>
      <c r="E362" s="6" t="s">
        <v>100</v>
      </c>
      <c r="F362" s="17">
        <v>26213</v>
      </c>
      <c r="G362" s="6" t="s">
        <v>2088</v>
      </c>
      <c r="H362" s="6" t="s">
        <v>3422</v>
      </c>
      <c r="I362" s="9">
        <v>12</v>
      </c>
      <c r="J362" s="9" t="s">
        <v>99</v>
      </c>
      <c r="L362" s="6">
        <v>4</v>
      </c>
      <c r="M362" s="6" t="s">
        <v>99</v>
      </c>
      <c r="N362" s="6" t="s">
        <v>99</v>
      </c>
      <c r="O362" s="15" t="s">
        <v>3485</v>
      </c>
      <c r="P362" s="6" t="s">
        <v>99</v>
      </c>
      <c r="Q362" s="6" t="s">
        <v>110</v>
      </c>
      <c r="R362" s="6" t="s">
        <v>110</v>
      </c>
      <c r="S362" s="6" t="s">
        <v>110</v>
      </c>
      <c r="T362" s="6" t="s">
        <v>110</v>
      </c>
      <c r="U362" s="6" t="s">
        <v>2439</v>
      </c>
      <c r="W362" s="15" t="s">
        <v>3486</v>
      </c>
      <c r="X362" s="6" t="s">
        <v>99</v>
      </c>
      <c r="Y362" s="6" t="s">
        <v>3487</v>
      </c>
      <c r="AA362" s="85" t="s">
        <v>3488</v>
      </c>
      <c r="AB362" s="80" t="s">
        <v>797</v>
      </c>
      <c r="AC362" s="85" t="s">
        <v>3488</v>
      </c>
      <c r="AD362" s="80" t="s">
        <v>797</v>
      </c>
      <c r="AE362" s="15" t="s">
        <v>571</v>
      </c>
      <c r="AF362" s="15" t="s">
        <v>123</v>
      </c>
      <c r="AG362" s="6"/>
      <c r="AH362" s="15" t="s">
        <v>2627</v>
      </c>
      <c r="AI362" s="15" t="s">
        <v>118</v>
      </c>
      <c r="AJ362" s="6"/>
      <c r="AK362" s="6"/>
      <c r="AL362" s="6">
        <v>104.6</v>
      </c>
      <c r="AM362" s="9">
        <v>162</v>
      </c>
      <c r="AN362" s="15">
        <v>102</v>
      </c>
      <c r="AO362" s="6">
        <v>123</v>
      </c>
      <c r="AP362" s="6">
        <v>50.6</v>
      </c>
      <c r="AQ362" s="6">
        <v>12</v>
      </c>
      <c r="AR362" s="6">
        <v>22.3</v>
      </c>
      <c r="AS362" s="6">
        <v>71</v>
      </c>
      <c r="AT362" s="6">
        <v>39.9</v>
      </c>
      <c r="AU362" s="6">
        <v>107</v>
      </c>
      <c r="AV362" s="6">
        <v>79</v>
      </c>
      <c r="AX362" s="9" t="s">
        <v>573</v>
      </c>
      <c r="AY362" s="9" t="s">
        <v>592</v>
      </c>
      <c r="AZ362" s="9" t="s">
        <v>729</v>
      </c>
      <c r="BB362" s="9" t="s">
        <v>750</v>
      </c>
      <c r="BC362" s="9" t="s">
        <v>749</v>
      </c>
      <c r="BD362" s="9" t="s">
        <v>3489</v>
      </c>
      <c r="BF362" s="9" t="s">
        <v>175</v>
      </c>
      <c r="BG362" s="9" t="s">
        <v>175</v>
      </c>
      <c r="BH362" s="9" t="s">
        <v>2570</v>
      </c>
      <c r="BI362" s="9" t="s">
        <v>2570</v>
      </c>
      <c r="BJ362" s="9" t="s">
        <v>176</v>
      </c>
      <c r="BK362" s="9" t="s">
        <v>175</v>
      </c>
      <c r="BN362" s="9" t="s">
        <v>180</v>
      </c>
      <c r="BO362" s="9" t="s">
        <v>179</v>
      </c>
      <c r="BP362" s="9" t="s">
        <v>352</v>
      </c>
      <c r="BR362" s="9" t="s">
        <v>99</v>
      </c>
      <c r="BV362" s="9" t="s">
        <v>99</v>
      </c>
      <c r="BZ362" s="9" t="s">
        <v>182</v>
      </c>
      <c r="CA362" s="9" t="s">
        <v>183</v>
      </c>
      <c r="CB362" s="9" t="s">
        <v>709</v>
      </c>
      <c r="CD362" s="9" t="s">
        <v>99</v>
      </c>
      <c r="CH362" s="9" t="s">
        <v>99</v>
      </c>
      <c r="CL362" s="9" t="s">
        <v>3490</v>
      </c>
      <c r="CM362" s="9" t="s">
        <v>1181</v>
      </c>
      <c r="CN362" s="9" t="s">
        <v>980</v>
      </c>
      <c r="CP362" s="9" t="s">
        <v>362</v>
      </c>
      <c r="CQ362" s="9" t="s">
        <v>716</v>
      </c>
      <c r="CR362" s="9" t="s">
        <v>361</v>
      </c>
      <c r="CT362" s="9" t="s">
        <v>3491</v>
      </c>
      <c r="CU362" s="9" t="s">
        <v>3492</v>
      </c>
      <c r="CV362" s="9" t="s">
        <v>187</v>
      </c>
      <c r="CW362" s="45" t="s">
        <v>3016</v>
      </c>
      <c r="CX362" s="9" t="s">
        <v>99</v>
      </c>
      <c r="CY362" s="9" t="s">
        <v>110</v>
      </c>
      <c r="CZ362" s="9">
        <v>25</v>
      </c>
      <c r="DA362" s="9">
        <v>50</v>
      </c>
      <c r="DB362" s="9">
        <v>25</v>
      </c>
      <c r="DC362" s="15">
        <v>107.4</v>
      </c>
      <c r="DD362" s="6">
        <v>0.6</v>
      </c>
      <c r="DE362" s="15">
        <v>202</v>
      </c>
      <c r="DF362" s="15">
        <v>150</v>
      </c>
      <c r="DG362" s="9">
        <f t="shared" si="5"/>
        <v>4.84359773808551</v>
      </c>
      <c r="DH362" s="6"/>
      <c r="DI362" s="6">
        <v>5.73</v>
      </c>
      <c r="DJ362" s="6"/>
      <c r="DK362" s="6"/>
      <c r="DL362" s="6"/>
      <c r="DM362" s="6"/>
      <c r="DN362" s="6"/>
      <c r="DP362" s="11">
        <v>3</v>
      </c>
      <c r="DQ362" s="6" t="s">
        <v>111</v>
      </c>
      <c r="DR362" s="9">
        <v>2</v>
      </c>
      <c r="DU362" s="9">
        <v>5</v>
      </c>
    </row>
    <row r="363" spans="1:125" x14ac:dyDescent="0.2">
      <c r="A363" s="79">
        <v>284</v>
      </c>
      <c r="B363" s="8">
        <v>42929</v>
      </c>
      <c r="C363" s="6" t="s">
        <v>95</v>
      </c>
      <c r="D363" s="6">
        <v>41</v>
      </c>
      <c r="E363" s="6" t="s">
        <v>100</v>
      </c>
      <c r="F363" s="17">
        <v>27838</v>
      </c>
      <c r="G363" s="6" t="s">
        <v>197</v>
      </c>
      <c r="H363" s="6" t="s">
        <v>3422</v>
      </c>
      <c r="J363" s="9" t="s">
        <v>99</v>
      </c>
      <c r="L363" s="6"/>
      <c r="M363" s="6" t="s">
        <v>99</v>
      </c>
      <c r="N363" s="6" t="s">
        <v>99</v>
      </c>
      <c r="O363" s="6" t="s">
        <v>99</v>
      </c>
      <c r="P363" s="6" t="s">
        <v>99</v>
      </c>
      <c r="Q363" s="6" t="s">
        <v>110</v>
      </c>
      <c r="R363" s="6" t="s">
        <v>99</v>
      </c>
      <c r="S363" s="6" t="s">
        <v>99</v>
      </c>
      <c r="T363" s="6" t="s">
        <v>99</v>
      </c>
      <c r="U363" s="6" t="s">
        <v>99</v>
      </c>
      <c r="V363" s="9" t="s">
        <v>99</v>
      </c>
      <c r="W363" s="6" t="s">
        <v>99</v>
      </c>
      <c r="X363" s="6"/>
      <c r="Y363" s="6"/>
      <c r="AA363" s="9" t="s">
        <v>100</v>
      </c>
      <c r="AB363" s="6" t="s">
        <v>100</v>
      </c>
      <c r="AC363" s="6"/>
      <c r="AE363" s="6"/>
      <c r="AF363" s="15" t="s">
        <v>118</v>
      </c>
      <c r="AG363" s="6"/>
      <c r="AH363" s="6"/>
      <c r="AI363" s="6"/>
      <c r="AJ363" s="6"/>
      <c r="AK363" s="6"/>
      <c r="AL363" s="6">
        <v>61.5</v>
      </c>
      <c r="AM363" s="9">
        <v>158</v>
      </c>
      <c r="AN363" s="6">
        <v>78</v>
      </c>
      <c r="AO363" s="6">
        <v>104</v>
      </c>
      <c r="AP363" s="6">
        <v>41.5</v>
      </c>
      <c r="AQ363" s="6">
        <v>6</v>
      </c>
      <c r="AR363" s="6">
        <v>22</v>
      </c>
      <c r="AS363" s="6">
        <v>44</v>
      </c>
      <c r="AT363" s="79">
        <v>24.6</v>
      </c>
      <c r="AU363" s="6">
        <v>96</v>
      </c>
      <c r="AV363" s="6">
        <v>73</v>
      </c>
      <c r="AX363" s="9" t="s">
        <v>3493</v>
      </c>
      <c r="AY363" s="9" t="s">
        <v>3494</v>
      </c>
      <c r="AZ363" s="9" t="s">
        <v>3200</v>
      </c>
      <c r="BB363" s="9" t="s">
        <v>2965</v>
      </c>
      <c r="BC363" s="9" t="s">
        <v>3495</v>
      </c>
      <c r="BD363" s="9" t="s">
        <v>3496</v>
      </c>
      <c r="BF363" s="9" t="s">
        <v>3497</v>
      </c>
      <c r="BG363" s="9" t="s">
        <v>3498</v>
      </c>
      <c r="BH363" s="9" t="s">
        <v>3499</v>
      </c>
      <c r="BI363" s="9" t="s">
        <v>2570</v>
      </c>
      <c r="BJ363" s="9" t="s">
        <v>3500</v>
      </c>
      <c r="BK363" s="9" t="s">
        <v>683</v>
      </c>
      <c r="BN363" s="9" t="s">
        <v>3501</v>
      </c>
      <c r="BO363" s="9" t="s">
        <v>3379</v>
      </c>
      <c r="BP363" s="14" t="s">
        <v>3502</v>
      </c>
      <c r="BV363" s="14" t="s">
        <v>3503</v>
      </c>
      <c r="BW363" s="14" t="s">
        <v>3504</v>
      </c>
      <c r="BX363" s="9" t="s">
        <v>3505</v>
      </c>
      <c r="BZ363" s="9" t="s">
        <v>3506</v>
      </c>
      <c r="CA363" s="9" t="s">
        <v>3507</v>
      </c>
      <c r="CB363" s="14" t="s">
        <v>3508</v>
      </c>
      <c r="CL363" s="9" t="s">
        <v>3158</v>
      </c>
      <c r="CM363" s="9" t="s">
        <v>3509</v>
      </c>
      <c r="CN363" s="9" t="s">
        <v>3510</v>
      </c>
      <c r="CT363" s="9" t="s">
        <v>2449</v>
      </c>
      <c r="CU363" s="9" t="s">
        <v>3511</v>
      </c>
      <c r="CV363" s="9" t="s">
        <v>3512</v>
      </c>
      <c r="CW363" s="9">
        <v>3</v>
      </c>
      <c r="CX363" s="9" t="s">
        <v>99</v>
      </c>
      <c r="CY363" s="9" t="s">
        <v>110</v>
      </c>
      <c r="CZ363" s="9">
        <v>50</v>
      </c>
      <c r="DA363" s="9">
        <v>100</v>
      </c>
      <c r="DB363" s="9">
        <v>60</v>
      </c>
      <c r="DC363" s="6">
        <v>80.400000000000006</v>
      </c>
      <c r="DD363" s="6">
        <v>0.62</v>
      </c>
      <c r="DE363" s="6">
        <v>184</v>
      </c>
      <c r="DF363" s="6" t="s">
        <v>3513</v>
      </c>
      <c r="DG363" s="9" t="e">
        <f t="shared" si="5"/>
        <v>#VALUE!</v>
      </c>
      <c r="DH363" s="6"/>
      <c r="DI363" s="6">
        <v>5.8</v>
      </c>
      <c r="DJ363" s="6"/>
      <c r="DK363" s="6"/>
      <c r="DL363" s="6"/>
      <c r="DM363" s="6"/>
      <c r="DN363" s="6"/>
      <c r="DP363" s="11">
        <v>3</v>
      </c>
      <c r="DQ363" s="6" t="s">
        <v>105</v>
      </c>
      <c r="DR363" s="9">
        <v>2</v>
      </c>
      <c r="DT363" s="9">
        <v>6.86</v>
      </c>
      <c r="DU363" s="9">
        <v>4.5999999999999996</v>
      </c>
    </row>
    <row r="364" spans="1:125" x14ac:dyDescent="0.2">
      <c r="A364" s="79">
        <v>285</v>
      </c>
      <c r="B364" s="8">
        <v>42929</v>
      </c>
      <c r="C364" s="6" t="s">
        <v>95</v>
      </c>
      <c r="D364" s="6">
        <v>28</v>
      </c>
      <c r="E364" s="6" t="s">
        <v>100</v>
      </c>
      <c r="F364" s="17">
        <v>32620</v>
      </c>
      <c r="G364" s="6" t="s">
        <v>197</v>
      </c>
      <c r="H364" s="6" t="s">
        <v>3422</v>
      </c>
      <c r="J364" s="9" t="s">
        <v>99</v>
      </c>
      <c r="K364" s="9">
        <v>2015</v>
      </c>
      <c r="L364" s="6">
        <v>2</v>
      </c>
      <c r="M364" s="6" t="s">
        <v>99</v>
      </c>
      <c r="N364" s="6" t="s">
        <v>99</v>
      </c>
      <c r="O364" s="6" t="s">
        <v>99</v>
      </c>
      <c r="P364" s="6" t="s">
        <v>99</v>
      </c>
      <c r="Q364" s="6" t="s">
        <v>110</v>
      </c>
      <c r="R364" s="6" t="s">
        <v>99</v>
      </c>
      <c r="S364" s="6" t="s">
        <v>99</v>
      </c>
      <c r="T364" s="6" t="s">
        <v>99</v>
      </c>
      <c r="U364" s="6" t="s">
        <v>2418</v>
      </c>
      <c r="V364" s="9" t="s">
        <v>99</v>
      </c>
      <c r="W364" s="6" t="s">
        <v>99</v>
      </c>
      <c r="X364" s="6"/>
      <c r="Y364" s="6"/>
      <c r="AA364" s="9" t="s">
        <v>100</v>
      </c>
      <c r="AB364" s="6" t="s">
        <v>100</v>
      </c>
      <c r="AC364" s="6"/>
      <c r="AE364" s="15" t="s">
        <v>126</v>
      </c>
      <c r="AF364" s="15" t="s">
        <v>118</v>
      </c>
      <c r="AG364" s="6"/>
      <c r="AH364" s="15" t="s">
        <v>118</v>
      </c>
      <c r="AI364" s="6"/>
      <c r="AJ364" s="6"/>
      <c r="AK364" s="6"/>
      <c r="AL364" s="6">
        <v>54.9</v>
      </c>
      <c r="AM364" s="9">
        <v>150</v>
      </c>
      <c r="AN364" s="6">
        <v>78</v>
      </c>
      <c r="AO364" s="6">
        <v>97</v>
      </c>
      <c r="AP364" s="6">
        <v>36</v>
      </c>
      <c r="AQ364" s="6">
        <v>5</v>
      </c>
      <c r="AR364" s="6">
        <v>22</v>
      </c>
      <c r="AS364" s="6">
        <v>41</v>
      </c>
      <c r="AT364" s="79">
        <v>24.4</v>
      </c>
      <c r="AU364" s="6">
        <v>99</v>
      </c>
      <c r="AV364" s="6">
        <v>74</v>
      </c>
      <c r="AX364" s="9" t="s">
        <v>1097</v>
      </c>
      <c r="AY364" s="9" t="s">
        <v>3514</v>
      </c>
      <c r="AZ364" s="9" t="s">
        <v>3200</v>
      </c>
      <c r="BB364" s="9" t="s">
        <v>3515</v>
      </c>
      <c r="BC364" s="9" t="s">
        <v>2554</v>
      </c>
      <c r="BD364" s="9" t="s">
        <v>3516</v>
      </c>
      <c r="BF364" s="9" t="s">
        <v>2444</v>
      </c>
      <c r="BG364" s="9" t="s">
        <v>175</v>
      </c>
      <c r="BH364" s="9" t="s">
        <v>3517</v>
      </c>
      <c r="BI364" s="9" t="s">
        <v>175</v>
      </c>
      <c r="BJ364" s="9" t="s">
        <v>1099</v>
      </c>
      <c r="BK364" s="9" t="s">
        <v>1172</v>
      </c>
      <c r="BN364" s="9" t="s">
        <v>3518</v>
      </c>
      <c r="BO364" s="9" t="s">
        <v>669</v>
      </c>
      <c r="BP364" s="14" t="s">
        <v>3502</v>
      </c>
      <c r="BV364" s="9" t="s">
        <v>3519</v>
      </c>
      <c r="BZ364" s="9" t="s">
        <v>3520</v>
      </c>
      <c r="CA364" s="9" t="s">
        <v>2912</v>
      </c>
      <c r="CL364" s="9" t="s">
        <v>3158</v>
      </c>
      <c r="CM364" s="9" t="s">
        <v>2829</v>
      </c>
      <c r="CN364" s="9" t="s">
        <v>3521</v>
      </c>
      <c r="CT364" s="9" t="s">
        <v>3522</v>
      </c>
      <c r="CU364" s="9" t="s">
        <v>3523</v>
      </c>
      <c r="CW364" s="9">
        <v>3</v>
      </c>
      <c r="CX364" s="9" t="s">
        <v>99</v>
      </c>
      <c r="CY364" s="9" t="s">
        <v>110</v>
      </c>
      <c r="CZ364" s="9">
        <v>50</v>
      </c>
      <c r="DA364" s="9">
        <v>100</v>
      </c>
      <c r="DB364" s="9">
        <v>40</v>
      </c>
      <c r="DC364" s="6">
        <v>77.400000000000006</v>
      </c>
      <c r="DD364" s="6">
        <v>0.6</v>
      </c>
      <c r="DE364" s="6">
        <v>193</v>
      </c>
      <c r="DF364" s="6" t="s">
        <v>3524</v>
      </c>
      <c r="DG364" s="9" t="e">
        <f t="shared" si="5"/>
        <v>#VALUE!</v>
      </c>
      <c r="DH364" s="6"/>
      <c r="DI364" s="6">
        <v>5.61</v>
      </c>
      <c r="DJ364" s="6"/>
      <c r="DK364" s="6"/>
      <c r="DL364" s="6"/>
      <c r="DM364" s="6"/>
      <c r="DN364" s="6"/>
      <c r="DP364" s="11">
        <v>3</v>
      </c>
      <c r="DQ364" s="6" t="s">
        <v>105</v>
      </c>
      <c r="DR364" s="9">
        <v>2</v>
      </c>
    </row>
    <row r="365" spans="1:125" x14ac:dyDescent="0.2">
      <c r="A365" s="6">
        <v>286</v>
      </c>
      <c r="B365" s="8">
        <v>42929</v>
      </c>
      <c r="C365" s="6" t="s">
        <v>95</v>
      </c>
      <c r="D365" s="6">
        <v>52</v>
      </c>
      <c r="E365" s="6" t="s">
        <v>100</v>
      </c>
      <c r="F365" s="17">
        <v>23815</v>
      </c>
      <c r="G365" s="6" t="s">
        <v>197</v>
      </c>
      <c r="H365" s="6" t="s">
        <v>3422</v>
      </c>
      <c r="I365" s="9">
        <v>11</v>
      </c>
      <c r="J365" s="10">
        <v>47</v>
      </c>
      <c r="K365" s="9">
        <v>29</v>
      </c>
      <c r="L365" s="6">
        <v>4</v>
      </c>
      <c r="M365" s="6" t="s">
        <v>99</v>
      </c>
      <c r="N365" s="6" t="s">
        <v>99</v>
      </c>
      <c r="O365" s="6" t="s">
        <v>99</v>
      </c>
      <c r="P365" s="6" t="s">
        <v>99</v>
      </c>
      <c r="Q365" s="6" t="s">
        <v>99</v>
      </c>
      <c r="R365" s="6" t="s">
        <v>110</v>
      </c>
      <c r="S365" s="6" t="s">
        <v>99</v>
      </c>
      <c r="T365" s="6" t="s">
        <v>110</v>
      </c>
      <c r="U365" s="6" t="s">
        <v>3525</v>
      </c>
      <c r="W365" s="15" t="s">
        <v>3526</v>
      </c>
      <c r="X365" s="6" t="s">
        <v>99</v>
      </c>
      <c r="Y365" s="6" t="s">
        <v>3527</v>
      </c>
      <c r="AA365" s="9" t="s">
        <v>100</v>
      </c>
      <c r="AB365" s="6" t="s">
        <v>1123</v>
      </c>
      <c r="AC365" s="6" t="s">
        <v>100</v>
      </c>
      <c r="AD365" s="6" t="s">
        <v>1123</v>
      </c>
      <c r="AE365" s="15" t="s">
        <v>135</v>
      </c>
      <c r="AF365" s="15" t="s">
        <v>3528</v>
      </c>
      <c r="AG365" s="15" t="s">
        <v>664</v>
      </c>
      <c r="AH365" s="15" t="s">
        <v>135</v>
      </c>
      <c r="AI365" s="6" t="s">
        <v>99</v>
      </c>
      <c r="AJ365" s="6" t="s">
        <v>99</v>
      </c>
      <c r="AK365" s="6" t="s">
        <v>3529</v>
      </c>
      <c r="AL365" s="6">
        <v>89.8</v>
      </c>
      <c r="AM365" s="9">
        <v>155</v>
      </c>
      <c r="AN365" s="15">
        <v>113</v>
      </c>
      <c r="AO365" s="6">
        <v>133</v>
      </c>
      <c r="AP365" s="6">
        <v>53</v>
      </c>
      <c r="AQ365" s="6">
        <v>13</v>
      </c>
      <c r="AR365" s="6">
        <v>20.5</v>
      </c>
      <c r="AS365" s="6">
        <v>75</v>
      </c>
      <c r="AT365" s="6">
        <v>37.4</v>
      </c>
      <c r="AU365" s="6">
        <v>125</v>
      </c>
      <c r="AV365" s="6">
        <v>87</v>
      </c>
      <c r="AX365" s="9" t="s">
        <v>729</v>
      </c>
      <c r="AY365" s="9" t="s">
        <v>2566</v>
      </c>
      <c r="AZ365" s="9" t="s">
        <v>3401</v>
      </c>
      <c r="BB365" s="9" t="s">
        <v>750</v>
      </c>
      <c r="BC365" s="9" t="s">
        <v>2746</v>
      </c>
      <c r="BD365" s="9" t="s">
        <v>1080</v>
      </c>
      <c r="BF365" s="9" t="s">
        <v>176</v>
      </c>
      <c r="BG365" s="9" t="s">
        <v>175</v>
      </c>
      <c r="BH365" s="9" t="s">
        <v>683</v>
      </c>
      <c r="BI365" s="9" t="s">
        <v>1173</v>
      </c>
      <c r="BJ365" s="9" t="s">
        <v>2607</v>
      </c>
      <c r="BK365" s="9" t="s">
        <v>175</v>
      </c>
      <c r="BN365" s="9" t="s">
        <v>219</v>
      </c>
      <c r="BO365" s="9" t="s">
        <v>179</v>
      </c>
      <c r="BP365" s="9" t="s">
        <v>180</v>
      </c>
      <c r="BR365" s="9" t="s">
        <v>99</v>
      </c>
      <c r="BV365" s="9" t="s">
        <v>99</v>
      </c>
      <c r="BZ365" s="9" t="s">
        <v>183</v>
      </c>
      <c r="CA365" s="9" t="s">
        <v>822</v>
      </c>
      <c r="CB365" s="9" t="s">
        <v>182</v>
      </c>
      <c r="CD365" s="9" t="s">
        <v>99</v>
      </c>
      <c r="CH365" s="9" t="s">
        <v>99</v>
      </c>
      <c r="CL365" s="9" t="s">
        <v>3530</v>
      </c>
      <c r="CM365" s="9" t="s">
        <v>824</v>
      </c>
      <c r="CN365" s="9" t="s">
        <v>1181</v>
      </c>
      <c r="DC365" s="6">
        <v>75.3</v>
      </c>
      <c r="DD365" s="6">
        <v>0.6</v>
      </c>
      <c r="DE365" s="6">
        <v>174</v>
      </c>
      <c r="DF365" s="6" t="s">
        <v>3531</v>
      </c>
      <c r="DG365" s="9" t="e">
        <f t="shared" si="5"/>
        <v>#VALUE!</v>
      </c>
      <c r="DH365" s="6"/>
      <c r="DI365" s="6">
        <v>3</v>
      </c>
      <c r="DJ365" s="6"/>
      <c r="DK365" s="6"/>
      <c r="DL365" s="6"/>
      <c r="DM365" s="6"/>
      <c r="DN365" s="6"/>
      <c r="DP365" s="11">
        <v>2</v>
      </c>
      <c r="DQ365" s="6" t="s">
        <v>111</v>
      </c>
      <c r="DR365" s="9">
        <v>2</v>
      </c>
    </row>
    <row r="366" spans="1:125" ht="19" x14ac:dyDescent="0.25">
      <c r="A366" s="79">
        <v>287</v>
      </c>
      <c r="B366" s="8">
        <v>42930</v>
      </c>
      <c r="C366" s="6" t="s">
        <v>675</v>
      </c>
      <c r="D366" s="6">
        <v>73</v>
      </c>
      <c r="E366" s="105" t="s">
        <v>100</v>
      </c>
      <c r="F366" s="17">
        <v>16207</v>
      </c>
      <c r="G366" s="6" t="s">
        <v>3009</v>
      </c>
      <c r="H366" s="6" t="s">
        <v>723</v>
      </c>
      <c r="L366" s="6"/>
      <c r="M366" s="6" t="s">
        <v>588</v>
      </c>
      <c r="N366" s="6" t="s">
        <v>588</v>
      </c>
      <c r="O366" s="6" t="s">
        <v>588</v>
      </c>
      <c r="P366" s="6" t="s">
        <v>99</v>
      </c>
      <c r="Q366" s="6" t="s">
        <v>110</v>
      </c>
      <c r="R366" s="6" t="s">
        <v>588</v>
      </c>
      <c r="S366" s="6" t="s">
        <v>483</v>
      </c>
      <c r="T366" s="6" t="s">
        <v>483</v>
      </c>
      <c r="U366" s="6" t="s">
        <v>99</v>
      </c>
      <c r="W366" s="15" t="s">
        <v>3532</v>
      </c>
      <c r="X366" s="6"/>
      <c r="Y366" s="6" t="s">
        <v>3533</v>
      </c>
      <c r="Z366" s="9" t="s">
        <v>3534</v>
      </c>
      <c r="AA366" s="9" t="s">
        <v>100</v>
      </c>
      <c r="AB366" s="6" t="s">
        <v>3535</v>
      </c>
      <c r="AC366" s="6" t="s">
        <v>100</v>
      </c>
      <c r="AD366" s="9" t="s">
        <v>2234</v>
      </c>
      <c r="AE366" s="15" t="s">
        <v>118</v>
      </c>
      <c r="AF366" s="15" t="s">
        <v>125</v>
      </c>
      <c r="AG366" s="6" t="s">
        <v>99</v>
      </c>
      <c r="AH366" s="6" t="s">
        <v>99</v>
      </c>
      <c r="AI366" s="6" t="s">
        <v>99</v>
      </c>
      <c r="AJ366" s="6" t="s">
        <v>99</v>
      </c>
      <c r="AK366" s="6"/>
      <c r="AL366" s="6">
        <v>61.1</v>
      </c>
      <c r="AM366" s="9">
        <v>1.6</v>
      </c>
      <c r="AN366" s="6">
        <v>81</v>
      </c>
      <c r="AO366" s="6">
        <v>96</v>
      </c>
      <c r="AP366" s="6">
        <v>18</v>
      </c>
      <c r="AQ366" s="6">
        <v>9</v>
      </c>
      <c r="AR366" s="6">
        <v>35</v>
      </c>
      <c r="AS366" s="6">
        <v>41</v>
      </c>
      <c r="AT366" s="79">
        <v>24</v>
      </c>
      <c r="AU366" s="6">
        <v>119</v>
      </c>
      <c r="AV366" s="6">
        <v>75</v>
      </c>
      <c r="DC366" s="6">
        <v>88.8</v>
      </c>
      <c r="DD366" s="6">
        <v>0.97</v>
      </c>
      <c r="DE366" s="6">
        <v>137</v>
      </c>
      <c r="DF366" s="6" t="s">
        <v>3536</v>
      </c>
      <c r="DG366" s="9" t="e">
        <f t="shared" si="5"/>
        <v>#VALUE!</v>
      </c>
      <c r="DH366" s="6"/>
      <c r="DI366" s="6">
        <v>5.23</v>
      </c>
      <c r="DJ366" s="6"/>
      <c r="DK366" s="6"/>
      <c r="DL366" s="6"/>
      <c r="DM366" s="6"/>
      <c r="DN366" s="6"/>
      <c r="DP366" s="11">
        <v>3</v>
      </c>
      <c r="DQ366" s="6" t="s">
        <v>111</v>
      </c>
      <c r="DR366" s="9">
        <v>2</v>
      </c>
      <c r="DT366" s="9">
        <v>9.27</v>
      </c>
      <c r="DU366" s="9">
        <v>3</v>
      </c>
    </row>
    <row r="367" spans="1:125" x14ac:dyDescent="0.2">
      <c r="A367" s="16">
        <v>288</v>
      </c>
      <c r="B367" s="8">
        <v>42930</v>
      </c>
      <c r="C367" s="6" t="s">
        <v>675</v>
      </c>
      <c r="D367" s="6">
        <v>67</v>
      </c>
      <c r="E367" s="6" t="s">
        <v>100</v>
      </c>
      <c r="F367" s="17">
        <v>18253</v>
      </c>
      <c r="G367" s="6" t="s">
        <v>234</v>
      </c>
      <c r="H367" s="6" t="s">
        <v>3422</v>
      </c>
      <c r="L367" s="6"/>
      <c r="M367" s="15" t="s">
        <v>3537</v>
      </c>
      <c r="N367" s="15" t="s">
        <v>110</v>
      </c>
      <c r="O367" s="15" t="s">
        <v>110</v>
      </c>
      <c r="P367" s="6" t="s">
        <v>99</v>
      </c>
      <c r="Q367" s="6" t="s">
        <v>99</v>
      </c>
      <c r="R367" s="6" t="s">
        <v>110</v>
      </c>
      <c r="S367" s="6" t="s">
        <v>99</v>
      </c>
      <c r="T367" s="6"/>
      <c r="U367" s="6"/>
      <c r="W367" s="6"/>
      <c r="X367" s="6"/>
      <c r="Y367" s="6" t="s">
        <v>3538</v>
      </c>
      <c r="AA367" s="6" t="s">
        <v>1123</v>
      </c>
      <c r="AB367" s="6" t="s">
        <v>1123</v>
      </c>
      <c r="AC367" s="6" t="s">
        <v>1123</v>
      </c>
      <c r="AD367" s="6" t="s">
        <v>1123</v>
      </c>
      <c r="AE367" s="15" t="s">
        <v>118</v>
      </c>
      <c r="AF367" s="15" t="s">
        <v>125</v>
      </c>
      <c r="AG367" s="6"/>
      <c r="AH367" s="15" t="s">
        <v>125</v>
      </c>
      <c r="AI367" s="6"/>
      <c r="AJ367" s="6"/>
      <c r="AK367" s="6"/>
      <c r="AL367" s="6">
        <v>91.2</v>
      </c>
      <c r="AN367" s="15">
        <v>105.5</v>
      </c>
      <c r="AO367" s="6">
        <v>102</v>
      </c>
      <c r="AP367" s="6">
        <v>26.8</v>
      </c>
      <c r="AQ367" s="6">
        <v>16</v>
      </c>
      <c r="AR367" s="6">
        <v>32.200000000000003</v>
      </c>
      <c r="AS367" s="6">
        <v>70</v>
      </c>
      <c r="AT367" s="6">
        <v>29.8</v>
      </c>
      <c r="AU367" s="15">
        <v>140</v>
      </c>
      <c r="AV367" s="15">
        <v>94</v>
      </c>
      <c r="AX367" s="9" t="s">
        <v>679</v>
      </c>
      <c r="AY367" s="9" t="s">
        <v>2877</v>
      </c>
      <c r="AZ367" s="9" t="s">
        <v>3539</v>
      </c>
      <c r="BB367" s="9" t="s">
        <v>3540</v>
      </c>
      <c r="BC367" s="9" t="s">
        <v>3541</v>
      </c>
      <c r="BD367" s="9" t="s">
        <v>3231</v>
      </c>
      <c r="BF367" s="9" t="s">
        <v>3542</v>
      </c>
      <c r="BG367" s="9" t="s">
        <v>3543</v>
      </c>
      <c r="BH367" s="9" t="s">
        <v>3544</v>
      </c>
      <c r="BI367" s="9" t="s">
        <v>805</v>
      </c>
      <c r="BJ367" s="9" t="s">
        <v>175</v>
      </c>
      <c r="BK367" s="9" t="s">
        <v>3545</v>
      </c>
      <c r="BM367" s="9" t="s">
        <v>853</v>
      </c>
      <c r="BN367" s="9" t="s">
        <v>179</v>
      </c>
      <c r="BO367" s="9" t="s">
        <v>352</v>
      </c>
      <c r="BP367" s="9" t="s">
        <v>3546</v>
      </c>
      <c r="BR367" s="9" t="s">
        <v>99</v>
      </c>
      <c r="BU367" s="9" t="s">
        <v>1172</v>
      </c>
      <c r="BV367" s="9" t="s">
        <v>734</v>
      </c>
      <c r="BW367" s="9" t="s">
        <v>2446</v>
      </c>
      <c r="BY367" s="9" t="s">
        <v>805</v>
      </c>
      <c r="BZ367" s="9" t="s">
        <v>182</v>
      </c>
      <c r="CA367" s="9" t="s">
        <v>752</v>
      </c>
      <c r="CB367" s="9" t="s">
        <v>709</v>
      </c>
      <c r="CD367" s="9" t="s">
        <v>99</v>
      </c>
      <c r="CH367" s="9" t="s">
        <v>99</v>
      </c>
      <c r="CL367" s="9" t="s">
        <v>3547</v>
      </c>
      <c r="CM367" s="9" t="s">
        <v>3034</v>
      </c>
      <c r="CN367" s="9" t="s">
        <v>823</v>
      </c>
      <c r="CO367" s="9" t="s">
        <v>1099</v>
      </c>
      <c r="CP367" s="9" t="s">
        <v>3548</v>
      </c>
      <c r="CQ367" s="9" t="s">
        <v>2614</v>
      </c>
      <c r="CR367" s="9" t="s">
        <v>3549</v>
      </c>
      <c r="CT367" s="9" t="s">
        <v>99</v>
      </c>
      <c r="CW367" s="9">
        <v>3</v>
      </c>
      <c r="CX367" s="9" t="s">
        <v>110</v>
      </c>
      <c r="CY367" s="9" t="s">
        <v>2407</v>
      </c>
      <c r="CZ367" s="9">
        <v>33</v>
      </c>
      <c r="DA367" s="9">
        <v>33</v>
      </c>
      <c r="DB367" s="9">
        <v>33</v>
      </c>
      <c r="DC367" s="15" t="s">
        <v>3550</v>
      </c>
      <c r="DD367" s="6">
        <v>1</v>
      </c>
      <c r="DE367" s="15">
        <v>211</v>
      </c>
      <c r="DF367" s="6" t="s">
        <v>3551</v>
      </c>
      <c r="DG367" s="9" t="e">
        <f t="shared" si="5"/>
        <v>#VALUE!</v>
      </c>
      <c r="DH367" s="6"/>
      <c r="DI367" s="15">
        <v>10.83</v>
      </c>
      <c r="DJ367" s="6"/>
      <c r="DK367" s="6"/>
      <c r="DL367" s="6"/>
      <c r="DM367" s="6"/>
      <c r="DN367" s="6"/>
      <c r="DP367" s="11">
        <v>2</v>
      </c>
      <c r="DQ367" s="6" t="s">
        <v>111</v>
      </c>
      <c r="DR367" s="9">
        <v>2</v>
      </c>
      <c r="DT367" s="9">
        <v>7.5</v>
      </c>
      <c r="DU367" s="9">
        <v>3</v>
      </c>
    </row>
    <row r="368" spans="1:125" x14ac:dyDescent="0.2">
      <c r="A368" s="78">
        <v>289</v>
      </c>
      <c r="B368" s="8">
        <v>42564</v>
      </c>
      <c r="C368" s="6" t="s">
        <v>95</v>
      </c>
      <c r="D368" s="6">
        <v>61</v>
      </c>
      <c r="E368" s="6" t="s">
        <v>100</v>
      </c>
      <c r="F368" s="17">
        <v>20092</v>
      </c>
      <c r="G368" s="77" t="s">
        <v>197</v>
      </c>
      <c r="H368" s="6" t="s">
        <v>3422</v>
      </c>
      <c r="I368" s="9">
        <v>14</v>
      </c>
      <c r="J368" s="9">
        <v>44</v>
      </c>
      <c r="K368" s="9">
        <v>1996</v>
      </c>
      <c r="L368" s="6">
        <v>7</v>
      </c>
      <c r="M368" s="6" t="s">
        <v>99</v>
      </c>
      <c r="N368" s="6" t="s">
        <v>99</v>
      </c>
      <c r="O368" s="15" t="s">
        <v>110</v>
      </c>
      <c r="P368" s="6" t="s">
        <v>99</v>
      </c>
      <c r="Q368" s="6" t="s">
        <v>99</v>
      </c>
      <c r="R368" s="6" t="s">
        <v>110</v>
      </c>
      <c r="S368" s="6" t="s">
        <v>99</v>
      </c>
      <c r="T368" s="6" t="s">
        <v>110</v>
      </c>
      <c r="U368" s="6" t="s">
        <v>3552</v>
      </c>
      <c r="W368" s="77" t="s">
        <v>3054</v>
      </c>
      <c r="X368" s="6" t="s">
        <v>99</v>
      </c>
      <c r="Y368" s="6" t="s">
        <v>3553</v>
      </c>
      <c r="AA368" s="9" t="s">
        <v>100</v>
      </c>
      <c r="AB368" s="6" t="s">
        <v>100</v>
      </c>
      <c r="AC368" s="6" t="s">
        <v>100</v>
      </c>
      <c r="AD368" s="9" t="s">
        <v>100</v>
      </c>
      <c r="AE368" s="6" t="s">
        <v>110</v>
      </c>
      <c r="AF368" s="6" t="s">
        <v>99</v>
      </c>
      <c r="AG368" s="6" t="s">
        <v>99</v>
      </c>
      <c r="AH368" s="6" t="s">
        <v>99</v>
      </c>
      <c r="AI368" s="6" t="s">
        <v>99</v>
      </c>
      <c r="AJ368" s="6" t="s">
        <v>99</v>
      </c>
      <c r="AK368" s="6" t="s">
        <v>3554</v>
      </c>
      <c r="AL368" s="6">
        <v>88.9</v>
      </c>
      <c r="AM368" s="9">
        <v>174</v>
      </c>
      <c r="AN368" s="6">
        <v>109</v>
      </c>
      <c r="AO368" s="6">
        <v>108</v>
      </c>
      <c r="AP368" s="6">
        <v>44</v>
      </c>
      <c r="AQ368" s="6">
        <v>12</v>
      </c>
      <c r="AR368" s="6">
        <v>11</v>
      </c>
      <c r="AS368" s="6">
        <v>32</v>
      </c>
      <c r="AT368" s="6">
        <v>29.4</v>
      </c>
      <c r="AU368" s="15">
        <v>135</v>
      </c>
      <c r="AV368" s="15">
        <v>85</v>
      </c>
      <c r="AX368" s="9" t="s">
        <v>1128</v>
      </c>
      <c r="AY368" s="9" t="s">
        <v>2877</v>
      </c>
      <c r="AZ368" s="9" t="s">
        <v>3555</v>
      </c>
      <c r="BB368" s="9" t="s">
        <v>3556</v>
      </c>
      <c r="BC368" s="9" t="s">
        <v>3557</v>
      </c>
      <c r="BD368" s="9" t="s">
        <v>3558</v>
      </c>
      <c r="BG368" s="9" t="s">
        <v>1099</v>
      </c>
      <c r="BI368" s="9" t="s">
        <v>3559</v>
      </c>
      <c r="BJ368" s="9" t="s">
        <v>3560</v>
      </c>
      <c r="BN368" s="9" t="s">
        <v>2909</v>
      </c>
      <c r="BO368" s="9" t="s">
        <v>179</v>
      </c>
      <c r="BP368" s="9" t="s">
        <v>3561</v>
      </c>
      <c r="BZ368" s="9" t="s">
        <v>2887</v>
      </c>
      <c r="CA368" s="9" t="s">
        <v>822</v>
      </c>
      <c r="CB368" s="9" t="s">
        <v>183</v>
      </c>
      <c r="CL368" s="9" t="s">
        <v>3562</v>
      </c>
      <c r="CM368" s="9" t="s">
        <v>3158</v>
      </c>
      <c r="CP368" s="9" t="s">
        <v>2641</v>
      </c>
      <c r="CQ368" s="9" t="s">
        <v>716</v>
      </c>
      <c r="CR368" s="9" t="s">
        <v>3563</v>
      </c>
      <c r="CT368" s="9" t="s">
        <v>2918</v>
      </c>
      <c r="CU368" s="9" t="s">
        <v>3564</v>
      </c>
      <c r="CW368" s="9">
        <v>3</v>
      </c>
      <c r="CX368" s="9" t="s">
        <v>99</v>
      </c>
      <c r="CY368" s="9" t="s">
        <v>110</v>
      </c>
      <c r="CZ368" s="9">
        <v>80</v>
      </c>
      <c r="DA368" s="9">
        <v>20</v>
      </c>
      <c r="DC368" s="6">
        <v>82</v>
      </c>
      <c r="DD368" s="6">
        <v>0.76</v>
      </c>
      <c r="DE368" s="15">
        <v>230</v>
      </c>
      <c r="DF368" s="15">
        <v>214</v>
      </c>
      <c r="DG368" s="9">
        <f t="shared" si="5"/>
        <v>4.8863476311430523</v>
      </c>
      <c r="DH368" s="6"/>
      <c r="DI368" s="15">
        <v>6.52</v>
      </c>
      <c r="DJ368" s="6"/>
      <c r="DK368" s="6"/>
      <c r="DL368" s="6"/>
      <c r="DM368" s="6"/>
      <c r="DN368" s="6"/>
      <c r="DP368" s="18">
        <v>1</v>
      </c>
      <c r="DQ368" s="77" t="s">
        <v>111</v>
      </c>
      <c r="DR368" s="9">
        <v>2</v>
      </c>
      <c r="DT368" s="9">
        <v>16.7</v>
      </c>
      <c r="DU368" s="9">
        <v>6</v>
      </c>
    </row>
    <row r="369" spans="1:125" x14ac:dyDescent="0.2">
      <c r="A369" s="6">
        <v>290</v>
      </c>
      <c r="B369" s="106">
        <v>42930</v>
      </c>
      <c r="C369" s="9" t="s">
        <v>95</v>
      </c>
      <c r="D369" s="9">
        <v>53</v>
      </c>
      <c r="E369" s="52" t="s">
        <v>1359</v>
      </c>
      <c r="F369" s="17">
        <v>23366</v>
      </c>
      <c r="G369" s="9" t="s">
        <v>1320</v>
      </c>
      <c r="H369" s="9" t="s">
        <v>3565</v>
      </c>
      <c r="I369" s="9" t="s">
        <v>2020</v>
      </c>
      <c r="J369" s="10" t="s">
        <v>3566</v>
      </c>
      <c r="K369" s="9" t="s">
        <v>2084</v>
      </c>
      <c r="L369" s="10" t="s">
        <v>3567</v>
      </c>
      <c r="M369" s="9" t="s">
        <v>483</v>
      </c>
      <c r="N369" s="9" t="s">
        <v>483</v>
      </c>
      <c r="O369" s="10" t="s">
        <v>588</v>
      </c>
      <c r="P369" s="9" t="s">
        <v>483</v>
      </c>
      <c r="Q369" s="10" t="s">
        <v>3568</v>
      </c>
      <c r="R369" s="9" t="s">
        <v>588</v>
      </c>
      <c r="S369" s="9" t="s">
        <v>588</v>
      </c>
      <c r="T369" s="9" t="s">
        <v>588</v>
      </c>
      <c r="U369" s="10" t="s">
        <v>3569</v>
      </c>
      <c r="V369" s="9" t="s">
        <v>483</v>
      </c>
      <c r="W369" s="9" t="s">
        <v>483</v>
      </c>
      <c r="X369" s="9" t="s">
        <v>483</v>
      </c>
      <c r="Y369" s="9" t="s">
        <v>483</v>
      </c>
      <c r="Z369" s="9" t="s">
        <v>3570</v>
      </c>
      <c r="AA369" s="52" t="s">
        <v>1359</v>
      </c>
      <c r="AB369" s="41" t="s">
        <v>151</v>
      </c>
      <c r="AC369" s="52" t="s">
        <v>1359</v>
      </c>
      <c r="AD369" s="41" t="s">
        <v>151</v>
      </c>
      <c r="AE369" s="10" t="s">
        <v>3571</v>
      </c>
      <c r="AF369" s="10" t="s">
        <v>3572</v>
      </c>
      <c r="AG369" s="10" t="s">
        <v>3572</v>
      </c>
      <c r="AH369" s="9" t="s">
        <v>483</v>
      </c>
      <c r="AI369" s="9" t="s">
        <v>483</v>
      </c>
      <c r="AJ369" s="9" t="s">
        <v>483</v>
      </c>
      <c r="AK369" s="10" t="s">
        <v>3573</v>
      </c>
      <c r="AL369" s="9">
        <v>66.8</v>
      </c>
      <c r="AM369" s="9">
        <v>1.54</v>
      </c>
      <c r="AN369" s="10">
        <v>86.5</v>
      </c>
      <c r="AO369" s="9">
        <v>102.5</v>
      </c>
      <c r="AP369" s="9">
        <v>38.9</v>
      </c>
      <c r="AQ369" s="9">
        <v>9</v>
      </c>
      <c r="AR369" s="9">
        <v>26.8</v>
      </c>
      <c r="AS369" s="9">
        <v>61</v>
      </c>
      <c r="AT369" s="9">
        <v>28.2</v>
      </c>
      <c r="AU369" s="9">
        <v>94</v>
      </c>
      <c r="AV369" s="9">
        <v>66</v>
      </c>
      <c r="AX369" s="9" t="s">
        <v>535</v>
      </c>
      <c r="AY369" s="9" t="s">
        <v>3574</v>
      </c>
      <c r="AZ369" s="9" t="s">
        <v>3575</v>
      </c>
      <c r="BB369" s="9" t="s">
        <v>3576</v>
      </c>
      <c r="BC369" s="9" t="s">
        <v>409</v>
      </c>
      <c r="BF369" s="9" t="s">
        <v>3577</v>
      </c>
      <c r="BG369" s="9" t="s">
        <v>3578</v>
      </c>
      <c r="BH369" s="9" t="s">
        <v>3579</v>
      </c>
      <c r="BI369" s="9" t="s">
        <v>2407</v>
      </c>
      <c r="BJ369" s="9" t="s">
        <v>635</v>
      </c>
      <c r="BK369" s="9" t="s">
        <v>3580</v>
      </c>
      <c r="BM369" s="9" t="s">
        <v>3581</v>
      </c>
      <c r="BN369" s="9" t="s">
        <v>3582</v>
      </c>
      <c r="BO369" s="9" t="s">
        <v>2158</v>
      </c>
      <c r="BQ369" s="9" t="s">
        <v>483</v>
      </c>
      <c r="BU369" s="9" t="s">
        <v>483</v>
      </c>
      <c r="BZ369" s="9" t="s">
        <v>278</v>
      </c>
      <c r="CA369" s="9" t="s">
        <v>709</v>
      </c>
      <c r="CB369" s="9" t="s">
        <v>752</v>
      </c>
      <c r="CC369" s="9" t="s">
        <v>483</v>
      </c>
      <c r="CG369" s="9" t="s">
        <v>483</v>
      </c>
      <c r="CL369" s="9" t="s">
        <v>306</v>
      </c>
      <c r="CM369" s="9" t="s">
        <v>1155</v>
      </c>
      <c r="CN369" s="9" t="s">
        <v>3583</v>
      </c>
      <c r="CP369" s="9" t="s">
        <v>636</v>
      </c>
      <c r="CQ369" s="9" t="s">
        <v>1796</v>
      </c>
      <c r="CR369" s="9" t="s">
        <v>3584</v>
      </c>
      <c r="CT369" s="9" t="s">
        <v>3585</v>
      </c>
      <c r="CW369" s="9">
        <v>3</v>
      </c>
      <c r="CX369" s="9" t="s">
        <v>483</v>
      </c>
      <c r="CY369" s="9" t="s">
        <v>588</v>
      </c>
      <c r="CZ369" s="9">
        <v>50</v>
      </c>
      <c r="DA369" s="9">
        <v>15</v>
      </c>
      <c r="DB369" s="9">
        <v>25</v>
      </c>
      <c r="DC369" s="6">
        <v>88.3</v>
      </c>
      <c r="DD369" s="6">
        <v>0.65</v>
      </c>
      <c r="DE369" s="15">
        <v>219</v>
      </c>
      <c r="DF369" s="6" t="s">
        <v>3586</v>
      </c>
      <c r="DG369" s="9" t="e">
        <f t="shared" si="5"/>
        <v>#VALUE!</v>
      </c>
      <c r="DH369" s="6"/>
      <c r="DI369" s="6">
        <v>3.8</v>
      </c>
      <c r="DL369" s="6"/>
      <c r="DM369" s="6"/>
      <c r="DN369" s="6"/>
      <c r="DP369" s="11">
        <v>3</v>
      </c>
      <c r="DQ369" s="6" t="s">
        <v>111</v>
      </c>
      <c r="DR369" s="9">
        <v>2</v>
      </c>
    </row>
    <row r="370" spans="1:125" x14ac:dyDescent="0.2">
      <c r="A370" s="103">
        <v>291</v>
      </c>
      <c r="B370" s="8">
        <v>42930</v>
      </c>
      <c r="C370" s="9" t="s">
        <v>95</v>
      </c>
      <c r="D370" s="9">
        <v>65</v>
      </c>
      <c r="E370" s="9" t="s">
        <v>96</v>
      </c>
      <c r="F370" s="17">
        <v>19183</v>
      </c>
      <c r="G370" s="9" t="s">
        <v>1320</v>
      </c>
      <c r="H370" s="9" t="s">
        <v>3565</v>
      </c>
      <c r="I370" s="9" t="s">
        <v>3587</v>
      </c>
      <c r="J370" s="10" t="s">
        <v>3588</v>
      </c>
      <c r="K370" s="9" t="s">
        <v>3589</v>
      </c>
      <c r="L370" s="9">
        <v>5</v>
      </c>
      <c r="M370" s="9" t="s">
        <v>263</v>
      </c>
      <c r="N370" s="10" t="s">
        <v>588</v>
      </c>
      <c r="O370" s="10" t="s">
        <v>588</v>
      </c>
      <c r="P370" s="9" t="s">
        <v>483</v>
      </c>
      <c r="Q370" s="10" t="s">
        <v>3568</v>
      </c>
      <c r="R370" s="9" t="s">
        <v>588</v>
      </c>
      <c r="S370" s="9" t="s">
        <v>483</v>
      </c>
      <c r="T370" s="9" t="s">
        <v>588</v>
      </c>
      <c r="U370" s="9" t="s">
        <v>483</v>
      </c>
      <c r="V370" s="9" t="s">
        <v>483</v>
      </c>
      <c r="W370" s="9" t="s">
        <v>3590</v>
      </c>
      <c r="X370" s="9" t="s">
        <v>483</v>
      </c>
      <c r="Y370" s="9" t="s">
        <v>483</v>
      </c>
      <c r="Z370" s="9" t="s">
        <v>3591</v>
      </c>
      <c r="AL370" s="9">
        <v>70</v>
      </c>
      <c r="AM370" s="9">
        <v>1.54</v>
      </c>
      <c r="AN370" s="10">
        <v>108</v>
      </c>
      <c r="AO370" s="9">
        <v>104</v>
      </c>
      <c r="AP370" s="9">
        <v>46.4</v>
      </c>
      <c r="AQ370" s="9">
        <v>12</v>
      </c>
      <c r="AR370" s="9">
        <v>22</v>
      </c>
      <c r="AS370" s="9">
        <v>71</v>
      </c>
      <c r="AT370" s="9">
        <v>29.5</v>
      </c>
      <c r="AU370" s="9">
        <v>109</v>
      </c>
      <c r="AV370" s="9">
        <v>69</v>
      </c>
      <c r="DC370" s="15">
        <v>103</v>
      </c>
      <c r="DD370" s="6">
        <v>0.63</v>
      </c>
      <c r="DE370" s="15">
        <v>226</v>
      </c>
      <c r="DF370" s="6" t="s">
        <v>3531</v>
      </c>
      <c r="DG370" s="9" t="e">
        <f t="shared" si="5"/>
        <v>#VALUE!</v>
      </c>
      <c r="DH370" s="6"/>
      <c r="DI370" s="6">
        <v>5.66</v>
      </c>
      <c r="DL370" s="6"/>
      <c r="DM370" s="6"/>
      <c r="DN370" s="6"/>
      <c r="DP370" s="11">
        <v>2</v>
      </c>
      <c r="DQ370" s="19" t="s">
        <v>112</v>
      </c>
      <c r="DR370" s="9">
        <v>2</v>
      </c>
    </row>
    <row r="371" spans="1:125" x14ac:dyDescent="0.2">
      <c r="A371" s="6">
        <v>292</v>
      </c>
      <c r="B371" s="17">
        <v>42931</v>
      </c>
      <c r="C371" s="9" t="s">
        <v>95</v>
      </c>
      <c r="D371" s="9">
        <v>41</v>
      </c>
      <c r="E371" s="9" t="s">
        <v>3592</v>
      </c>
      <c r="F371" s="17">
        <v>27799</v>
      </c>
      <c r="G371" s="9" t="s">
        <v>1855</v>
      </c>
      <c r="H371" s="9" t="s">
        <v>2068</v>
      </c>
      <c r="I371" s="9" t="s">
        <v>2020</v>
      </c>
      <c r="J371" s="9" t="s">
        <v>483</v>
      </c>
      <c r="K371" s="9" t="s">
        <v>3593</v>
      </c>
      <c r="L371" s="9">
        <v>1</v>
      </c>
      <c r="M371" s="9" t="s">
        <v>483</v>
      </c>
      <c r="N371" s="9" t="s">
        <v>483</v>
      </c>
      <c r="O371" s="9" t="s">
        <v>483</v>
      </c>
      <c r="P371" s="9" t="s">
        <v>483</v>
      </c>
      <c r="Q371" s="9" t="s">
        <v>369</v>
      </c>
      <c r="R371" s="9" t="s">
        <v>588</v>
      </c>
      <c r="T371" s="9" t="s">
        <v>588</v>
      </c>
      <c r="U371" s="9" t="s">
        <v>3594</v>
      </c>
      <c r="AA371" s="9" t="s">
        <v>1419</v>
      </c>
      <c r="AB371" s="9" t="s">
        <v>1419</v>
      </c>
      <c r="AC371" s="9" t="s">
        <v>1419</v>
      </c>
      <c r="AD371" s="9" t="s">
        <v>1419</v>
      </c>
      <c r="AE371" s="9" t="s">
        <v>3595</v>
      </c>
      <c r="AF371" s="9" t="s">
        <v>1829</v>
      </c>
      <c r="AG371" s="9" t="s">
        <v>3571</v>
      </c>
      <c r="AL371" s="9">
        <v>87</v>
      </c>
      <c r="AM371" s="9">
        <v>1.58</v>
      </c>
      <c r="AN371" s="9">
        <v>100</v>
      </c>
      <c r="AO371" s="9">
        <v>110</v>
      </c>
      <c r="AP371" s="9">
        <v>45.2</v>
      </c>
      <c r="AQ371" s="9">
        <v>10</v>
      </c>
      <c r="AR371" s="9">
        <v>24.9</v>
      </c>
      <c r="AS371" s="9">
        <v>63</v>
      </c>
      <c r="AT371" s="9">
        <v>34.9</v>
      </c>
      <c r="AU371" s="10">
        <v>132</v>
      </c>
      <c r="AV371" s="10">
        <v>82</v>
      </c>
      <c r="AX371" s="9" t="s">
        <v>322</v>
      </c>
      <c r="BB371" s="9" t="s">
        <v>322</v>
      </c>
      <c r="BF371" s="9" t="s">
        <v>323</v>
      </c>
      <c r="BG371" s="9" t="s">
        <v>323</v>
      </c>
      <c r="BH371" s="9" t="s">
        <v>325</v>
      </c>
      <c r="BI371" s="9" t="s">
        <v>323</v>
      </c>
      <c r="BJ371" s="9" t="s">
        <v>323</v>
      </c>
      <c r="BK371" s="9" t="s">
        <v>324</v>
      </c>
      <c r="BM371" s="9" t="s">
        <v>322</v>
      </c>
      <c r="BQ371" s="9" t="s">
        <v>483</v>
      </c>
      <c r="BU371" s="9" t="s">
        <v>325</v>
      </c>
      <c r="DC371" s="9">
        <v>74.7</v>
      </c>
      <c r="DD371" s="9">
        <v>0.36</v>
      </c>
      <c r="DE371" s="9">
        <v>195</v>
      </c>
      <c r="DF371" s="9">
        <v>95</v>
      </c>
      <c r="DG371" s="9">
        <f t="shared" si="5"/>
        <v>4.4336784918696566</v>
      </c>
      <c r="DI371" s="10">
        <v>7.1</v>
      </c>
      <c r="DP371" s="11">
        <v>2</v>
      </c>
      <c r="DQ371" s="6" t="s">
        <v>111</v>
      </c>
      <c r="DR371" s="9">
        <v>2</v>
      </c>
      <c r="DU371" s="9">
        <v>5</v>
      </c>
    </row>
    <row r="372" spans="1:125" x14ac:dyDescent="0.2">
      <c r="A372" s="6">
        <v>293</v>
      </c>
      <c r="B372" s="8">
        <v>42931</v>
      </c>
      <c r="C372" s="9" t="s">
        <v>95</v>
      </c>
      <c r="D372" s="9">
        <v>46</v>
      </c>
      <c r="E372" s="9" t="s">
        <v>3592</v>
      </c>
      <c r="F372" s="17">
        <v>25884</v>
      </c>
      <c r="G372" s="9" t="s">
        <v>1320</v>
      </c>
      <c r="H372" s="9" t="s">
        <v>2068</v>
      </c>
      <c r="I372" s="9" t="s">
        <v>3596</v>
      </c>
      <c r="J372" s="9" t="s">
        <v>483</v>
      </c>
      <c r="K372" s="9">
        <v>2002</v>
      </c>
      <c r="L372" s="9">
        <v>2</v>
      </c>
      <c r="M372" s="9" t="s">
        <v>483</v>
      </c>
      <c r="N372" s="9" t="s">
        <v>483</v>
      </c>
      <c r="O372" s="9" t="s">
        <v>483</v>
      </c>
      <c r="P372" s="9" t="s">
        <v>483</v>
      </c>
      <c r="Q372" s="9" t="s">
        <v>483</v>
      </c>
      <c r="R372" s="9" t="s">
        <v>483</v>
      </c>
      <c r="S372" s="9" t="s">
        <v>483</v>
      </c>
      <c r="T372" s="9" t="s">
        <v>588</v>
      </c>
      <c r="U372" s="9" t="s">
        <v>3597</v>
      </c>
      <c r="V372" s="9" t="s">
        <v>483</v>
      </c>
      <c r="W372" s="9" t="s">
        <v>483</v>
      </c>
      <c r="X372" s="9" t="s">
        <v>483</v>
      </c>
      <c r="Y372" s="9" t="s">
        <v>483</v>
      </c>
      <c r="Z372" s="9" t="s">
        <v>3598</v>
      </c>
      <c r="AA372" s="9" t="s">
        <v>1419</v>
      </c>
      <c r="AB372" s="9" t="s">
        <v>1419</v>
      </c>
      <c r="AC372" s="9" t="s">
        <v>1419</v>
      </c>
      <c r="AD372" s="9" t="s">
        <v>1419</v>
      </c>
      <c r="AE372" s="9" t="s">
        <v>3599</v>
      </c>
      <c r="AF372" s="9" t="s">
        <v>3572</v>
      </c>
      <c r="AG372" s="9" t="s">
        <v>483</v>
      </c>
      <c r="AH372" s="9" t="s">
        <v>483</v>
      </c>
      <c r="AI372" s="9" t="s">
        <v>483</v>
      </c>
      <c r="AJ372" s="9" t="s">
        <v>483</v>
      </c>
      <c r="AK372" s="9" t="s">
        <v>483</v>
      </c>
      <c r="AL372" s="9">
        <v>63.2</v>
      </c>
      <c r="AM372" s="9">
        <v>1.58</v>
      </c>
      <c r="AN372" s="9">
        <v>78</v>
      </c>
      <c r="AO372" s="9">
        <v>98.5</v>
      </c>
      <c r="AP372" s="9">
        <v>39.299999999999997</v>
      </c>
      <c r="AQ372" s="9">
        <v>7</v>
      </c>
      <c r="AR372" s="9">
        <v>25.1</v>
      </c>
      <c r="AS372" s="9">
        <v>50</v>
      </c>
      <c r="AT372" s="9">
        <v>25.3</v>
      </c>
      <c r="AU372" s="9">
        <v>122</v>
      </c>
      <c r="AV372" s="9">
        <v>92</v>
      </c>
      <c r="AX372" s="9" t="s">
        <v>322</v>
      </c>
      <c r="BB372" s="9" t="s">
        <v>3600</v>
      </c>
      <c r="BF372" s="9" t="s">
        <v>322</v>
      </c>
      <c r="BG372" s="9" t="s">
        <v>3601</v>
      </c>
      <c r="BH372" s="9" t="s">
        <v>3602</v>
      </c>
      <c r="BI372" s="9" t="s">
        <v>635</v>
      </c>
      <c r="BJ372" s="9" t="s">
        <v>3603</v>
      </c>
      <c r="BK372" s="9" t="s">
        <v>3215</v>
      </c>
      <c r="BM372" s="9" t="s">
        <v>322</v>
      </c>
      <c r="BQ372" s="9" t="s">
        <v>483</v>
      </c>
      <c r="BU372" s="9" t="s">
        <v>483</v>
      </c>
      <c r="BZ372" s="9" t="s">
        <v>322</v>
      </c>
      <c r="CC372" s="9" t="s">
        <v>483</v>
      </c>
      <c r="CG372" s="9" t="s">
        <v>483</v>
      </c>
      <c r="CL372" s="9" t="s">
        <v>306</v>
      </c>
      <c r="CM372" s="9" t="s">
        <v>3604</v>
      </c>
      <c r="CP372" s="9" t="s">
        <v>3605</v>
      </c>
      <c r="CQ372" s="9" t="s">
        <v>3581</v>
      </c>
      <c r="CT372" s="9" t="s">
        <v>483</v>
      </c>
      <c r="CW372" s="9">
        <v>5</v>
      </c>
      <c r="CX372" s="9" t="s">
        <v>588</v>
      </c>
      <c r="CY372" s="9" t="s">
        <v>588</v>
      </c>
      <c r="DC372" s="6">
        <v>70</v>
      </c>
      <c r="DD372" s="6">
        <v>0.64</v>
      </c>
      <c r="DE372" s="15">
        <v>224</v>
      </c>
      <c r="DF372" s="6">
        <v>69</v>
      </c>
      <c r="DG372" s="9">
        <f t="shared" si="5"/>
        <v>4.2413008733233095</v>
      </c>
      <c r="DH372" s="6"/>
      <c r="DI372" s="6">
        <v>5.63</v>
      </c>
      <c r="DL372" s="6"/>
      <c r="DM372" s="6"/>
      <c r="DN372" s="6"/>
      <c r="DP372" s="11">
        <v>2</v>
      </c>
      <c r="DQ372" s="6" t="s">
        <v>105</v>
      </c>
      <c r="DR372" s="9">
        <v>2</v>
      </c>
    </row>
    <row r="373" spans="1:125" x14ac:dyDescent="0.2">
      <c r="A373" s="9" t="s">
        <v>3606</v>
      </c>
      <c r="DG373" s="9" t="e">
        <f t="shared" si="5"/>
        <v>#NUM!</v>
      </c>
      <c r="DQ373" s="6"/>
    </row>
    <row r="374" spans="1:125" x14ac:dyDescent="0.2">
      <c r="A374" s="14" t="s">
        <v>3607</v>
      </c>
      <c r="B374" s="8">
        <v>42931</v>
      </c>
      <c r="C374" s="9" t="s">
        <v>95</v>
      </c>
      <c r="D374" s="9">
        <v>49</v>
      </c>
      <c r="E374" s="9" t="s">
        <v>100</v>
      </c>
      <c r="F374" s="17">
        <v>24686</v>
      </c>
      <c r="G374" s="9" t="s">
        <v>197</v>
      </c>
      <c r="H374" s="9" t="s">
        <v>3422</v>
      </c>
      <c r="I374" s="9">
        <v>13</v>
      </c>
      <c r="J374" s="9">
        <v>2003</v>
      </c>
      <c r="K374" s="9">
        <v>1999</v>
      </c>
      <c r="L374" s="9">
        <v>3</v>
      </c>
      <c r="M374" s="9" t="s">
        <v>3608</v>
      </c>
      <c r="N374" s="9" t="s">
        <v>3609</v>
      </c>
      <c r="O374" s="9" t="s">
        <v>3610</v>
      </c>
      <c r="P374" s="9" t="s">
        <v>99</v>
      </c>
      <c r="Q374" s="9" t="s">
        <v>99</v>
      </c>
      <c r="R374" s="9" t="s">
        <v>110</v>
      </c>
      <c r="S374" s="9" t="s">
        <v>110</v>
      </c>
      <c r="T374" s="9" t="s">
        <v>110</v>
      </c>
      <c r="W374" s="9" t="s">
        <v>3611</v>
      </c>
      <c r="X374" s="9" t="s">
        <v>99</v>
      </c>
      <c r="Y374" s="9" t="s">
        <v>110</v>
      </c>
      <c r="Z374" s="9" t="s">
        <v>3612</v>
      </c>
      <c r="AA374" s="9" t="s">
        <v>100</v>
      </c>
      <c r="AB374" s="9" t="s">
        <v>100</v>
      </c>
      <c r="AC374" s="9" t="s">
        <v>100</v>
      </c>
      <c r="AD374" s="9" t="s">
        <v>840</v>
      </c>
      <c r="AE374" s="9" t="s">
        <v>3613</v>
      </c>
      <c r="AF374" s="9" t="s">
        <v>125</v>
      </c>
      <c r="AG374" s="9" t="s">
        <v>125</v>
      </c>
      <c r="AH374" s="9" t="s">
        <v>99</v>
      </c>
      <c r="AI374" s="9" t="s">
        <v>118</v>
      </c>
      <c r="AJ374" s="9" t="s">
        <v>99</v>
      </c>
      <c r="AK374" s="9" t="s">
        <v>99</v>
      </c>
      <c r="AL374" s="9">
        <v>65.599999999999994</v>
      </c>
      <c r="AM374" s="9">
        <v>1556</v>
      </c>
      <c r="AN374" s="6">
        <v>93</v>
      </c>
      <c r="AO374" s="6">
        <v>98</v>
      </c>
      <c r="AP374" s="6">
        <v>41.7</v>
      </c>
      <c r="AQ374" s="6">
        <v>8</v>
      </c>
      <c r="AR374" s="6">
        <v>24.3</v>
      </c>
      <c r="AS374" s="6">
        <v>56</v>
      </c>
      <c r="AT374" s="6">
        <v>27</v>
      </c>
      <c r="AU374" s="6">
        <v>106</v>
      </c>
      <c r="AV374" s="6">
        <v>85</v>
      </c>
      <c r="AX374" s="9" t="s">
        <v>592</v>
      </c>
      <c r="AY374" s="9" t="s">
        <v>1128</v>
      </c>
      <c r="AZ374" s="9" t="s">
        <v>345</v>
      </c>
      <c r="BB374" s="9" t="s">
        <v>3351</v>
      </c>
      <c r="BC374" s="9" t="s">
        <v>849</v>
      </c>
      <c r="BD374" s="9" t="s">
        <v>750</v>
      </c>
      <c r="BF374" s="9" t="s">
        <v>683</v>
      </c>
      <c r="BG374" s="9" t="s">
        <v>1172</v>
      </c>
      <c r="BH374" s="9" t="s">
        <v>1172</v>
      </c>
      <c r="BI374" s="9" t="s">
        <v>3614</v>
      </c>
      <c r="BJ374" s="9" t="s">
        <v>3615</v>
      </c>
      <c r="BK374" s="9" t="s">
        <v>2786</v>
      </c>
      <c r="BN374" s="9" t="s">
        <v>179</v>
      </c>
      <c r="BO374" s="9" t="s">
        <v>219</v>
      </c>
      <c r="BP374" s="9" t="s">
        <v>180</v>
      </c>
      <c r="BR374" s="9" t="s">
        <v>99</v>
      </c>
      <c r="BV374" s="9" t="s">
        <v>99</v>
      </c>
      <c r="BZ374" s="9" t="s">
        <v>182</v>
      </c>
      <c r="CA374" s="9" t="s">
        <v>183</v>
      </c>
      <c r="CB374" s="9" t="s">
        <v>822</v>
      </c>
      <c r="CD374" s="9" t="s">
        <v>99</v>
      </c>
      <c r="CH374" s="9" t="s">
        <v>99</v>
      </c>
      <c r="CL374" s="9" t="s">
        <v>825</v>
      </c>
      <c r="CM374" s="9" t="s">
        <v>1181</v>
      </c>
      <c r="CN374" s="9" t="s">
        <v>2447</v>
      </c>
      <c r="CP374" s="9" t="s">
        <v>362</v>
      </c>
      <c r="CQ374" s="9" t="s">
        <v>716</v>
      </c>
      <c r="CR374" s="9" t="s">
        <v>2098</v>
      </c>
      <c r="CT374" s="9" t="s">
        <v>1660</v>
      </c>
      <c r="CU374" s="9" t="s">
        <v>3616</v>
      </c>
      <c r="CW374" s="45">
        <v>43588</v>
      </c>
      <c r="CX374" s="9" t="s">
        <v>99</v>
      </c>
      <c r="CY374" s="9" t="s">
        <v>3617</v>
      </c>
      <c r="CZ374" s="9">
        <v>50</v>
      </c>
      <c r="DA374" s="9">
        <v>25</v>
      </c>
      <c r="DB374" s="9">
        <v>25</v>
      </c>
      <c r="DC374" s="10">
        <v>104.2</v>
      </c>
      <c r="DD374" s="9">
        <v>0.39</v>
      </c>
      <c r="DE374" s="10">
        <v>232</v>
      </c>
      <c r="DF374" s="10">
        <v>165</v>
      </c>
      <c r="DG374" s="9">
        <f t="shared" si="5"/>
        <v>4.8761288016099238</v>
      </c>
      <c r="DI374" s="10">
        <v>6.76</v>
      </c>
      <c r="DP374" s="11">
        <v>3</v>
      </c>
      <c r="DQ374" s="6" t="s">
        <v>105</v>
      </c>
      <c r="DR374" s="9">
        <v>2</v>
      </c>
      <c r="DU374" s="9">
        <v>5.7</v>
      </c>
    </row>
    <row r="375" spans="1:125" x14ac:dyDescent="0.2">
      <c r="A375" s="14">
        <v>296</v>
      </c>
      <c r="B375" s="8">
        <v>42931</v>
      </c>
      <c r="C375" s="9" t="s">
        <v>107</v>
      </c>
      <c r="D375" s="9">
        <v>64</v>
      </c>
      <c r="E375" s="52" t="s">
        <v>1697</v>
      </c>
      <c r="F375" s="17">
        <v>19637</v>
      </c>
      <c r="G375" s="9" t="s">
        <v>261</v>
      </c>
      <c r="H375" s="9" t="s">
        <v>2068</v>
      </c>
      <c r="M375" s="10" t="s">
        <v>3618</v>
      </c>
      <c r="N375" s="10" t="s">
        <v>588</v>
      </c>
      <c r="O375" s="10" t="s">
        <v>588</v>
      </c>
      <c r="P375" s="9" t="s">
        <v>483</v>
      </c>
      <c r="Q375" s="9" t="s">
        <v>483</v>
      </c>
      <c r="R375" s="9" t="s">
        <v>588</v>
      </c>
      <c r="S375" s="9" t="s">
        <v>483</v>
      </c>
      <c r="T375" s="9" t="s">
        <v>588</v>
      </c>
      <c r="U375" s="9" t="s">
        <v>3619</v>
      </c>
      <c r="V375" s="9" t="s">
        <v>483</v>
      </c>
      <c r="W375" s="37" t="s">
        <v>3620</v>
      </c>
      <c r="X375" s="9" t="s">
        <v>483</v>
      </c>
      <c r="Y375" s="9" t="s">
        <v>3621</v>
      </c>
      <c r="Z375" s="9" t="s">
        <v>483</v>
      </c>
      <c r="AA375" s="9" t="s">
        <v>3535</v>
      </c>
      <c r="AB375" s="9" t="s">
        <v>3535</v>
      </c>
      <c r="AC375" s="9" t="s">
        <v>3535</v>
      </c>
      <c r="AD375" s="9" t="s">
        <v>3535</v>
      </c>
      <c r="AE375" s="10" t="s">
        <v>35</v>
      </c>
      <c r="AF375" s="10" t="s">
        <v>35</v>
      </c>
      <c r="AG375" s="10" t="s">
        <v>3622</v>
      </c>
      <c r="AH375" s="10" t="s">
        <v>35</v>
      </c>
      <c r="AI375" s="10" t="s">
        <v>36</v>
      </c>
      <c r="AJ375" s="9" t="s">
        <v>483</v>
      </c>
      <c r="AK375" s="9" t="s">
        <v>483</v>
      </c>
      <c r="AL375" s="9">
        <v>87.9</v>
      </c>
      <c r="AM375" s="9">
        <v>1.72</v>
      </c>
      <c r="AN375" s="10">
        <v>108</v>
      </c>
      <c r="AO375" s="9">
        <v>107</v>
      </c>
      <c r="AP375" s="9">
        <v>34.1</v>
      </c>
      <c r="AQ375" s="9">
        <v>17</v>
      </c>
      <c r="AR375" s="9">
        <v>28.1</v>
      </c>
      <c r="AS375" s="9">
        <v>69</v>
      </c>
      <c r="AT375" s="9">
        <v>29.7</v>
      </c>
      <c r="AU375" s="9">
        <v>116</v>
      </c>
      <c r="AV375" s="9">
        <v>80</v>
      </c>
      <c r="AX375" s="9" t="s">
        <v>1107</v>
      </c>
      <c r="AY375" s="9" t="s">
        <v>917</v>
      </c>
      <c r="AZ375" s="9" t="s">
        <v>389</v>
      </c>
      <c r="BF375" s="9" t="s">
        <v>322</v>
      </c>
      <c r="BG375" s="9" t="s">
        <v>3577</v>
      </c>
      <c r="BJ375" s="9" t="s">
        <v>322</v>
      </c>
      <c r="BL375" s="9" t="s">
        <v>3623</v>
      </c>
      <c r="BM375" s="9" t="s">
        <v>3624</v>
      </c>
      <c r="BN375" s="9" t="s">
        <v>918</v>
      </c>
      <c r="BO375" s="9" t="s">
        <v>1886</v>
      </c>
      <c r="BQ375" s="9" t="s">
        <v>483</v>
      </c>
      <c r="BU375" s="9" t="s">
        <v>483</v>
      </c>
      <c r="BZ375" s="9" t="s">
        <v>1283</v>
      </c>
      <c r="CA375" s="9" t="s">
        <v>1246</v>
      </c>
      <c r="CB375" s="9" t="s">
        <v>332</v>
      </c>
      <c r="CC375" s="9" t="s">
        <v>483</v>
      </c>
      <c r="CG375" s="9" t="s">
        <v>483</v>
      </c>
      <c r="CL375" s="9" t="s">
        <v>3625</v>
      </c>
      <c r="CT375" s="9" t="s">
        <v>3626</v>
      </c>
      <c r="CU375" s="9" t="s">
        <v>3627</v>
      </c>
      <c r="CW375" s="9" t="s">
        <v>2006</v>
      </c>
      <c r="CX375" s="9" t="s">
        <v>483</v>
      </c>
      <c r="CY375" s="9" t="s">
        <v>99</v>
      </c>
      <c r="DC375" s="15">
        <v>106</v>
      </c>
      <c r="DD375" s="15">
        <v>1.57</v>
      </c>
      <c r="DE375" s="15">
        <v>213</v>
      </c>
      <c r="DF375" s="6">
        <v>85</v>
      </c>
      <c r="DG375" s="9">
        <f t="shared" si="5"/>
        <v>4.5530451753011922</v>
      </c>
      <c r="DH375" s="6"/>
      <c r="DI375" s="15">
        <v>7.71</v>
      </c>
      <c r="DL375" s="6"/>
      <c r="DM375" s="6"/>
      <c r="DN375" s="6"/>
      <c r="DP375" s="11">
        <v>3</v>
      </c>
      <c r="DQ375" s="6" t="s">
        <v>111</v>
      </c>
      <c r="DR375" s="9">
        <v>3</v>
      </c>
      <c r="DU375" s="9">
        <v>5.5</v>
      </c>
    </row>
    <row r="376" spans="1:125" x14ac:dyDescent="0.2">
      <c r="A376" s="9" t="s">
        <v>3628</v>
      </c>
      <c r="B376" s="8">
        <v>42931</v>
      </c>
      <c r="C376" s="9" t="s">
        <v>95</v>
      </c>
      <c r="D376" s="9">
        <v>54</v>
      </c>
      <c r="E376" s="9" t="s">
        <v>100</v>
      </c>
      <c r="F376" s="17">
        <v>23243</v>
      </c>
      <c r="G376" s="9" t="s">
        <v>197</v>
      </c>
      <c r="H376" s="9" t="s">
        <v>3422</v>
      </c>
      <c r="I376" s="9">
        <v>12</v>
      </c>
      <c r="J376" s="9">
        <v>4</v>
      </c>
      <c r="K376" s="9">
        <v>1993</v>
      </c>
      <c r="L376" s="9">
        <v>4</v>
      </c>
      <c r="M376" s="9" t="s">
        <v>99</v>
      </c>
      <c r="N376" s="9" t="s">
        <v>99</v>
      </c>
      <c r="O376" s="9" t="s">
        <v>110</v>
      </c>
      <c r="P376" s="9" t="s">
        <v>99</v>
      </c>
      <c r="Q376" s="9" t="s">
        <v>110</v>
      </c>
      <c r="R376" s="9" t="s">
        <v>110</v>
      </c>
      <c r="S376" s="9" t="s">
        <v>99</v>
      </c>
      <c r="T376" s="9" t="s">
        <v>110</v>
      </c>
      <c r="U376" s="9" t="s">
        <v>2525</v>
      </c>
      <c r="V376" s="9" t="s">
        <v>99</v>
      </c>
      <c r="W376" s="9" t="s">
        <v>99</v>
      </c>
      <c r="X376" s="9" t="s">
        <v>99</v>
      </c>
      <c r="Y376" s="9" t="s">
        <v>99</v>
      </c>
      <c r="AA376" s="9" t="s">
        <v>100</v>
      </c>
      <c r="AB376" s="9" t="s">
        <v>100</v>
      </c>
      <c r="AC376" s="9" t="s">
        <v>100</v>
      </c>
      <c r="AD376" s="9" t="s">
        <v>100</v>
      </c>
      <c r="AE376" s="9" t="s">
        <v>99</v>
      </c>
      <c r="AF376" s="9" t="s">
        <v>118</v>
      </c>
      <c r="AG376" s="9" t="s">
        <v>99</v>
      </c>
      <c r="AH376" s="9" t="s">
        <v>99</v>
      </c>
      <c r="AI376" s="9" t="s">
        <v>125</v>
      </c>
      <c r="AJ376" s="9" t="s">
        <v>99</v>
      </c>
      <c r="AK376" s="9" t="s">
        <v>99</v>
      </c>
      <c r="AL376" s="9">
        <v>76.400000000000006</v>
      </c>
      <c r="AM376" s="9">
        <v>154</v>
      </c>
      <c r="AP376">
        <v>50</v>
      </c>
      <c r="AQ376">
        <v>11</v>
      </c>
      <c r="AR376">
        <v>21</v>
      </c>
      <c r="AS376">
        <v>70</v>
      </c>
      <c r="AT376">
        <v>32.200000000000003</v>
      </c>
      <c r="AU376">
        <v>115</v>
      </c>
      <c r="AV376">
        <v>91</v>
      </c>
      <c r="AX376" s="9" t="s">
        <v>679</v>
      </c>
      <c r="BA376" s="9" t="s">
        <v>176</v>
      </c>
      <c r="BB376" s="9" t="s">
        <v>2603</v>
      </c>
      <c r="BC376" s="9" t="s">
        <v>3629</v>
      </c>
      <c r="BF376" s="9" t="s">
        <v>1099</v>
      </c>
      <c r="BG376" s="9" t="s">
        <v>3630</v>
      </c>
      <c r="BH376" s="9" t="s">
        <v>99</v>
      </c>
      <c r="BI376" s="9" t="s">
        <v>1099</v>
      </c>
      <c r="BJ376" s="9" t="s">
        <v>2607</v>
      </c>
      <c r="BK376" s="9" t="s">
        <v>175</v>
      </c>
      <c r="BN376" s="9" t="s">
        <v>1173</v>
      </c>
      <c r="BZ376" s="9" t="s">
        <v>176</v>
      </c>
      <c r="CL376" s="9" t="s">
        <v>3631</v>
      </c>
      <c r="CM376" s="9" t="s">
        <v>3632</v>
      </c>
      <c r="CP376" s="9" t="s">
        <v>716</v>
      </c>
      <c r="CQ376" s="9" t="s">
        <v>361</v>
      </c>
      <c r="CT376" s="9" t="s">
        <v>686</v>
      </c>
      <c r="CW376" s="9">
        <v>3</v>
      </c>
      <c r="CX376" s="9" t="s">
        <v>110</v>
      </c>
      <c r="CY376" s="9" t="s">
        <v>110</v>
      </c>
      <c r="DC376" s="9">
        <v>94.7</v>
      </c>
      <c r="DD376" s="9">
        <v>0.88</v>
      </c>
      <c r="DE376" s="10">
        <v>218</v>
      </c>
      <c r="DF376" s="9">
        <v>95</v>
      </c>
      <c r="DG376" s="9">
        <f t="shared" si="5"/>
        <v>4.552295445896287</v>
      </c>
      <c r="DI376" s="9">
        <v>5.05</v>
      </c>
      <c r="DP376" s="11">
        <v>2</v>
      </c>
      <c r="DQ376" s="6" t="s">
        <v>111</v>
      </c>
      <c r="DR376" s="9">
        <v>3</v>
      </c>
    </row>
    <row r="377" spans="1:125" x14ac:dyDescent="0.2">
      <c r="A377" s="9">
        <v>298</v>
      </c>
      <c r="B377" s="106">
        <v>42931</v>
      </c>
      <c r="C377" s="9" t="s">
        <v>95</v>
      </c>
      <c r="D377" s="9">
        <v>55</v>
      </c>
      <c r="E377" s="9" t="s">
        <v>96</v>
      </c>
      <c r="F377" s="17">
        <v>22873</v>
      </c>
      <c r="G377" s="9" t="s">
        <v>1320</v>
      </c>
      <c r="H377" s="9" t="s">
        <v>2068</v>
      </c>
      <c r="I377" s="9" t="s">
        <v>3596</v>
      </c>
      <c r="J377" s="10" t="s">
        <v>3633</v>
      </c>
      <c r="K377" s="17">
        <v>34575</v>
      </c>
      <c r="L377" s="9">
        <v>7</v>
      </c>
      <c r="M377" s="9" t="s">
        <v>483</v>
      </c>
      <c r="N377" s="9" t="s">
        <v>483</v>
      </c>
      <c r="O377" s="10" t="s">
        <v>588</v>
      </c>
      <c r="P377" s="9" t="s">
        <v>483</v>
      </c>
      <c r="Q377" s="9" t="s">
        <v>483</v>
      </c>
      <c r="R377" s="9" t="s">
        <v>483</v>
      </c>
      <c r="S377" s="9" t="s">
        <v>483</v>
      </c>
      <c r="T377" s="9" t="s">
        <v>483</v>
      </c>
      <c r="U377" s="9" t="s">
        <v>3634</v>
      </c>
      <c r="V377" s="9" t="s">
        <v>483</v>
      </c>
      <c r="W377" s="9" t="s">
        <v>3635</v>
      </c>
      <c r="X377" s="9" t="s">
        <v>483</v>
      </c>
      <c r="Y377" s="9" t="s">
        <v>3636</v>
      </c>
      <c r="Z377" s="9" t="s">
        <v>483</v>
      </c>
      <c r="AA377" s="9" t="s">
        <v>96</v>
      </c>
      <c r="AB377" s="9" t="s">
        <v>96</v>
      </c>
      <c r="AC377" s="9" t="s">
        <v>96</v>
      </c>
      <c r="AD377" s="9" t="s">
        <v>96</v>
      </c>
      <c r="AE377" s="10" t="s">
        <v>3637</v>
      </c>
      <c r="AF377" s="10" t="s">
        <v>3638</v>
      </c>
      <c r="AG377" s="10" t="s">
        <v>35</v>
      </c>
      <c r="AH377" s="9" t="s">
        <v>99</v>
      </c>
      <c r="AI377" s="9" t="s">
        <v>483</v>
      </c>
      <c r="AJ377" s="9" t="s">
        <v>483</v>
      </c>
      <c r="AK377" s="9" t="s">
        <v>483</v>
      </c>
      <c r="AL377" s="9">
        <v>68.099999999999994</v>
      </c>
      <c r="AM377" s="9">
        <v>1.61</v>
      </c>
      <c r="AN377" s="9">
        <v>84</v>
      </c>
      <c r="AO377" s="9">
        <v>106</v>
      </c>
      <c r="AP377" s="9">
        <v>43.4</v>
      </c>
      <c r="AQ377" s="9">
        <v>8</v>
      </c>
      <c r="AR377" s="9">
        <v>22.3</v>
      </c>
      <c r="AS377" s="9">
        <v>56</v>
      </c>
      <c r="AT377" s="9">
        <v>26.3</v>
      </c>
      <c r="AU377" s="9">
        <v>110</v>
      </c>
      <c r="AV377" s="9">
        <v>77</v>
      </c>
      <c r="AX377" s="9" t="s">
        <v>3639</v>
      </c>
      <c r="AY377" s="9" t="s">
        <v>389</v>
      </c>
      <c r="AZ377" s="9" t="s">
        <v>917</v>
      </c>
      <c r="BB377" s="9" t="s">
        <v>409</v>
      </c>
      <c r="BF377" s="9" t="s">
        <v>635</v>
      </c>
      <c r="BG377" s="9" t="s">
        <v>635</v>
      </c>
      <c r="BH377" s="9" t="s">
        <v>3640</v>
      </c>
      <c r="BI377" s="9" t="s">
        <v>635</v>
      </c>
      <c r="BJ377" s="9" t="s">
        <v>635</v>
      </c>
      <c r="BK377" s="9" t="s">
        <v>483</v>
      </c>
      <c r="BM377" s="9" t="s">
        <v>394</v>
      </c>
      <c r="BN377" s="9" t="s">
        <v>326</v>
      </c>
      <c r="BO377" s="9" t="s">
        <v>3641</v>
      </c>
      <c r="BQ377" s="9" t="s">
        <v>483</v>
      </c>
      <c r="BU377" s="9" t="s">
        <v>483</v>
      </c>
      <c r="BZ377" s="9" t="s">
        <v>332</v>
      </c>
      <c r="CA377" s="9" t="s">
        <v>3642</v>
      </c>
      <c r="CB377" s="9" t="s">
        <v>1833</v>
      </c>
      <c r="CC377" s="9" t="s">
        <v>483</v>
      </c>
      <c r="CG377" s="9" t="s">
        <v>483</v>
      </c>
      <c r="CL377" s="9" t="s">
        <v>3643</v>
      </c>
      <c r="CM377" s="9" t="s">
        <v>3644</v>
      </c>
      <c r="CN377" s="9" t="s">
        <v>306</v>
      </c>
      <c r="CW377" s="9">
        <v>3</v>
      </c>
      <c r="DC377" s="6">
        <v>95</v>
      </c>
      <c r="DD377" s="6">
        <v>0.6</v>
      </c>
      <c r="DE377" s="15">
        <v>257</v>
      </c>
      <c r="DF377" s="15">
        <v>363</v>
      </c>
      <c r="DG377" s="9">
        <f t="shared" si="5"/>
        <v>5.2241398629326961</v>
      </c>
      <c r="DH377" s="6"/>
      <c r="DI377" s="6">
        <v>7.22</v>
      </c>
      <c r="DL377" s="6"/>
      <c r="DM377" s="6"/>
      <c r="DN377" s="6"/>
      <c r="DP377" s="11">
        <v>2</v>
      </c>
      <c r="DQ377" s="6" t="s">
        <v>111</v>
      </c>
      <c r="DR377" s="9">
        <v>3</v>
      </c>
      <c r="DT377" s="9">
        <v>12.4</v>
      </c>
      <c r="DU377" s="9">
        <v>4.4000000000000004</v>
      </c>
    </row>
    <row r="378" spans="1:125" x14ac:dyDescent="0.2">
      <c r="A378" s="39">
        <v>299</v>
      </c>
      <c r="B378" s="8">
        <v>42930</v>
      </c>
      <c r="C378" s="9" t="s">
        <v>3645</v>
      </c>
      <c r="D378" s="9">
        <v>59</v>
      </c>
      <c r="E378" s="9" t="s">
        <v>96</v>
      </c>
      <c r="F378" s="17">
        <v>21160</v>
      </c>
      <c r="G378" s="9" t="s">
        <v>3646</v>
      </c>
      <c r="H378" s="9" t="s">
        <v>3647</v>
      </c>
      <c r="I378" s="9" t="s">
        <v>2020</v>
      </c>
      <c r="J378" s="10" t="s">
        <v>3648</v>
      </c>
      <c r="K378" s="9">
        <v>1986</v>
      </c>
      <c r="L378" s="9">
        <v>5</v>
      </c>
      <c r="M378" s="10" t="s">
        <v>588</v>
      </c>
      <c r="N378" s="10" t="s">
        <v>588</v>
      </c>
      <c r="O378" s="9" t="s">
        <v>263</v>
      </c>
      <c r="P378" s="9" t="s">
        <v>263</v>
      </c>
      <c r="Q378" s="9" t="s">
        <v>263</v>
      </c>
      <c r="S378" s="9" t="s">
        <v>483</v>
      </c>
      <c r="T378" s="9" t="s">
        <v>588</v>
      </c>
      <c r="U378" s="37" t="s">
        <v>3649</v>
      </c>
      <c r="V378" s="9" t="s">
        <v>483</v>
      </c>
      <c r="W378" s="9" t="s">
        <v>3650</v>
      </c>
      <c r="X378" s="9" t="s">
        <v>483</v>
      </c>
      <c r="Y378" s="30" t="s">
        <v>3651</v>
      </c>
      <c r="Z378" s="10" t="s">
        <v>3652</v>
      </c>
      <c r="AA378" s="9" t="s">
        <v>96</v>
      </c>
      <c r="AB378" s="9" t="s">
        <v>96</v>
      </c>
      <c r="AC378" s="9" t="s">
        <v>96</v>
      </c>
      <c r="AD378" s="9" t="s">
        <v>96</v>
      </c>
      <c r="AE378" s="10" t="s">
        <v>3653</v>
      </c>
      <c r="AF378" s="10" t="s">
        <v>3654</v>
      </c>
      <c r="AG378" s="10" t="s">
        <v>3655</v>
      </c>
      <c r="AH378" s="10" t="s">
        <v>3656</v>
      </c>
      <c r="AI378" s="10" t="s">
        <v>1064</v>
      </c>
      <c r="AJ378" s="39"/>
      <c r="AK378" s="10" t="s">
        <v>3657</v>
      </c>
      <c r="AL378" s="9">
        <v>74.099999999999994</v>
      </c>
      <c r="AM378" s="9">
        <v>1.58</v>
      </c>
      <c r="AN378" s="46">
        <v>101</v>
      </c>
      <c r="AO378" s="9">
        <v>112</v>
      </c>
      <c r="AP378" s="9">
        <v>45.2</v>
      </c>
      <c r="AQ378" s="9">
        <v>10</v>
      </c>
      <c r="AR378" s="9">
        <v>23.1</v>
      </c>
      <c r="AS378" s="9">
        <v>66</v>
      </c>
      <c r="AT378" s="9">
        <v>29.5</v>
      </c>
      <c r="AU378" s="9">
        <v>102</v>
      </c>
      <c r="AV378" s="9">
        <v>83</v>
      </c>
      <c r="DC378" s="6">
        <v>95.6</v>
      </c>
      <c r="DD378" s="6">
        <v>0.6</v>
      </c>
      <c r="DE378" s="6">
        <v>183</v>
      </c>
      <c r="DF378" s="6">
        <v>80</v>
      </c>
      <c r="DG378" s="9">
        <f t="shared" si="5"/>
        <v>4.471099727365619</v>
      </c>
      <c r="DH378" s="6"/>
      <c r="DI378" s="6">
        <v>5.35</v>
      </c>
      <c r="DL378" s="6"/>
      <c r="DM378" s="6"/>
      <c r="DN378" s="6"/>
      <c r="DP378" s="11">
        <v>3</v>
      </c>
      <c r="DQ378" s="6" t="s">
        <v>111</v>
      </c>
      <c r="DR378" s="9">
        <v>3</v>
      </c>
    </row>
    <row r="379" spans="1:125" x14ac:dyDescent="0.2">
      <c r="A379" s="9">
        <v>300</v>
      </c>
      <c r="B379" s="17">
        <v>42931</v>
      </c>
      <c r="C379" s="9" t="s">
        <v>3645</v>
      </c>
      <c r="D379" s="9">
        <v>50</v>
      </c>
      <c r="E379" s="9" t="s">
        <v>3592</v>
      </c>
      <c r="F379" s="17">
        <v>24347</v>
      </c>
      <c r="G379" s="9" t="s">
        <v>3658</v>
      </c>
      <c r="H379" s="9" t="s">
        <v>1067</v>
      </c>
      <c r="I379" s="9" t="s">
        <v>2020</v>
      </c>
      <c r="J379" s="9" t="s">
        <v>99</v>
      </c>
      <c r="K379" s="17" t="s">
        <v>99</v>
      </c>
      <c r="L379" s="9" t="s">
        <v>483</v>
      </c>
      <c r="M379" s="9" t="s">
        <v>263</v>
      </c>
      <c r="N379" s="9" t="s">
        <v>263</v>
      </c>
      <c r="P379" s="9" t="s">
        <v>263</v>
      </c>
      <c r="Q379" s="9" t="s">
        <v>263</v>
      </c>
      <c r="R379" s="9" t="s">
        <v>588</v>
      </c>
      <c r="S379" s="9" t="s">
        <v>483</v>
      </c>
      <c r="T379" s="9" t="s">
        <v>483</v>
      </c>
      <c r="U379" s="9" t="s">
        <v>483</v>
      </c>
      <c r="V379" s="9" t="s">
        <v>483</v>
      </c>
      <c r="W379" s="9" t="s">
        <v>1943</v>
      </c>
      <c r="X379" s="9" t="s">
        <v>263</v>
      </c>
      <c r="Z379" s="9" t="s">
        <v>3659</v>
      </c>
      <c r="AA379" s="9" t="s">
        <v>1419</v>
      </c>
      <c r="AB379" s="9" t="s">
        <v>932</v>
      </c>
      <c r="AC379" s="9" t="s">
        <v>1419</v>
      </c>
      <c r="AD379" s="9" t="s">
        <v>932</v>
      </c>
      <c r="AE379" s="10" t="s">
        <v>3660</v>
      </c>
      <c r="AF379" s="10" t="s">
        <v>3661</v>
      </c>
      <c r="AG379" s="9" t="s">
        <v>483</v>
      </c>
      <c r="AH379" s="9" t="s">
        <v>483</v>
      </c>
      <c r="AI379" s="9" t="s">
        <v>483</v>
      </c>
      <c r="AJ379" s="9" t="s">
        <v>483</v>
      </c>
      <c r="AK379" s="10" t="s">
        <v>3662</v>
      </c>
      <c r="AL379" s="9">
        <v>74.3</v>
      </c>
      <c r="AM379" s="9">
        <v>1.49</v>
      </c>
      <c r="AN379" s="10">
        <v>105</v>
      </c>
      <c r="AO379" s="9">
        <v>108</v>
      </c>
      <c r="AP379" s="9">
        <v>49.5</v>
      </c>
      <c r="AQ379" s="9">
        <v>11</v>
      </c>
      <c r="AR379" s="9">
        <v>21.7</v>
      </c>
      <c r="AS379" s="9">
        <v>71</v>
      </c>
      <c r="AT379" s="9">
        <v>33.5</v>
      </c>
      <c r="AU379" s="9">
        <v>106</v>
      </c>
      <c r="AV379" s="9">
        <v>77</v>
      </c>
      <c r="DC379" s="6">
        <v>73.400000000000006</v>
      </c>
      <c r="DD379" s="6">
        <v>0.4</v>
      </c>
      <c r="DE379" s="6">
        <v>173</v>
      </c>
      <c r="DF379" s="6">
        <v>91</v>
      </c>
      <c r="DG379" s="9">
        <f t="shared" si="5"/>
        <v>4.4033917210686599</v>
      </c>
      <c r="DH379" s="6"/>
      <c r="DI379" s="6">
        <v>4.93</v>
      </c>
      <c r="DL379" s="6"/>
      <c r="DM379" s="6"/>
      <c r="DN379" s="6"/>
      <c r="DP379" s="11">
        <v>2</v>
      </c>
      <c r="DQ379" s="6" t="s">
        <v>105</v>
      </c>
      <c r="DR379" s="9">
        <v>3</v>
      </c>
    </row>
    <row r="380" spans="1:125" x14ac:dyDescent="0.2">
      <c r="A380" s="9" t="s">
        <v>3663</v>
      </c>
      <c r="B380" s="107">
        <v>43005</v>
      </c>
      <c r="C380" s="9" t="s">
        <v>95</v>
      </c>
      <c r="D380" s="9">
        <v>59</v>
      </c>
      <c r="E380" s="9" t="s">
        <v>100</v>
      </c>
      <c r="F380" s="17">
        <v>21307</v>
      </c>
      <c r="G380" s="9" t="s">
        <v>3664</v>
      </c>
      <c r="H380" s="37" t="s">
        <v>3665</v>
      </c>
      <c r="I380" s="9">
        <v>10</v>
      </c>
      <c r="J380" s="9">
        <v>36</v>
      </c>
      <c r="K380" s="9">
        <v>1990</v>
      </c>
      <c r="L380" s="9">
        <v>3</v>
      </c>
      <c r="M380" s="9" t="s">
        <v>99</v>
      </c>
      <c r="N380" s="9" t="s">
        <v>99</v>
      </c>
      <c r="O380" s="9" t="s">
        <v>110</v>
      </c>
      <c r="P380" s="9" t="s">
        <v>3666</v>
      </c>
      <c r="Q380" s="9" t="s">
        <v>99</v>
      </c>
      <c r="R380" s="9" t="s">
        <v>110</v>
      </c>
      <c r="S380" s="9" t="s">
        <v>99</v>
      </c>
      <c r="T380" s="9" t="s">
        <v>110</v>
      </c>
      <c r="W380" s="9" t="s">
        <v>3667</v>
      </c>
      <c r="Y380" s="9" t="s">
        <v>3668</v>
      </c>
      <c r="AA380" s="14" t="s">
        <v>2267</v>
      </c>
      <c r="AB380" s="14" t="s">
        <v>2267</v>
      </c>
      <c r="AC380" s="14" t="s">
        <v>2267</v>
      </c>
      <c r="AD380" s="14" t="s">
        <v>2267</v>
      </c>
      <c r="AF380" s="9" t="s">
        <v>724</v>
      </c>
      <c r="AG380" s="9" t="s">
        <v>99</v>
      </c>
      <c r="AH380" s="9" t="s">
        <v>126</v>
      </c>
      <c r="AI380" s="9" t="s">
        <v>118</v>
      </c>
      <c r="AJ380" s="9" t="s">
        <v>99</v>
      </c>
      <c r="AL380" s="9">
        <v>58.4</v>
      </c>
      <c r="AM380" s="9">
        <v>155</v>
      </c>
      <c r="AN380" s="9">
        <v>85</v>
      </c>
      <c r="AO380" s="9">
        <v>97</v>
      </c>
      <c r="AP380" s="9">
        <v>39.200000000000003</v>
      </c>
      <c r="AQ380" s="9">
        <v>8</v>
      </c>
      <c r="AR380" s="9">
        <v>23</v>
      </c>
      <c r="AS380" s="9">
        <v>55</v>
      </c>
      <c r="AT380" s="7">
        <v>24.3</v>
      </c>
      <c r="AU380" s="9">
        <v>110</v>
      </c>
      <c r="AV380" s="9">
        <v>72</v>
      </c>
      <c r="AX380" s="9" t="s">
        <v>1128</v>
      </c>
      <c r="AY380" s="9" t="s">
        <v>572</v>
      </c>
      <c r="AZ380" s="9" t="s">
        <v>3669</v>
      </c>
      <c r="BB380" s="9" t="s">
        <v>750</v>
      </c>
      <c r="BC380" s="9" t="s">
        <v>1130</v>
      </c>
      <c r="BF380" s="9" t="s">
        <v>3670</v>
      </c>
      <c r="BH380" s="9" t="s">
        <v>99</v>
      </c>
      <c r="BI380" s="9" t="s">
        <v>2407</v>
      </c>
      <c r="BJ380" s="9" t="s">
        <v>3671</v>
      </c>
      <c r="BK380" s="9" t="s">
        <v>2445</v>
      </c>
      <c r="BN380" s="9" t="s">
        <v>352</v>
      </c>
      <c r="BO380" s="9" t="s">
        <v>3250</v>
      </c>
      <c r="BP380" s="14" t="s">
        <v>1664</v>
      </c>
      <c r="BR380" s="9" t="s">
        <v>99</v>
      </c>
      <c r="BV380" s="9" t="s">
        <v>99</v>
      </c>
      <c r="BZ380" s="9" t="s">
        <v>821</v>
      </c>
      <c r="CA380" s="9" t="s">
        <v>822</v>
      </c>
      <c r="CB380" s="9" t="s">
        <v>3672</v>
      </c>
      <c r="CH380" s="9" t="s">
        <v>2575</v>
      </c>
      <c r="CL380" s="9" t="s">
        <v>579</v>
      </c>
      <c r="CM380" s="9" t="s">
        <v>3673</v>
      </c>
      <c r="CN380" s="9" t="s">
        <v>2447</v>
      </c>
      <c r="CP380" s="9" t="s">
        <v>362</v>
      </c>
      <c r="CQ380" s="9" t="s">
        <v>361</v>
      </c>
      <c r="CR380" s="9" t="s">
        <v>3674</v>
      </c>
      <c r="CT380" s="9" t="s">
        <v>99</v>
      </c>
      <c r="CW380" s="9">
        <v>3</v>
      </c>
      <c r="CX380" s="9" t="s">
        <v>110</v>
      </c>
      <c r="CY380" s="9" t="s">
        <v>99</v>
      </c>
      <c r="CZ380" s="9">
        <v>60</v>
      </c>
      <c r="DA380" s="9">
        <v>20</v>
      </c>
      <c r="DB380" s="9">
        <v>20</v>
      </c>
      <c r="DC380">
        <v>80.900000000000006</v>
      </c>
      <c r="DD380">
        <v>0.66</v>
      </c>
      <c r="DE380">
        <v>222</v>
      </c>
      <c r="DF380">
        <v>89</v>
      </c>
      <c r="DG380" s="9">
        <f t="shared" si="5"/>
        <v>4.440925096898293</v>
      </c>
      <c r="DH380">
        <v>17.8</v>
      </c>
      <c r="DI380">
        <v>5</v>
      </c>
      <c r="DJ380"/>
      <c r="DK380"/>
      <c r="DL380"/>
      <c r="DP380" s="11">
        <v>3</v>
      </c>
      <c r="DQ380" s="6" t="s">
        <v>111</v>
      </c>
      <c r="DR380" s="9">
        <v>2</v>
      </c>
    </row>
    <row r="381" spans="1:125" x14ac:dyDescent="0.2">
      <c r="A381" s="9" t="s">
        <v>3675</v>
      </c>
      <c r="AN381">
        <v>97</v>
      </c>
      <c r="AO381">
        <v>106</v>
      </c>
      <c r="AP381">
        <v>48.6</v>
      </c>
      <c r="AQ381">
        <v>12</v>
      </c>
      <c r="AR381">
        <v>21</v>
      </c>
      <c r="AS381">
        <v>70</v>
      </c>
      <c r="AT381">
        <v>30.8</v>
      </c>
      <c r="AU381">
        <v>111</v>
      </c>
      <c r="AV381">
        <v>72</v>
      </c>
      <c r="DC381">
        <v>85.4</v>
      </c>
      <c r="DD381">
        <v>0.78</v>
      </c>
      <c r="DE381" s="108">
        <v>232</v>
      </c>
      <c r="DF381" s="108">
        <v>208</v>
      </c>
      <c r="DG381" s="9">
        <f t="shared" si="5"/>
        <v>4.8924420902479211</v>
      </c>
      <c r="DH381">
        <v>41.6</v>
      </c>
      <c r="DI381">
        <v>5</v>
      </c>
      <c r="DJ381"/>
      <c r="DK381"/>
      <c r="DL381"/>
      <c r="DP381" s="18">
        <v>1</v>
      </c>
      <c r="DQ381" s="6"/>
      <c r="DR381" s="9">
        <v>3</v>
      </c>
      <c r="DT381" s="9">
        <v>5</v>
      </c>
      <c r="DU381" s="9">
        <v>10.53</v>
      </c>
    </row>
    <row r="382" spans="1:125" x14ac:dyDescent="0.2">
      <c r="A382" s="9">
        <v>303</v>
      </c>
      <c r="B382" s="107">
        <v>43005</v>
      </c>
      <c r="C382" s="9" t="s">
        <v>196</v>
      </c>
      <c r="D382" s="9">
        <v>53</v>
      </c>
      <c r="E382" s="9" t="s">
        <v>100</v>
      </c>
      <c r="G382" s="9" t="s">
        <v>3676</v>
      </c>
      <c r="H382" s="37" t="s">
        <v>3665</v>
      </c>
      <c r="I382" s="9">
        <v>14</v>
      </c>
      <c r="J382" s="9" t="s">
        <v>99</v>
      </c>
      <c r="K382" s="9" t="s">
        <v>1594</v>
      </c>
      <c r="L382" s="9">
        <v>4</v>
      </c>
      <c r="M382" s="9" t="s">
        <v>99</v>
      </c>
      <c r="N382" s="9" t="s">
        <v>99</v>
      </c>
      <c r="O382" s="9" t="s">
        <v>99</v>
      </c>
      <c r="P382" s="9" t="s">
        <v>99</v>
      </c>
      <c r="Q382" s="9" t="s">
        <v>99</v>
      </c>
      <c r="S382" s="9" t="s">
        <v>99</v>
      </c>
      <c r="T382" s="9" t="s">
        <v>110</v>
      </c>
      <c r="U382" s="9" t="s">
        <v>3677</v>
      </c>
      <c r="W382" s="9" t="s">
        <v>99</v>
      </c>
      <c r="X382" s="9" t="s">
        <v>99</v>
      </c>
      <c r="Z382" s="9" t="s">
        <v>3678</v>
      </c>
      <c r="AA382" s="9" t="s">
        <v>100</v>
      </c>
      <c r="AB382" s="9" t="s">
        <v>100</v>
      </c>
      <c r="AC382" s="9" t="s">
        <v>100</v>
      </c>
      <c r="AD382" s="9" t="s">
        <v>100</v>
      </c>
      <c r="AE382" s="9" t="s">
        <v>99</v>
      </c>
      <c r="AF382" s="9" t="s">
        <v>99</v>
      </c>
      <c r="AG382" s="9" t="s">
        <v>99</v>
      </c>
      <c r="AH382" s="9" t="s">
        <v>118</v>
      </c>
      <c r="AI382" s="9" t="s">
        <v>99</v>
      </c>
      <c r="AJ382" s="9" t="s">
        <v>99</v>
      </c>
      <c r="AK382" s="9" t="s">
        <v>99</v>
      </c>
      <c r="AL382" s="9">
        <v>81.7</v>
      </c>
      <c r="AM382" s="9">
        <v>149</v>
      </c>
      <c r="AN382" s="9">
        <v>96</v>
      </c>
      <c r="AO382" s="9">
        <v>120</v>
      </c>
      <c r="AP382" s="9">
        <v>49.9</v>
      </c>
      <c r="AQ382" s="9">
        <v>13</v>
      </c>
      <c r="AR382" s="9">
        <v>22.3</v>
      </c>
      <c r="AS382" s="9">
        <v>75</v>
      </c>
      <c r="AT382" s="9">
        <v>36.799999999999997</v>
      </c>
      <c r="AU382" s="9">
        <v>112</v>
      </c>
      <c r="AV382" s="9">
        <v>80</v>
      </c>
      <c r="DC382">
        <v>80</v>
      </c>
      <c r="DD382">
        <v>0.65</v>
      </c>
      <c r="DE382">
        <v>167</v>
      </c>
      <c r="DF382">
        <v>93</v>
      </c>
      <c r="DG382" s="9">
        <f t="shared" si="5"/>
        <v>4.4573130639135687</v>
      </c>
      <c r="DH382">
        <v>18.600000000000001</v>
      </c>
      <c r="DI382">
        <v>3.64</v>
      </c>
      <c r="DJ382"/>
      <c r="DK382"/>
      <c r="DL382"/>
      <c r="DP382" s="18">
        <v>1</v>
      </c>
      <c r="DQ382" s="6"/>
      <c r="DR382" s="9">
        <v>3</v>
      </c>
      <c r="DT382" s="9">
        <v>8.3699999999999992</v>
      </c>
      <c r="DU382" s="9">
        <v>5.4</v>
      </c>
    </row>
    <row r="383" spans="1:125" x14ac:dyDescent="0.2">
      <c r="A383" s="9">
        <v>304</v>
      </c>
      <c r="B383" s="107">
        <v>43005</v>
      </c>
      <c r="C383" s="9" t="s">
        <v>196</v>
      </c>
      <c r="D383" s="9">
        <v>38</v>
      </c>
      <c r="E383" s="9" t="s">
        <v>100</v>
      </c>
      <c r="G383" s="9" t="s">
        <v>3679</v>
      </c>
      <c r="H383" s="37" t="s">
        <v>3665</v>
      </c>
      <c r="I383" s="9">
        <v>12</v>
      </c>
      <c r="J383" s="9" t="s">
        <v>99</v>
      </c>
      <c r="K383" s="9">
        <v>2012</v>
      </c>
      <c r="L383" s="9">
        <v>3</v>
      </c>
      <c r="M383" s="9" t="s">
        <v>99</v>
      </c>
      <c r="N383" s="9" t="s">
        <v>99</v>
      </c>
      <c r="O383" s="9" t="s">
        <v>99</v>
      </c>
      <c r="P383" s="9" t="s">
        <v>99</v>
      </c>
      <c r="Q383" s="9" t="s">
        <v>99</v>
      </c>
      <c r="R383" s="9" t="s">
        <v>110</v>
      </c>
      <c r="S383" s="9" t="s">
        <v>99</v>
      </c>
      <c r="T383" s="9" t="s">
        <v>99</v>
      </c>
      <c r="U383" s="9" t="s">
        <v>99</v>
      </c>
      <c r="W383" s="9" t="s">
        <v>99</v>
      </c>
      <c r="X383" s="9" t="s">
        <v>99</v>
      </c>
      <c r="Y383" s="9" t="s">
        <v>1903</v>
      </c>
      <c r="AA383" s="35" t="s">
        <v>155</v>
      </c>
      <c r="AB383" s="9" t="s">
        <v>100</v>
      </c>
      <c r="AC383" s="35" t="s">
        <v>155</v>
      </c>
      <c r="AD383" s="9" t="s">
        <v>100</v>
      </c>
      <c r="AE383" s="9" t="s">
        <v>99</v>
      </c>
      <c r="AF383" s="9" t="s">
        <v>3680</v>
      </c>
      <c r="AG383" s="9" t="s">
        <v>99</v>
      </c>
      <c r="AH383" s="9" t="s">
        <v>2333</v>
      </c>
      <c r="AI383" s="9" t="s">
        <v>99</v>
      </c>
      <c r="AJ383" s="9" t="s">
        <v>99</v>
      </c>
      <c r="AK383" s="9" t="s">
        <v>99</v>
      </c>
      <c r="AL383" s="9">
        <v>74.099999999999994</v>
      </c>
      <c r="AN383" s="9">
        <v>93</v>
      </c>
      <c r="AO383" s="9">
        <v>105</v>
      </c>
      <c r="AP383" s="9">
        <v>43.8</v>
      </c>
      <c r="AQ383" s="9">
        <v>7</v>
      </c>
      <c r="AR383" s="9">
        <v>23.1</v>
      </c>
      <c r="AS383" s="9">
        <v>48</v>
      </c>
      <c r="AT383" s="9">
        <v>26.9</v>
      </c>
      <c r="AU383" s="9">
        <v>100</v>
      </c>
      <c r="AV383" s="9">
        <v>75</v>
      </c>
      <c r="AX383" s="9" t="s">
        <v>729</v>
      </c>
      <c r="AY383" s="9" t="s">
        <v>573</v>
      </c>
      <c r="AZ383" s="9" t="s">
        <v>727</v>
      </c>
      <c r="BB383" s="9" t="s">
        <v>1080</v>
      </c>
      <c r="BC383" s="9" t="s">
        <v>750</v>
      </c>
      <c r="BD383" s="9" t="s">
        <v>1130</v>
      </c>
      <c r="BF383" s="9" t="s">
        <v>2739</v>
      </c>
      <c r="BG383" s="9" t="s">
        <v>1099</v>
      </c>
      <c r="BH383" s="9" t="s">
        <v>1173</v>
      </c>
      <c r="BI383" s="9" t="s">
        <v>176</v>
      </c>
      <c r="BJ383" s="9" t="s">
        <v>215</v>
      </c>
      <c r="BK383" s="9" t="s">
        <v>683</v>
      </c>
      <c r="BN383" s="9" t="s">
        <v>2446</v>
      </c>
      <c r="BO383" s="9" t="s">
        <v>180</v>
      </c>
      <c r="BP383" s="9" t="s">
        <v>219</v>
      </c>
      <c r="BR383" s="9" t="s">
        <v>99</v>
      </c>
      <c r="BV383" s="9" t="s">
        <v>99</v>
      </c>
      <c r="BZ383" s="9" t="s">
        <v>183</v>
      </c>
      <c r="CA383" s="9" t="s">
        <v>182</v>
      </c>
      <c r="CB383" s="9" t="s">
        <v>1100</v>
      </c>
      <c r="CD383" s="9" t="s">
        <v>99</v>
      </c>
      <c r="CH383" s="9" t="s">
        <v>99</v>
      </c>
      <c r="CL383" s="9" t="s">
        <v>2659</v>
      </c>
      <c r="CM383" s="9" t="s">
        <v>1181</v>
      </c>
      <c r="CN383" s="9" t="s">
        <v>980</v>
      </c>
      <c r="CP383" s="9" t="s">
        <v>757</v>
      </c>
      <c r="CQ383" s="9" t="s">
        <v>756</v>
      </c>
      <c r="CR383" s="9" t="s">
        <v>2098</v>
      </c>
      <c r="CT383" s="9" t="s">
        <v>2617</v>
      </c>
      <c r="CU383" s="9" t="s">
        <v>363</v>
      </c>
      <c r="CW383" s="9">
        <v>3</v>
      </c>
      <c r="CX383" s="9" t="s">
        <v>99</v>
      </c>
      <c r="CY383" s="9" t="s">
        <v>99</v>
      </c>
      <c r="CZ383" s="9">
        <v>80</v>
      </c>
      <c r="DA383" s="9">
        <v>70</v>
      </c>
      <c r="DB383" s="9">
        <v>70</v>
      </c>
      <c r="DC383">
        <v>82.5</v>
      </c>
      <c r="DD383">
        <v>0.65</v>
      </c>
      <c r="DE383">
        <v>177</v>
      </c>
      <c r="DF383">
        <v>112</v>
      </c>
      <c r="DG383" s="9">
        <f t="shared" si="5"/>
        <v>4.5656485823178645</v>
      </c>
      <c r="DH383">
        <v>22.4</v>
      </c>
      <c r="DI383">
        <v>3.49</v>
      </c>
      <c r="DJ383"/>
      <c r="DK383"/>
      <c r="DL383"/>
      <c r="DP383" s="11">
        <v>3</v>
      </c>
      <c r="DQ383" s="6"/>
      <c r="DR383" s="9">
        <v>2</v>
      </c>
    </row>
    <row r="384" spans="1:125" x14ac:dyDescent="0.2">
      <c r="A384" s="9">
        <v>305</v>
      </c>
      <c r="B384" s="107">
        <v>43005</v>
      </c>
      <c r="C384" s="9" t="s">
        <v>196</v>
      </c>
      <c r="D384" s="9">
        <v>31</v>
      </c>
      <c r="E384" s="9" t="s">
        <v>100</v>
      </c>
      <c r="F384" s="17">
        <v>31537</v>
      </c>
      <c r="G384" s="9" t="s">
        <v>813</v>
      </c>
      <c r="H384" s="9" t="s">
        <v>3681</v>
      </c>
      <c r="I384" s="9">
        <v>12</v>
      </c>
      <c r="J384" s="9" t="s">
        <v>99</v>
      </c>
      <c r="K384" s="9" t="s">
        <v>99</v>
      </c>
      <c r="L384" s="9" t="s">
        <v>99</v>
      </c>
      <c r="M384" s="9" t="s">
        <v>99</v>
      </c>
      <c r="N384" s="9" t="s">
        <v>99</v>
      </c>
      <c r="O384" s="9" t="s">
        <v>99</v>
      </c>
      <c r="P384" s="9" t="s">
        <v>99</v>
      </c>
      <c r="Q384" s="9" t="s">
        <v>99</v>
      </c>
      <c r="R384" s="9" t="s">
        <v>110</v>
      </c>
      <c r="S384" s="9" t="s">
        <v>99</v>
      </c>
      <c r="T384" s="9" t="s">
        <v>99</v>
      </c>
      <c r="U384" s="9" t="s">
        <v>99</v>
      </c>
      <c r="W384" s="9" t="s">
        <v>3682</v>
      </c>
      <c r="X384" s="9" t="s">
        <v>99</v>
      </c>
      <c r="Y384" s="9" t="s">
        <v>3683</v>
      </c>
      <c r="Z384" s="9" t="s">
        <v>99</v>
      </c>
      <c r="AA384" s="9" t="s">
        <v>100</v>
      </c>
      <c r="AB384" s="9" t="s">
        <v>100</v>
      </c>
      <c r="AC384" s="9" t="s">
        <v>100</v>
      </c>
      <c r="AD384" s="9" t="s">
        <v>100</v>
      </c>
      <c r="AE384" s="9" t="s">
        <v>118</v>
      </c>
      <c r="AF384" s="9" t="s">
        <v>2333</v>
      </c>
      <c r="AG384" s="9" t="s">
        <v>99</v>
      </c>
      <c r="AH384" s="9" t="s">
        <v>99</v>
      </c>
      <c r="AI384" s="9" t="s">
        <v>99</v>
      </c>
      <c r="AJ384" s="9" t="s">
        <v>99</v>
      </c>
      <c r="AL384" s="9">
        <v>102.1</v>
      </c>
      <c r="AM384" s="9">
        <v>160</v>
      </c>
      <c r="AN384" s="9">
        <v>114</v>
      </c>
      <c r="AO384" s="9">
        <v>131</v>
      </c>
      <c r="AP384" s="9">
        <v>55.4</v>
      </c>
      <c r="AQ384" s="9">
        <v>10</v>
      </c>
      <c r="AR384" s="9">
        <v>19.7</v>
      </c>
      <c r="AS384" s="9">
        <v>66</v>
      </c>
      <c r="AT384" s="9">
        <v>39.9</v>
      </c>
      <c r="AU384" s="9">
        <v>112</v>
      </c>
      <c r="AV384" s="9">
        <v>78</v>
      </c>
      <c r="AX384" s="9" t="s">
        <v>1128</v>
      </c>
      <c r="AY384" s="9" t="s">
        <v>573</v>
      </c>
      <c r="AZ384" s="9" t="s">
        <v>592</v>
      </c>
      <c r="BB384" s="9" t="s">
        <v>750</v>
      </c>
      <c r="BC384" s="9" t="s">
        <v>1130</v>
      </c>
      <c r="BF384" s="9" t="s">
        <v>3684</v>
      </c>
      <c r="BG384" s="9" t="s">
        <v>1173</v>
      </c>
      <c r="BH384" s="9" t="s">
        <v>2445</v>
      </c>
      <c r="BI384" s="9" t="s">
        <v>2445</v>
      </c>
      <c r="BJ384" s="9" t="s">
        <v>99</v>
      </c>
      <c r="BK384" s="9" t="s">
        <v>1172</v>
      </c>
      <c r="BM384" s="9" t="s">
        <v>176</v>
      </c>
      <c r="BN384" s="9" t="s">
        <v>219</v>
      </c>
      <c r="BO384" s="9" t="s">
        <v>179</v>
      </c>
      <c r="BP384" s="9" t="s">
        <v>180</v>
      </c>
      <c r="BR384" s="9" t="s">
        <v>99</v>
      </c>
      <c r="BV384" s="9" t="s">
        <v>99</v>
      </c>
      <c r="BZ384" s="9" t="s">
        <v>183</v>
      </c>
      <c r="CA384" s="9" t="s">
        <v>182</v>
      </c>
      <c r="CB384" s="9" t="s">
        <v>1100</v>
      </c>
      <c r="CD384" s="9" t="s">
        <v>99</v>
      </c>
      <c r="CH384" s="9" t="s">
        <v>99</v>
      </c>
      <c r="CL384" s="9" t="s">
        <v>2530</v>
      </c>
      <c r="CM384" s="9" t="s">
        <v>3685</v>
      </c>
      <c r="CN384" s="9" t="s">
        <v>3686</v>
      </c>
      <c r="CP384" s="9" t="s">
        <v>361</v>
      </c>
      <c r="CQ384" s="9" t="s">
        <v>362</v>
      </c>
      <c r="CR384" s="9" t="s">
        <v>716</v>
      </c>
      <c r="CT384" s="9" t="s">
        <v>1806</v>
      </c>
      <c r="CU384" s="9" t="s">
        <v>1660</v>
      </c>
      <c r="CV384" s="9" t="s">
        <v>980</v>
      </c>
      <c r="CW384" s="9">
        <v>3</v>
      </c>
      <c r="CX384" s="9" t="s">
        <v>110</v>
      </c>
      <c r="CY384" s="9" t="s">
        <v>99</v>
      </c>
      <c r="CZ384" s="9">
        <v>30</v>
      </c>
      <c r="DA384" s="9">
        <v>40</v>
      </c>
      <c r="DB384" s="9">
        <v>30</v>
      </c>
      <c r="DC384">
        <v>89.7</v>
      </c>
      <c r="DD384">
        <v>0.48</v>
      </c>
      <c r="DE384">
        <v>192</v>
      </c>
      <c r="DF384">
        <v>79</v>
      </c>
      <c r="DG384" s="9">
        <f t="shared" si="5"/>
        <v>4.4329593107658862</v>
      </c>
      <c r="DH384">
        <v>15.8</v>
      </c>
      <c r="DI384">
        <v>6.2</v>
      </c>
      <c r="DJ384"/>
      <c r="DK384"/>
      <c r="DL384"/>
      <c r="DP384" s="11">
        <v>3</v>
      </c>
      <c r="DQ384" s="6"/>
      <c r="DR384" s="9">
        <v>2</v>
      </c>
    </row>
    <row r="385" spans="1:125" x14ac:dyDescent="0.2">
      <c r="A385" s="9">
        <v>306</v>
      </c>
      <c r="B385" s="8">
        <v>42975</v>
      </c>
      <c r="C385" s="9" t="s">
        <v>675</v>
      </c>
      <c r="D385" s="9">
        <v>45</v>
      </c>
      <c r="E385" s="9" t="s">
        <v>96</v>
      </c>
      <c r="F385" s="17">
        <v>26203</v>
      </c>
      <c r="G385" s="9" t="s">
        <v>988</v>
      </c>
      <c r="H385" s="9" t="s">
        <v>3687</v>
      </c>
      <c r="M385" s="9" t="s">
        <v>263</v>
      </c>
      <c r="N385" s="9" t="s">
        <v>263</v>
      </c>
      <c r="O385" s="9" t="s">
        <v>263</v>
      </c>
      <c r="P385" s="9" t="s">
        <v>263</v>
      </c>
      <c r="Q385" s="9" t="s">
        <v>263</v>
      </c>
      <c r="R385" s="9" t="s">
        <v>588</v>
      </c>
      <c r="S385" s="9" t="s">
        <v>263</v>
      </c>
      <c r="T385" s="9" t="s">
        <v>588</v>
      </c>
      <c r="U385" s="9" t="s">
        <v>3594</v>
      </c>
      <c r="V385" s="9" t="s">
        <v>263</v>
      </c>
      <c r="W385" s="9" t="s">
        <v>263</v>
      </c>
      <c r="X385" s="9" t="s">
        <v>263</v>
      </c>
      <c r="Y385" s="9" t="s">
        <v>483</v>
      </c>
      <c r="Z385" s="9" t="s">
        <v>3688</v>
      </c>
      <c r="AA385" s="9" t="s">
        <v>96</v>
      </c>
      <c r="AB385" s="9" t="s">
        <v>96</v>
      </c>
      <c r="AC385" s="9" t="s">
        <v>96</v>
      </c>
      <c r="AD385" s="9" t="s">
        <v>96</v>
      </c>
      <c r="AE385" s="10" t="s">
        <v>3689</v>
      </c>
      <c r="AF385" s="10" t="s">
        <v>3661</v>
      </c>
      <c r="AG385" s="10" t="s">
        <v>1003</v>
      </c>
      <c r="AH385" s="9" t="s">
        <v>483</v>
      </c>
      <c r="AI385" s="9" t="s">
        <v>263</v>
      </c>
      <c r="AJ385" s="9" t="s">
        <v>263</v>
      </c>
      <c r="AK385" s="9" t="s">
        <v>263</v>
      </c>
      <c r="AL385" s="9">
        <v>66.599999999999994</v>
      </c>
      <c r="AM385" s="9">
        <v>170</v>
      </c>
      <c r="AN385" s="9">
        <v>90</v>
      </c>
      <c r="AO385" s="9">
        <v>99</v>
      </c>
      <c r="AP385" s="9">
        <v>37</v>
      </c>
      <c r="AQ385" s="9">
        <v>7</v>
      </c>
      <c r="AR385" s="9">
        <v>36.799999999999997</v>
      </c>
      <c r="AS385" s="9">
        <v>21</v>
      </c>
      <c r="AT385" s="7">
        <v>23</v>
      </c>
      <c r="AU385" s="10">
        <v>163</v>
      </c>
      <c r="AV385" s="10">
        <v>104</v>
      </c>
      <c r="DC385" s="82">
        <v>95</v>
      </c>
      <c r="DD385" s="82">
        <v>0.72</v>
      </c>
      <c r="DE385" s="82">
        <v>150</v>
      </c>
      <c r="DF385" s="82">
        <v>145</v>
      </c>
      <c r="DG385" s="9">
        <f t="shared" si="5"/>
        <v>4.7653053170105579</v>
      </c>
      <c r="DH385" s="82">
        <v>29</v>
      </c>
      <c r="DI385" s="82">
        <v>6.64</v>
      </c>
      <c r="DL385" s="6">
        <v>60.8</v>
      </c>
      <c r="DM385" s="6">
        <v>60</v>
      </c>
      <c r="DN385" s="6"/>
      <c r="DP385" s="11">
        <v>2</v>
      </c>
      <c r="DQ385" s="6"/>
      <c r="DU385" s="9">
        <v>7</v>
      </c>
    </row>
    <row r="386" spans="1:125" x14ac:dyDescent="0.2">
      <c r="A386" s="37">
        <v>307</v>
      </c>
      <c r="B386" s="8">
        <v>42976</v>
      </c>
      <c r="C386" s="9" t="s">
        <v>675</v>
      </c>
      <c r="D386" s="9">
        <v>73</v>
      </c>
      <c r="E386" s="9" t="s">
        <v>100</v>
      </c>
      <c r="G386" s="9" t="s">
        <v>3009</v>
      </c>
      <c r="H386" s="9" t="s">
        <v>2628</v>
      </c>
      <c r="M386" s="9" t="s">
        <v>99</v>
      </c>
      <c r="N386" s="9" t="s">
        <v>99</v>
      </c>
      <c r="O386" s="9" t="s">
        <v>3073</v>
      </c>
      <c r="P386" s="9" t="s">
        <v>99</v>
      </c>
      <c r="Q386" s="9" t="s">
        <v>99</v>
      </c>
      <c r="S386" s="9" t="s">
        <v>99</v>
      </c>
      <c r="T386" s="9" t="s">
        <v>110</v>
      </c>
      <c r="U386" s="9" t="s">
        <v>99</v>
      </c>
      <c r="W386" s="37" t="s">
        <v>3690</v>
      </c>
      <c r="Y386" s="9" t="s">
        <v>3691</v>
      </c>
      <c r="Z386" s="9" t="s">
        <v>3692</v>
      </c>
      <c r="AA386" s="9" t="s">
        <v>100</v>
      </c>
      <c r="AB386" s="9" t="s">
        <v>100</v>
      </c>
      <c r="AE386" s="9" t="s">
        <v>118</v>
      </c>
      <c r="AF386" s="9" t="s">
        <v>99</v>
      </c>
      <c r="AG386" s="9" t="s">
        <v>126</v>
      </c>
      <c r="AH386" s="9" t="s">
        <v>99</v>
      </c>
      <c r="AI386" s="9" t="s">
        <v>99</v>
      </c>
      <c r="AJ386" s="9" t="s">
        <v>99</v>
      </c>
      <c r="AK386" s="9" t="s">
        <v>99</v>
      </c>
      <c r="AL386" s="9">
        <v>71.099999999999994</v>
      </c>
      <c r="AM386" s="9">
        <v>168</v>
      </c>
      <c r="AN386" s="10">
        <v>103</v>
      </c>
      <c r="AO386" s="9">
        <v>102</v>
      </c>
      <c r="AP386" s="9">
        <v>27.1</v>
      </c>
      <c r="AQ386" s="9">
        <v>12</v>
      </c>
      <c r="AR386" s="9">
        <v>30</v>
      </c>
      <c r="AS386" s="9">
        <v>58</v>
      </c>
      <c r="AT386" s="9">
        <v>25.2</v>
      </c>
      <c r="AU386" s="10">
        <v>137</v>
      </c>
      <c r="AV386" s="10">
        <v>80</v>
      </c>
      <c r="DC386" s="9">
        <v>96.9</v>
      </c>
      <c r="DE386" s="9">
        <v>194</v>
      </c>
      <c r="DF386" s="9">
        <v>128</v>
      </c>
      <c r="DG386" s="9">
        <f t="shared" si="5"/>
        <v>4.7128548914081687</v>
      </c>
      <c r="DH386" s="9">
        <v>25</v>
      </c>
      <c r="DI386" s="9">
        <v>3.45</v>
      </c>
      <c r="DL386" s="9">
        <v>54.3</v>
      </c>
      <c r="DM386" s="9">
        <v>114.1</v>
      </c>
      <c r="DQ386" s="6" t="s">
        <v>111</v>
      </c>
      <c r="DT386" s="9">
        <v>4.7</v>
      </c>
      <c r="DU386" s="9">
        <v>6.2</v>
      </c>
    </row>
    <row r="387" spans="1:125" x14ac:dyDescent="0.2">
      <c r="A387" s="9">
        <v>308</v>
      </c>
      <c r="B387" s="8">
        <v>42976</v>
      </c>
      <c r="C387" s="9" t="s">
        <v>196</v>
      </c>
      <c r="D387" s="9">
        <v>58</v>
      </c>
      <c r="E387" s="9" t="s">
        <v>100</v>
      </c>
      <c r="F387" s="17">
        <v>21792</v>
      </c>
      <c r="G387" s="9" t="s">
        <v>197</v>
      </c>
      <c r="H387" s="9" t="s">
        <v>3693</v>
      </c>
      <c r="I387" s="9">
        <v>12</v>
      </c>
      <c r="J387" s="9">
        <v>35</v>
      </c>
      <c r="K387" s="9">
        <v>22</v>
      </c>
      <c r="L387" s="109" t="s">
        <v>3694</v>
      </c>
      <c r="M387" s="9" t="s">
        <v>99</v>
      </c>
      <c r="N387" s="9" t="s">
        <v>99</v>
      </c>
      <c r="O387" s="9" t="s">
        <v>99</v>
      </c>
      <c r="P387" s="9" t="s">
        <v>99</v>
      </c>
      <c r="Q387" s="9" t="s">
        <v>99</v>
      </c>
      <c r="R387" s="9" t="s">
        <v>99</v>
      </c>
      <c r="S387" s="9" t="s">
        <v>110</v>
      </c>
      <c r="T387" s="9" t="s">
        <v>110</v>
      </c>
      <c r="U387" s="9" t="s">
        <v>2536</v>
      </c>
      <c r="W387" s="9" t="s">
        <v>3695</v>
      </c>
      <c r="Z387" s="9" t="s">
        <v>99</v>
      </c>
      <c r="AA387" s="9" t="s">
        <v>100</v>
      </c>
      <c r="AB387" s="9" t="s">
        <v>100</v>
      </c>
      <c r="AC387" s="9" t="s">
        <v>100</v>
      </c>
      <c r="AD387" s="9" t="s">
        <v>100</v>
      </c>
      <c r="AE387" s="9" t="s">
        <v>3696</v>
      </c>
      <c r="AF387" s="9" t="s">
        <v>118</v>
      </c>
      <c r="AG387" s="9" t="s">
        <v>125</v>
      </c>
      <c r="AH387" s="9" t="s">
        <v>99</v>
      </c>
      <c r="AI387" s="9" t="s">
        <v>99</v>
      </c>
      <c r="AJ387" s="9" t="s">
        <v>99</v>
      </c>
      <c r="AK387" s="9" t="s">
        <v>99</v>
      </c>
      <c r="AL387" s="9">
        <v>67.3</v>
      </c>
      <c r="AM387" s="9">
        <v>169</v>
      </c>
      <c r="AN387" s="10">
        <v>90</v>
      </c>
      <c r="AO387" s="9">
        <v>101</v>
      </c>
      <c r="AP387" s="9">
        <v>32.799999999999997</v>
      </c>
      <c r="AQ387" s="9">
        <v>7</v>
      </c>
      <c r="AR387" s="9">
        <v>28.6</v>
      </c>
      <c r="AS387" s="9">
        <v>47</v>
      </c>
      <c r="AT387" s="7">
        <v>23.6</v>
      </c>
      <c r="AU387" s="9">
        <v>109</v>
      </c>
      <c r="AV387" s="9">
        <v>81</v>
      </c>
      <c r="AX387" s="9" t="s">
        <v>3697</v>
      </c>
      <c r="AY387" s="9" t="s">
        <v>592</v>
      </c>
      <c r="AZ387" s="9" t="s">
        <v>573</v>
      </c>
      <c r="BB387" s="9" t="s">
        <v>750</v>
      </c>
      <c r="BC387" s="9" t="s">
        <v>1130</v>
      </c>
      <c r="BD387" s="9" t="s">
        <v>3489</v>
      </c>
      <c r="BF387" s="9" t="s">
        <v>1099</v>
      </c>
      <c r="BG387" s="9" t="s">
        <v>2606</v>
      </c>
      <c r="BH387" s="9" t="s">
        <v>2570</v>
      </c>
      <c r="BI387" s="9" t="s">
        <v>1173</v>
      </c>
      <c r="BJ387" s="9" t="s">
        <v>683</v>
      </c>
      <c r="BK387" s="9" t="s">
        <v>175</v>
      </c>
      <c r="BN387" s="9" t="s">
        <v>1805</v>
      </c>
      <c r="BO387" s="9" t="s">
        <v>180</v>
      </c>
      <c r="BP387" s="9" t="s">
        <v>857</v>
      </c>
      <c r="BR387" s="9" t="s">
        <v>99</v>
      </c>
      <c r="BV387" s="9" t="s">
        <v>99</v>
      </c>
      <c r="BZ387" s="9" t="s">
        <v>2096</v>
      </c>
      <c r="CA387" s="9" t="s">
        <v>183</v>
      </c>
      <c r="CB387" s="9" t="s">
        <v>709</v>
      </c>
      <c r="CD387" s="9" t="s">
        <v>99</v>
      </c>
      <c r="CH387" s="9" t="s">
        <v>99</v>
      </c>
      <c r="CL387" s="9" t="s">
        <v>2822</v>
      </c>
      <c r="CM387" s="9" t="s">
        <v>3698</v>
      </c>
      <c r="CN387" s="9" t="s">
        <v>3699</v>
      </c>
      <c r="CP387" s="9" t="s">
        <v>362</v>
      </c>
      <c r="CQ387" s="9" t="s">
        <v>716</v>
      </c>
      <c r="CR387" s="9" t="s">
        <v>757</v>
      </c>
      <c r="CT387" s="9" t="s">
        <v>3700</v>
      </c>
      <c r="CW387" s="9" t="s">
        <v>3701</v>
      </c>
      <c r="CX387" s="9" t="s">
        <v>110</v>
      </c>
      <c r="CY387" s="9" t="s">
        <v>2756</v>
      </c>
      <c r="CZ387" s="9">
        <v>30</v>
      </c>
      <c r="DA387" s="9">
        <v>30</v>
      </c>
      <c r="DB387" s="9">
        <v>40</v>
      </c>
      <c r="DC387" s="9">
        <v>81.400000000000006</v>
      </c>
      <c r="DD387" s="9">
        <v>0.35</v>
      </c>
      <c r="DE387" s="10">
        <v>225</v>
      </c>
      <c r="DF387" s="9">
        <v>64</v>
      </c>
      <c r="DG387" s="9">
        <f t="shared" ref="DG387:DG450" si="6">LN(DF387*DC387)/2</f>
        <v>4.2791291781840837</v>
      </c>
      <c r="DH387" s="9">
        <v>12.8</v>
      </c>
      <c r="DI387" s="9">
        <v>4.53</v>
      </c>
      <c r="DL387" s="9">
        <v>80.599999999999994</v>
      </c>
      <c r="DP387" s="11">
        <v>2</v>
      </c>
      <c r="DQ387" s="6" t="s">
        <v>111</v>
      </c>
    </row>
    <row r="388" spans="1:125" x14ac:dyDescent="0.2">
      <c r="A388" s="14">
        <v>309</v>
      </c>
      <c r="B388" s="17">
        <v>42976</v>
      </c>
      <c r="C388" s="9" t="s">
        <v>107</v>
      </c>
      <c r="D388" s="9">
        <v>64</v>
      </c>
      <c r="E388" s="9" t="s">
        <v>3702</v>
      </c>
      <c r="F388" s="17">
        <v>19318</v>
      </c>
      <c r="G388" s="9" t="s">
        <v>3703</v>
      </c>
      <c r="H388" s="9" t="s">
        <v>3693</v>
      </c>
      <c r="M388" s="9" t="s">
        <v>3618</v>
      </c>
      <c r="N388" s="10" t="s">
        <v>588</v>
      </c>
      <c r="O388" s="10" t="s">
        <v>588</v>
      </c>
      <c r="P388" s="10" t="s">
        <v>588</v>
      </c>
      <c r="Q388" s="10" t="s">
        <v>3568</v>
      </c>
      <c r="R388" s="9" t="s">
        <v>483</v>
      </c>
      <c r="S388" s="9" t="s">
        <v>588</v>
      </c>
      <c r="T388" s="9" t="s">
        <v>588</v>
      </c>
      <c r="U388" s="9" t="s">
        <v>3704</v>
      </c>
      <c r="V388" s="9" t="s">
        <v>483</v>
      </c>
      <c r="W388" s="9" t="s">
        <v>3705</v>
      </c>
      <c r="X388" s="9" t="s">
        <v>483</v>
      </c>
      <c r="Y388" s="9" t="s">
        <v>3706</v>
      </c>
      <c r="Z388" s="9" t="s">
        <v>483</v>
      </c>
      <c r="AA388" s="9" t="s">
        <v>96</v>
      </c>
      <c r="AB388" s="9" t="s">
        <v>100</v>
      </c>
      <c r="AC388" s="9" t="s">
        <v>3707</v>
      </c>
      <c r="AD388" s="9" t="s">
        <v>96</v>
      </c>
      <c r="AE388" s="9" t="s">
        <v>483</v>
      </c>
      <c r="AF388" s="10" t="s">
        <v>3572</v>
      </c>
      <c r="AG388" s="9" t="s">
        <v>483</v>
      </c>
      <c r="AH388" s="9" t="s">
        <v>483</v>
      </c>
      <c r="AI388" s="10" t="s">
        <v>3572</v>
      </c>
      <c r="AJ388" s="9" t="s">
        <v>483</v>
      </c>
      <c r="AK388" s="10" t="s">
        <v>3708</v>
      </c>
      <c r="AL388" s="9">
        <v>117.7</v>
      </c>
      <c r="AM388" s="9">
        <v>1.79</v>
      </c>
      <c r="AN388" s="10">
        <v>123</v>
      </c>
      <c r="AO388" s="9">
        <v>115</v>
      </c>
      <c r="AP388" s="9">
        <v>38.200000000000003</v>
      </c>
      <c r="AQ388" s="9">
        <v>23</v>
      </c>
      <c r="AR388" s="9">
        <v>26.4</v>
      </c>
      <c r="AS388" s="9">
        <v>80</v>
      </c>
      <c r="AT388" s="9">
        <v>36.700000000000003</v>
      </c>
      <c r="AU388" s="10" t="s">
        <v>3709</v>
      </c>
      <c r="AV388" s="10">
        <v>97</v>
      </c>
      <c r="DC388" s="15">
        <v>111</v>
      </c>
      <c r="DD388" s="6">
        <v>0.85</v>
      </c>
      <c r="DE388" s="15">
        <v>209</v>
      </c>
      <c r="DF388" s="15">
        <v>182</v>
      </c>
      <c r="DG388" s="9">
        <f t="shared" si="6"/>
        <v>4.956768444194565</v>
      </c>
      <c r="DH388" s="6">
        <v>36.4</v>
      </c>
      <c r="DI388" s="6">
        <v>6</v>
      </c>
      <c r="DL388" s="6">
        <v>47</v>
      </c>
      <c r="DM388" s="6">
        <v>125.6</v>
      </c>
      <c r="DN388" s="6"/>
      <c r="DP388" s="11">
        <v>2</v>
      </c>
      <c r="DQ388" s="6" t="s">
        <v>105</v>
      </c>
    </row>
    <row r="389" spans="1:125" x14ac:dyDescent="0.2">
      <c r="A389" s="14">
        <v>310</v>
      </c>
      <c r="B389" s="17">
        <v>42976</v>
      </c>
      <c r="C389" s="9" t="s">
        <v>107</v>
      </c>
      <c r="D389" s="9">
        <v>67</v>
      </c>
      <c r="E389" s="9" t="s">
        <v>96</v>
      </c>
      <c r="F389" s="17">
        <v>18471</v>
      </c>
      <c r="H389" s="9" t="s">
        <v>3710</v>
      </c>
      <c r="M389" s="9" t="s">
        <v>483</v>
      </c>
      <c r="N389" s="9" t="s">
        <v>483</v>
      </c>
      <c r="O389" s="9" t="s">
        <v>483</v>
      </c>
      <c r="P389" s="9" t="s">
        <v>483</v>
      </c>
      <c r="Q389" s="10" t="s">
        <v>588</v>
      </c>
      <c r="R389" s="9" t="s">
        <v>588</v>
      </c>
      <c r="S389" s="9" t="s">
        <v>483</v>
      </c>
      <c r="T389" s="9" t="s">
        <v>588</v>
      </c>
      <c r="U389" s="9" t="s">
        <v>483</v>
      </c>
      <c r="V389" s="9" t="s">
        <v>483</v>
      </c>
      <c r="W389" s="10" t="s">
        <v>3711</v>
      </c>
      <c r="X389" s="9" t="s">
        <v>263</v>
      </c>
      <c r="Y389" s="9" t="s">
        <v>263</v>
      </c>
      <c r="Z389" s="9" t="s">
        <v>3712</v>
      </c>
      <c r="AA389" s="9" t="s">
        <v>3713</v>
      </c>
      <c r="AB389" s="9" t="s">
        <v>3713</v>
      </c>
      <c r="AC389" s="9" t="s">
        <v>3713</v>
      </c>
      <c r="AD389" s="9" t="s">
        <v>3713</v>
      </c>
      <c r="AE389" s="9" t="s">
        <v>263</v>
      </c>
      <c r="AF389" s="9" t="s">
        <v>483</v>
      </c>
      <c r="AG389" s="9" t="s">
        <v>483</v>
      </c>
      <c r="AH389" s="9" t="s">
        <v>483</v>
      </c>
      <c r="AI389" s="9" t="s">
        <v>483</v>
      </c>
      <c r="AJ389" s="9" t="s">
        <v>483</v>
      </c>
      <c r="AK389" s="9" t="s">
        <v>483</v>
      </c>
      <c r="AL389" s="9">
        <v>88.8</v>
      </c>
      <c r="AM389" s="9">
        <v>1.75</v>
      </c>
      <c r="AN389" s="10">
        <v>112</v>
      </c>
      <c r="AO389" s="9">
        <v>109</v>
      </c>
      <c r="AP389" s="9">
        <v>25.1</v>
      </c>
      <c r="AQ389" s="9">
        <v>14</v>
      </c>
      <c r="AR389" s="9">
        <v>33</v>
      </c>
      <c r="AS389" s="9">
        <v>68</v>
      </c>
      <c r="AT389" s="9">
        <v>29</v>
      </c>
      <c r="AU389" s="9">
        <v>121</v>
      </c>
      <c r="AV389" s="9">
        <v>79</v>
      </c>
      <c r="DC389" s="15">
        <v>103</v>
      </c>
      <c r="DD389" s="6">
        <v>0.9</v>
      </c>
      <c r="DE389" s="15">
        <v>209</v>
      </c>
      <c r="DF389" s="15">
        <v>156</v>
      </c>
      <c r="DG389" s="9">
        <f t="shared" si="6"/>
        <v>4.842292497739586</v>
      </c>
      <c r="DH389" s="6">
        <v>30</v>
      </c>
      <c r="DI389" s="6">
        <v>6.25</v>
      </c>
      <c r="DL389" s="6">
        <v>47</v>
      </c>
      <c r="DM389" s="6">
        <v>132</v>
      </c>
      <c r="DN389" s="6"/>
      <c r="DP389" s="11">
        <v>2</v>
      </c>
      <c r="DQ389" s="6" t="s">
        <v>105</v>
      </c>
      <c r="DR389" s="30">
        <v>1</v>
      </c>
      <c r="DU389" s="9">
        <v>4.7</v>
      </c>
    </row>
    <row r="390" spans="1:125" x14ac:dyDescent="0.2">
      <c r="A390" s="9">
        <v>311</v>
      </c>
      <c r="B390" s="17">
        <v>42943</v>
      </c>
      <c r="C390" s="9" t="s">
        <v>95</v>
      </c>
      <c r="D390" s="9">
        <v>64</v>
      </c>
      <c r="E390" s="9" t="s">
        <v>100</v>
      </c>
      <c r="F390" s="17">
        <v>19800</v>
      </c>
      <c r="G390" s="9" t="s">
        <v>197</v>
      </c>
      <c r="H390" s="9" t="s">
        <v>3714</v>
      </c>
      <c r="I390" s="9" t="s">
        <v>1610</v>
      </c>
      <c r="J390" s="10" t="s">
        <v>2138</v>
      </c>
      <c r="K390" s="17">
        <v>33798</v>
      </c>
      <c r="L390" s="9">
        <v>7</v>
      </c>
      <c r="M390" s="9" t="s">
        <v>483</v>
      </c>
      <c r="N390" s="10" t="s">
        <v>588</v>
      </c>
      <c r="O390" s="9" t="s">
        <v>483</v>
      </c>
      <c r="P390" s="9" t="s">
        <v>483</v>
      </c>
      <c r="Q390" s="10" t="s">
        <v>369</v>
      </c>
      <c r="R390" s="9" t="s">
        <v>588</v>
      </c>
      <c r="S390" s="10" t="s">
        <v>3715</v>
      </c>
      <c r="T390" s="9" t="s">
        <v>588</v>
      </c>
      <c r="U390" s="9" t="s">
        <v>483</v>
      </c>
      <c r="V390" s="9" t="s">
        <v>483</v>
      </c>
      <c r="W390" s="9" t="s">
        <v>483</v>
      </c>
      <c r="X390" s="9" t="s">
        <v>483</v>
      </c>
      <c r="Y390" s="10" t="s">
        <v>3716</v>
      </c>
      <c r="Z390" s="9" t="s">
        <v>483</v>
      </c>
      <c r="AA390" s="9" t="s">
        <v>96</v>
      </c>
      <c r="AB390" s="9" t="s">
        <v>96</v>
      </c>
      <c r="AC390" s="9" t="s">
        <v>96</v>
      </c>
      <c r="AD390" s="9" t="s">
        <v>96</v>
      </c>
      <c r="AE390" s="10" t="s">
        <v>3717</v>
      </c>
      <c r="AF390" s="10" t="s">
        <v>3718</v>
      </c>
      <c r="AG390" s="10" t="s">
        <v>3719</v>
      </c>
      <c r="AH390" s="10" t="s">
        <v>3720</v>
      </c>
      <c r="AI390" s="10" t="s">
        <v>611</v>
      </c>
      <c r="AJ390" s="9" t="s">
        <v>483</v>
      </c>
      <c r="AK390" s="9" t="s">
        <v>483</v>
      </c>
      <c r="AL390" s="9">
        <v>83.3</v>
      </c>
      <c r="AM390" s="9">
        <v>1.64</v>
      </c>
      <c r="AN390" s="46">
        <v>98</v>
      </c>
      <c r="AO390" s="9">
        <v>113</v>
      </c>
      <c r="AP390" s="9">
        <v>52.4</v>
      </c>
      <c r="AQ390" s="9">
        <v>13</v>
      </c>
      <c r="AR390" s="9">
        <v>17.7</v>
      </c>
      <c r="AS390" s="9">
        <v>69</v>
      </c>
      <c r="AT390" s="9">
        <v>31</v>
      </c>
      <c r="AU390" s="10">
        <v>130</v>
      </c>
      <c r="AV390" s="9">
        <v>75</v>
      </c>
      <c r="AX390" s="9" t="s">
        <v>3721</v>
      </c>
      <c r="AY390" s="9" t="s">
        <v>3722</v>
      </c>
      <c r="AZ390" s="9" t="s">
        <v>3723</v>
      </c>
      <c r="BB390" s="9" t="s">
        <v>1864</v>
      </c>
      <c r="BC390" s="9" t="s">
        <v>3724</v>
      </c>
      <c r="BD390" s="9" t="s">
        <v>3725</v>
      </c>
      <c r="BF390" s="9" t="s">
        <v>3726</v>
      </c>
      <c r="BG390" s="9" t="s">
        <v>683</v>
      </c>
      <c r="BH390" s="9" t="s">
        <v>3727</v>
      </c>
      <c r="BI390" s="9" t="s">
        <v>323</v>
      </c>
      <c r="BJ390" s="9" t="s">
        <v>635</v>
      </c>
      <c r="BK390" s="9" t="s">
        <v>483</v>
      </c>
      <c r="BL390" s="9" t="s">
        <v>2407</v>
      </c>
      <c r="BM390" s="9" t="s">
        <v>3728</v>
      </c>
      <c r="BN390" s="9" t="s">
        <v>3729</v>
      </c>
      <c r="BO390" s="9" t="s">
        <v>376</v>
      </c>
      <c r="BQ390" s="9" t="s">
        <v>483</v>
      </c>
      <c r="BV390" s="9" t="s">
        <v>3730</v>
      </c>
      <c r="BZ390" s="9" t="s">
        <v>3731</v>
      </c>
      <c r="CA390" s="9" t="s">
        <v>3732</v>
      </c>
      <c r="CB390" s="9" t="s">
        <v>1213</v>
      </c>
      <c r="CC390" s="9" t="s">
        <v>483</v>
      </c>
      <c r="CH390" s="9" t="s">
        <v>1794</v>
      </c>
      <c r="CL390" s="9" t="s">
        <v>308</v>
      </c>
      <c r="CM390" s="9" t="s">
        <v>3733</v>
      </c>
      <c r="CN390" s="9" t="s">
        <v>3734</v>
      </c>
      <c r="CP390" s="9" t="s">
        <v>946</v>
      </c>
      <c r="CQ390" s="9" t="s">
        <v>791</v>
      </c>
      <c r="CT390" s="9" t="s">
        <v>3735</v>
      </c>
      <c r="CU390" s="9" t="s">
        <v>336</v>
      </c>
      <c r="CV390" s="9" t="s">
        <v>3736</v>
      </c>
      <c r="CW390" s="9">
        <v>3</v>
      </c>
      <c r="CX390" s="9" t="s">
        <v>483</v>
      </c>
      <c r="CY390" s="9" t="s">
        <v>483</v>
      </c>
      <c r="CZ390" s="9">
        <v>33</v>
      </c>
      <c r="DA390" s="9">
        <v>33</v>
      </c>
      <c r="DB390" s="9">
        <v>33</v>
      </c>
      <c r="DC390" s="6">
        <v>82.6</v>
      </c>
      <c r="DD390" s="6">
        <v>0.71</v>
      </c>
      <c r="DE390" s="15">
        <v>210</v>
      </c>
      <c r="DF390" s="6">
        <v>117</v>
      </c>
      <c r="DG390" s="9">
        <f t="shared" si="6"/>
        <v>4.5880918076623445</v>
      </c>
      <c r="DH390" s="6">
        <v>23.4</v>
      </c>
      <c r="DI390" s="6">
        <v>5.98</v>
      </c>
      <c r="DL390" s="6"/>
      <c r="DM390" s="6"/>
      <c r="DN390" s="6"/>
      <c r="DP390" s="11">
        <v>2</v>
      </c>
      <c r="DQ390" s="6" t="s">
        <v>111</v>
      </c>
      <c r="DR390" s="9">
        <v>3</v>
      </c>
    </row>
    <row r="391" spans="1:125" x14ac:dyDescent="0.2">
      <c r="A391" s="9">
        <v>312</v>
      </c>
      <c r="B391" s="8">
        <v>42942</v>
      </c>
      <c r="C391" s="9" t="s">
        <v>196</v>
      </c>
      <c r="D391" s="9">
        <v>45</v>
      </c>
      <c r="F391" s="17">
        <v>26482</v>
      </c>
      <c r="G391" s="9" t="s">
        <v>197</v>
      </c>
      <c r="H391" s="9" t="s">
        <v>3737</v>
      </c>
      <c r="J391" s="9" t="s">
        <v>99</v>
      </c>
      <c r="K391" s="9">
        <v>2006</v>
      </c>
      <c r="L391" s="9">
        <v>3</v>
      </c>
      <c r="M391" s="9" t="s">
        <v>99</v>
      </c>
      <c r="N391" s="9" t="s">
        <v>99</v>
      </c>
      <c r="O391" s="9" t="s">
        <v>99</v>
      </c>
      <c r="P391" s="9" t="s">
        <v>99</v>
      </c>
      <c r="Q391" s="9" t="s">
        <v>99</v>
      </c>
      <c r="R391" s="9" t="s">
        <v>99</v>
      </c>
      <c r="S391" s="9" t="s">
        <v>99</v>
      </c>
      <c r="T391" s="9" t="s">
        <v>99</v>
      </c>
      <c r="U391" s="9" t="s">
        <v>99</v>
      </c>
      <c r="V391" s="9" t="s">
        <v>99</v>
      </c>
      <c r="AA391" s="9" t="s">
        <v>100</v>
      </c>
      <c r="AB391" s="9" t="s">
        <v>100</v>
      </c>
      <c r="AC391" s="14" t="s">
        <v>840</v>
      </c>
      <c r="AD391" s="9" t="s">
        <v>100</v>
      </c>
      <c r="AE391" s="9" t="s">
        <v>3738</v>
      </c>
      <c r="AF391" s="9" t="s">
        <v>118</v>
      </c>
      <c r="AG391" s="9" t="s">
        <v>118</v>
      </c>
      <c r="AH391" s="9" t="s">
        <v>99</v>
      </c>
      <c r="AI391" s="9" t="s">
        <v>3739</v>
      </c>
      <c r="AL391" s="9">
        <v>55.7</v>
      </c>
      <c r="AM391" s="9">
        <v>158</v>
      </c>
      <c r="AN391" s="9">
        <v>65</v>
      </c>
      <c r="AO391" s="9">
        <v>94</v>
      </c>
      <c r="AP391" s="9">
        <v>37.5</v>
      </c>
      <c r="AQ391" s="9">
        <v>6</v>
      </c>
      <c r="AR391" s="9">
        <v>20.9</v>
      </c>
      <c r="AS391" s="9">
        <v>36</v>
      </c>
      <c r="AT391" s="7">
        <v>22.3</v>
      </c>
      <c r="AU391" s="9">
        <v>111</v>
      </c>
      <c r="AV391" s="9">
        <v>75</v>
      </c>
      <c r="AX391" s="9" t="s">
        <v>3740</v>
      </c>
      <c r="AY391" s="9" t="s">
        <v>2633</v>
      </c>
      <c r="AZ391" s="9" t="s">
        <v>2878</v>
      </c>
      <c r="BB391" s="9" t="s">
        <v>346</v>
      </c>
      <c r="BC391" s="9" t="s">
        <v>2554</v>
      </c>
      <c r="BF391" s="9" t="s">
        <v>2784</v>
      </c>
      <c r="BG391" s="9" t="s">
        <v>175</v>
      </c>
      <c r="BI391" s="9" t="s">
        <v>175</v>
      </c>
      <c r="BJ391" s="9" t="s">
        <v>3741</v>
      </c>
      <c r="BK391" s="9" t="s">
        <v>3742</v>
      </c>
      <c r="BN391" s="9" t="s">
        <v>2557</v>
      </c>
      <c r="BO391" s="9" t="s">
        <v>3743</v>
      </c>
      <c r="BP391" s="14" t="s">
        <v>857</v>
      </c>
      <c r="BZ391" s="9" t="s">
        <v>807</v>
      </c>
      <c r="CA391" s="9" t="s">
        <v>577</v>
      </c>
      <c r="CB391" s="9" t="s">
        <v>3744</v>
      </c>
      <c r="CL391" s="9" t="s">
        <v>3158</v>
      </c>
      <c r="CM391" s="9" t="s">
        <v>887</v>
      </c>
      <c r="CN391" s="9" t="s">
        <v>2448</v>
      </c>
      <c r="CP391" s="9" t="s">
        <v>361</v>
      </c>
      <c r="CW391" s="9">
        <v>3</v>
      </c>
      <c r="CX391" s="9" t="s">
        <v>110</v>
      </c>
      <c r="CY391" s="9" t="s">
        <v>110</v>
      </c>
      <c r="CZ391" s="9">
        <v>70</v>
      </c>
      <c r="DA391" s="9">
        <v>15</v>
      </c>
      <c r="DB391" s="9">
        <v>15</v>
      </c>
      <c r="DC391" s="9">
        <v>82.2</v>
      </c>
      <c r="DD391" s="9">
        <v>0.8</v>
      </c>
      <c r="DE391" s="9">
        <v>172</v>
      </c>
      <c r="DF391" s="9">
        <v>49</v>
      </c>
      <c r="DG391" s="9">
        <f t="shared" si="6"/>
        <v>4.1504878000863803</v>
      </c>
      <c r="DH391" s="9">
        <v>9.8000000000000007</v>
      </c>
      <c r="DI391" s="9">
        <v>3.79</v>
      </c>
      <c r="DP391" s="11">
        <v>2</v>
      </c>
      <c r="DQ391" s="6" t="s">
        <v>111</v>
      </c>
      <c r="DR391" s="9">
        <v>3</v>
      </c>
    </row>
    <row r="392" spans="1:125" x14ac:dyDescent="0.2">
      <c r="A392" s="10">
        <v>313</v>
      </c>
      <c r="B392" s="8">
        <v>42938</v>
      </c>
      <c r="C392" s="9" t="s">
        <v>675</v>
      </c>
      <c r="D392" s="9">
        <v>67</v>
      </c>
      <c r="E392" s="9" t="s">
        <v>100</v>
      </c>
      <c r="F392" s="17">
        <v>18154</v>
      </c>
      <c r="G392" s="9" t="s">
        <v>3745</v>
      </c>
      <c r="H392" s="9" t="s">
        <v>3746</v>
      </c>
      <c r="M392" s="9" t="s">
        <v>99</v>
      </c>
      <c r="N392" s="9" t="s">
        <v>99</v>
      </c>
      <c r="O392" s="9" t="s">
        <v>99</v>
      </c>
      <c r="P392" s="9" t="s">
        <v>99</v>
      </c>
      <c r="Q392" s="9" t="s">
        <v>110</v>
      </c>
      <c r="U392" s="9" t="s">
        <v>3747</v>
      </c>
      <c r="W392" s="9" t="s">
        <v>3748</v>
      </c>
      <c r="Y392" s="9" t="s">
        <v>3749</v>
      </c>
      <c r="AA392" s="9" t="s">
        <v>100</v>
      </c>
      <c r="AB392" s="9" t="s">
        <v>100</v>
      </c>
      <c r="AC392" s="9" t="s">
        <v>100</v>
      </c>
      <c r="AD392" s="9" t="s">
        <v>100</v>
      </c>
      <c r="AE392" s="9" t="s">
        <v>99</v>
      </c>
      <c r="AF392" s="9" t="s">
        <v>99</v>
      </c>
      <c r="AG392" s="9" t="s">
        <v>99</v>
      </c>
      <c r="AH392" s="9" t="s">
        <v>99</v>
      </c>
      <c r="AI392" s="9" t="s">
        <v>99</v>
      </c>
      <c r="AJ392" s="9" t="s">
        <v>99</v>
      </c>
      <c r="AL392" s="9">
        <v>60.6</v>
      </c>
      <c r="AM392" s="9">
        <v>168</v>
      </c>
      <c r="AN392" s="9">
        <v>90</v>
      </c>
      <c r="AO392" s="9">
        <v>97</v>
      </c>
      <c r="AP392" s="9">
        <v>19.399999999999999</v>
      </c>
      <c r="AQ392" s="9">
        <v>6</v>
      </c>
      <c r="AR392" s="9">
        <v>33.5</v>
      </c>
      <c r="AS392" s="9">
        <v>43</v>
      </c>
      <c r="AT392" s="7">
        <v>21.5</v>
      </c>
      <c r="AU392" s="10">
        <v>145</v>
      </c>
      <c r="AV392" s="10">
        <v>98</v>
      </c>
      <c r="AW392" s="9" t="s">
        <v>3750</v>
      </c>
      <c r="AX392" s="9" t="s">
        <v>2878</v>
      </c>
      <c r="AY392" s="9" t="s">
        <v>3751</v>
      </c>
      <c r="AZ392" s="9" t="s">
        <v>666</v>
      </c>
      <c r="BB392" s="9" t="s">
        <v>3389</v>
      </c>
      <c r="BC392" s="9" t="s">
        <v>346</v>
      </c>
      <c r="BD392" s="9" t="s">
        <v>2554</v>
      </c>
      <c r="BF392" s="9" t="s">
        <v>176</v>
      </c>
      <c r="BG392" s="9" t="s">
        <v>1173</v>
      </c>
      <c r="BH392" s="9" t="s">
        <v>175</v>
      </c>
      <c r="BI392" s="9" t="s">
        <v>1099</v>
      </c>
      <c r="BJ392" s="9" t="s">
        <v>3752</v>
      </c>
      <c r="BK392" s="9" t="s">
        <v>2656</v>
      </c>
      <c r="BN392" s="9" t="s">
        <v>179</v>
      </c>
      <c r="BO392" s="9" t="s">
        <v>219</v>
      </c>
      <c r="BP392" s="9" t="s">
        <v>352</v>
      </c>
      <c r="BR392" s="9" t="s">
        <v>99</v>
      </c>
      <c r="BV392" s="9" t="s">
        <v>99</v>
      </c>
      <c r="BZ392" s="9" t="s">
        <v>709</v>
      </c>
      <c r="CA392" s="9" t="s">
        <v>1100</v>
      </c>
      <c r="CB392" s="9" t="s">
        <v>3753</v>
      </c>
      <c r="CD392" s="9" t="s">
        <v>99</v>
      </c>
      <c r="CH392" s="9" t="s">
        <v>99</v>
      </c>
      <c r="CL392" s="9" t="s">
        <v>1181</v>
      </c>
      <c r="CM392" s="9" t="s">
        <v>3754</v>
      </c>
      <c r="CN392" s="9" t="s">
        <v>3755</v>
      </c>
      <c r="CP392" s="9" t="s">
        <v>362</v>
      </c>
      <c r="CQ392" s="9" t="s">
        <v>791</v>
      </c>
      <c r="CR392" s="9" t="s">
        <v>3756</v>
      </c>
      <c r="CT392" s="9" t="s">
        <v>3757</v>
      </c>
      <c r="CU392" s="9" t="s">
        <v>364</v>
      </c>
      <c r="CW392" s="45">
        <v>43558</v>
      </c>
      <c r="CX392" s="9" t="s">
        <v>110</v>
      </c>
      <c r="CY392" s="9" t="s">
        <v>2756</v>
      </c>
      <c r="DC392" s="10">
        <v>99.1</v>
      </c>
      <c r="DD392" s="9">
        <v>0.9</v>
      </c>
      <c r="DE392" s="9">
        <v>199</v>
      </c>
      <c r="DF392" s="9" t="s">
        <v>3758</v>
      </c>
      <c r="DG392" s="9" t="e">
        <f t="shared" si="6"/>
        <v>#VALUE!</v>
      </c>
      <c r="DH392" s="9">
        <v>12.6</v>
      </c>
      <c r="DI392" s="9">
        <v>6.93</v>
      </c>
      <c r="DP392" s="11">
        <v>2</v>
      </c>
      <c r="DQ392" s="6" t="s">
        <v>111</v>
      </c>
      <c r="DR392" s="9">
        <v>3</v>
      </c>
    </row>
    <row r="393" spans="1:125" x14ac:dyDescent="0.2">
      <c r="A393" s="9">
        <v>314</v>
      </c>
      <c r="C393" s="9" t="s">
        <v>196</v>
      </c>
      <c r="D393" s="9">
        <v>76</v>
      </c>
      <c r="G393" s="9" t="s">
        <v>3759</v>
      </c>
      <c r="I393" s="9">
        <v>13</v>
      </c>
      <c r="J393" s="10">
        <v>54</v>
      </c>
      <c r="K393" s="9" t="s">
        <v>99</v>
      </c>
      <c r="L393" s="9" t="s">
        <v>99</v>
      </c>
      <c r="M393" s="9" t="s">
        <v>99</v>
      </c>
      <c r="N393" s="9" t="s">
        <v>99</v>
      </c>
      <c r="O393" s="9" t="s">
        <v>99</v>
      </c>
      <c r="P393" s="9" t="s">
        <v>99</v>
      </c>
      <c r="Q393" s="9" t="s">
        <v>99</v>
      </c>
      <c r="R393" s="9" t="s">
        <v>110</v>
      </c>
      <c r="S393" s="9" t="s">
        <v>99</v>
      </c>
      <c r="T393" s="9" t="s">
        <v>99</v>
      </c>
      <c r="U393" s="9" t="s">
        <v>3760</v>
      </c>
      <c r="W393" s="9" t="s">
        <v>99</v>
      </c>
      <c r="X393" s="9" t="s">
        <v>99</v>
      </c>
      <c r="Y393" s="9" t="s">
        <v>99</v>
      </c>
      <c r="AA393" s="9" t="s">
        <v>1123</v>
      </c>
      <c r="AB393" s="9" t="s">
        <v>1123</v>
      </c>
      <c r="AC393" s="9" t="s">
        <v>1123</v>
      </c>
      <c r="AD393" s="9" t="s">
        <v>1123</v>
      </c>
      <c r="AE393" s="9" t="s">
        <v>3761</v>
      </c>
      <c r="AF393" s="9" t="s">
        <v>118</v>
      </c>
      <c r="AG393" s="9" t="s">
        <v>99</v>
      </c>
      <c r="AH393" s="9" t="s">
        <v>99</v>
      </c>
      <c r="AI393" s="9" t="s">
        <v>118</v>
      </c>
      <c r="AJ393" s="9" t="s">
        <v>99</v>
      </c>
      <c r="AK393" s="9" t="s">
        <v>3762</v>
      </c>
      <c r="AL393" s="9">
        <v>54</v>
      </c>
      <c r="AN393" s="9">
        <v>75</v>
      </c>
      <c r="AO393" s="9">
        <v>89</v>
      </c>
      <c r="AP393" s="9">
        <v>33.799999999999997</v>
      </c>
      <c r="AQ393" s="9">
        <v>6</v>
      </c>
      <c r="AR393" s="9">
        <v>26.5</v>
      </c>
      <c r="AS393" s="9">
        <v>48</v>
      </c>
      <c r="AT393" s="7">
        <v>22.5</v>
      </c>
      <c r="AU393" s="9">
        <v>118</v>
      </c>
      <c r="AV393" s="9">
        <v>80</v>
      </c>
      <c r="DC393" s="10">
        <v>100.1</v>
      </c>
      <c r="DD393" s="9">
        <v>0.48</v>
      </c>
      <c r="DE393" s="10">
        <v>246</v>
      </c>
      <c r="DF393" s="9" t="s">
        <v>3763</v>
      </c>
      <c r="DG393" s="9" t="e">
        <f t="shared" si="6"/>
        <v>#VALUE!</v>
      </c>
      <c r="DH393" s="9">
        <v>21.6</v>
      </c>
      <c r="DI393" s="9">
        <v>5.0999999999999996</v>
      </c>
      <c r="DP393" s="11">
        <v>3</v>
      </c>
      <c r="DQ393" s="6" t="s">
        <v>111</v>
      </c>
      <c r="DR393" s="9">
        <v>3</v>
      </c>
      <c r="DU393" s="9">
        <v>9</v>
      </c>
    </row>
    <row r="394" spans="1:125" x14ac:dyDescent="0.2">
      <c r="A394" s="9">
        <v>315</v>
      </c>
      <c r="B394" s="107">
        <v>43005</v>
      </c>
      <c r="C394" s="9" t="s">
        <v>196</v>
      </c>
      <c r="D394" s="9">
        <v>50</v>
      </c>
      <c r="E394" s="9" t="s">
        <v>100</v>
      </c>
      <c r="G394" s="9" t="s">
        <v>197</v>
      </c>
      <c r="H394" s="9" t="s">
        <v>3764</v>
      </c>
      <c r="I394" s="9">
        <v>9</v>
      </c>
      <c r="J394" s="10">
        <v>40</v>
      </c>
      <c r="L394" s="9" t="s">
        <v>99</v>
      </c>
      <c r="M394" s="10" t="s">
        <v>3618</v>
      </c>
      <c r="N394" s="10" t="s">
        <v>110</v>
      </c>
      <c r="O394" s="10" t="s">
        <v>110</v>
      </c>
      <c r="P394" s="9" t="s">
        <v>99</v>
      </c>
      <c r="Q394" s="9" t="s">
        <v>99</v>
      </c>
      <c r="S394" s="9" t="s">
        <v>3765</v>
      </c>
      <c r="T394" s="9" t="s">
        <v>110</v>
      </c>
      <c r="U394" s="9" t="s">
        <v>99</v>
      </c>
      <c r="W394" s="9" t="s">
        <v>2630</v>
      </c>
      <c r="Y394" s="9" t="s">
        <v>3766</v>
      </c>
      <c r="Z394" s="9" t="s">
        <v>3767</v>
      </c>
      <c r="AA394" s="9" t="s">
        <v>2777</v>
      </c>
      <c r="AB394" s="30" t="s">
        <v>3768</v>
      </c>
      <c r="AC394" s="9" t="s">
        <v>3769</v>
      </c>
      <c r="AE394" s="9" t="s">
        <v>3770</v>
      </c>
      <c r="AF394" s="9" t="s">
        <v>99</v>
      </c>
      <c r="AG394" s="9" t="s">
        <v>99</v>
      </c>
      <c r="AH394" s="9" t="s">
        <v>99</v>
      </c>
      <c r="AI394" s="9" t="s">
        <v>99</v>
      </c>
      <c r="AJ394" s="9" t="s">
        <v>99</v>
      </c>
      <c r="AK394" s="9" t="s">
        <v>99</v>
      </c>
      <c r="AL394" s="9">
        <v>97.9</v>
      </c>
      <c r="AM394" s="9">
        <v>165</v>
      </c>
      <c r="AN394" s="9">
        <v>123</v>
      </c>
      <c r="AO394" s="9">
        <v>135</v>
      </c>
      <c r="AP394" s="9">
        <v>50.4</v>
      </c>
      <c r="AQ394" s="9">
        <v>13</v>
      </c>
      <c r="AR394" s="9">
        <v>22.6</v>
      </c>
      <c r="AS394" s="9">
        <v>76</v>
      </c>
      <c r="AT394" s="14">
        <v>41.3</v>
      </c>
      <c r="AU394" s="9">
        <v>105</v>
      </c>
      <c r="AV394" s="9">
        <v>75</v>
      </c>
      <c r="AW394" s="9" t="s">
        <v>3771</v>
      </c>
      <c r="DC394" s="73">
        <v>163.30000000000001</v>
      </c>
      <c r="DD394">
        <v>0.59</v>
      </c>
      <c r="DE394" s="108">
        <v>213</v>
      </c>
      <c r="DF394" s="108">
        <v>166</v>
      </c>
      <c r="DG394" s="9">
        <f t="shared" si="6"/>
        <v>5.1037883941664814</v>
      </c>
      <c r="DH394">
        <v>33.200000000000003</v>
      </c>
      <c r="DI394">
        <v>6.49</v>
      </c>
      <c r="DJ394"/>
      <c r="DK394"/>
      <c r="DL394"/>
      <c r="DM394"/>
      <c r="DP394" s="11">
        <v>2</v>
      </c>
      <c r="DQ394" s="6"/>
      <c r="DR394" s="9">
        <v>2</v>
      </c>
      <c r="DU394" s="9">
        <v>8.8000000000000007</v>
      </c>
    </row>
    <row r="395" spans="1:125" x14ac:dyDescent="0.2">
      <c r="A395" s="9">
        <v>316</v>
      </c>
      <c r="B395" s="8">
        <v>42938</v>
      </c>
      <c r="C395" s="9" t="s">
        <v>196</v>
      </c>
      <c r="D395" s="9">
        <v>54</v>
      </c>
      <c r="E395" s="9" t="s">
        <v>100</v>
      </c>
      <c r="F395" s="17">
        <v>22831</v>
      </c>
      <c r="H395" s="9" t="s">
        <v>3772</v>
      </c>
      <c r="I395" s="9">
        <v>12</v>
      </c>
      <c r="J395" s="10">
        <v>51</v>
      </c>
      <c r="K395" s="9">
        <v>30</v>
      </c>
      <c r="L395" s="14" t="s">
        <v>2858</v>
      </c>
      <c r="M395" s="10" t="s">
        <v>3537</v>
      </c>
      <c r="N395" s="9" t="s">
        <v>99</v>
      </c>
      <c r="O395" s="9" t="s">
        <v>99</v>
      </c>
      <c r="P395" s="9" t="s">
        <v>99</v>
      </c>
      <c r="Q395" s="9" t="s">
        <v>99</v>
      </c>
      <c r="R395" s="9" t="s">
        <v>110</v>
      </c>
      <c r="S395" s="9" t="s">
        <v>99</v>
      </c>
      <c r="T395" s="9" t="s">
        <v>99</v>
      </c>
      <c r="U395" s="9" t="s">
        <v>99</v>
      </c>
      <c r="V395" s="9" t="s">
        <v>99</v>
      </c>
      <c r="W395" s="9" t="s">
        <v>3773</v>
      </c>
      <c r="AA395" s="9" t="s">
        <v>100</v>
      </c>
      <c r="AB395" s="9" t="s">
        <v>100</v>
      </c>
      <c r="AC395" s="9" t="s">
        <v>100</v>
      </c>
      <c r="AD395" s="9" t="s">
        <v>100</v>
      </c>
      <c r="AE395" s="9" t="s">
        <v>3774</v>
      </c>
      <c r="AF395" s="9" t="s">
        <v>99</v>
      </c>
      <c r="AG395" s="9" t="s">
        <v>99</v>
      </c>
      <c r="AH395" s="9" t="s">
        <v>99</v>
      </c>
      <c r="AI395" s="9" t="s">
        <v>99</v>
      </c>
      <c r="AJ395" s="9" t="s">
        <v>99</v>
      </c>
      <c r="AK395" s="9" t="s">
        <v>3775</v>
      </c>
      <c r="AL395" s="9">
        <v>73.8</v>
      </c>
      <c r="AM395" s="9">
        <v>159</v>
      </c>
      <c r="AN395" s="9">
        <v>98</v>
      </c>
      <c r="AO395" s="9">
        <v>111</v>
      </c>
      <c r="AP395" s="9">
        <v>43.5</v>
      </c>
      <c r="AQ395" s="9">
        <v>9</v>
      </c>
      <c r="AR395" s="9">
        <v>24.2</v>
      </c>
      <c r="AS395" s="9">
        <v>62</v>
      </c>
      <c r="AT395" s="9">
        <v>29.2</v>
      </c>
      <c r="AU395" s="9">
        <v>112</v>
      </c>
      <c r="AV395" s="9">
        <v>74</v>
      </c>
      <c r="AX395" s="9" t="s">
        <v>3494</v>
      </c>
      <c r="AY395" s="9" t="s">
        <v>3776</v>
      </c>
      <c r="AZ395" s="9" t="s">
        <v>3465</v>
      </c>
      <c r="BB395" s="9" t="s">
        <v>346</v>
      </c>
      <c r="BC395" s="9" t="s">
        <v>3777</v>
      </c>
      <c r="BD395" s="9" t="s">
        <v>3778</v>
      </c>
      <c r="BF395" s="9" t="s">
        <v>2897</v>
      </c>
      <c r="BG395" s="9" t="s">
        <v>3779</v>
      </c>
      <c r="BH395" s="9" t="s">
        <v>175</v>
      </c>
      <c r="BI395" s="9" t="s">
        <v>1099</v>
      </c>
      <c r="BJ395" s="9" t="s">
        <v>3500</v>
      </c>
      <c r="BK395" s="9" t="s">
        <v>1172</v>
      </c>
      <c r="BN395" s="9" t="s">
        <v>2557</v>
      </c>
      <c r="BO395" s="9" t="s">
        <v>2446</v>
      </c>
      <c r="BP395" s="9" t="s">
        <v>219</v>
      </c>
      <c r="BZ395" s="9" t="s">
        <v>709</v>
      </c>
      <c r="CA395" s="14" t="s">
        <v>3744</v>
      </c>
      <c r="CB395" s="9" t="s">
        <v>752</v>
      </c>
      <c r="CL395" s="9" t="s">
        <v>579</v>
      </c>
      <c r="CM395" s="9" t="s">
        <v>3780</v>
      </c>
      <c r="CP395" s="9" t="s">
        <v>362</v>
      </c>
      <c r="CQ395" s="9" t="s">
        <v>2098</v>
      </c>
      <c r="CT395" s="9" t="s">
        <v>3781</v>
      </c>
      <c r="CU395" s="9" t="s">
        <v>2918</v>
      </c>
      <c r="CW395" s="9">
        <v>4</v>
      </c>
      <c r="CX395" s="9" t="s">
        <v>110</v>
      </c>
      <c r="CY395" s="9" t="s">
        <v>99</v>
      </c>
      <c r="CZ395" s="9">
        <v>40</v>
      </c>
      <c r="DA395" s="9">
        <v>20</v>
      </c>
      <c r="DB395" s="9">
        <v>40</v>
      </c>
      <c r="DC395" s="9">
        <v>84</v>
      </c>
      <c r="DD395" s="9">
        <v>0.84</v>
      </c>
      <c r="DE395" s="9">
        <v>179</v>
      </c>
      <c r="DF395" s="9" t="s">
        <v>3782</v>
      </c>
      <c r="DG395" s="9" t="e">
        <f t="shared" si="6"/>
        <v>#VALUE!</v>
      </c>
      <c r="DH395" s="9">
        <v>17.399999999999999</v>
      </c>
      <c r="DI395" s="9">
        <v>5.83</v>
      </c>
      <c r="DP395" s="11">
        <v>2</v>
      </c>
      <c r="DQ395" s="19" t="s">
        <v>112</v>
      </c>
      <c r="DR395" s="9">
        <v>3</v>
      </c>
    </row>
    <row r="396" spans="1:125" x14ac:dyDescent="0.2">
      <c r="A396" s="14" t="s">
        <v>3783</v>
      </c>
      <c r="B396" s="8">
        <v>42938</v>
      </c>
      <c r="C396" s="9" t="s">
        <v>675</v>
      </c>
      <c r="D396" s="9">
        <v>58</v>
      </c>
      <c r="E396" s="9" t="s">
        <v>100</v>
      </c>
      <c r="F396" s="17">
        <v>21525</v>
      </c>
      <c r="G396" s="9" t="s">
        <v>234</v>
      </c>
      <c r="H396" s="9" t="s">
        <v>3784</v>
      </c>
      <c r="M396" s="9" t="s">
        <v>99</v>
      </c>
      <c r="N396" s="9" t="s">
        <v>3785</v>
      </c>
      <c r="O396" s="9" t="s">
        <v>99</v>
      </c>
      <c r="P396" s="9" t="s">
        <v>99</v>
      </c>
      <c r="Q396" s="9" t="s">
        <v>110</v>
      </c>
      <c r="R396" s="9" t="s">
        <v>110</v>
      </c>
      <c r="S396" s="9" t="s">
        <v>99</v>
      </c>
      <c r="T396" s="9" t="s">
        <v>110</v>
      </c>
      <c r="U396" s="9" t="s">
        <v>99</v>
      </c>
      <c r="V396" s="9" t="s">
        <v>99</v>
      </c>
      <c r="W396" s="9" t="s">
        <v>99</v>
      </c>
      <c r="Y396" s="9" t="s">
        <v>99</v>
      </c>
      <c r="AA396" s="9" t="s">
        <v>100</v>
      </c>
      <c r="AB396" s="9" t="s">
        <v>100</v>
      </c>
      <c r="AC396" s="9" t="s">
        <v>100</v>
      </c>
      <c r="AD396" s="9" t="s">
        <v>100</v>
      </c>
      <c r="AE396" s="9" t="s">
        <v>126</v>
      </c>
      <c r="AF396" s="9" t="s">
        <v>2681</v>
      </c>
      <c r="AG396" s="9" t="s">
        <v>99</v>
      </c>
      <c r="AH396" s="9" t="s">
        <v>99</v>
      </c>
      <c r="AI396" s="9" t="s">
        <v>99</v>
      </c>
      <c r="AJ396" s="9" t="s">
        <v>99</v>
      </c>
      <c r="AK396" s="9" t="s">
        <v>99</v>
      </c>
      <c r="AL396" s="9">
        <v>109.3</v>
      </c>
      <c r="AM396" s="9">
        <v>178</v>
      </c>
      <c r="AN396" s="9">
        <v>106</v>
      </c>
      <c r="AO396" s="9">
        <v>117</v>
      </c>
      <c r="AP396" s="9">
        <v>35</v>
      </c>
      <c r="AQ396" s="9">
        <v>20</v>
      </c>
      <c r="AR396" s="9">
        <v>28.6</v>
      </c>
      <c r="AS396" s="9">
        <v>80</v>
      </c>
      <c r="AT396" s="9">
        <v>34.5</v>
      </c>
      <c r="AU396" s="9">
        <v>118</v>
      </c>
      <c r="AV396" s="9">
        <v>85</v>
      </c>
      <c r="AX396" s="9" t="s">
        <v>3786</v>
      </c>
      <c r="AY396" s="9" t="s">
        <v>729</v>
      </c>
      <c r="AZ396" s="9" t="s">
        <v>573</v>
      </c>
      <c r="BB396" s="9" t="s">
        <v>346</v>
      </c>
      <c r="BC396" s="9" t="s">
        <v>2652</v>
      </c>
      <c r="BF396" s="9" t="s">
        <v>176</v>
      </c>
      <c r="BG396" s="9" t="s">
        <v>172</v>
      </c>
      <c r="BH396" s="9" t="s">
        <v>99</v>
      </c>
      <c r="BI396" s="9" t="s">
        <v>175</v>
      </c>
      <c r="BJ396" s="9" t="s">
        <v>99</v>
      </c>
      <c r="BK396" s="9" t="s">
        <v>3787</v>
      </c>
      <c r="BN396" s="9" t="s">
        <v>3378</v>
      </c>
      <c r="BO396" s="9" t="s">
        <v>3788</v>
      </c>
      <c r="BR396" s="9" t="s">
        <v>99</v>
      </c>
      <c r="BV396" s="9" t="s">
        <v>99</v>
      </c>
      <c r="BY396" s="9" t="s">
        <v>177</v>
      </c>
      <c r="BZ396" s="9" t="s">
        <v>182</v>
      </c>
      <c r="CA396" s="9" t="s">
        <v>183</v>
      </c>
      <c r="CB396" s="9" t="s">
        <v>1137</v>
      </c>
      <c r="CD396" s="9" t="s">
        <v>99</v>
      </c>
      <c r="CH396" s="9" t="s">
        <v>99</v>
      </c>
      <c r="CL396" s="9" t="s">
        <v>3789</v>
      </c>
      <c r="CM396" s="9" t="s">
        <v>3790</v>
      </c>
      <c r="CN396" s="9" t="s">
        <v>2558</v>
      </c>
      <c r="CO396" s="9" t="s">
        <v>176</v>
      </c>
      <c r="CP396" s="9" t="s">
        <v>361</v>
      </c>
      <c r="CQ396" s="9" t="s">
        <v>716</v>
      </c>
      <c r="CR396" s="9" t="s">
        <v>362</v>
      </c>
      <c r="CS396" s="9" t="s">
        <v>683</v>
      </c>
      <c r="CT396" s="9" t="s">
        <v>3791</v>
      </c>
      <c r="CU396" s="9" t="s">
        <v>3792</v>
      </c>
      <c r="CV396" s="9" t="s">
        <v>364</v>
      </c>
      <c r="CW396" s="45" t="s">
        <v>2708</v>
      </c>
      <c r="CX396" s="9" t="s">
        <v>99</v>
      </c>
      <c r="CY396" s="9" t="s">
        <v>110</v>
      </c>
      <c r="CZ396" s="9">
        <v>25</v>
      </c>
      <c r="DA396" s="9">
        <v>25</v>
      </c>
      <c r="DB396" s="9">
        <v>50</v>
      </c>
      <c r="DC396" s="10">
        <v>104</v>
      </c>
      <c r="DD396" s="9">
        <v>0.8</v>
      </c>
      <c r="DE396" s="9">
        <v>174</v>
      </c>
      <c r="DF396" s="10">
        <v>170</v>
      </c>
      <c r="DG396" s="9">
        <f t="shared" si="6"/>
        <v>4.8900946680958173</v>
      </c>
      <c r="DH396" s="9">
        <v>34</v>
      </c>
      <c r="DI396" s="9">
        <v>6.26</v>
      </c>
      <c r="DP396" s="18">
        <v>1</v>
      </c>
      <c r="DQ396" s="6" t="s">
        <v>111</v>
      </c>
      <c r="DR396" s="9">
        <v>2</v>
      </c>
    </row>
    <row r="397" spans="1:125" x14ac:dyDescent="0.2">
      <c r="A397" s="14" t="s">
        <v>3793</v>
      </c>
      <c r="B397" s="8">
        <v>42942</v>
      </c>
      <c r="C397" s="9" t="s">
        <v>196</v>
      </c>
      <c r="D397" s="9">
        <v>60</v>
      </c>
      <c r="E397" s="9" t="s">
        <v>100</v>
      </c>
      <c r="F397" s="17">
        <v>18391</v>
      </c>
      <c r="G397" s="9" t="s">
        <v>197</v>
      </c>
      <c r="H397" s="9" t="s">
        <v>3794</v>
      </c>
      <c r="J397" s="9">
        <v>2005</v>
      </c>
      <c r="K397" s="9">
        <v>1980</v>
      </c>
      <c r="L397" s="9">
        <v>2</v>
      </c>
      <c r="M397" s="9" t="s">
        <v>3795</v>
      </c>
      <c r="N397" s="9" t="s">
        <v>99</v>
      </c>
      <c r="O397" s="9" t="s">
        <v>3796</v>
      </c>
      <c r="P397" s="9" t="s">
        <v>99</v>
      </c>
      <c r="Q397" s="9" t="s">
        <v>99</v>
      </c>
      <c r="S397" s="9" t="s">
        <v>99</v>
      </c>
      <c r="T397" s="9" t="s">
        <v>99</v>
      </c>
      <c r="AA397" s="9" t="s">
        <v>3535</v>
      </c>
      <c r="AB397" s="9" t="s">
        <v>3535</v>
      </c>
      <c r="AC397" s="9" t="s">
        <v>3535</v>
      </c>
      <c r="AD397" s="9" t="s">
        <v>2234</v>
      </c>
      <c r="AE397" s="9" t="s">
        <v>363</v>
      </c>
      <c r="AF397" s="9" t="s">
        <v>363</v>
      </c>
      <c r="AG397" s="9" t="s">
        <v>3797</v>
      </c>
      <c r="AH397" s="9" t="s">
        <v>118</v>
      </c>
      <c r="AI397" s="9" t="s">
        <v>99</v>
      </c>
      <c r="AJ397" s="9" t="s">
        <v>99</v>
      </c>
      <c r="AL397" s="9">
        <v>64.099999999999994</v>
      </c>
      <c r="AM397" s="9">
        <v>163</v>
      </c>
      <c r="AN397" s="7">
        <v>76</v>
      </c>
      <c r="AO397" s="9">
        <v>96</v>
      </c>
      <c r="AP397" s="9">
        <v>34.700000000000003</v>
      </c>
      <c r="AQ397" s="9">
        <v>8</v>
      </c>
      <c r="AR397" s="9">
        <v>27.5</v>
      </c>
      <c r="AS397" s="9">
        <v>55</v>
      </c>
      <c r="AT397" s="7">
        <v>24.1</v>
      </c>
      <c r="AU397" s="9">
        <v>138</v>
      </c>
      <c r="AV397" s="9">
        <v>89</v>
      </c>
      <c r="AX397" s="9" t="s">
        <v>3798</v>
      </c>
      <c r="AY397" s="9" t="s">
        <v>2834</v>
      </c>
      <c r="AZ397" s="9" t="s">
        <v>3799</v>
      </c>
      <c r="BB397" s="9" t="s">
        <v>346</v>
      </c>
      <c r="BC397" s="9" t="s">
        <v>3800</v>
      </c>
      <c r="BD397" s="9" t="s">
        <v>2604</v>
      </c>
      <c r="BF397" s="9" t="s">
        <v>3801</v>
      </c>
      <c r="BG397" s="9" t="s">
        <v>3614</v>
      </c>
      <c r="BH397" s="9" t="s">
        <v>99</v>
      </c>
      <c r="BI397" s="9" t="s">
        <v>1099</v>
      </c>
      <c r="BJ397" s="9" t="s">
        <v>215</v>
      </c>
      <c r="BK397" s="9" t="s">
        <v>175</v>
      </c>
      <c r="BN397" s="9" t="s">
        <v>3802</v>
      </c>
      <c r="BO397" s="9" t="s">
        <v>2446</v>
      </c>
      <c r="BP397" s="14" t="s">
        <v>125</v>
      </c>
      <c r="BZ397" s="9" t="s">
        <v>3803</v>
      </c>
      <c r="CA397" s="9" t="s">
        <v>822</v>
      </c>
      <c r="CB397" s="9" t="s">
        <v>1100</v>
      </c>
      <c r="CL397" s="9" t="s">
        <v>3158</v>
      </c>
      <c r="CM397" s="9" t="s">
        <v>3804</v>
      </c>
      <c r="CN397" s="9" t="s">
        <v>3805</v>
      </c>
      <c r="CP397" s="9" t="s">
        <v>890</v>
      </c>
      <c r="CQ397" s="9" t="s">
        <v>2594</v>
      </c>
      <c r="CR397" s="9" t="s">
        <v>716</v>
      </c>
      <c r="CT397" s="9" t="s">
        <v>3806</v>
      </c>
      <c r="CW397" s="9">
        <v>3</v>
      </c>
      <c r="CX397" s="9" t="s">
        <v>99</v>
      </c>
      <c r="CY397" s="9" t="s">
        <v>110</v>
      </c>
      <c r="CZ397" s="9">
        <v>33</v>
      </c>
      <c r="DA397" s="9">
        <v>33</v>
      </c>
      <c r="DB397" s="9">
        <v>33</v>
      </c>
      <c r="DC397" s="10">
        <v>106.3</v>
      </c>
      <c r="DD397" s="9">
        <v>0.92</v>
      </c>
      <c r="DE397" s="10">
        <v>240</v>
      </c>
      <c r="DF397" s="9">
        <v>141</v>
      </c>
      <c r="DG397" s="9">
        <f t="shared" si="6"/>
        <v>4.8075125878630356</v>
      </c>
      <c r="DH397" s="9">
        <v>26.6</v>
      </c>
      <c r="DI397" s="10">
        <v>6.35</v>
      </c>
      <c r="DP397" s="11">
        <v>3</v>
      </c>
      <c r="DQ397" s="6" t="s">
        <v>111</v>
      </c>
      <c r="DR397" s="30">
        <v>1</v>
      </c>
      <c r="DT397" s="9">
        <v>16</v>
      </c>
      <c r="DU397" s="9">
        <v>4.79</v>
      </c>
    </row>
    <row r="398" spans="1:125" x14ac:dyDescent="0.2">
      <c r="A398" s="110" t="s">
        <v>3807</v>
      </c>
      <c r="B398" s="8">
        <v>42933</v>
      </c>
      <c r="C398" s="9" t="s">
        <v>675</v>
      </c>
      <c r="D398" s="9">
        <v>26</v>
      </c>
      <c r="E398" s="9" t="s">
        <v>100</v>
      </c>
      <c r="F398" s="17">
        <v>33127</v>
      </c>
      <c r="G398" s="9" t="s">
        <v>1509</v>
      </c>
      <c r="H398" s="9" t="s">
        <v>3808</v>
      </c>
      <c r="M398" s="9" t="s">
        <v>99</v>
      </c>
      <c r="P398" s="9" t="s">
        <v>99</v>
      </c>
      <c r="Q398" s="9" t="s">
        <v>110</v>
      </c>
      <c r="R398" s="9" t="s">
        <v>3809</v>
      </c>
      <c r="S398" s="9" t="s">
        <v>3810</v>
      </c>
      <c r="T398" s="9" t="s">
        <v>3811</v>
      </c>
      <c r="U398" s="9" t="s">
        <v>99</v>
      </c>
      <c r="V398" s="9" t="s">
        <v>99</v>
      </c>
      <c r="W398" s="9" t="s">
        <v>99</v>
      </c>
      <c r="X398" s="9" t="s">
        <v>99</v>
      </c>
      <c r="AA398" s="9" t="s">
        <v>100</v>
      </c>
      <c r="AB398" s="52" t="s">
        <v>1654</v>
      </c>
      <c r="AC398" s="9" t="s">
        <v>100</v>
      </c>
      <c r="AD398" s="52" t="s">
        <v>1654</v>
      </c>
      <c r="AE398" s="9" t="s">
        <v>3812</v>
      </c>
      <c r="AF398" s="9" t="s">
        <v>976</v>
      </c>
      <c r="AG398" s="9" t="s">
        <v>976</v>
      </c>
      <c r="AH398" s="9" t="s">
        <v>976</v>
      </c>
      <c r="AI398" s="9" t="s">
        <v>99</v>
      </c>
      <c r="AJ398" s="9" t="s">
        <v>99</v>
      </c>
      <c r="AL398" s="9">
        <v>74.5</v>
      </c>
      <c r="AM398" s="9">
        <v>179</v>
      </c>
      <c r="AN398" s="7">
        <v>78.5</v>
      </c>
      <c r="AO398" s="9">
        <v>96.5</v>
      </c>
      <c r="AP398" s="9">
        <v>23.3</v>
      </c>
      <c r="AQ398" s="9">
        <v>6</v>
      </c>
      <c r="AR398" s="9">
        <v>37.200000000000003</v>
      </c>
      <c r="AS398" s="9">
        <v>37</v>
      </c>
      <c r="AT398" s="7">
        <v>23.3</v>
      </c>
      <c r="AU398" s="9">
        <v>110</v>
      </c>
      <c r="AV398" s="9">
        <v>70</v>
      </c>
      <c r="AX398" s="9" t="s">
        <v>3030</v>
      </c>
      <c r="AY398" s="9" t="s">
        <v>3813</v>
      </c>
      <c r="AZ398" s="9" t="s">
        <v>679</v>
      </c>
      <c r="BB398" s="9" t="s">
        <v>3814</v>
      </c>
      <c r="BC398" s="9" t="s">
        <v>3477</v>
      </c>
      <c r="BF398" s="9" t="s">
        <v>3815</v>
      </c>
      <c r="BG398" s="9" t="s">
        <v>3816</v>
      </c>
      <c r="BH398" s="9" t="s">
        <v>2996</v>
      </c>
      <c r="BI398" s="9" t="s">
        <v>175</v>
      </c>
      <c r="BJ398" s="9" t="s">
        <v>177</v>
      </c>
      <c r="BK398" s="9" t="s">
        <v>1172</v>
      </c>
      <c r="BM398" s="9" t="s">
        <v>172</v>
      </c>
      <c r="BN398" s="9" t="s">
        <v>3378</v>
      </c>
      <c r="BO398" s="9" t="s">
        <v>180</v>
      </c>
      <c r="BP398" s="9" t="s">
        <v>352</v>
      </c>
      <c r="BR398" s="9" t="s">
        <v>99</v>
      </c>
      <c r="BU398" s="9" t="s">
        <v>2606</v>
      </c>
      <c r="BV398" s="9" t="s">
        <v>734</v>
      </c>
      <c r="BW398" s="9" t="s">
        <v>1573</v>
      </c>
      <c r="BY398" s="9" t="s">
        <v>176</v>
      </c>
      <c r="BZ398" s="9" t="s">
        <v>1664</v>
      </c>
      <c r="CA398" s="9" t="s">
        <v>183</v>
      </c>
      <c r="CB398" s="9" t="s">
        <v>709</v>
      </c>
      <c r="CD398" s="9" t="s">
        <v>99</v>
      </c>
      <c r="CH398" s="9" t="s">
        <v>99</v>
      </c>
      <c r="CL398" s="9" t="s">
        <v>3158</v>
      </c>
      <c r="CM398" s="9" t="s">
        <v>3817</v>
      </c>
      <c r="CN398" s="9" t="s">
        <v>2448</v>
      </c>
      <c r="CO398" s="9" t="s">
        <v>176</v>
      </c>
      <c r="CP398" s="9" t="s">
        <v>890</v>
      </c>
      <c r="CQ398" s="9" t="s">
        <v>716</v>
      </c>
      <c r="CR398" s="9" t="s">
        <v>361</v>
      </c>
      <c r="CT398" s="9" t="s">
        <v>3818</v>
      </c>
      <c r="CW398" s="9">
        <v>5</v>
      </c>
      <c r="CX398" s="9" t="s">
        <v>99</v>
      </c>
      <c r="CY398" s="9" t="s">
        <v>99</v>
      </c>
      <c r="CZ398" s="9">
        <v>50</v>
      </c>
      <c r="DA398" s="9">
        <v>25</v>
      </c>
      <c r="DB398" s="9">
        <v>25</v>
      </c>
      <c r="DC398" s="9">
        <v>84.8</v>
      </c>
      <c r="DD398" s="9">
        <v>0.89</v>
      </c>
      <c r="DE398" s="10">
        <v>249</v>
      </c>
      <c r="DF398" s="10">
        <v>186</v>
      </c>
      <c r="DG398" s="9">
        <f t="shared" si="6"/>
        <v>4.8330211082555294</v>
      </c>
      <c r="DH398" s="9">
        <v>37.200000000000003</v>
      </c>
      <c r="DI398" s="9">
        <v>6.03</v>
      </c>
      <c r="DP398" s="11">
        <v>2</v>
      </c>
      <c r="DQ398" s="6" t="s">
        <v>105</v>
      </c>
      <c r="DR398" s="9">
        <v>2</v>
      </c>
    </row>
    <row r="399" spans="1:125" x14ac:dyDescent="0.2">
      <c r="A399" s="30" t="s">
        <v>3819</v>
      </c>
      <c r="B399" s="8">
        <v>42976</v>
      </c>
      <c r="C399" s="9" t="s">
        <v>196</v>
      </c>
      <c r="D399" s="9">
        <v>51</v>
      </c>
      <c r="E399" s="37" t="s">
        <v>816</v>
      </c>
      <c r="G399" s="9" t="s">
        <v>197</v>
      </c>
      <c r="I399" s="9">
        <v>14</v>
      </c>
      <c r="J399" s="9" t="s">
        <v>99</v>
      </c>
      <c r="K399" s="9">
        <v>30</v>
      </c>
      <c r="L399" s="9">
        <v>2</v>
      </c>
      <c r="M399" s="9" t="s">
        <v>99</v>
      </c>
      <c r="N399" s="9" t="s">
        <v>99</v>
      </c>
      <c r="O399" s="9" t="s">
        <v>99</v>
      </c>
      <c r="P399" s="9" t="s">
        <v>110</v>
      </c>
      <c r="Q399" s="9" t="s">
        <v>110</v>
      </c>
      <c r="R399" s="9" t="s">
        <v>99</v>
      </c>
      <c r="S399" s="9" t="s">
        <v>99</v>
      </c>
      <c r="T399" s="9" t="s">
        <v>110</v>
      </c>
      <c r="U399" s="9" t="s">
        <v>99</v>
      </c>
      <c r="W399" s="9" t="s">
        <v>3820</v>
      </c>
      <c r="X399" s="9" t="s">
        <v>99</v>
      </c>
      <c r="Y399" s="9" t="s">
        <v>3821</v>
      </c>
      <c r="AA399" s="37" t="s">
        <v>816</v>
      </c>
      <c r="AB399" s="37" t="s">
        <v>816</v>
      </c>
      <c r="AC399" s="37" t="s">
        <v>816</v>
      </c>
      <c r="AD399" s="37" t="s">
        <v>816</v>
      </c>
      <c r="AE399" s="9" t="s">
        <v>99</v>
      </c>
      <c r="AF399" s="9" t="s">
        <v>125</v>
      </c>
      <c r="AG399" s="9" t="s">
        <v>3822</v>
      </c>
      <c r="AH399" s="9" t="s">
        <v>99</v>
      </c>
      <c r="AI399" s="9" t="s">
        <v>99</v>
      </c>
      <c r="AJ399" s="9" t="s">
        <v>99</v>
      </c>
      <c r="AK399" s="9" t="s">
        <v>99</v>
      </c>
      <c r="AL399" s="9">
        <v>66.400000000000006</v>
      </c>
      <c r="AM399" s="9">
        <v>164</v>
      </c>
      <c r="AN399" s="9">
        <v>79</v>
      </c>
      <c r="AO399" s="9">
        <v>102</v>
      </c>
      <c r="AP399" s="9">
        <v>35.1</v>
      </c>
      <c r="AQ399" s="9">
        <v>6</v>
      </c>
      <c r="AR399" s="9">
        <v>27.8</v>
      </c>
      <c r="AS399" s="9">
        <v>49</v>
      </c>
      <c r="AT399" s="7">
        <v>24.7</v>
      </c>
      <c r="AU399" s="9">
        <v>127</v>
      </c>
      <c r="AV399" s="10">
        <v>89</v>
      </c>
      <c r="AX399" s="9" t="s">
        <v>3823</v>
      </c>
      <c r="AY399" s="9" t="s">
        <v>3824</v>
      </c>
      <c r="AZ399" s="9" t="s">
        <v>3401</v>
      </c>
      <c r="BB399" s="9" t="s">
        <v>749</v>
      </c>
      <c r="BC399" s="9" t="s">
        <v>750</v>
      </c>
      <c r="BD399" s="9" t="s">
        <v>1130</v>
      </c>
      <c r="BF399" s="9" t="s">
        <v>172</v>
      </c>
      <c r="BG399" s="9" t="s">
        <v>683</v>
      </c>
      <c r="BH399" s="9" t="s">
        <v>1172</v>
      </c>
      <c r="BI399" s="9" t="s">
        <v>175</v>
      </c>
      <c r="BJ399" s="9" t="s">
        <v>1099</v>
      </c>
      <c r="BK399" s="9" t="s">
        <v>683</v>
      </c>
      <c r="BN399" s="9" t="s">
        <v>352</v>
      </c>
      <c r="BR399" s="9" t="s">
        <v>99</v>
      </c>
      <c r="BV399" s="9" t="s">
        <v>1172</v>
      </c>
      <c r="BZ399" s="9" t="s">
        <v>183</v>
      </c>
      <c r="CA399" s="9" t="s">
        <v>752</v>
      </c>
      <c r="CB399" s="9" t="s">
        <v>182</v>
      </c>
      <c r="CD399" s="9" t="s">
        <v>99</v>
      </c>
      <c r="CH399" s="9" t="s">
        <v>99</v>
      </c>
      <c r="CL399" s="9" t="s">
        <v>1181</v>
      </c>
      <c r="CM399" s="9" t="s">
        <v>3490</v>
      </c>
      <c r="CP399" s="9" t="s">
        <v>361</v>
      </c>
      <c r="CQ399" s="9" t="s">
        <v>362</v>
      </c>
      <c r="CR399" s="9" t="s">
        <v>716</v>
      </c>
      <c r="CT399" s="9" t="s">
        <v>187</v>
      </c>
      <c r="CU399" s="9" t="s">
        <v>1729</v>
      </c>
      <c r="CW399" s="9">
        <v>3</v>
      </c>
      <c r="CX399" s="9" t="s">
        <v>99</v>
      </c>
      <c r="CY399" s="9" t="s">
        <v>110</v>
      </c>
      <c r="CZ399" s="9">
        <v>40</v>
      </c>
      <c r="DA399" s="9">
        <v>90</v>
      </c>
      <c r="DB399" s="9">
        <v>60</v>
      </c>
      <c r="DC399" s="111">
        <v>83</v>
      </c>
      <c r="DD399" s="111">
        <v>0.76</v>
      </c>
      <c r="DE399" s="111">
        <v>177</v>
      </c>
      <c r="DF399" s="111">
        <v>135</v>
      </c>
      <c r="DG399" s="9">
        <f t="shared" si="6"/>
        <v>4.6620576931175135</v>
      </c>
      <c r="DH399" s="111">
        <v>27</v>
      </c>
      <c r="DI399" s="111">
        <v>5</v>
      </c>
      <c r="DL399" s="9">
        <v>90</v>
      </c>
      <c r="DM399" s="9">
        <v>60</v>
      </c>
      <c r="DP399" s="11">
        <v>3</v>
      </c>
      <c r="DQ399" s="6" t="s">
        <v>111</v>
      </c>
      <c r="DR399" s="9">
        <v>2</v>
      </c>
      <c r="DU399" s="9">
        <v>10</v>
      </c>
    </row>
    <row r="400" spans="1:125" x14ac:dyDescent="0.2">
      <c r="A400" s="9" t="s">
        <v>3825</v>
      </c>
      <c r="B400" s="8">
        <v>42944</v>
      </c>
      <c r="C400" s="9" t="s">
        <v>196</v>
      </c>
      <c r="D400" s="9">
        <v>41</v>
      </c>
      <c r="E400" s="9" t="s">
        <v>100</v>
      </c>
      <c r="F400" s="17">
        <v>27854</v>
      </c>
      <c r="G400" s="9" t="s">
        <v>197</v>
      </c>
      <c r="H400" s="9" t="s">
        <v>3772</v>
      </c>
      <c r="I400" s="9">
        <v>11</v>
      </c>
      <c r="J400" s="9" t="s">
        <v>99</v>
      </c>
      <c r="K400" s="9">
        <v>1</v>
      </c>
      <c r="L400" s="14" t="s">
        <v>3826</v>
      </c>
      <c r="M400" s="9" t="s">
        <v>99</v>
      </c>
      <c r="N400" s="9" t="s">
        <v>99</v>
      </c>
      <c r="O400" s="9" t="s">
        <v>99</v>
      </c>
      <c r="P400" s="9" t="s">
        <v>99</v>
      </c>
      <c r="Q400" s="9" t="s">
        <v>99</v>
      </c>
      <c r="R400" s="9" t="s">
        <v>110</v>
      </c>
      <c r="S400" s="9" t="s">
        <v>99</v>
      </c>
      <c r="T400" s="9" t="s">
        <v>110</v>
      </c>
      <c r="U400" s="9" t="s">
        <v>2418</v>
      </c>
      <c r="W400" s="9" t="s">
        <v>3827</v>
      </c>
      <c r="X400" s="9" t="s">
        <v>99</v>
      </c>
      <c r="Y400" s="9" t="s">
        <v>99</v>
      </c>
      <c r="AA400" s="9" t="s">
        <v>100</v>
      </c>
      <c r="AB400" s="9" t="s">
        <v>100</v>
      </c>
      <c r="AC400" s="9" t="s">
        <v>100</v>
      </c>
      <c r="AD400" s="9" t="s">
        <v>100</v>
      </c>
      <c r="AE400" s="9" t="s">
        <v>3828</v>
      </c>
      <c r="AF400" s="9" t="s">
        <v>99</v>
      </c>
      <c r="AG400" s="9" t="s">
        <v>3829</v>
      </c>
      <c r="AH400" s="9" t="s">
        <v>99</v>
      </c>
      <c r="AI400" s="9" t="s">
        <v>118</v>
      </c>
      <c r="AJ400" s="9" t="s">
        <v>99</v>
      </c>
      <c r="AK400" s="9" t="s">
        <v>3830</v>
      </c>
      <c r="AL400" s="9">
        <v>67.5</v>
      </c>
      <c r="AN400" s="9">
        <v>87</v>
      </c>
      <c r="AO400" s="9">
        <v>102</v>
      </c>
      <c r="AP400" s="9">
        <v>44</v>
      </c>
      <c r="AQ400" s="9">
        <v>8</v>
      </c>
      <c r="AR400" s="9">
        <v>24.2</v>
      </c>
      <c r="AS400" s="9">
        <v>59</v>
      </c>
      <c r="AT400" s="9">
        <v>29.6</v>
      </c>
      <c r="AU400" s="9">
        <v>107</v>
      </c>
      <c r="AV400" s="9">
        <v>73</v>
      </c>
      <c r="AX400" s="9" t="s">
        <v>665</v>
      </c>
      <c r="AY400" s="9" t="s">
        <v>679</v>
      </c>
      <c r="AZ400" s="9" t="s">
        <v>2633</v>
      </c>
      <c r="BA400" s="9" t="s">
        <v>346</v>
      </c>
      <c r="BB400" s="9" t="s">
        <v>3516</v>
      </c>
      <c r="BC400" s="9" t="s">
        <v>2481</v>
      </c>
      <c r="BF400" s="9" t="s">
        <v>3831</v>
      </c>
      <c r="BG400" s="9" t="s">
        <v>175</v>
      </c>
      <c r="BH400" s="9" t="s">
        <v>683</v>
      </c>
      <c r="BI400" s="9" t="s">
        <v>175</v>
      </c>
      <c r="BJ400" s="9" t="s">
        <v>215</v>
      </c>
      <c r="BK400" s="9" t="s">
        <v>3832</v>
      </c>
      <c r="BN400" s="14" t="s">
        <v>1136</v>
      </c>
      <c r="BO400" s="9" t="s">
        <v>3833</v>
      </c>
      <c r="BP400" s="9" t="s">
        <v>3834</v>
      </c>
      <c r="BR400" s="9" t="s">
        <v>99</v>
      </c>
      <c r="BV400" s="9" t="s">
        <v>3835</v>
      </c>
      <c r="BW400" s="9" t="s">
        <v>2884</v>
      </c>
      <c r="BZ400" s="9" t="s">
        <v>3394</v>
      </c>
      <c r="CA400" s="9" t="s">
        <v>3836</v>
      </c>
      <c r="CB400" s="9" t="s">
        <v>3837</v>
      </c>
      <c r="CE400" s="9" t="s">
        <v>99</v>
      </c>
      <c r="CH400" s="9" t="s">
        <v>99</v>
      </c>
      <c r="CL400" s="9" t="s">
        <v>823</v>
      </c>
      <c r="CM400" s="9" t="s">
        <v>3838</v>
      </c>
      <c r="CN400" s="9" t="s">
        <v>3839</v>
      </c>
      <c r="CP400" s="9" t="s">
        <v>3840</v>
      </c>
      <c r="CQ400" s="9" t="s">
        <v>3841</v>
      </c>
      <c r="CR400" s="9" t="s">
        <v>890</v>
      </c>
      <c r="CT400" s="9" t="s">
        <v>187</v>
      </c>
      <c r="CW400" s="9">
        <v>3</v>
      </c>
      <c r="CX400" s="9" t="s">
        <v>99</v>
      </c>
      <c r="CY400" s="9" t="s">
        <v>110</v>
      </c>
      <c r="DC400" s="9">
        <v>85.6</v>
      </c>
      <c r="DD400" s="9">
        <v>0.6</v>
      </c>
      <c r="DE400" s="9">
        <v>163</v>
      </c>
      <c r="DF400" s="9" t="s">
        <v>3842</v>
      </c>
      <c r="DG400" s="9" t="e">
        <f t="shared" si="6"/>
        <v>#VALUE!</v>
      </c>
      <c r="DH400" s="9">
        <v>7.4</v>
      </c>
      <c r="DI400" s="9">
        <v>5.3</v>
      </c>
      <c r="DP400" s="11">
        <v>2</v>
      </c>
      <c r="DQ400" s="6" t="s">
        <v>111</v>
      </c>
      <c r="DR400" s="9">
        <v>3</v>
      </c>
      <c r="DT400" s="9">
        <v>13</v>
      </c>
    </row>
    <row r="401" spans="1:125" x14ac:dyDescent="0.2">
      <c r="A401" s="9" t="s">
        <v>3843</v>
      </c>
      <c r="B401" s="8">
        <v>42943</v>
      </c>
      <c r="C401" s="9" t="s">
        <v>196</v>
      </c>
      <c r="D401" s="9">
        <v>53</v>
      </c>
      <c r="E401" s="9" t="s">
        <v>100</v>
      </c>
      <c r="F401" s="17">
        <v>23548</v>
      </c>
      <c r="G401" s="9" t="s">
        <v>197</v>
      </c>
      <c r="H401" s="9" t="s">
        <v>3794</v>
      </c>
      <c r="I401" s="9">
        <v>13</v>
      </c>
      <c r="J401" s="9">
        <v>2016</v>
      </c>
      <c r="L401" s="9">
        <v>4</v>
      </c>
      <c r="M401" s="9" t="s">
        <v>99</v>
      </c>
      <c r="N401" s="9" t="s">
        <v>99</v>
      </c>
      <c r="O401" s="9" t="s">
        <v>99</v>
      </c>
      <c r="P401" s="9" t="s">
        <v>99</v>
      </c>
      <c r="Q401" s="9" t="s">
        <v>110</v>
      </c>
      <c r="R401" s="9" t="s">
        <v>110</v>
      </c>
      <c r="V401" s="9">
        <v>1987</v>
      </c>
      <c r="AA401" s="9" t="s">
        <v>100</v>
      </c>
      <c r="AB401" s="9" t="s">
        <v>100</v>
      </c>
      <c r="AF401" s="9" t="s">
        <v>110</v>
      </c>
      <c r="AI401" s="9" t="s">
        <v>110</v>
      </c>
      <c r="AJ401" s="9" t="s">
        <v>110</v>
      </c>
      <c r="AL401" s="9">
        <v>90.8</v>
      </c>
      <c r="AN401" s="9">
        <v>103</v>
      </c>
      <c r="AO401" s="9">
        <v>125</v>
      </c>
      <c r="AP401" s="9">
        <v>49</v>
      </c>
      <c r="AQ401" s="9">
        <v>13</v>
      </c>
      <c r="AR401" s="9">
        <v>23</v>
      </c>
      <c r="AS401" s="9">
        <v>74</v>
      </c>
      <c r="AT401" s="9">
        <v>37.799999999999997</v>
      </c>
      <c r="AU401" s="9">
        <v>112</v>
      </c>
      <c r="AV401" s="9">
        <v>79</v>
      </c>
      <c r="AX401" s="9" t="s">
        <v>1977</v>
      </c>
      <c r="AY401" s="9" t="s">
        <v>3844</v>
      </c>
      <c r="AZ401" s="9" t="s">
        <v>3845</v>
      </c>
      <c r="BB401" s="9" t="s">
        <v>2880</v>
      </c>
      <c r="BC401" s="9" t="s">
        <v>3846</v>
      </c>
      <c r="BD401" s="9" t="s">
        <v>3847</v>
      </c>
      <c r="BF401" s="9" t="s">
        <v>3848</v>
      </c>
      <c r="BG401" s="9" t="s">
        <v>805</v>
      </c>
      <c r="BH401" s="9" t="s">
        <v>3849</v>
      </c>
      <c r="BI401" s="9" t="s">
        <v>1099</v>
      </c>
      <c r="BJ401" s="9" t="s">
        <v>3850</v>
      </c>
      <c r="BK401" s="9" t="s">
        <v>3851</v>
      </c>
      <c r="BM401" s="9" t="s">
        <v>2606</v>
      </c>
      <c r="BN401" s="14" t="s">
        <v>125</v>
      </c>
      <c r="BO401" s="9" t="s">
        <v>2446</v>
      </c>
      <c r="BP401" s="9" t="s">
        <v>180</v>
      </c>
      <c r="BR401" s="9" t="s">
        <v>99</v>
      </c>
      <c r="BU401" s="9" t="s">
        <v>2445</v>
      </c>
      <c r="BV401" s="9" t="s">
        <v>3852</v>
      </c>
      <c r="BW401" s="9" t="s">
        <v>857</v>
      </c>
      <c r="BZ401" s="9" t="s">
        <v>1136</v>
      </c>
      <c r="CA401" s="9" t="s">
        <v>3853</v>
      </c>
      <c r="CB401" s="9" t="s">
        <v>3854</v>
      </c>
      <c r="CD401" s="9" t="s">
        <v>99</v>
      </c>
      <c r="CI401" s="9" t="s">
        <v>99</v>
      </c>
      <c r="CK401" s="9" t="s">
        <v>176</v>
      </c>
      <c r="CL401" s="9" t="s">
        <v>823</v>
      </c>
      <c r="CM401" s="9" t="s">
        <v>3855</v>
      </c>
      <c r="CN401" s="9" t="s">
        <v>825</v>
      </c>
      <c r="CO401" s="9" t="s">
        <v>176</v>
      </c>
      <c r="CP401" s="9" t="s">
        <v>716</v>
      </c>
      <c r="CQ401" s="9" t="s">
        <v>3841</v>
      </c>
      <c r="CR401" s="9" t="s">
        <v>3856</v>
      </c>
      <c r="CT401" s="9" t="s">
        <v>3857</v>
      </c>
      <c r="CU401" s="9" t="s">
        <v>3858</v>
      </c>
      <c r="CW401" s="9">
        <v>3</v>
      </c>
      <c r="CX401" s="9" t="s">
        <v>3859</v>
      </c>
      <c r="CY401" s="9" t="s">
        <v>3860</v>
      </c>
      <c r="DA401" s="9">
        <v>50</v>
      </c>
      <c r="DB401" s="9">
        <v>50</v>
      </c>
      <c r="DC401" s="9">
        <v>84.1</v>
      </c>
      <c r="DD401" s="9">
        <v>0.64</v>
      </c>
      <c r="DE401" s="10">
        <v>233</v>
      </c>
      <c r="DF401" s="9" t="s">
        <v>3861</v>
      </c>
      <c r="DG401" s="9" t="e">
        <f t="shared" si="6"/>
        <v>#VALUE!</v>
      </c>
      <c r="DH401" s="9">
        <v>11.6</v>
      </c>
      <c r="DI401" s="10">
        <v>6.72</v>
      </c>
      <c r="DP401" s="11">
        <v>2</v>
      </c>
      <c r="DQ401" s="6" t="s">
        <v>111</v>
      </c>
      <c r="DR401" s="9">
        <v>2</v>
      </c>
    </row>
    <row r="402" spans="1:125" x14ac:dyDescent="0.2">
      <c r="A402" s="9" t="s">
        <v>3862</v>
      </c>
      <c r="B402" s="8"/>
      <c r="DG402" s="9" t="e">
        <f t="shared" si="6"/>
        <v>#NUM!</v>
      </c>
      <c r="DQ402" s="6"/>
    </row>
    <row r="403" spans="1:125" x14ac:dyDescent="0.2">
      <c r="A403" s="9" t="s">
        <v>3863</v>
      </c>
      <c r="B403" s="8">
        <v>42943</v>
      </c>
      <c r="C403" s="9" t="s">
        <v>196</v>
      </c>
      <c r="D403" s="9">
        <v>43</v>
      </c>
      <c r="E403" s="9" t="s">
        <v>100</v>
      </c>
      <c r="F403" s="17">
        <v>27040</v>
      </c>
      <c r="G403" s="9" t="s">
        <v>197</v>
      </c>
      <c r="H403" s="9" t="s">
        <v>3864</v>
      </c>
      <c r="J403" s="9" t="s">
        <v>99</v>
      </c>
      <c r="K403" s="9">
        <v>1996</v>
      </c>
      <c r="L403" s="9">
        <v>2</v>
      </c>
      <c r="M403" s="9" t="s">
        <v>99</v>
      </c>
      <c r="N403" s="9" t="s">
        <v>99</v>
      </c>
      <c r="O403" s="9" t="s">
        <v>99</v>
      </c>
      <c r="R403" s="9" t="s">
        <v>110</v>
      </c>
      <c r="S403" s="9" t="s">
        <v>99</v>
      </c>
      <c r="T403" s="9" t="s">
        <v>99</v>
      </c>
      <c r="V403" s="9" t="s">
        <v>99</v>
      </c>
      <c r="AA403" s="9" t="s">
        <v>100</v>
      </c>
      <c r="AB403" s="9" t="s">
        <v>100</v>
      </c>
      <c r="AC403" s="9" t="s">
        <v>100</v>
      </c>
      <c r="AD403" s="9" t="s">
        <v>100</v>
      </c>
      <c r="AE403" s="9" t="s">
        <v>99</v>
      </c>
      <c r="AF403" s="9" t="s">
        <v>99</v>
      </c>
      <c r="AG403" s="9" t="s">
        <v>99</v>
      </c>
      <c r="AH403" s="9" t="s">
        <v>99</v>
      </c>
      <c r="AI403" s="9" t="s">
        <v>99</v>
      </c>
      <c r="AJ403" s="9" t="s">
        <v>99</v>
      </c>
      <c r="AL403" s="9">
        <v>66.900000000000006</v>
      </c>
      <c r="AN403" s="9">
        <v>96</v>
      </c>
      <c r="AO403" s="9">
        <v>105</v>
      </c>
      <c r="AP403" s="9">
        <v>46.3</v>
      </c>
      <c r="AQ403" s="9">
        <v>8</v>
      </c>
      <c r="AR403" s="9">
        <v>21.3</v>
      </c>
      <c r="AS403" s="9">
        <v>56</v>
      </c>
      <c r="AT403" s="9">
        <v>28.2</v>
      </c>
      <c r="AU403" s="9">
        <v>114</v>
      </c>
      <c r="AV403" s="9">
        <v>77</v>
      </c>
      <c r="BF403" s="9" t="s">
        <v>176</v>
      </c>
      <c r="BG403" s="9" t="s">
        <v>175</v>
      </c>
      <c r="BH403" s="9" t="s">
        <v>683</v>
      </c>
      <c r="BI403" s="9" t="s">
        <v>175</v>
      </c>
      <c r="BJ403" s="9" t="s">
        <v>175</v>
      </c>
      <c r="BK403" s="9" t="s">
        <v>1172</v>
      </c>
      <c r="BM403" s="9" t="s">
        <v>655</v>
      </c>
      <c r="BN403" s="9" t="s">
        <v>180</v>
      </c>
      <c r="BO403" s="14" t="s">
        <v>125</v>
      </c>
      <c r="BP403" s="9" t="s">
        <v>3865</v>
      </c>
      <c r="BR403" s="9" t="s">
        <v>99</v>
      </c>
      <c r="BV403" s="9" t="s">
        <v>99</v>
      </c>
      <c r="BZ403" s="9" t="s">
        <v>182</v>
      </c>
      <c r="CA403" s="9" t="s">
        <v>183</v>
      </c>
      <c r="CB403" s="9" t="s">
        <v>822</v>
      </c>
      <c r="CD403" s="9" t="s">
        <v>99</v>
      </c>
      <c r="CH403" s="9" t="s">
        <v>99</v>
      </c>
      <c r="CL403" s="9" t="s">
        <v>823</v>
      </c>
      <c r="CM403" s="9" t="s">
        <v>3866</v>
      </c>
      <c r="CO403" s="9" t="s">
        <v>655</v>
      </c>
      <c r="CS403" s="9" t="s">
        <v>655</v>
      </c>
      <c r="CW403" s="9">
        <v>3</v>
      </c>
      <c r="CX403" s="9" t="s">
        <v>110</v>
      </c>
      <c r="CY403" s="9" t="s">
        <v>110</v>
      </c>
      <c r="DC403" s="9">
        <v>87</v>
      </c>
      <c r="DD403" s="9">
        <v>0.44</v>
      </c>
      <c r="DE403" s="9">
        <v>170</v>
      </c>
      <c r="DF403" s="9">
        <v>94</v>
      </c>
      <c r="DG403" s="9">
        <f t="shared" si="6"/>
        <v>4.5046014504622942</v>
      </c>
      <c r="DH403" s="9">
        <v>18.8</v>
      </c>
      <c r="DI403" s="9">
        <v>5.36</v>
      </c>
      <c r="DP403" s="11">
        <v>2</v>
      </c>
      <c r="DQ403" s="6" t="s">
        <v>111</v>
      </c>
      <c r="DR403" s="9">
        <v>2</v>
      </c>
    </row>
    <row r="404" spans="1:125" x14ac:dyDescent="0.2">
      <c r="A404" s="112" t="s">
        <v>3867</v>
      </c>
      <c r="C404" t="s">
        <v>107</v>
      </c>
      <c r="D404" s="73">
        <v>38</v>
      </c>
      <c r="H404" s="9" t="s">
        <v>3072</v>
      </c>
      <c r="AM404" s="6"/>
      <c r="AN404" s="6"/>
      <c r="AO404" s="6"/>
      <c r="AP404" s="6"/>
      <c r="AQ404" s="6"/>
      <c r="AR404" s="6"/>
      <c r="AS404" s="6"/>
      <c r="AT404" s="6"/>
      <c r="AU404" s="15">
        <v>137</v>
      </c>
      <c r="AV404" s="15">
        <v>95</v>
      </c>
      <c r="DC404" s="108">
        <v>106.8</v>
      </c>
      <c r="DD404">
        <v>0.38</v>
      </c>
      <c r="DE404">
        <v>182</v>
      </c>
      <c r="DF404" s="73">
        <v>498</v>
      </c>
      <c r="DG404" s="9">
        <f t="shared" si="6"/>
        <v>5.4407790017753737</v>
      </c>
      <c r="DH404"/>
      <c r="DI404">
        <v>11.31</v>
      </c>
      <c r="DJ404"/>
      <c r="DK404"/>
      <c r="DL404">
        <v>59.1</v>
      </c>
      <c r="DM404"/>
      <c r="DP404" s="11">
        <v>2</v>
      </c>
      <c r="DQ404" s="6" t="s">
        <v>111</v>
      </c>
      <c r="DU404" s="9">
        <v>5</v>
      </c>
    </row>
    <row r="405" spans="1:125" x14ac:dyDescent="0.2">
      <c r="A405" s="112" t="s">
        <v>3868</v>
      </c>
      <c r="C405" t="s">
        <v>95</v>
      </c>
      <c r="D405" s="73">
        <v>66</v>
      </c>
      <c r="H405" s="9" t="s">
        <v>3072</v>
      </c>
      <c r="AL405" s="6">
        <v>81.2</v>
      </c>
      <c r="AM405" s="6"/>
      <c r="AN405" s="6">
        <v>102</v>
      </c>
      <c r="AO405" s="6"/>
      <c r="AP405" s="6">
        <v>50</v>
      </c>
      <c r="AQ405" s="6">
        <v>13</v>
      </c>
      <c r="AR405" s="6">
        <v>20</v>
      </c>
      <c r="AS405" s="6">
        <v>76</v>
      </c>
      <c r="AT405" s="15">
        <v>32.5</v>
      </c>
      <c r="AU405" s="15">
        <v>135</v>
      </c>
      <c r="AV405" s="15">
        <v>85</v>
      </c>
      <c r="DC405" s="10">
        <v>124.5</v>
      </c>
      <c r="DE405" s="9">
        <v>176</v>
      </c>
      <c r="DF405" s="9">
        <v>117</v>
      </c>
      <c r="DG405" s="9">
        <f t="shared" si="6"/>
        <v>4.7932398253512591</v>
      </c>
      <c r="DH405" s="9">
        <v>23</v>
      </c>
      <c r="DI405" s="9">
        <v>5.48</v>
      </c>
      <c r="DL405" s="9">
        <v>54.3</v>
      </c>
      <c r="DM405" s="9">
        <v>98.3</v>
      </c>
      <c r="DP405" s="11">
        <v>3</v>
      </c>
      <c r="DQ405" s="6" t="s">
        <v>105</v>
      </c>
      <c r="DU405" s="9">
        <v>3</v>
      </c>
    </row>
    <row r="406" spans="1:125" x14ac:dyDescent="0.2">
      <c r="A406" s="14" t="s">
        <v>3869</v>
      </c>
      <c r="B406" s="8">
        <v>42943</v>
      </c>
      <c r="C406" s="9" t="s">
        <v>95</v>
      </c>
      <c r="D406" s="9">
        <v>61</v>
      </c>
      <c r="E406" s="9" t="s">
        <v>100</v>
      </c>
      <c r="F406" s="17">
        <v>20474</v>
      </c>
      <c r="G406" s="9" t="s">
        <v>3870</v>
      </c>
      <c r="H406" s="9" t="s">
        <v>3871</v>
      </c>
      <c r="J406" s="9">
        <v>42</v>
      </c>
      <c r="K406" s="9" t="s">
        <v>3872</v>
      </c>
      <c r="L406" s="9">
        <v>11</v>
      </c>
      <c r="M406" s="9" t="s">
        <v>3109</v>
      </c>
      <c r="N406" s="9" t="s">
        <v>3873</v>
      </c>
      <c r="P406" s="9" t="s">
        <v>99</v>
      </c>
      <c r="R406" s="9" t="s">
        <v>110</v>
      </c>
      <c r="U406" s="9" t="s">
        <v>3874</v>
      </c>
      <c r="W406" s="9" t="s">
        <v>3875</v>
      </c>
      <c r="Y406" s="9" t="s">
        <v>3876</v>
      </c>
      <c r="AA406" s="9" t="s">
        <v>100</v>
      </c>
      <c r="AB406" s="9" t="s">
        <v>100</v>
      </c>
      <c r="AC406" s="9" t="s">
        <v>100</v>
      </c>
      <c r="AD406" s="9" t="s">
        <v>100</v>
      </c>
      <c r="AF406" s="9" t="s">
        <v>118</v>
      </c>
      <c r="AL406" s="9">
        <v>78.8</v>
      </c>
      <c r="AM406" s="9">
        <v>156</v>
      </c>
      <c r="AN406" s="10">
        <v>110</v>
      </c>
      <c r="AO406" s="9">
        <v>106</v>
      </c>
      <c r="AP406" s="9">
        <v>43</v>
      </c>
      <c r="AQ406" s="9">
        <v>12</v>
      </c>
      <c r="AR406" s="9">
        <v>24.9</v>
      </c>
      <c r="AS406" s="9">
        <v>71</v>
      </c>
      <c r="AT406" s="9">
        <v>32</v>
      </c>
      <c r="AU406" s="10">
        <v>135</v>
      </c>
      <c r="AV406" s="10">
        <v>90</v>
      </c>
      <c r="DC406" s="10">
        <v>111.7</v>
      </c>
      <c r="DD406" s="9">
        <v>0.89</v>
      </c>
      <c r="DE406" s="9">
        <v>176</v>
      </c>
      <c r="DF406" s="10">
        <v>167</v>
      </c>
      <c r="DG406" s="9">
        <f t="shared" si="6"/>
        <v>4.9169052592459552</v>
      </c>
      <c r="DH406" s="9">
        <v>33.4</v>
      </c>
      <c r="DI406" s="10">
        <v>6.06</v>
      </c>
      <c r="DP406" s="11">
        <v>3</v>
      </c>
      <c r="DQ406" s="6" t="s">
        <v>111</v>
      </c>
      <c r="DR406" s="9">
        <v>3</v>
      </c>
      <c r="DT406" s="9">
        <v>14.54</v>
      </c>
      <c r="DU406" s="9">
        <v>7.75</v>
      </c>
    </row>
    <row r="407" spans="1:125" x14ac:dyDescent="0.2">
      <c r="A407" s="14" t="s">
        <v>3877</v>
      </c>
      <c r="B407" s="8">
        <v>42975</v>
      </c>
      <c r="C407" s="9" t="s">
        <v>95</v>
      </c>
      <c r="D407" s="9">
        <v>50</v>
      </c>
      <c r="E407" s="9" t="s">
        <v>100</v>
      </c>
      <c r="F407" s="17">
        <v>24545</v>
      </c>
      <c r="G407" s="9" t="s">
        <v>197</v>
      </c>
      <c r="H407" s="9" t="s">
        <v>2089</v>
      </c>
      <c r="I407" s="9">
        <v>13</v>
      </c>
      <c r="J407" s="9" t="s">
        <v>99</v>
      </c>
      <c r="K407" s="9">
        <v>13</v>
      </c>
      <c r="L407" s="14" t="s">
        <v>2598</v>
      </c>
      <c r="M407" s="9" t="s">
        <v>99</v>
      </c>
      <c r="N407" s="9" t="s">
        <v>99</v>
      </c>
      <c r="O407" s="9" t="s">
        <v>99</v>
      </c>
      <c r="P407" s="9" t="s">
        <v>110</v>
      </c>
      <c r="Q407" s="9" t="s">
        <v>110</v>
      </c>
      <c r="R407" s="9" t="s">
        <v>110</v>
      </c>
      <c r="S407" s="9" t="s">
        <v>197</v>
      </c>
      <c r="T407" s="9" t="s">
        <v>110</v>
      </c>
      <c r="U407" s="9" t="s">
        <v>2439</v>
      </c>
      <c r="W407" s="9" t="s">
        <v>99</v>
      </c>
      <c r="X407" s="9" t="s">
        <v>99</v>
      </c>
      <c r="Y407" s="9" t="s">
        <v>99</v>
      </c>
      <c r="AA407" s="9" t="s">
        <v>100</v>
      </c>
      <c r="AB407" s="9" t="s">
        <v>100</v>
      </c>
      <c r="AC407" s="9" t="s">
        <v>100</v>
      </c>
      <c r="AD407" s="9" t="s">
        <v>100</v>
      </c>
      <c r="AE407" s="9" t="s">
        <v>3878</v>
      </c>
      <c r="AF407" s="9" t="s">
        <v>3879</v>
      </c>
      <c r="AG407" s="9" t="s">
        <v>3880</v>
      </c>
      <c r="AH407" s="9" t="s">
        <v>125</v>
      </c>
      <c r="AI407" s="9" t="s">
        <v>99</v>
      </c>
      <c r="AJ407" s="9" t="s">
        <v>3881</v>
      </c>
      <c r="AK407" s="9" t="s">
        <v>99</v>
      </c>
      <c r="AL407" s="9">
        <v>88.6</v>
      </c>
      <c r="AN407" s="9">
        <v>12</v>
      </c>
      <c r="AP407" s="9">
        <v>56</v>
      </c>
      <c r="AQ407" s="9">
        <v>12</v>
      </c>
      <c r="AR407" s="9">
        <v>22.7</v>
      </c>
      <c r="AS407" s="9">
        <v>72</v>
      </c>
      <c r="AT407" s="9">
        <v>36.4</v>
      </c>
      <c r="AU407" s="9">
        <v>130</v>
      </c>
      <c r="AV407" s="9">
        <v>83</v>
      </c>
      <c r="AX407" s="9" t="s">
        <v>729</v>
      </c>
      <c r="AY407" s="9" t="s">
        <v>573</v>
      </c>
      <c r="AZ407" s="9" t="s">
        <v>1729</v>
      </c>
      <c r="BB407" s="9" t="s">
        <v>1641</v>
      </c>
      <c r="BC407" s="9" t="s">
        <v>3882</v>
      </c>
      <c r="BD407" s="9" t="s">
        <v>1080</v>
      </c>
      <c r="BF407" s="9" t="s">
        <v>1173</v>
      </c>
      <c r="BG407" s="9" t="s">
        <v>176</v>
      </c>
      <c r="BH407" s="9" t="s">
        <v>175</v>
      </c>
      <c r="BI407" s="9" t="s">
        <v>683</v>
      </c>
      <c r="BK407" s="9" t="s">
        <v>683</v>
      </c>
      <c r="BN407" s="9" t="s">
        <v>219</v>
      </c>
      <c r="BO407" s="9" t="s">
        <v>180</v>
      </c>
      <c r="BP407" s="9" t="s">
        <v>179</v>
      </c>
      <c r="BR407" s="9" t="s">
        <v>3883</v>
      </c>
      <c r="BV407" s="9" t="s">
        <v>99</v>
      </c>
      <c r="BZ407" s="9" t="s">
        <v>709</v>
      </c>
      <c r="CA407" s="9" t="s">
        <v>183</v>
      </c>
      <c r="CB407" s="9" t="s">
        <v>822</v>
      </c>
      <c r="CD407" s="9" t="s">
        <v>99</v>
      </c>
      <c r="CH407" s="9" t="s">
        <v>99</v>
      </c>
      <c r="CL407" s="9" t="s">
        <v>825</v>
      </c>
      <c r="CM407" s="9" t="s">
        <v>3884</v>
      </c>
      <c r="CN407" s="9" t="s">
        <v>980</v>
      </c>
      <c r="CP407" s="9" t="s">
        <v>361</v>
      </c>
      <c r="CQ407" s="9" t="s">
        <v>362</v>
      </c>
      <c r="CR407" s="9" t="s">
        <v>716</v>
      </c>
      <c r="CT407" s="9" t="s">
        <v>3885</v>
      </c>
      <c r="CW407" s="9">
        <v>3</v>
      </c>
      <c r="CX407" s="9" t="s">
        <v>99</v>
      </c>
      <c r="CY407" s="9" t="s">
        <v>99</v>
      </c>
      <c r="CZ407" s="9">
        <v>25</v>
      </c>
      <c r="DA407" s="9">
        <v>25</v>
      </c>
      <c r="DB407" s="9">
        <v>50</v>
      </c>
      <c r="DC407" s="113">
        <v>112.4</v>
      </c>
      <c r="DD407" s="111">
        <v>0.62</v>
      </c>
      <c r="DE407" s="111">
        <v>170</v>
      </c>
      <c r="DF407" s="113">
        <v>155</v>
      </c>
      <c r="DG407" s="9">
        <f t="shared" si="6"/>
        <v>4.882744527189419</v>
      </c>
      <c r="DH407" s="111">
        <v>31</v>
      </c>
      <c r="DI407" s="111">
        <v>5.88</v>
      </c>
      <c r="DL407" s="9">
        <v>57</v>
      </c>
      <c r="DM407" s="9">
        <v>82</v>
      </c>
      <c r="DP407" s="11">
        <v>3</v>
      </c>
      <c r="DQ407" s="6" t="s">
        <v>111</v>
      </c>
      <c r="DR407" s="9">
        <v>3</v>
      </c>
    </row>
    <row r="408" spans="1:125" x14ac:dyDescent="0.2">
      <c r="A408" s="112" t="s">
        <v>3886</v>
      </c>
      <c r="C408" t="s">
        <v>95</v>
      </c>
      <c r="D408" s="73">
        <v>59</v>
      </c>
      <c r="H408" s="9" t="s">
        <v>3072</v>
      </c>
      <c r="AL408" s="6">
        <v>99.1</v>
      </c>
      <c r="AN408" s="6">
        <v>126</v>
      </c>
      <c r="AO408" s="6">
        <v>137</v>
      </c>
      <c r="AP408" s="6">
        <v>57.7</v>
      </c>
      <c r="AQ408" s="6">
        <v>18</v>
      </c>
      <c r="AR408" s="6">
        <v>18.2</v>
      </c>
      <c r="AS408" s="6">
        <v>80</v>
      </c>
      <c r="AT408" s="6">
        <v>41.8</v>
      </c>
      <c r="AU408" s="6">
        <v>111</v>
      </c>
      <c r="AV408" s="6">
        <v>90</v>
      </c>
      <c r="DC408" s="9">
        <v>95.9</v>
      </c>
      <c r="DD408" s="9">
        <v>0.3</v>
      </c>
      <c r="DE408" s="10">
        <v>211</v>
      </c>
      <c r="DF408" s="9" t="s">
        <v>3861</v>
      </c>
      <c r="DG408" s="9" t="e">
        <f t="shared" si="6"/>
        <v>#VALUE!</v>
      </c>
      <c r="DH408" s="9">
        <v>11.6</v>
      </c>
      <c r="DI408" s="10">
        <v>8.43</v>
      </c>
      <c r="DL408" s="9">
        <v>82.6</v>
      </c>
      <c r="DM408" s="9">
        <v>117</v>
      </c>
      <c r="DP408" s="11">
        <v>2</v>
      </c>
      <c r="DQ408" s="19" t="s">
        <v>112</v>
      </c>
      <c r="DR408" s="9">
        <v>2</v>
      </c>
      <c r="DT408" s="9">
        <v>14.4</v>
      </c>
      <c r="DU408" s="9">
        <v>6.1</v>
      </c>
    </row>
    <row r="409" spans="1:125" x14ac:dyDescent="0.2">
      <c r="A409" s="9" t="s">
        <v>3887</v>
      </c>
      <c r="B409" s="107">
        <v>43005</v>
      </c>
      <c r="C409" s="9" t="s">
        <v>196</v>
      </c>
      <c r="D409" s="9">
        <v>44</v>
      </c>
      <c r="E409" s="9" t="s">
        <v>100</v>
      </c>
      <c r="F409" s="17">
        <v>26884</v>
      </c>
      <c r="G409" s="9" t="s">
        <v>197</v>
      </c>
      <c r="H409" s="9" t="s">
        <v>3888</v>
      </c>
      <c r="I409" s="9">
        <v>13</v>
      </c>
      <c r="J409" s="9" t="s">
        <v>99</v>
      </c>
      <c r="K409" s="9">
        <v>2009</v>
      </c>
      <c r="L409" s="9">
        <v>2</v>
      </c>
      <c r="M409" s="9" t="s">
        <v>99</v>
      </c>
      <c r="N409" s="9" t="s">
        <v>99</v>
      </c>
      <c r="O409" s="9" t="s">
        <v>99</v>
      </c>
      <c r="P409" s="9" t="s">
        <v>99</v>
      </c>
      <c r="Q409" s="9" t="s">
        <v>99</v>
      </c>
      <c r="R409" s="9" t="s">
        <v>110</v>
      </c>
      <c r="T409" s="9" t="s">
        <v>110</v>
      </c>
      <c r="Y409" s="9" t="s">
        <v>99</v>
      </c>
      <c r="AA409" s="9" t="s">
        <v>3371</v>
      </c>
      <c r="AB409" s="9" t="s">
        <v>100</v>
      </c>
      <c r="AE409" s="9" t="s">
        <v>3889</v>
      </c>
      <c r="AF409" s="9" t="s">
        <v>3890</v>
      </c>
      <c r="AG409" s="9" t="s">
        <v>3891</v>
      </c>
      <c r="AH409" s="9" t="s">
        <v>3892</v>
      </c>
      <c r="AI409" s="9" t="s">
        <v>3893</v>
      </c>
      <c r="AJ409" s="9" t="s">
        <v>99</v>
      </c>
      <c r="AL409" s="9">
        <v>73.3</v>
      </c>
      <c r="AM409" s="9">
        <v>156</v>
      </c>
      <c r="AN409" s="9">
        <v>88</v>
      </c>
      <c r="AO409" s="9">
        <v>111</v>
      </c>
      <c r="AP409" s="9">
        <v>43.8</v>
      </c>
      <c r="AQ409" s="9">
        <v>9</v>
      </c>
      <c r="AR409" s="9">
        <v>24.4</v>
      </c>
      <c r="AS409" s="9">
        <v>59</v>
      </c>
      <c r="AT409" s="9">
        <v>29.7</v>
      </c>
      <c r="AU409" s="9">
        <v>122</v>
      </c>
      <c r="AV409" s="9">
        <v>82</v>
      </c>
      <c r="AX409" s="9" t="s">
        <v>3894</v>
      </c>
      <c r="AY409" s="9" t="s">
        <v>573</v>
      </c>
      <c r="AZ409" s="9" t="s">
        <v>1128</v>
      </c>
      <c r="BB409" s="9" t="s">
        <v>750</v>
      </c>
      <c r="BC409" s="9" t="s">
        <v>1130</v>
      </c>
      <c r="BD409" s="9" t="s">
        <v>3895</v>
      </c>
      <c r="BF409" s="9" t="s">
        <v>175</v>
      </c>
      <c r="BG409" s="9" t="s">
        <v>176</v>
      </c>
      <c r="BH409" s="9" t="s">
        <v>1099</v>
      </c>
      <c r="BI409" s="9" t="s">
        <v>176</v>
      </c>
      <c r="BJ409" s="9" t="s">
        <v>176</v>
      </c>
      <c r="BK409" s="9" t="s">
        <v>2445</v>
      </c>
      <c r="BN409" s="9" t="s">
        <v>179</v>
      </c>
      <c r="BO409" s="9" t="s">
        <v>219</v>
      </c>
      <c r="BP409" s="9" t="s">
        <v>180</v>
      </c>
      <c r="BR409" s="9" t="s">
        <v>99</v>
      </c>
      <c r="BV409" s="9" t="s">
        <v>99</v>
      </c>
      <c r="BZ409" s="9" t="s">
        <v>752</v>
      </c>
      <c r="CA409" s="9" t="s">
        <v>183</v>
      </c>
      <c r="CB409" s="9" t="s">
        <v>3896</v>
      </c>
      <c r="CD409" s="9" t="s">
        <v>99</v>
      </c>
      <c r="CH409" s="9" t="s">
        <v>99</v>
      </c>
      <c r="CL409" s="9" t="s">
        <v>3897</v>
      </c>
      <c r="CM409" s="9" t="s">
        <v>2447</v>
      </c>
      <c r="CN409" s="9" t="s">
        <v>3898</v>
      </c>
      <c r="CP409" s="9" t="s">
        <v>361</v>
      </c>
      <c r="CQ409" s="9" t="s">
        <v>2534</v>
      </c>
      <c r="CR409" s="9" t="s">
        <v>3899</v>
      </c>
      <c r="CT409" s="9" t="s">
        <v>3900</v>
      </c>
      <c r="CW409" s="9">
        <v>5</v>
      </c>
      <c r="CX409" s="9" t="s">
        <v>110</v>
      </c>
      <c r="CY409" s="9" t="s">
        <v>3901</v>
      </c>
      <c r="CZ409" s="9">
        <v>30</v>
      </c>
      <c r="DA409" s="9">
        <v>40</v>
      </c>
      <c r="DB409" s="9">
        <v>30</v>
      </c>
      <c r="DG409" s="9" t="e">
        <f t="shared" si="6"/>
        <v>#NUM!</v>
      </c>
      <c r="DP409" s="11">
        <v>2</v>
      </c>
      <c r="DQ409" s="6"/>
    </row>
    <row r="410" spans="1:125" x14ac:dyDescent="0.2">
      <c r="A410" s="9" t="s">
        <v>3902</v>
      </c>
      <c r="B410" s="107">
        <v>43005</v>
      </c>
      <c r="C410" s="9" t="s">
        <v>95</v>
      </c>
      <c r="D410" s="9">
        <v>66</v>
      </c>
      <c r="E410" s="9" t="s">
        <v>100</v>
      </c>
      <c r="F410" s="17">
        <v>18689</v>
      </c>
      <c r="G410" s="9" t="s">
        <v>3664</v>
      </c>
      <c r="H410" s="9" t="s">
        <v>3665</v>
      </c>
      <c r="I410" s="9">
        <v>14</v>
      </c>
      <c r="J410" s="9">
        <v>50</v>
      </c>
      <c r="L410" s="9" t="s">
        <v>3903</v>
      </c>
      <c r="M410" s="9" t="s">
        <v>3904</v>
      </c>
      <c r="N410" s="9" t="s">
        <v>99</v>
      </c>
      <c r="O410" s="9" t="s">
        <v>110</v>
      </c>
      <c r="P410" s="9" t="s">
        <v>3905</v>
      </c>
      <c r="Q410" s="9" t="s">
        <v>99</v>
      </c>
      <c r="R410" s="9" t="s">
        <v>110</v>
      </c>
      <c r="AA410" s="9" t="s">
        <v>100</v>
      </c>
      <c r="AB410" s="9" t="s">
        <v>100</v>
      </c>
      <c r="AC410" s="9" t="s">
        <v>100</v>
      </c>
      <c r="AD410" s="9" t="s">
        <v>96</v>
      </c>
      <c r="AE410" s="9" t="s">
        <v>3906</v>
      </c>
      <c r="AF410" s="9" t="s">
        <v>570</v>
      </c>
      <c r="AG410" s="9" t="s">
        <v>99</v>
      </c>
      <c r="AH410" s="9" t="s">
        <v>125</v>
      </c>
      <c r="AI410" s="9" t="s">
        <v>99</v>
      </c>
      <c r="AJ410" s="9" t="s">
        <v>99</v>
      </c>
      <c r="AL410" s="9">
        <v>80.3</v>
      </c>
      <c r="AM410" s="9">
        <v>162</v>
      </c>
      <c r="AN410" s="9">
        <v>103</v>
      </c>
      <c r="AO410" s="9">
        <v>115</v>
      </c>
      <c r="AP410" s="9">
        <v>41.5</v>
      </c>
      <c r="AQ410" s="9">
        <v>12</v>
      </c>
      <c r="AR410" s="9">
        <v>25.8</v>
      </c>
      <c r="AS410" s="9">
        <v>69</v>
      </c>
      <c r="AT410" s="9">
        <v>30.6</v>
      </c>
      <c r="AU410" s="9">
        <v>123</v>
      </c>
      <c r="AV410" s="9">
        <v>90</v>
      </c>
      <c r="AX410" s="9" t="s">
        <v>679</v>
      </c>
      <c r="AY410" s="9" t="s">
        <v>3907</v>
      </c>
      <c r="AZ410" s="9" t="s">
        <v>3908</v>
      </c>
      <c r="BB410" s="9" t="s">
        <v>750</v>
      </c>
      <c r="BF410" s="9" t="s">
        <v>3909</v>
      </c>
      <c r="BG410" s="9" t="s">
        <v>3910</v>
      </c>
      <c r="BH410" s="9" t="s">
        <v>175</v>
      </c>
      <c r="BI410" s="9" t="s">
        <v>2528</v>
      </c>
      <c r="BJ410" s="9" t="s">
        <v>176</v>
      </c>
      <c r="BK410" s="9" t="s">
        <v>1172</v>
      </c>
      <c r="BN410" s="9" t="s">
        <v>2534</v>
      </c>
      <c r="BO410" s="14" t="s">
        <v>1664</v>
      </c>
      <c r="BR410" s="9" t="s">
        <v>99</v>
      </c>
      <c r="BV410" s="9" t="s">
        <v>99</v>
      </c>
      <c r="BZ410" s="9" t="s">
        <v>3911</v>
      </c>
      <c r="CA410" s="9" t="s">
        <v>183</v>
      </c>
      <c r="CB410" s="9" t="s">
        <v>822</v>
      </c>
      <c r="CL410" s="9" t="s">
        <v>3912</v>
      </c>
      <c r="CM410" s="9" t="s">
        <v>2447</v>
      </c>
      <c r="CN410" s="9" t="s">
        <v>825</v>
      </c>
      <c r="CP410" s="9" t="s">
        <v>362</v>
      </c>
      <c r="CQ410" s="9" t="s">
        <v>361</v>
      </c>
      <c r="CR410" s="9" t="s">
        <v>2534</v>
      </c>
      <c r="CS410" s="9" t="s">
        <v>2945</v>
      </c>
      <c r="CW410" s="9">
        <v>3</v>
      </c>
      <c r="CX410" s="9" t="s">
        <v>110</v>
      </c>
      <c r="CY410" s="9" t="s">
        <v>99</v>
      </c>
      <c r="CZ410" s="9">
        <v>20</v>
      </c>
      <c r="DA410" s="9">
        <v>50</v>
      </c>
      <c r="DB410" s="9">
        <v>30</v>
      </c>
      <c r="DC410" s="9">
        <v>81.099999999999994</v>
      </c>
      <c r="DD410" s="9">
        <v>0.54</v>
      </c>
      <c r="DE410" s="9">
        <v>208</v>
      </c>
      <c r="DF410" s="9">
        <v>147</v>
      </c>
      <c r="DG410" s="9">
        <f t="shared" si="6"/>
        <v>4.6930577739500521</v>
      </c>
      <c r="DH410" s="9">
        <v>29.4</v>
      </c>
      <c r="DI410" s="9">
        <v>5.96</v>
      </c>
      <c r="DP410" s="11">
        <v>3</v>
      </c>
      <c r="DR410" s="9">
        <v>2</v>
      </c>
    </row>
    <row r="411" spans="1:125" x14ac:dyDescent="0.2">
      <c r="A411" s="7">
        <v>332</v>
      </c>
      <c r="B411" s="38">
        <v>43277</v>
      </c>
      <c r="C411" s="9" t="s">
        <v>95</v>
      </c>
      <c r="D411" s="9">
        <v>38</v>
      </c>
      <c r="E411" s="9" t="s">
        <v>96</v>
      </c>
      <c r="F411" s="8">
        <v>29296</v>
      </c>
      <c r="G411" s="9" t="s">
        <v>314</v>
      </c>
      <c r="H411" s="9" t="s">
        <v>455</v>
      </c>
      <c r="I411" s="9" t="s">
        <v>162</v>
      </c>
      <c r="J411" s="9" t="s">
        <v>162</v>
      </c>
      <c r="K411" s="8">
        <v>40918</v>
      </c>
      <c r="L411" s="9">
        <v>1</v>
      </c>
      <c r="M411" s="9" t="s">
        <v>263</v>
      </c>
      <c r="N411" s="9" t="s">
        <v>263</v>
      </c>
      <c r="O411" s="9" t="s">
        <v>263</v>
      </c>
      <c r="P411" s="10" t="s">
        <v>368</v>
      </c>
      <c r="Q411" s="9" t="s">
        <v>263</v>
      </c>
      <c r="R411" s="9" t="s">
        <v>162</v>
      </c>
      <c r="S411" s="9" t="s">
        <v>263</v>
      </c>
      <c r="T411" s="9" t="s">
        <v>368</v>
      </c>
      <c r="U411" s="9" t="s">
        <v>162</v>
      </c>
      <c r="V411" s="9" t="s">
        <v>162</v>
      </c>
      <c r="W411" s="9" t="s">
        <v>162</v>
      </c>
      <c r="X411" s="9" t="s">
        <v>263</v>
      </c>
      <c r="Y411" s="9" t="s">
        <v>3913</v>
      </c>
      <c r="Z411" s="9" t="s">
        <v>162</v>
      </c>
      <c r="AA411" s="9" t="s">
        <v>96</v>
      </c>
      <c r="AB411" s="9" t="s">
        <v>96</v>
      </c>
      <c r="AC411" s="9" t="s">
        <v>96</v>
      </c>
      <c r="AD411" s="9" t="s">
        <v>96</v>
      </c>
      <c r="AE411" s="10" t="s">
        <v>3914</v>
      </c>
      <c r="AF411" s="10" t="s">
        <v>35</v>
      </c>
      <c r="AG411" s="10" t="s">
        <v>3915</v>
      </c>
      <c r="AH411" s="9" t="s">
        <v>263</v>
      </c>
      <c r="AI411" s="9" t="s">
        <v>263</v>
      </c>
      <c r="AJ411" s="9" t="s">
        <v>263</v>
      </c>
      <c r="AK411" s="9" t="s">
        <v>263</v>
      </c>
      <c r="AL411" s="9">
        <v>63.3</v>
      </c>
      <c r="AM411" s="9" t="s">
        <v>162</v>
      </c>
      <c r="AN411" s="9">
        <v>88</v>
      </c>
      <c r="AO411" s="9">
        <v>105</v>
      </c>
      <c r="AP411" s="9">
        <v>39.6</v>
      </c>
      <c r="AQ411" s="9">
        <v>6</v>
      </c>
      <c r="AR411" s="9">
        <v>24.5</v>
      </c>
      <c r="AS411" s="9">
        <v>43</v>
      </c>
      <c r="AT411" s="7">
        <v>24.7</v>
      </c>
      <c r="AU411" s="9">
        <v>100</v>
      </c>
      <c r="AV411" s="9">
        <v>75</v>
      </c>
      <c r="AX411" s="9" t="s">
        <v>3916</v>
      </c>
      <c r="AY411" s="9" t="s">
        <v>3917</v>
      </c>
      <c r="BB411" s="9" t="s">
        <v>3918</v>
      </c>
      <c r="BC411" s="9" t="s">
        <v>3919</v>
      </c>
      <c r="BF411" s="9" t="s">
        <v>496</v>
      </c>
      <c r="BG411" s="9" t="s">
        <v>375</v>
      </c>
      <c r="BH411" s="9" t="s">
        <v>3920</v>
      </c>
      <c r="BI411" s="9" t="s">
        <v>493</v>
      </c>
      <c r="BJ411" s="9" t="s">
        <v>493</v>
      </c>
      <c r="BK411" s="9" t="s">
        <v>3921</v>
      </c>
      <c r="BN411" s="9" t="s">
        <v>3922</v>
      </c>
      <c r="BO411" s="9" t="s">
        <v>3923</v>
      </c>
      <c r="BP411" s="9" t="s">
        <v>495</v>
      </c>
      <c r="BQ411" s="9" t="s">
        <v>162</v>
      </c>
      <c r="BR411" s="9" t="s">
        <v>162</v>
      </c>
      <c r="BS411" s="9" t="s">
        <v>162</v>
      </c>
      <c r="BT411" s="9" t="s">
        <v>162</v>
      </c>
      <c r="BV411" s="9" t="s">
        <v>3924</v>
      </c>
      <c r="BZ411" s="9" t="s">
        <v>3925</v>
      </c>
      <c r="CA411" s="9" t="s">
        <v>3926</v>
      </c>
      <c r="CC411" s="9" t="s">
        <v>162</v>
      </c>
      <c r="CD411" s="9" t="s">
        <v>162</v>
      </c>
      <c r="CE411" s="9" t="s">
        <v>162</v>
      </c>
      <c r="CF411" s="9" t="s">
        <v>162</v>
      </c>
      <c r="CG411" s="9" t="s">
        <v>162</v>
      </c>
      <c r="CH411" s="9" t="s">
        <v>162</v>
      </c>
      <c r="CI411" s="9" t="s">
        <v>162</v>
      </c>
      <c r="CJ411" s="9" t="s">
        <v>162</v>
      </c>
      <c r="CL411" s="9" t="s">
        <v>3912</v>
      </c>
      <c r="CM411" s="9" t="s">
        <v>3927</v>
      </c>
      <c r="CN411" s="9" t="s">
        <v>3928</v>
      </c>
      <c r="CP411" s="9" t="s">
        <v>384</v>
      </c>
      <c r="CQ411" s="9" t="s">
        <v>475</v>
      </c>
      <c r="CT411" s="9" t="s">
        <v>3929</v>
      </c>
      <c r="CW411" s="9">
        <v>3</v>
      </c>
      <c r="CX411" s="9" t="s">
        <v>162</v>
      </c>
      <c r="CY411" s="9" t="s">
        <v>263</v>
      </c>
      <c r="CZ411" s="9">
        <v>30</v>
      </c>
      <c r="DA411" s="9">
        <v>30</v>
      </c>
      <c r="DB411" s="9">
        <v>40</v>
      </c>
      <c r="DC411" s="9">
        <v>60.5</v>
      </c>
      <c r="DD411" s="9">
        <v>0.5</v>
      </c>
      <c r="DE411" s="9">
        <v>147</v>
      </c>
      <c r="DF411" s="9">
        <v>81</v>
      </c>
      <c r="DG411" s="9">
        <f t="shared" si="6"/>
        <v>4.2485462598546171</v>
      </c>
      <c r="DH411" s="9">
        <v>16.2</v>
      </c>
      <c r="DI411" s="9">
        <v>5.15</v>
      </c>
      <c r="DJ411" s="9">
        <v>6</v>
      </c>
      <c r="DK411" s="9">
        <v>8.6999999999999993</v>
      </c>
      <c r="DL411" s="9">
        <v>35.299999999999997</v>
      </c>
      <c r="DM411" s="9">
        <v>95.5</v>
      </c>
      <c r="DU411" s="9">
        <v>6.8</v>
      </c>
    </row>
    <row r="412" spans="1:125" x14ac:dyDescent="0.2">
      <c r="A412" s="14" t="s">
        <v>3930</v>
      </c>
      <c r="B412" s="38">
        <v>43277</v>
      </c>
      <c r="C412" s="9" t="s">
        <v>675</v>
      </c>
      <c r="D412" s="9">
        <v>59</v>
      </c>
      <c r="E412" s="52" t="s">
        <v>3488</v>
      </c>
      <c r="F412" s="17">
        <v>21420</v>
      </c>
      <c r="G412" s="9" t="s">
        <v>481</v>
      </c>
      <c r="H412" s="9" t="s">
        <v>3931</v>
      </c>
      <c r="M412" s="9" t="s">
        <v>99</v>
      </c>
      <c r="N412" s="9" t="s">
        <v>3932</v>
      </c>
      <c r="O412" s="9" t="s">
        <v>3933</v>
      </c>
      <c r="P412" s="9" t="s">
        <v>99</v>
      </c>
      <c r="Q412" s="9" t="s">
        <v>3934</v>
      </c>
      <c r="S412" s="9" t="s">
        <v>110</v>
      </c>
      <c r="T412" s="9" t="s">
        <v>99</v>
      </c>
      <c r="U412" s="9" t="s">
        <v>3935</v>
      </c>
      <c r="Y412" s="9" t="s">
        <v>3936</v>
      </c>
      <c r="Z412" s="9" t="s">
        <v>3937</v>
      </c>
      <c r="AA412" s="52" t="s">
        <v>3488</v>
      </c>
      <c r="AB412" s="52" t="s">
        <v>3488</v>
      </c>
      <c r="AC412" s="52" t="s">
        <v>3488</v>
      </c>
      <c r="AD412" s="52" t="s">
        <v>3488</v>
      </c>
      <c r="AE412" s="9" t="s">
        <v>99</v>
      </c>
      <c r="AF412" s="9" t="s">
        <v>135</v>
      </c>
      <c r="AG412" s="9" t="s">
        <v>99</v>
      </c>
      <c r="AH412" s="9" t="s">
        <v>135</v>
      </c>
      <c r="AI412" s="9" t="s">
        <v>664</v>
      </c>
      <c r="AJ412" s="9" t="s">
        <v>664</v>
      </c>
      <c r="AL412" s="9">
        <v>79.599999999999994</v>
      </c>
      <c r="AM412" s="9">
        <v>170</v>
      </c>
      <c r="AN412" s="9">
        <v>98.5</v>
      </c>
      <c r="AO412" s="9">
        <v>109</v>
      </c>
      <c r="AP412" s="9">
        <v>27</v>
      </c>
      <c r="AQ412" s="9">
        <v>2.9</v>
      </c>
      <c r="AR412" s="9">
        <v>55.5</v>
      </c>
      <c r="AS412" s="9">
        <v>50</v>
      </c>
      <c r="AT412" s="9">
        <v>27.54</v>
      </c>
      <c r="AU412" s="9">
        <v>120</v>
      </c>
      <c r="AV412" s="9">
        <v>66</v>
      </c>
      <c r="DC412" s="14">
        <v>132.5</v>
      </c>
      <c r="DD412" s="9">
        <v>0.99</v>
      </c>
      <c r="DE412" s="9">
        <v>86</v>
      </c>
      <c r="DF412" s="10">
        <v>167</v>
      </c>
      <c r="DG412" s="9">
        <f t="shared" si="6"/>
        <v>5.0022882289215156</v>
      </c>
      <c r="DH412" s="9">
        <v>33.4</v>
      </c>
      <c r="DI412" s="9">
        <v>4.8600000000000003</v>
      </c>
      <c r="DJ412" s="9">
        <v>34.700000000000003</v>
      </c>
      <c r="DK412" s="9">
        <v>27.7</v>
      </c>
      <c r="DL412" s="9">
        <v>32.1</v>
      </c>
      <c r="DM412" s="9">
        <v>20.5</v>
      </c>
      <c r="DP412" s="11">
        <v>2</v>
      </c>
      <c r="DR412" s="9">
        <v>2</v>
      </c>
      <c r="DT412" s="9">
        <v>12.7</v>
      </c>
      <c r="DU412" s="9">
        <v>2.77</v>
      </c>
    </row>
    <row r="413" spans="1:125" x14ac:dyDescent="0.2">
      <c r="A413" s="9" t="s">
        <v>3938</v>
      </c>
      <c r="B413" s="107">
        <v>43005</v>
      </c>
      <c r="C413" s="9" t="s">
        <v>95</v>
      </c>
      <c r="D413" s="9">
        <v>39</v>
      </c>
      <c r="E413" s="9" t="s">
        <v>100</v>
      </c>
      <c r="F413" s="17">
        <v>28717</v>
      </c>
      <c r="G413" s="9" t="s">
        <v>3939</v>
      </c>
      <c r="H413" s="9" t="s">
        <v>3888</v>
      </c>
      <c r="I413" s="9">
        <v>13</v>
      </c>
      <c r="J413" s="9" t="s">
        <v>99</v>
      </c>
      <c r="K413" s="9">
        <v>7</v>
      </c>
      <c r="L413" s="9">
        <v>3</v>
      </c>
      <c r="M413" s="9" t="s">
        <v>99</v>
      </c>
      <c r="N413" s="9" t="s">
        <v>99</v>
      </c>
      <c r="O413" s="9" t="s">
        <v>99</v>
      </c>
      <c r="Q413" s="9" t="s">
        <v>99</v>
      </c>
      <c r="T413" s="9" t="s">
        <v>110</v>
      </c>
      <c r="U413" s="9" t="s">
        <v>3940</v>
      </c>
      <c r="Y413" s="9" t="s">
        <v>3941</v>
      </c>
      <c r="Z413" s="9" t="s">
        <v>1222</v>
      </c>
      <c r="AA413" s="14" t="s">
        <v>3371</v>
      </c>
      <c r="AB413" s="9" t="s">
        <v>100</v>
      </c>
      <c r="AE413" s="9" t="s">
        <v>3942</v>
      </c>
      <c r="AF413" s="9" t="s">
        <v>3890</v>
      </c>
      <c r="AG413" s="9" t="s">
        <v>3943</v>
      </c>
      <c r="AH413" s="9" t="s">
        <v>3892</v>
      </c>
      <c r="AI413" s="9" t="s">
        <v>110</v>
      </c>
      <c r="AJ413" s="9" t="s">
        <v>99</v>
      </c>
      <c r="AL413" s="9">
        <v>75.3</v>
      </c>
      <c r="AM413" s="9">
        <v>150</v>
      </c>
      <c r="AN413" s="9">
        <v>100</v>
      </c>
      <c r="AO413" s="9">
        <v>107</v>
      </c>
      <c r="AP413" s="9">
        <v>46</v>
      </c>
      <c r="AQ413" s="9">
        <v>9</v>
      </c>
      <c r="AR413" s="9">
        <v>24.2</v>
      </c>
      <c r="AS413" s="9">
        <v>64</v>
      </c>
      <c r="AT413" s="9">
        <v>33.5</v>
      </c>
      <c r="AU413" s="9">
        <v>115</v>
      </c>
      <c r="AV413" s="9">
        <v>78</v>
      </c>
      <c r="AX413" s="9" t="s">
        <v>592</v>
      </c>
      <c r="AY413" s="9" t="s">
        <v>573</v>
      </c>
      <c r="AZ413" s="14" t="s">
        <v>2585</v>
      </c>
      <c r="BB413" s="9" t="s">
        <v>750</v>
      </c>
      <c r="BC413" s="9" t="s">
        <v>1130</v>
      </c>
      <c r="BF413" s="9" t="s">
        <v>175</v>
      </c>
      <c r="BG413" s="9" t="s">
        <v>176</v>
      </c>
      <c r="BH413" s="9" t="s">
        <v>3630</v>
      </c>
      <c r="BI413" s="9" t="s">
        <v>176</v>
      </c>
      <c r="BJ413" s="9" t="s">
        <v>176</v>
      </c>
      <c r="BK413" s="9" t="s">
        <v>3944</v>
      </c>
      <c r="BN413" s="9" t="s">
        <v>180</v>
      </c>
      <c r="BO413" s="9" t="s">
        <v>179</v>
      </c>
      <c r="BP413" s="9" t="s">
        <v>178</v>
      </c>
      <c r="BR413" s="9" t="s">
        <v>99</v>
      </c>
      <c r="BV413" s="9" t="s">
        <v>99</v>
      </c>
      <c r="BZ413" s="9" t="s">
        <v>183</v>
      </c>
      <c r="CA413" s="9" t="s">
        <v>182</v>
      </c>
      <c r="CB413" s="9" t="s">
        <v>709</v>
      </c>
      <c r="CD413" s="9" t="s">
        <v>99</v>
      </c>
      <c r="CH413" s="9" t="s">
        <v>99</v>
      </c>
      <c r="CL413" s="9" t="s">
        <v>2447</v>
      </c>
      <c r="CM413" s="9" t="s">
        <v>579</v>
      </c>
      <c r="CN413" s="9" t="s">
        <v>3945</v>
      </c>
      <c r="CP413" s="9" t="s">
        <v>361</v>
      </c>
      <c r="CQ413" s="9" t="s">
        <v>2534</v>
      </c>
      <c r="CR413" s="9" t="s">
        <v>3946</v>
      </c>
      <c r="CT413" s="9" t="s">
        <v>3947</v>
      </c>
      <c r="CW413" s="9">
        <v>5</v>
      </c>
      <c r="CX413" s="9" t="s">
        <v>110</v>
      </c>
      <c r="CY413" s="9" t="s">
        <v>3948</v>
      </c>
      <c r="CZ413" s="9">
        <v>40</v>
      </c>
      <c r="DA413" s="9">
        <v>30</v>
      </c>
      <c r="DB413" s="9">
        <v>30</v>
      </c>
      <c r="DC413">
        <v>86.1</v>
      </c>
      <c r="DD413">
        <v>0.75</v>
      </c>
      <c r="DE413">
        <v>196</v>
      </c>
      <c r="DF413">
        <v>177</v>
      </c>
      <c r="DG413" s="9">
        <f t="shared" si="6"/>
        <v>4.8158295720037572</v>
      </c>
      <c r="DH413">
        <v>35.4</v>
      </c>
      <c r="DI413">
        <v>4.2</v>
      </c>
      <c r="DJ413"/>
      <c r="DK413"/>
      <c r="DL413"/>
      <c r="DP413" s="11">
        <v>3</v>
      </c>
      <c r="DR413" s="9">
        <v>2</v>
      </c>
    </row>
    <row r="414" spans="1:125" x14ac:dyDescent="0.2">
      <c r="A414" s="9" t="s">
        <v>3949</v>
      </c>
      <c r="B414" s="107">
        <v>43005</v>
      </c>
      <c r="C414" s="9" t="s">
        <v>675</v>
      </c>
      <c r="D414" s="9">
        <v>59</v>
      </c>
      <c r="E414" s="9" t="s">
        <v>100</v>
      </c>
      <c r="G414" s="9" t="s">
        <v>3950</v>
      </c>
      <c r="H414" s="9" t="s">
        <v>3951</v>
      </c>
      <c r="M414" s="9" t="s">
        <v>99</v>
      </c>
      <c r="N414" s="9" t="s">
        <v>3873</v>
      </c>
      <c r="O414" s="9" t="s">
        <v>99</v>
      </c>
      <c r="P414" s="9" t="s">
        <v>99</v>
      </c>
      <c r="Q414" s="9" t="s">
        <v>3952</v>
      </c>
      <c r="S414" s="9" t="s">
        <v>99</v>
      </c>
      <c r="T414" s="9" t="s">
        <v>110</v>
      </c>
      <c r="U414" s="9" t="s">
        <v>3953</v>
      </c>
      <c r="W414" s="9" t="s">
        <v>99</v>
      </c>
      <c r="X414" s="9" t="s">
        <v>99</v>
      </c>
      <c r="Y414" s="9" t="s">
        <v>3954</v>
      </c>
      <c r="AA414" s="9" t="s">
        <v>100</v>
      </c>
      <c r="AB414" s="9" t="s">
        <v>100</v>
      </c>
      <c r="AC414" s="9" t="s">
        <v>100</v>
      </c>
      <c r="AD414" s="9" t="s">
        <v>100</v>
      </c>
      <c r="AE414" s="9" t="s">
        <v>1079</v>
      </c>
      <c r="AF414" s="9" t="s">
        <v>99</v>
      </c>
      <c r="AG414" s="9" t="s">
        <v>2319</v>
      </c>
      <c r="AH414" s="9" t="s">
        <v>1079</v>
      </c>
      <c r="AI414" s="9" t="s">
        <v>99</v>
      </c>
      <c r="AJ414" s="9" t="s">
        <v>99</v>
      </c>
      <c r="AK414" s="9" t="s">
        <v>99</v>
      </c>
      <c r="AL414" s="9">
        <v>72.099999999999994</v>
      </c>
      <c r="AM414" s="9">
        <v>164</v>
      </c>
      <c r="AN414">
        <v>95</v>
      </c>
      <c r="AO414">
        <v>107</v>
      </c>
      <c r="AP414">
        <v>26.6</v>
      </c>
      <c r="AQ414">
        <v>12</v>
      </c>
      <c r="AR414">
        <v>33.6</v>
      </c>
      <c r="AS414">
        <v>48</v>
      </c>
      <c r="AT414">
        <v>26.8</v>
      </c>
      <c r="AU414">
        <v>120</v>
      </c>
      <c r="AV414">
        <v>83</v>
      </c>
      <c r="DC414">
        <v>80</v>
      </c>
      <c r="DD414">
        <v>1.04</v>
      </c>
      <c r="DE414">
        <v>134</v>
      </c>
      <c r="DF414">
        <v>40</v>
      </c>
      <c r="DG414" s="9">
        <f t="shared" si="6"/>
        <v>4.0354530443939094</v>
      </c>
      <c r="DH414">
        <v>8</v>
      </c>
      <c r="DI414">
        <v>4.8600000000000003</v>
      </c>
      <c r="DJ414"/>
      <c r="DK414"/>
      <c r="DL414"/>
      <c r="DP414" s="18">
        <v>1</v>
      </c>
      <c r="DR414" s="9">
        <v>2</v>
      </c>
    </row>
    <row r="415" spans="1:125" x14ac:dyDescent="0.2">
      <c r="A415" s="9">
        <v>336</v>
      </c>
      <c r="B415" s="106">
        <v>43241</v>
      </c>
      <c r="C415" s="9" t="s">
        <v>3955</v>
      </c>
      <c r="D415" s="9">
        <v>36</v>
      </c>
      <c r="E415" s="35" t="s">
        <v>3956</v>
      </c>
      <c r="F415" s="17">
        <v>29741</v>
      </c>
      <c r="H415" s="9" t="s">
        <v>3957</v>
      </c>
      <c r="M415" s="9" t="s">
        <v>263</v>
      </c>
      <c r="N415" s="10" t="s">
        <v>3958</v>
      </c>
      <c r="O415" s="10" t="s">
        <v>3959</v>
      </c>
      <c r="P415" s="10" t="s">
        <v>368</v>
      </c>
      <c r="Q415" s="10" t="s">
        <v>3960</v>
      </c>
      <c r="R415" s="9" t="s">
        <v>588</v>
      </c>
      <c r="S415" s="9" t="s">
        <v>263</v>
      </c>
      <c r="T415" s="9" t="s">
        <v>263</v>
      </c>
      <c r="U415" s="10" t="s">
        <v>3961</v>
      </c>
      <c r="V415" s="9" t="s">
        <v>3962</v>
      </c>
      <c r="W415" s="9" t="s">
        <v>3961</v>
      </c>
      <c r="Y415" s="10" t="s">
        <v>3963</v>
      </c>
      <c r="Z415" s="10" t="s">
        <v>3964</v>
      </c>
      <c r="AA415" s="41" t="s">
        <v>3965</v>
      </c>
      <c r="AB415" s="35" t="s">
        <v>3966</v>
      </c>
      <c r="AC415" s="41" t="s">
        <v>3967</v>
      </c>
      <c r="AD415" s="35" t="s">
        <v>3966</v>
      </c>
      <c r="AE415" s="10" t="s">
        <v>3968</v>
      </c>
      <c r="AF415" s="10" t="s">
        <v>3969</v>
      </c>
      <c r="AG415" s="9" t="s">
        <v>263</v>
      </c>
      <c r="AH415" s="36" t="s">
        <v>3970</v>
      </c>
      <c r="AI415" s="9" t="s">
        <v>263</v>
      </c>
      <c r="AJ415" s="9" t="s">
        <v>263</v>
      </c>
      <c r="AK415" s="9" t="s">
        <v>263</v>
      </c>
      <c r="AL415" s="9">
        <v>67.900000000000006</v>
      </c>
      <c r="AM415" s="9">
        <v>1.63</v>
      </c>
      <c r="AN415" s="10">
        <v>94</v>
      </c>
      <c r="AO415" s="9">
        <v>97</v>
      </c>
      <c r="AP415" s="9">
        <v>25.1</v>
      </c>
      <c r="AQ415" s="9">
        <v>9</v>
      </c>
      <c r="AR415" s="9">
        <v>36.6</v>
      </c>
      <c r="AS415" s="9">
        <v>35</v>
      </c>
      <c r="AT415" s="10">
        <v>25.6</v>
      </c>
      <c r="AU415" s="9">
        <v>106</v>
      </c>
      <c r="AV415" s="9">
        <v>77</v>
      </c>
      <c r="AX415" s="9" t="s">
        <v>3971</v>
      </c>
      <c r="AY415" s="9" t="s">
        <v>3972</v>
      </c>
      <c r="AZ415" s="9" t="s">
        <v>3973</v>
      </c>
      <c r="BB415" s="9" t="s">
        <v>3974</v>
      </c>
      <c r="BC415" s="9" t="s">
        <v>3975</v>
      </c>
      <c r="BD415" s="9" t="s">
        <v>3976</v>
      </c>
      <c r="BE415" s="9" t="s">
        <v>3977</v>
      </c>
      <c r="BF415" s="9" t="s">
        <v>3978</v>
      </c>
      <c r="BG415" s="9" t="s">
        <v>375</v>
      </c>
      <c r="BH415" s="9" t="s">
        <v>323</v>
      </c>
      <c r="BI415" s="9" t="s">
        <v>635</v>
      </c>
      <c r="BJ415" s="9" t="s">
        <v>635</v>
      </c>
      <c r="BK415" s="9" t="s">
        <v>276</v>
      </c>
      <c r="BN415" s="9" t="s">
        <v>3979</v>
      </c>
      <c r="BO415" s="9" t="s">
        <v>3980</v>
      </c>
      <c r="BR415" s="9" t="s">
        <v>1293</v>
      </c>
      <c r="BS415" s="9" t="s">
        <v>3981</v>
      </c>
      <c r="BV415" s="9" t="s">
        <v>3982</v>
      </c>
      <c r="BW415" s="9" t="s">
        <v>3983</v>
      </c>
      <c r="BX415" s="9" t="s">
        <v>3984</v>
      </c>
      <c r="BZ415" s="9" t="s">
        <v>3985</v>
      </c>
      <c r="CA415" s="9" t="s">
        <v>3986</v>
      </c>
      <c r="CD415" s="9" t="s">
        <v>3987</v>
      </c>
      <c r="CE415" s="9" t="s">
        <v>3988</v>
      </c>
      <c r="CF415" s="9" t="s">
        <v>3989</v>
      </c>
      <c r="CH415" s="9" t="s">
        <v>3990</v>
      </c>
      <c r="CI415" s="9" t="s">
        <v>3991</v>
      </c>
      <c r="CJ415" s="9" t="s">
        <v>944</v>
      </c>
      <c r="CL415" s="9" t="s">
        <v>382</v>
      </c>
      <c r="CM415" s="9" t="s">
        <v>3992</v>
      </c>
      <c r="CN415" s="9" t="s">
        <v>922</v>
      </c>
      <c r="CP415" s="9" t="s">
        <v>3993</v>
      </c>
      <c r="CQ415" s="9" t="s">
        <v>636</v>
      </c>
      <c r="CR415" s="9" t="s">
        <v>3994</v>
      </c>
      <c r="CT415" s="9" t="s">
        <v>3995</v>
      </c>
      <c r="CW415" s="45" t="s">
        <v>1633</v>
      </c>
      <c r="CX415" s="9" t="s">
        <v>588</v>
      </c>
      <c r="CY415" s="9" t="s">
        <v>1218</v>
      </c>
      <c r="CZ415" s="9">
        <v>30</v>
      </c>
      <c r="DA415" s="9">
        <v>50</v>
      </c>
      <c r="DB415" s="9">
        <v>20</v>
      </c>
      <c r="DC415" s="14">
        <v>128.1</v>
      </c>
      <c r="DD415" s="9">
        <v>0.86</v>
      </c>
      <c r="DE415" s="10">
        <v>208</v>
      </c>
      <c r="DF415" s="9">
        <v>81</v>
      </c>
      <c r="DG415" s="9">
        <f t="shared" si="6"/>
        <v>4.623630181787564</v>
      </c>
      <c r="DH415" s="9">
        <v>16.2</v>
      </c>
      <c r="DI415" s="9">
        <v>6.21</v>
      </c>
      <c r="DU415" s="9">
        <v>12</v>
      </c>
    </row>
    <row r="416" spans="1:125" x14ac:dyDescent="0.2">
      <c r="A416" s="110" t="s">
        <v>3996</v>
      </c>
      <c r="DC416" s="10">
        <v>145.30000000000001</v>
      </c>
      <c r="DD416" s="9">
        <v>1.04</v>
      </c>
      <c r="DE416" s="9">
        <v>172</v>
      </c>
      <c r="DF416" s="10">
        <v>178</v>
      </c>
      <c r="DG416" s="9">
        <f t="shared" si="6"/>
        <v>5.0802920604341608</v>
      </c>
      <c r="DH416" s="9">
        <v>35.6</v>
      </c>
      <c r="DI416" s="9">
        <v>4.08</v>
      </c>
      <c r="DL416" s="9">
        <v>78.400000000000006</v>
      </c>
      <c r="DP416" s="11">
        <v>2</v>
      </c>
      <c r="DR416" s="9">
        <v>3</v>
      </c>
      <c r="DT416" s="9">
        <v>9</v>
      </c>
      <c r="DU416" s="9">
        <v>7.5</v>
      </c>
    </row>
    <row r="417" spans="1:126" x14ac:dyDescent="0.2">
      <c r="A417" s="9" t="s">
        <v>3997</v>
      </c>
      <c r="B417" s="8">
        <v>42975</v>
      </c>
      <c r="C417" s="9" t="s">
        <v>95</v>
      </c>
      <c r="D417" s="9">
        <v>42</v>
      </c>
      <c r="E417" s="9" t="s">
        <v>100</v>
      </c>
      <c r="F417" s="17">
        <v>27465</v>
      </c>
      <c r="G417" s="9" t="s">
        <v>197</v>
      </c>
      <c r="H417" s="9" t="s">
        <v>3998</v>
      </c>
      <c r="I417" s="9">
        <v>12</v>
      </c>
      <c r="J417" s="9" t="s">
        <v>3999</v>
      </c>
      <c r="K417" s="9">
        <v>13</v>
      </c>
      <c r="L417" s="9" t="s">
        <v>4000</v>
      </c>
      <c r="M417" s="9" t="s">
        <v>99</v>
      </c>
      <c r="N417" s="9" t="s">
        <v>99</v>
      </c>
      <c r="O417" s="9" t="s">
        <v>2843</v>
      </c>
      <c r="P417" s="9" t="s">
        <v>99</v>
      </c>
      <c r="Q417" s="9" t="s">
        <v>110</v>
      </c>
      <c r="S417" s="9" t="s">
        <v>110</v>
      </c>
      <c r="T417" s="9" t="s">
        <v>110</v>
      </c>
      <c r="U417" s="9" t="s">
        <v>4001</v>
      </c>
      <c r="W417" s="9" t="s">
        <v>4002</v>
      </c>
      <c r="X417" s="9" t="s">
        <v>99</v>
      </c>
      <c r="Y417" s="9" t="s">
        <v>1903</v>
      </c>
      <c r="AA417" s="9" t="s">
        <v>96</v>
      </c>
      <c r="AB417" s="9" t="s">
        <v>100</v>
      </c>
      <c r="AC417" s="9" t="s">
        <v>100</v>
      </c>
      <c r="AD417" s="9" t="s">
        <v>96</v>
      </c>
      <c r="AE417" s="9" t="s">
        <v>99</v>
      </c>
      <c r="AF417" s="9" t="s">
        <v>125</v>
      </c>
      <c r="AG417" s="9" t="s">
        <v>99</v>
      </c>
      <c r="AH417" s="9" t="s">
        <v>99</v>
      </c>
      <c r="AI417" s="9" t="s">
        <v>99</v>
      </c>
      <c r="AJ417" s="9" t="s">
        <v>99</v>
      </c>
      <c r="AL417" s="9">
        <v>76.900000000000006</v>
      </c>
      <c r="AN417" s="9">
        <v>93</v>
      </c>
      <c r="AO417" s="9">
        <v>106</v>
      </c>
      <c r="AP417" s="9">
        <v>41.9</v>
      </c>
      <c r="AQ417" s="9">
        <v>8</v>
      </c>
      <c r="AR417" s="9">
        <v>25.8</v>
      </c>
      <c r="AS417" s="9">
        <v>57</v>
      </c>
      <c r="AT417" s="9">
        <v>30</v>
      </c>
      <c r="AU417" s="9">
        <v>104</v>
      </c>
      <c r="AV417" s="9">
        <v>75</v>
      </c>
      <c r="AX417" s="9" t="s">
        <v>3401</v>
      </c>
      <c r="AY417" s="9" t="s">
        <v>729</v>
      </c>
      <c r="AZ417" s="9" t="s">
        <v>125</v>
      </c>
      <c r="BB417" s="9" t="s">
        <v>750</v>
      </c>
      <c r="BC417" s="9" t="s">
        <v>749</v>
      </c>
      <c r="BF417" s="9" t="s">
        <v>4003</v>
      </c>
      <c r="BH417" s="9" t="s">
        <v>2445</v>
      </c>
      <c r="BJ417" s="9" t="s">
        <v>4004</v>
      </c>
      <c r="BK417" s="9" t="s">
        <v>4005</v>
      </c>
      <c r="BN417" s="9" t="s">
        <v>179</v>
      </c>
      <c r="BO417" s="9" t="s">
        <v>180</v>
      </c>
      <c r="BP417" s="9" t="s">
        <v>178</v>
      </c>
      <c r="BR417" s="9" t="s">
        <v>99</v>
      </c>
      <c r="BV417" s="9" t="s">
        <v>99</v>
      </c>
      <c r="BZ417" s="9" t="s">
        <v>182</v>
      </c>
      <c r="CA417" s="9" t="s">
        <v>183</v>
      </c>
      <c r="CB417" s="9" t="s">
        <v>822</v>
      </c>
      <c r="CD417" s="9" t="s">
        <v>99</v>
      </c>
      <c r="CH417" s="9" t="s">
        <v>99</v>
      </c>
      <c r="CL417" s="9" t="s">
        <v>980</v>
      </c>
      <c r="CM417" s="9" t="s">
        <v>1181</v>
      </c>
      <c r="CN417" s="9" t="s">
        <v>2659</v>
      </c>
      <c r="CP417" s="9" t="s">
        <v>362</v>
      </c>
      <c r="CT417" s="9" t="s">
        <v>983</v>
      </c>
      <c r="CW417" s="9">
        <v>3</v>
      </c>
      <c r="CX417" s="9" t="s">
        <v>99</v>
      </c>
      <c r="CY417" s="9" t="s">
        <v>2806</v>
      </c>
      <c r="CZ417" s="9">
        <v>40</v>
      </c>
      <c r="DA417" s="9">
        <v>100</v>
      </c>
      <c r="DB417" s="9">
        <v>40</v>
      </c>
      <c r="DC417" s="111">
        <v>90.6</v>
      </c>
      <c r="DD417" s="111">
        <v>0.6</v>
      </c>
      <c r="DE417" s="111">
        <v>120</v>
      </c>
      <c r="DF417" s="111">
        <v>110</v>
      </c>
      <c r="DG417" s="9">
        <f t="shared" si="6"/>
        <v>4.6034672894206752</v>
      </c>
      <c r="DH417" s="111">
        <v>22</v>
      </c>
      <c r="DI417" s="111">
        <v>5.24</v>
      </c>
      <c r="DJ417" s="111"/>
      <c r="DK417" s="111"/>
      <c r="DL417" s="111">
        <v>32</v>
      </c>
      <c r="DM417" s="111">
        <v>66</v>
      </c>
      <c r="DN417" s="111"/>
      <c r="DP417" s="11">
        <v>2</v>
      </c>
      <c r="DQ417" s="6" t="s">
        <v>111</v>
      </c>
      <c r="DR417" s="9">
        <v>3</v>
      </c>
    </row>
    <row r="418" spans="1:126" x14ac:dyDescent="0.2">
      <c r="A418" s="10">
        <v>339</v>
      </c>
      <c r="B418" s="106">
        <v>43277</v>
      </c>
      <c r="C418" s="9" t="s">
        <v>95</v>
      </c>
      <c r="D418" s="9">
        <v>64</v>
      </c>
      <c r="E418" s="9" t="s">
        <v>96</v>
      </c>
      <c r="F418" s="8">
        <v>20744</v>
      </c>
      <c r="G418" s="9" t="s">
        <v>162</v>
      </c>
      <c r="H418" s="9" t="s">
        <v>162</v>
      </c>
      <c r="I418" s="9" t="s">
        <v>162</v>
      </c>
      <c r="J418" s="10" t="s">
        <v>2138</v>
      </c>
      <c r="K418" s="9">
        <v>1995</v>
      </c>
      <c r="L418" s="9">
        <v>4</v>
      </c>
      <c r="M418" s="10" t="s">
        <v>368</v>
      </c>
      <c r="N418" s="10" t="s">
        <v>368</v>
      </c>
      <c r="O418" s="9" t="s">
        <v>263</v>
      </c>
      <c r="P418" s="9" t="s">
        <v>162</v>
      </c>
      <c r="Q418" s="9" t="s">
        <v>162</v>
      </c>
      <c r="R418" s="9" t="s">
        <v>263</v>
      </c>
      <c r="S418" s="9" t="s">
        <v>4006</v>
      </c>
      <c r="T418" s="10" t="s">
        <v>4007</v>
      </c>
      <c r="U418" s="9" t="s">
        <v>4008</v>
      </c>
      <c r="V418" s="9" t="s">
        <v>162</v>
      </c>
      <c r="W418" s="10" t="s">
        <v>4009</v>
      </c>
      <c r="X418" s="9" t="s">
        <v>263</v>
      </c>
      <c r="Y418" s="9" t="s">
        <v>162</v>
      </c>
      <c r="Z418" s="9" t="s">
        <v>545</v>
      </c>
      <c r="AA418" s="9" t="s">
        <v>96</v>
      </c>
      <c r="AB418" s="9" t="s">
        <v>96</v>
      </c>
      <c r="AC418" s="9" t="s">
        <v>96</v>
      </c>
      <c r="AD418" s="9" t="s">
        <v>96</v>
      </c>
      <c r="AE418" s="10" t="s">
        <v>35</v>
      </c>
      <c r="AF418" s="10" t="s">
        <v>35</v>
      </c>
      <c r="AG418" s="10" t="s">
        <v>35</v>
      </c>
      <c r="AH418" s="10" t="s">
        <v>35</v>
      </c>
      <c r="AI418" s="10" t="s">
        <v>35</v>
      </c>
      <c r="AJ418" s="9" t="s">
        <v>162</v>
      </c>
      <c r="AK418" s="9" t="s">
        <v>162</v>
      </c>
      <c r="AL418" s="9">
        <v>64.400000000000006</v>
      </c>
      <c r="AM418" s="9" t="s">
        <v>162</v>
      </c>
      <c r="AN418" s="46">
        <v>95</v>
      </c>
      <c r="AO418" s="9">
        <v>101</v>
      </c>
      <c r="AP418" s="9">
        <v>36.700000000000003</v>
      </c>
      <c r="AQ418" s="9">
        <v>7</v>
      </c>
      <c r="AR418" s="9">
        <v>25.7</v>
      </c>
      <c r="AS418" s="9">
        <v>53</v>
      </c>
      <c r="AT418" s="7">
        <v>23.7</v>
      </c>
      <c r="AU418" s="9">
        <v>119</v>
      </c>
      <c r="AV418" s="9">
        <v>80</v>
      </c>
      <c r="AX418" s="9" t="s">
        <v>162</v>
      </c>
      <c r="AY418" s="9" t="s">
        <v>162</v>
      </c>
      <c r="AZ418" s="9" t="s">
        <v>162</v>
      </c>
      <c r="BB418" s="9" t="s">
        <v>162</v>
      </c>
      <c r="BC418" s="9" t="s">
        <v>162</v>
      </c>
      <c r="BD418" s="9" t="s">
        <v>162</v>
      </c>
      <c r="BF418" s="9" t="s">
        <v>322</v>
      </c>
      <c r="BG418" s="9" t="s">
        <v>322</v>
      </c>
      <c r="BH418" s="9" t="s">
        <v>322</v>
      </c>
      <c r="BI418" s="9" t="s">
        <v>375</v>
      </c>
      <c r="BJ418" s="9" t="s">
        <v>322</v>
      </c>
      <c r="BN418" s="9" t="s">
        <v>162</v>
      </c>
      <c r="BO418" s="9" t="s">
        <v>162</v>
      </c>
      <c r="BP418" s="9" t="s">
        <v>162</v>
      </c>
      <c r="BR418" s="9" t="s">
        <v>162</v>
      </c>
      <c r="BS418" s="9" t="s">
        <v>162</v>
      </c>
      <c r="BT418" s="9" t="s">
        <v>162</v>
      </c>
      <c r="BV418" s="9" t="s">
        <v>162</v>
      </c>
      <c r="BW418" s="9" t="s">
        <v>162</v>
      </c>
      <c r="BX418" s="9" t="s">
        <v>162</v>
      </c>
      <c r="BZ418" s="9" t="s">
        <v>526</v>
      </c>
      <c r="CA418" s="9" t="s">
        <v>4010</v>
      </c>
      <c r="CB418" s="9" t="s">
        <v>557</v>
      </c>
      <c r="CD418" s="9" t="s">
        <v>162</v>
      </c>
      <c r="CE418" s="9" t="s">
        <v>162</v>
      </c>
      <c r="CF418" s="9" t="s">
        <v>162</v>
      </c>
      <c r="CH418" s="9" t="s">
        <v>162</v>
      </c>
      <c r="CI418" s="9" t="s">
        <v>162</v>
      </c>
      <c r="CJ418" s="9" t="s">
        <v>162</v>
      </c>
      <c r="CL418" s="9" t="s">
        <v>162</v>
      </c>
      <c r="CM418" s="9" t="s">
        <v>162</v>
      </c>
      <c r="CN418" s="9" t="s">
        <v>162</v>
      </c>
      <c r="CP418" s="9" t="s">
        <v>162</v>
      </c>
      <c r="CQ418" s="9" t="s">
        <v>162</v>
      </c>
      <c r="CR418" s="9" t="s">
        <v>162</v>
      </c>
      <c r="CT418" s="9" t="s">
        <v>162</v>
      </c>
      <c r="CU418" s="9" t="s">
        <v>162</v>
      </c>
      <c r="CV418" s="9" t="s">
        <v>162</v>
      </c>
      <c r="CW418" s="9" t="s">
        <v>162</v>
      </c>
      <c r="CX418" s="9" t="s">
        <v>162</v>
      </c>
      <c r="CY418" s="9" t="s">
        <v>162</v>
      </c>
      <c r="CZ418" s="9" t="s">
        <v>162</v>
      </c>
      <c r="DA418" s="9" t="s">
        <v>162</v>
      </c>
      <c r="DB418" s="9" t="s">
        <v>162</v>
      </c>
      <c r="DC418" s="9">
        <v>78.2</v>
      </c>
      <c r="DD418" s="9">
        <v>0.78</v>
      </c>
      <c r="DE418" s="10">
        <v>217</v>
      </c>
      <c r="DF418" s="10">
        <v>275</v>
      </c>
      <c r="DG418" s="9">
        <f t="shared" si="6"/>
        <v>4.9880203726089185</v>
      </c>
      <c r="DH418" s="9">
        <v>55</v>
      </c>
      <c r="DI418" s="9">
        <v>4.7</v>
      </c>
      <c r="DJ418" s="9">
        <v>5.7</v>
      </c>
      <c r="DK418" s="9">
        <v>14.3</v>
      </c>
      <c r="DL418" s="10">
        <v>36.6</v>
      </c>
      <c r="DM418" s="9">
        <v>125.4</v>
      </c>
      <c r="DP418" s="11">
        <v>2</v>
      </c>
      <c r="DQ418" s="6"/>
      <c r="DR418" s="9">
        <v>2</v>
      </c>
      <c r="DU418" s="9">
        <v>5.8</v>
      </c>
    </row>
    <row r="419" spans="1:126" x14ac:dyDescent="0.2">
      <c r="A419" s="9" t="s">
        <v>4011</v>
      </c>
      <c r="B419" s="8">
        <v>42942</v>
      </c>
      <c r="C419" s="9" t="s">
        <v>95</v>
      </c>
      <c r="D419" s="9">
        <v>57</v>
      </c>
      <c r="E419" s="9" t="s">
        <v>96</v>
      </c>
      <c r="F419" s="17">
        <v>22057</v>
      </c>
      <c r="J419" s="9">
        <v>54</v>
      </c>
      <c r="K419" s="9">
        <v>35</v>
      </c>
      <c r="L419" s="9">
        <v>4</v>
      </c>
      <c r="M419" s="9" t="s">
        <v>99</v>
      </c>
      <c r="N419" s="9" t="s">
        <v>110</v>
      </c>
      <c r="P419" s="9" t="s">
        <v>99</v>
      </c>
      <c r="S419" s="9" t="s">
        <v>99</v>
      </c>
      <c r="T419" s="9" t="s">
        <v>110</v>
      </c>
      <c r="U419" s="9" t="s">
        <v>4012</v>
      </c>
      <c r="V419" s="9" t="s">
        <v>4013</v>
      </c>
      <c r="W419" s="9" t="s">
        <v>99</v>
      </c>
      <c r="X419" s="9" t="s">
        <v>99</v>
      </c>
      <c r="AA419" s="9" t="s">
        <v>96</v>
      </c>
      <c r="AB419" s="35" t="s">
        <v>155</v>
      </c>
      <c r="AC419" s="9" t="s">
        <v>96</v>
      </c>
      <c r="AD419" s="35" t="s">
        <v>155</v>
      </c>
      <c r="AE419" s="9" t="s">
        <v>126</v>
      </c>
      <c r="AF419" s="9" t="s">
        <v>570</v>
      </c>
      <c r="AG419" s="9" t="s">
        <v>99</v>
      </c>
      <c r="AH419" s="9" t="s">
        <v>99</v>
      </c>
      <c r="AI419" s="9" t="s">
        <v>99</v>
      </c>
      <c r="AJ419" s="9" t="s">
        <v>99</v>
      </c>
      <c r="AK419" s="9" t="s">
        <v>99</v>
      </c>
      <c r="AL419" s="9">
        <v>57</v>
      </c>
      <c r="AM419" s="9">
        <v>157</v>
      </c>
      <c r="AN419" s="9">
        <v>70</v>
      </c>
      <c r="AO419" s="9">
        <v>93</v>
      </c>
      <c r="AP419" s="9">
        <v>36.9</v>
      </c>
      <c r="AQ419" s="9">
        <v>7</v>
      </c>
      <c r="AR419" s="9">
        <v>24.5</v>
      </c>
      <c r="AS419" s="9">
        <v>50</v>
      </c>
      <c r="AT419" s="7">
        <v>23.1</v>
      </c>
      <c r="AU419" s="10">
        <v>143</v>
      </c>
      <c r="AV419" s="10">
        <v>104</v>
      </c>
      <c r="AX419" s="9" t="s">
        <v>729</v>
      </c>
      <c r="AY419" s="9" t="s">
        <v>3401</v>
      </c>
      <c r="AZ419" s="9" t="s">
        <v>573</v>
      </c>
      <c r="BB419" s="9" t="s">
        <v>364</v>
      </c>
      <c r="BC419" s="9" t="s">
        <v>2541</v>
      </c>
      <c r="BD419" s="9" t="s">
        <v>2568</v>
      </c>
      <c r="BF419" s="9" t="s">
        <v>1173</v>
      </c>
      <c r="BG419" s="9" t="s">
        <v>2570</v>
      </c>
      <c r="BH419" s="9" t="s">
        <v>99</v>
      </c>
      <c r="BI419" s="9" t="s">
        <v>1099</v>
      </c>
      <c r="BJ419" s="9" t="s">
        <v>175</v>
      </c>
      <c r="BK419" s="9" t="s">
        <v>2445</v>
      </c>
      <c r="BN419" s="9" t="s">
        <v>4014</v>
      </c>
      <c r="BO419" s="9" t="s">
        <v>3728</v>
      </c>
      <c r="BP419" s="9" t="s">
        <v>859</v>
      </c>
      <c r="BR419" s="9" t="s">
        <v>99</v>
      </c>
      <c r="BV419" s="9" t="s">
        <v>99</v>
      </c>
      <c r="BZ419" s="9" t="s">
        <v>709</v>
      </c>
      <c r="CA419" s="9" t="s">
        <v>752</v>
      </c>
      <c r="CB419" s="9" t="s">
        <v>577</v>
      </c>
      <c r="CD419" s="9" t="s">
        <v>99</v>
      </c>
      <c r="CH419" s="9" t="s">
        <v>99</v>
      </c>
      <c r="CL419" s="9" t="s">
        <v>1373</v>
      </c>
      <c r="CM419" s="9" t="s">
        <v>4015</v>
      </c>
      <c r="CN419" s="9" t="s">
        <v>2753</v>
      </c>
      <c r="CP419" s="9" t="s">
        <v>362</v>
      </c>
      <c r="CQ419" s="9" t="s">
        <v>361</v>
      </c>
      <c r="CT419" s="9" t="s">
        <v>2368</v>
      </c>
      <c r="CW419" s="9">
        <v>3</v>
      </c>
      <c r="CX419" s="9" t="s">
        <v>99</v>
      </c>
      <c r="CY419" s="9" t="s">
        <v>110</v>
      </c>
      <c r="CZ419" s="9">
        <v>50</v>
      </c>
      <c r="DA419" s="9">
        <v>25</v>
      </c>
      <c r="DB419" s="9">
        <v>25</v>
      </c>
      <c r="DC419" s="10">
        <v>117.8</v>
      </c>
      <c r="DD419" s="9">
        <v>0.53</v>
      </c>
      <c r="DE419" s="10">
        <v>314</v>
      </c>
      <c r="DF419" s="9" t="s">
        <v>4016</v>
      </c>
      <c r="DG419" s="9" t="e">
        <f t="shared" si="6"/>
        <v>#VALUE!</v>
      </c>
      <c r="DH419" s="9">
        <v>15.2</v>
      </c>
      <c r="DI419" s="9">
        <v>4.75</v>
      </c>
      <c r="DP419" s="11">
        <v>2</v>
      </c>
      <c r="DQ419" s="6" t="s">
        <v>111</v>
      </c>
      <c r="DR419" s="9">
        <v>2</v>
      </c>
      <c r="DU419" s="9">
        <v>6.6</v>
      </c>
    </row>
    <row r="420" spans="1:126" x14ac:dyDescent="0.2">
      <c r="A420" s="14">
        <v>341</v>
      </c>
      <c r="B420" s="106">
        <v>43241</v>
      </c>
      <c r="C420" s="9" t="s">
        <v>3645</v>
      </c>
      <c r="D420" s="9">
        <v>30</v>
      </c>
      <c r="E420" s="35" t="s">
        <v>4017</v>
      </c>
      <c r="F420" s="17">
        <v>31958</v>
      </c>
      <c r="G420" s="9" t="s">
        <v>4018</v>
      </c>
      <c r="H420" s="9" t="s">
        <v>4019</v>
      </c>
      <c r="I420" s="9" t="s">
        <v>2020</v>
      </c>
      <c r="M420" s="10" t="s">
        <v>4020</v>
      </c>
      <c r="N420" s="9" t="s">
        <v>263</v>
      </c>
      <c r="O420" s="10" t="s">
        <v>1334</v>
      </c>
      <c r="P420" s="10" t="s">
        <v>368</v>
      </c>
      <c r="Q420" s="10" t="s">
        <v>369</v>
      </c>
      <c r="R420" s="9" t="s">
        <v>588</v>
      </c>
      <c r="S420" s="9" t="s">
        <v>263</v>
      </c>
      <c r="T420" s="9" t="s">
        <v>263</v>
      </c>
      <c r="U420" s="9" t="s">
        <v>263</v>
      </c>
      <c r="V420" s="9" t="s">
        <v>263</v>
      </c>
      <c r="W420" s="9" t="s">
        <v>263</v>
      </c>
      <c r="X420" s="9" t="s">
        <v>263</v>
      </c>
      <c r="Y420" s="9" t="s">
        <v>4021</v>
      </c>
      <c r="Z420" s="9" t="s">
        <v>4022</v>
      </c>
      <c r="AA420" s="35" t="s">
        <v>155</v>
      </c>
      <c r="AB420" s="35" t="s">
        <v>4023</v>
      </c>
      <c r="AC420" s="41" t="s">
        <v>1359</v>
      </c>
      <c r="AD420" s="35" t="s">
        <v>4023</v>
      </c>
      <c r="AE420" s="10" t="s">
        <v>4024</v>
      </c>
      <c r="AF420" s="10" t="s">
        <v>1232</v>
      </c>
      <c r="AG420" s="9" t="s">
        <v>263</v>
      </c>
      <c r="AH420" s="10" t="s">
        <v>4025</v>
      </c>
      <c r="AI420" s="9" t="s">
        <v>263</v>
      </c>
      <c r="AJ420" s="9" t="s">
        <v>263</v>
      </c>
      <c r="AK420" s="9" t="s">
        <v>263</v>
      </c>
      <c r="AL420" s="9">
        <v>84.8</v>
      </c>
      <c r="AM420" s="9">
        <v>1.64</v>
      </c>
      <c r="AN420" s="10">
        <v>104</v>
      </c>
      <c r="AO420" s="9">
        <v>117</v>
      </c>
      <c r="AP420" s="9">
        <v>46.7</v>
      </c>
      <c r="AQ420" s="9">
        <v>8</v>
      </c>
      <c r="AR420" s="9">
        <v>23.3</v>
      </c>
      <c r="AS420" s="9">
        <v>53</v>
      </c>
      <c r="AT420" s="9">
        <v>31.5</v>
      </c>
      <c r="AU420" s="9">
        <v>104</v>
      </c>
      <c r="AV420" s="9">
        <v>77</v>
      </c>
      <c r="AX420" s="9" t="s">
        <v>4026</v>
      </c>
      <c r="AY420" s="9" t="s">
        <v>389</v>
      </c>
      <c r="BF420" s="9" t="s">
        <v>323</v>
      </c>
      <c r="BG420" s="9" t="s">
        <v>375</v>
      </c>
      <c r="BH420" s="9" t="s">
        <v>375</v>
      </c>
      <c r="BI420" s="9" t="s">
        <v>375</v>
      </c>
      <c r="BJ420" s="9" t="s">
        <v>375</v>
      </c>
      <c r="BK420" s="9" t="s">
        <v>1778</v>
      </c>
      <c r="BN420" s="9" t="s">
        <v>4027</v>
      </c>
      <c r="BO420" s="9" t="s">
        <v>3728</v>
      </c>
      <c r="BP420" s="9" t="s">
        <v>498</v>
      </c>
      <c r="BR420" s="9" t="s">
        <v>1282</v>
      </c>
      <c r="BS420" s="9" t="s">
        <v>4028</v>
      </c>
      <c r="BV420" s="9" t="s">
        <v>4029</v>
      </c>
      <c r="BZ420" s="9" t="s">
        <v>4030</v>
      </c>
      <c r="CA420" s="9" t="s">
        <v>4031</v>
      </c>
      <c r="CC420" s="9" t="s">
        <v>263</v>
      </c>
      <c r="CG420" s="9" t="s">
        <v>263</v>
      </c>
      <c r="CL420" s="9" t="s">
        <v>1373</v>
      </c>
      <c r="CM420" s="9" t="s">
        <v>4032</v>
      </c>
      <c r="CP420" s="9" t="s">
        <v>1285</v>
      </c>
      <c r="CQ420" s="9" t="s">
        <v>4033</v>
      </c>
      <c r="CR420" s="9" t="s">
        <v>911</v>
      </c>
      <c r="CT420" s="9" t="s">
        <v>445</v>
      </c>
      <c r="CU420" s="9" t="s">
        <v>4034</v>
      </c>
      <c r="CV420" s="9" t="s">
        <v>539</v>
      </c>
      <c r="CW420" s="9" t="s">
        <v>4035</v>
      </c>
      <c r="CX420" s="9" t="s">
        <v>263</v>
      </c>
      <c r="CY420" s="9" t="s">
        <v>4036</v>
      </c>
      <c r="DC420" s="14">
        <v>246</v>
      </c>
      <c r="DD420" s="9">
        <v>0.48</v>
      </c>
      <c r="DE420" s="9">
        <v>146</v>
      </c>
      <c r="DF420" s="10">
        <v>328</v>
      </c>
      <c r="DG420" s="9">
        <f t="shared" si="6"/>
        <v>5.6491725721582533</v>
      </c>
      <c r="DI420" s="9">
        <v>3.32</v>
      </c>
      <c r="DJ420" s="10">
        <v>47</v>
      </c>
      <c r="DP420" s="18" t="s">
        <v>774</v>
      </c>
      <c r="DQ420" s="6" t="s">
        <v>111</v>
      </c>
      <c r="DU420" s="9">
        <v>6.4</v>
      </c>
    </row>
    <row r="421" spans="1:126" x14ac:dyDescent="0.2">
      <c r="A421" s="56">
        <v>341</v>
      </c>
      <c r="B421" s="8">
        <v>42933</v>
      </c>
      <c r="C421" s="9" t="s">
        <v>107</v>
      </c>
      <c r="D421" s="9">
        <v>29</v>
      </c>
      <c r="E421" s="49" t="s">
        <v>899</v>
      </c>
      <c r="F421" s="17">
        <v>32083</v>
      </c>
      <c r="G421" s="9" t="s">
        <v>1509</v>
      </c>
      <c r="H421" s="9" t="s">
        <v>3001</v>
      </c>
      <c r="M421" s="10" t="s">
        <v>99</v>
      </c>
      <c r="N421" s="9" t="s">
        <v>99</v>
      </c>
      <c r="O421" s="10" t="s">
        <v>99</v>
      </c>
      <c r="P421" s="10" t="s">
        <v>99</v>
      </c>
      <c r="Q421" s="10" t="s">
        <v>110</v>
      </c>
      <c r="R421" s="9" t="s">
        <v>99</v>
      </c>
      <c r="S421" s="9" t="s">
        <v>110</v>
      </c>
      <c r="T421" s="9" t="s">
        <v>110</v>
      </c>
      <c r="U421" s="9" t="s">
        <v>99</v>
      </c>
      <c r="V421" s="9" t="s">
        <v>99</v>
      </c>
      <c r="W421" s="9" t="s">
        <v>99</v>
      </c>
      <c r="X421" s="9" t="s">
        <v>99</v>
      </c>
      <c r="AA421" s="49" t="s">
        <v>797</v>
      </c>
      <c r="AB421" s="49" t="s">
        <v>797</v>
      </c>
      <c r="AC421" s="49" t="s">
        <v>797</v>
      </c>
      <c r="AD421" s="49" t="s">
        <v>797</v>
      </c>
      <c r="AE421" s="10" t="s">
        <v>99</v>
      </c>
      <c r="AF421" s="10" t="s">
        <v>4037</v>
      </c>
      <c r="AG421" s="9" t="s">
        <v>4038</v>
      </c>
      <c r="AH421" s="10" t="s">
        <v>99</v>
      </c>
      <c r="AI421" s="9" t="s">
        <v>99</v>
      </c>
      <c r="AJ421" s="9" t="s">
        <v>99</v>
      </c>
      <c r="AK421" s="9" t="s">
        <v>4039</v>
      </c>
      <c r="AL421" s="9">
        <v>46.3</v>
      </c>
      <c r="AM421" s="9">
        <v>160</v>
      </c>
      <c r="AN421" s="10">
        <v>65</v>
      </c>
      <c r="AO421" s="9">
        <v>84</v>
      </c>
      <c r="AP421" s="9">
        <v>8.5</v>
      </c>
      <c r="AQ421" s="9">
        <v>2</v>
      </c>
      <c r="AR421" s="9">
        <v>42.4</v>
      </c>
      <c r="AS421" s="9">
        <v>18</v>
      </c>
      <c r="AT421" s="9">
        <v>18.100000000000001</v>
      </c>
      <c r="AU421" s="9">
        <v>115</v>
      </c>
      <c r="AV421" s="9">
        <v>77</v>
      </c>
      <c r="DG421" s="9" t="e">
        <f t="shared" si="6"/>
        <v>#NUM!</v>
      </c>
      <c r="DQ421" s="6"/>
    </row>
    <row r="422" spans="1:126" x14ac:dyDescent="0.2">
      <c r="A422" s="9" t="s">
        <v>4040</v>
      </c>
      <c r="B422" s="8">
        <v>42938</v>
      </c>
      <c r="C422" s="9" t="s">
        <v>95</v>
      </c>
      <c r="D422" s="9">
        <v>60</v>
      </c>
      <c r="E422" s="9" t="s">
        <v>96</v>
      </c>
      <c r="F422" s="17">
        <v>20875</v>
      </c>
      <c r="G422" s="9" t="s">
        <v>234</v>
      </c>
      <c r="H422" s="9" t="s">
        <v>832</v>
      </c>
      <c r="I422" s="9">
        <v>11</v>
      </c>
      <c r="J422" s="9">
        <v>45</v>
      </c>
      <c r="K422" s="9">
        <v>1981</v>
      </c>
      <c r="L422" s="9">
        <v>4</v>
      </c>
      <c r="M422" s="9" t="s">
        <v>99</v>
      </c>
      <c r="N422" s="9" t="s">
        <v>4041</v>
      </c>
      <c r="O422" s="9" t="s">
        <v>99</v>
      </c>
      <c r="P422" s="9" t="s">
        <v>110</v>
      </c>
      <c r="Q422" s="9" t="s">
        <v>99</v>
      </c>
      <c r="S422" s="9" t="s">
        <v>99</v>
      </c>
      <c r="T422" s="9" t="s">
        <v>99</v>
      </c>
      <c r="U422" s="9" t="s">
        <v>99</v>
      </c>
      <c r="V422" s="9" t="s">
        <v>99</v>
      </c>
      <c r="AA422" s="9" t="s">
        <v>96</v>
      </c>
      <c r="AB422" s="9" t="s">
        <v>96</v>
      </c>
      <c r="AC422" s="9" t="s">
        <v>96</v>
      </c>
      <c r="AD422" s="9" t="s">
        <v>96</v>
      </c>
      <c r="AE422" s="9" t="s">
        <v>99</v>
      </c>
      <c r="AF422" s="9" t="s">
        <v>125</v>
      </c>
      <c r="AG422" s="9" t="s">
        <v>99</v>
      </c>
      <c r="AH422" s="9" t="s">
        <v>99</v>
      </c>
      <c r="AI422" s="9" t="s">
        <v>99</v>
      </c>
      <c r="AJ422" s="9" t="s">
        <v>99</v>
      </c>
      <c r="AL422" s="9">
        <v>55.2</v>
      </c>
      <c r="AM422" s="9">
        <v>1.49</v>
      </c>
      <c r="AN422" s="9">
        <v>88</v>
      </c>
      <c r="AO422" s="9">
        <v>93</v>
      </c>
      <c r="AP422" s="9">
        <v>40.700000000000003</v>
      </c>
      <c r="AQ422" s="9">
        <v>9</v>
      </c>
      <c r="AR422" s="9">
        <v>22.4</v>
      </c>
      <c r="AS422" s="9">
        <v>59</v>
      </c>
      <c r="AT422" s="9">
        <v>24.9</v>
      </c>
      <c r="AU422" s="9">
        <v>160</v>
      </c>
      <c r="AV422" s="9">
        <v>95</v>
      </c>
      <c r="AX422" s="9" t="s">
        <v>4042</v>
      </c>
      <c r="AY422" s="9" t="s">
        <v>1097</v>
      </c>
      <c r="AZ422" s="9" t="s">
        <v>4043</v>
      </c>
      <c r="BB422" s="9" t="s">
        <v>346</v>
      </c>
      <c r="BC422" s="9" t="s">
        <v>4044</v>
      </c>
      <c r="BD422" s="9" t="s">
        <v>3342</v>
      </c>
      <c r="BF422" s="9" t="s">
        <v>4045</v>
      </c>
      <c r="BG422" s="9" t="s">
        <v>1099</v>
      </c>
      <c r="BH422" s="9" t="s">
        <v>683</v>
      </c>
      <c r="BI422" s="9" t="s">
        <v>1099</v>
      </c>
      <c r="BJ422" s="9" t="s">
        <v>215</v>
      </c>
      <c r="BK422" s="9" t="s">
        <v>683</v>
      </c>
      <c r="BN422" s="9" t="s">
        <v>2909</v>
      </c>
      <c r="BO422" s="14" t="s">
        <v>1664</v>
      </c>
      <c r="BP422" s="14" t="s">
        <v>125</v>
      </c>
      <c r="BZ422" s="9" t="s">
        <v>808</v>
      </c>
      <c r="CA422" s="9" t="s">
        <v>183</v>
      </c>
      <c r="CB422" s="9" t="s">
        <v>752</v>
      </c>
      <c r="CL422" s="9" t="s">
        <v>685</v>
      </c>
      <c r="CM422" s="9" t="s">
        <v>4046</v>
      </c>
      <c r="CN422" s="9" t="s">
        <v>4047</v>
      </c>
      <c r="CP422" s="9" t="s">
        <v>890</v>
      </c>
      <c r="CQ422" s="9" t="s">
        <v>716</v>
      </c>
      <c r="CR422" s="9" t="s">
        <v>361</v>
      </c>
      <c r="CT422" s="9" t="s">
        <v>4048</v>
      </c>
      <c r="CU422" s="9" t="s">
        <v>649</v>
      </c>
      <c r="CW422" s="9">
        <v>3</v>
      </c>
      <c r="CX422" s="9" t="s">
        <v>110</v>
      </c>
      <c r="CY422" s="9" t="s">
        <v>99</v>
      </c>
      <c r="CZ422" s="9">
        <v>50</v>
      </c>
      <c r="DA422" s="9">
        <v>50</v>
      </c>
      <c r="DB422" s="9">
        <v>50</v>
      </c>
      <c r="DC422" s="9">
        <v>91.8</v>
      </c>
      <c r="DD422" s="9">
        <v>0.68</v>
      </c>
      <c r="DE422" s="10">
        <v>261</v>
      </c>
      <c r="DF422" s="9">
        <v>110</v>
      </c>
      <c r="DG422" s="9">
        <f t="shared" si="6"/>
        <v>4.6100463317094302</v>
      </c>
      <c r="DH422" s="9">
        <v>22</v>
      </c>
      <c r="DI422" s="9">
        <v>4.67</v>
      </c>
      <c r="DP422" s="11">
        <v>3</v>
      </c>
      <c r="DQ422" s="6" t="s">
        <v>111</v>
      </c>
      <c r="DR422" s="9">
        <v>2</v>
      </c>
    </row>
    <row r="423" spans="1:126" x14ac:dyDescent="0.2">
      <c r="A423" s="16">
        <v>343</v>
      </c>
      <c r="B423" s="8">
        <v>42938</v>
      </c>
      <c r="C423" s="6" t="s">
        <v>675</v>
      </c>
      <c r="D423" s="6">
        <v>53</v>
      </c>
      <c r="E423" s="6" t="s">
        <v>100</v>
      </c>
      <c r="F423" s="17">
        <v>23293</v>
      </c>
      <c r="G423" s="6" t="s">
        <v>915</v>
      </c>
      <c r="H423" s="6"/>
      <c r="L423" s="6"/>
      <c r="M423" s="6" t="s">
        <v>3146</v>
      </c>
      <c r="N423" s="6" t="s">
        <v>99</v>
      </c>
      <c r="O423" s="6" t="s">
        <v>99</v>
      </c>
      <c r="P423" s="6" t="s">
        <v>110</v>
      </c>
      <c r="Q423" s="6" t="s">
        <v>110</v>
      </c>
      <c r="R423" s="6" t="s">
        <v>110</v>
      </c>
      <c r="S423" s="6" t="s">
        <v>99</v>
      </c>
      <c r="T423" s="6" t="s">
        <v>99</v>
      </c>
      <c r="U423" s="6" t="s">
        <v>4049</v>
      </c>
      <c r="W423" s="6" t="s">
        <v>99</v>
      </c>
      <c r="X423" s="6" t="s">
        <v>99</v>
      </c>
      <c r="Y423" s="6" t="s">
        <v>4050</v>
      </c>
      <c r="Z423" s="9" t="s">
        <v>2501</v>
      </c>
      <c r="AA423" s="6" t="s">
        <v>100</v>
      </c>
      <c r="AB423" s="6" t="s">
        <v>100</v>
      </c>
      <c r="AC423" s="6" t="s">
        <v>100</v>
      </c>
      <c r="AD423" s="6" t="s">
        <v>100</v>
      </c>
      <c r="AE423" s="6" t="s">
        <v>118</v>
      </c>
      <c r="AF423" s="6" t="s">
        <v>118</v>
      </c>
      <c r="AG423" s="6" t="s">
        <v>99</v>
      </c>
      <c r="AH423" s="6" t="s">
        <v>99</v>
      </c>
      <c r="AI423" s="6" t="s">
        <v>99</v>
      </c>
      <c r="AJ423" s="6" t="s">
        <v>99</v>
      </c>
      <c r="AK423" s="6" t="s">
        <v>99</v>
      </c>
      <c r="AL423" s="6">
        <v>86.1</v>
      </c>
      <c r="AM423" s="9">
        <v>169</v>
      </c>
      <c r="AN423" s="15">
        <v>102</v>
      </c>
      <c r="AO423" s="6">
        <v>105</v>
      </c>
      <c r="AP423" s="6">
        <v>35.4</v>
      </c>
      <c r="AQ423" s="6">
        <v>16</v>
      </c>
      <c r="AR423" s="6">
        <v>28.4</v>
      </c>
      <c r="AS423" s="6">
        <v>63</v>
      </c>
      <c r="AT423" s="6">
        <v>30.1</v>
      </c>
      <c r="AU423" s="6">
        <v>111</v>
      </c>
      <c r="AV423" s="6">
        <v>91</v>
      </c>
      <c r="AX423" s="9" t="s">
        <v>4051</v>
      </c>
      <c r="AY423" s="9" t="s">
        <v>4052</v>
      </c>
      <c r="AZ423" s="9" t="s">
        <v>2050</v>
      </c>
      <c r="BB423" s="9" t="s">
        <v>4053</v>
      </c>
      <c r="BC423" s="9" t="s">
        <v>4054</v>
      </c>
      <c r="BF423" s="9" t="s">
        <v>176</v>
      </c>
      <c r="BG423" s="9" t="s">
        <v>176</v>
      </c>
      <c r="BH423" s="9" t="s">
        <v>3727</v>
      </c>
      <c r="BI423" s="9" t="s">
        <v>176</v>
      </c>
      <c r="BJ423" s="9" t="s">
        <v>4055</v>
      </c>
      <c r="BK423" s="9" t="s">
        <v>683</v>
      </c>
      <c r="BM423" s="9" t="s">
        <v>176</v>
      </c>
      <c r="BN423" s="9" t="s">
        <v>219</v>
      </c>
      <c r="BO423" s="9" t="s">
        <v>3728</v>
      </c>
      <c r="BP423" s="9" t="s">
        <v>4056</v>
      </c>
      <c r="BR423" s="9" t="s">
        <v>178</v>
      </c>
      <c r="BS423" s="9" t="s">
        <v>2573</v>
      </c>
      <c r="BT423" s="9" t="s">
        <v>4057</v>
      </c>
      <c r="BV423" s="9" t="s">
        <v>4058</v>
      </c>
      <c r="BW423" s="9" t="s">
        <v>4059</v>
      </c>
      <c r="BZ423" s="9" t="s">
        <v>808</v>
      </c>
      <c r="CA423" s="9" t="s">
        <v>1730</v>
      </c>
      <c r="CB423" s="9" t="s">
        <v>4060</v>
      </c>
      <c r="CD423" s="9" t="s">
        <v>821</v>
      </c>
      <c r="CH423" s="9" t="s">
        <v>99</v>
      </c>
      <c r="CL423" s="9" t="s">
        <v>4061</v>
      </c>
      <c r="CM423" s="9" t="s">
        <v>4062</v>
      </c>
      <c r="CN423" s="9" t="s">
        <v>4063</v>
      </c>
      <c r="CP423" s="9" t="s">
        <v>2534</v>
      </c>
      <c r="CQ423" s="9" t="s">
        <v>361</v>
      </c>
      <c r="CR423" s="9" t="s">
        <v>2579</v>
      </c>
      <c r="CT423" s="9" t="s">
        <v>2824</v>
      </c>
      <c r="CU423" s="9" t="s">
        <v>4064</v>
      </c>
      <c r="CV423" s="9" t="s">
        <v>364</v>
      </c>
      <c r="CW423" s="9" t="s">
        <v>4065</v>
      </c>
      <c r="CX423" s="9" t="s">
        <v>110</v>
      </c>
      <c r="CY423" s="9" t="s">
        <v>4066</v>
      </c>
      <c r="CZ423" s="9">
        <v>20</v>
      </c>
      <c r="DA423" s="9">
        <v>5</v>
      </c>
      <c r="DB423" s="9">
        <v>50</v>
      </c>
      <c r="DC423" s="16">
        <v>287</v>
      </c>
      <c r="DD423" s="6">
        <v>1.1000000000000001</v>
      </c>
      <c r="DE423" s="15">
        <v>214</v>
      </c>
      <c r="DF423" s="15">
        <v>321</v>
      </c>
      <c r="DG423" s="9">
        <f t="shared" si="6"/>
        <v>5.7154616694448181</v>
      </c>
      <c r="DH423" s="6">
        <v>64.2</v>
      </c>
      <c r="DI423" s="15">
        <v>8.0500000000000007</v>
      </c>
      <c r="DJ423" s="6"/>
      <c r="DK423" s="6"/>
      <c r="DL423" s="6"/>
      <c r="DM423" s="6"/>
      <c r="DN423" s="6"/>
      <c r="DP423" s="11">
        <v>2</v>
      </c>
      <c r="DQ423" s="9" t="s">
        <v>111</v>
      </c>
      <c r="DR423" s="9">
        <v>3</v>
      </c>
      <c r="DT423" s="9">
        <v>5</v>
      </c>
      <c r="DU423" s="9">
        <v>3</v>
      </c>
    </row>
    <row r="424" spans="1:126" x14ac:dyDescent="0.2">
      <c r="A424" s="9" t="s">
        <v>4067</v>
      </c>
      <c r="B424" s="38">
        <v>43277</v>
      </c>
      <c r="C424" s="9" t="s">
        <v>107</v>
      </c>
      <c r="D424" s="9">
        <v>76</v>
      </c>
      <c r="E424" s="9" t="s">
        <v>96</v>
      </c>
      <c r="F424" s="17">
        <v>15345</v>
      </c>
      <c r="H424" s="9" t="s">
        <v>4068</v>
      </c>
      <c r="M424" s="9" t="s">
        <v>99</v>
      </c>
      <c r="N424" s="9" t="s">
        <v>99</v>
      </c>
      <c r="O424" s="9" t="s">
        <v>99</v>
      </c>
      <c r="P424" s="9" t="s">
        <v>99</v>
      </c>
      <c r="Q424" s="9" t="s">
        <v>99</v>
      </c>
      <c r="R424" s="9" t="s">
        <v>110</v>
      </c>
      <c r="S424" s="9" t="s">
        <v>99</v>
      </c>
      <c r="T424" s="9" t="s">
        <v>99</v>
      </c>
      <c r="U424" s="9" t="s">
        <v>99</v>
      </c>
      <c r="V424" s="9" t="s">
        <v>99</v>
      </c>
      <c r="W424" s="9" t="s">
        <v>99</v>
      </c>
      <c r="X424" s="9" t="s">
        <v>99</v>
      </c>
      <c r="AA424" s="9" t="s">
        <v>96</v>
      </c>
      <c r="AB424" s="14" t="s">
        <v>840</v>
      </c>
      <c r="AC424" s="14" t="s">
        <v>840</v>
      </c>
      <c r="AD424" s="35" t="s">
        <v>3407</v>
      </c>
      <c r="AE424" s="9" t="s">
        <v>99</v>
      </c>
      <c r="AF424" s="9" t="s">
        <v>99</v>
      </c>
      <c r="AG424" s="9" t="s">
        <v>99</v>
      </c>
      <c r="AH424" s="9" t="s">
        <v>99</v>
      </c>
      <c r="AI424" s="9" t="s">
        <v>99</v>
      </c>
      <c r="AJ424" s="9" t="s">
        <v>99</v>
      </c>
      <c r="AK424" s="9" t="s">
        <v>99</v>
      </c>
      <c r="AL424" s="9">
        <v>73.599999999999994</v>
      </c>
      <c r="AM424" s="9">
        <v>165</v>
      </c>
      <c r="AN424" s="9">
        <v>93.6</v>
      </c>
      <c r="AO424" s="9">
        <v>97.5</v>
      </c>
      <c r="AP424" s="9">
        <v>36.299999999999997</v>
      </c>
      <c r="AQ424" s="9">
        <v>2.4</v>
      </c>
      <c r="AR424" s="9">
        <v>44.5</v>
      </c>
      <c r="AS424" s="9">
        <v>50</v>
      </c>
      <c r="AT424" s="9">
        <v>27</v>
      </c>
      <c r="AU424" s="9">
        <v>138</v>
      </c>
      <c r="AV424" s="9">
        <v>68</v>
      </c>
      <c r="DC424" s="9">
        <v>92.5</v>
      </c>
      <c r="DD424" s="9">
        <v>0.99</v>
      </c>
      <c r="DE424" s="9">
        <v>179</v>
      </c>
      <c r="DF424" s="9">
        <v>142</v>
      </c>
      <c r="DG424" s="9">
        <f t="shared" si="6"/>
        <v>4.7415178510598199</v>
      </c>
      <c r="DH424" s="9">
        <v>28.4</v>
      </c>
      <c r="DI424" s="9">
        <v>5.73</v>
      </c>
      <c r="DJ424" s="9">
        <v>20.7</v>
      </c>
      <c r="DK424" s="9">
        <v>28.3</v>
      </c>
      <c r="DL424" s="9">
        <v>39.299999999999997</v>
      </c>
      <c r="DM424" s="9">
        <v>111.3</v>
      </c>
      <c r="DP424" s="11">
        <v>2</v>
      </c>
      <c r="DR424" s="9">
        <v>2</v>
      </c>
    </row>
    <row r="425" spans="1:126" x14ac:dyDescent="0.2">
      <c r="A425" s="9">
        <v>345</v>
      </c>
      <c r="B425" s="106">
        <v>43277</v>
      </c>
      <c r="C425" s="9" t="s">
        <v>95</v>
      </c>
      <c r="D425" s="9">
        <v>22</v>
      </c>
      <c r="E425" s="9" t="s">
        <v>96</v>
      </c>
      <c r="F425" s="8">
        <v>35132</v>
      </c>
      <c r="G425" s="9" t="s">
        <v>97</v>
      </c>
      <c r="H425" s="9" t="s">
        <v>4069</v>
      </c>
      <c r="I425" s="9" t="s">
        <v>162</v>
      </c>
      <c r="J425" s="9" t="s">
        <v>162</v>
      </c>
      <c r="K425" s="9" t="s">
        <v>263</v>
      </c>
      <c r="L425" s="9" t="s">
        <v>263</v>
      </c>
      <c r="M425" s="10" t="s">
        <v>368</v>
      </c>
      <c r="N425" s="9" t="s">
        <v>263</v>
      </c>
      <c r="O425" s="9" t="s">
        <v>263</v>
      </c>
      <c r="P425" s="9" t="s">
        <v>263</v>
      </c>
      <c r="Q425" s="10" t="s">
        <v>369</v>
      </c>
      <c r="R425" s="9" t="s">
        <v>368</v>
      </c>
      <c r="S425" s="9" t="s">
        <v>263</v>
      </c>
      <c r="T425" s="9" t="s">
        <v>263</v>
      </c>
      <c r="U425" s="9" t="s">
        <v>263</v>
      </c>
      <c r="V425" s="9" t="s">
        <v>263</v>
      </c>
      <c r="W425" s="9" t="s">
        <v>4070</v>
      </c>
      <c r="X425" s="9" t="s">
        <v>162</v>
      </c>
      <c r="Y425" s="10" t="s">
        <v>402</v>
      </c>
      <c r="Z425" s="9" t="s">
        <v>162</v>
      </c>
      <c r="AA425" s="9" t="s">
        <v>1419</v>
      </c>
      <c r="AB425" s="9" t="s">
        <v>96</v>
      </c>
      <c r="AC425" s="9" t="s">
        <v>1419</v>
      </c>
      <c r="AD425" s="9" t="s">
        <v>96</v>
      </c>
      <c r="AE425" s="10" t="s">
        <v>611</v>
      </c>
      <c r="AF425" s="10" t="s">
        <v>611</v>
      </c>
      <c r="AG425" s="10" t="s">
        <v>611</v>
      </c>
      <c r="AH425" s="9" t="s">
        <v>263</v>
      </c>
      <c r="AI425" s="9" t="s">
        <v>263</v>
      </c>
      <c r="AJ425" s="9" t="s">
        <v>263</v>
      </c>
      <c r="AK425" s="9" t="s">
        <v>162</v>
      </c>
      <c r="AL425" s="9">
        <v>85.5</v>
      </c>
      <c r="AM425" s="9" t="s">
        <v>162</v>
      </c>
      <c r="AN425" s="46">
        <v>94</v>
      </c>
      <c r="AO425" s="9">
        <v>101</v>
      </c>
      <c r="AP425" s="9">
        <v>41.4</v>
      </c>
      <c r="AQ425" s="9">
        <v>5</v>
      </c>
      <c r="AR425" s="9">
        <v>25.6</v>
      </c>
      <c r="AS425" s="9">
        <v>37</v>
      </c>
      <c r="AT425" s="9">
        <v>27.6</v>
      </c>
      <c r="AU425" s="9">
        <v>110</v>
      </c>
      <c r="AV425" s="9">
        <v>73</v>
      </c>
      <c r="AX425" s="9" t="s">
        <v>375</v>
      </c>
      <c r="BB425" s="9" t="s">
        <v>322</v>
      </c>
      <c r="BF425" s="9" t="s">
        <v>494</v>
      </c>
      <c r="BG425" s="9" t="s">
        <v>322</v>
      </c>
      <c r="BH425" s="9" t="s">
        <v>375</v>
      </c>
      <c r="BI425" s="9" t="s">
        <v>375</v>
      </c>
      <c r="BJ425" s="9" t="s">
        <v>322</v>
      </c>
      <c r="BK425" s="9" t="s">
        <v>276</v>
      </c>
      <c r="BM425" s="9" t="s">
        <v>375</v>
      </c>
      <c r="BR425" s="9" t="s">
        <v>375</v>
      </c>
      <c r="BV425" s="9" t="s">
        <v>375</v>
      </c>
      <c r="BZ425" s="9" t="s">
        <v>322</v>
      </c>
      <c r="CD425" s="9" t="s">
        <v>375</v>
      </c>
      <c r="CH425" s="9" t="s">
        <v>375</v>
      </c>
      <c r="CL425" s="9" t="s">
        <v>322</v>
      </c>
      <c r="CP425" s="9" t="s">
        <v>322</v>
      </c>
      <c r="CT425" s="9" t="s">
        <v>375</v>
      </c>
      <c r="CW425" s="9">
        <v>3</v>
      </c>
      <c r="CX425" s="9" t="s">
        <v>263</v>
      </c>
      <c r="CY425" s="9" t="s">
        <v>375</v>
      </c>
      <c r="CZ425" s="9">
        <v>40</v>
      </c>
      <c r="DA425" s="9">
        <v>60</v>
      </c>
      <c r="DB425" s="9">
        <v>40</v>
      </c>
      <c r="DC425" s="9">
        <v>74.7</v>
      </c>
      <c r="DD425" s="9">
        <v>0.82</v>
      </c>
      <c r="DE425" s="9">
        <v>145</v>
      </c>
      <c r="DF425" s="9">
        <v>133</v>
      </c>
      <c r="DG425" s="9">
        <f t="shared" si="6"/>
        <v>4.6019146101802626</v>
      </c>
      <c r="DH425" s="9">
        <v>26.6</v>
      </c>
      <c r="DI425" s="9">
        <v>6.09</v>
      </c>
      <c r="DJ425" s="9">
        <v>18</v>
      </c>
      <c r="DK425" s="9">
        <v>20.7</v>
      </c>
      <c r="DL425" s="10">
        <v>31</v>
      </c>
      <c r="DM425" s="9">
        <v>87.4</v>
      </c>
      <c r="DP425" s="11">
        <v>2</v>
      </c>
      <c r="DR425" s="9">
        <v>2</v>
      </c>
    </row>
    <row r="426" spans="1:126" x14ac:dyDescent="0.2">
      <c r="A426" s="14" t="s">
        <v>4071</v>
      </c>
      <c r="B426" s="38">
        <v>43277</v>
      </c>
      <c r="C426" s="9" t="s">
        <v>107</v>
      </c>
      <c r="D426" s="9">
        <v>24</v>
      </c>
      <c r="E426" s="9" t="s">
        <v>96</v>
      </c>
      <c r="F426" s="17">
        <v>34340</v>
      </c>
      <c r="G426" s="9" t="s">
        <v>481</v>
      </c>
      <c r="M426" s="9" t="s">
        <v>99</v>
      </c>
      <c r="N426" s="9" t="s">
        <v>99</v>
      </c>
      <c r="O426" s="9" t="s">
        <v>99</v>
      </c>
      <c r="P426" s="9" t="s">
        <v>99</v>
      </c>
      <c r="AA426" s="9" t="s">
        <v>96</v>
      </c>
      <c r="AB426" s="9" t="s">
        <v>96</v>
      </c>
      <c r="AC426" s="9" t="s">
        <v>96</v>
      </c>
      <c r="AD426" s="9" t="s">
        <v>96</v>
      </c>
      <c r="AE426" s="9" t="s">
        <v>2935</v>
      </c>
      <c r="AF426" s="9" t="s">
        <v>1079</v>
      </c>
      <c r="AG426" s="9" t="s">
        <v>2252</v>
      </c>
      <c r="AL426" s="9">
        <v>89.1</v>
      </c>
      <c r="AM426" s="9">
        <v>181</v>
      </c>
      <c r="AN426" s="10">
        <v>98.6</v>
      </c>
      <c r="AO426" s="9">
        <v>105.5</v>
      </c>
      <c r="AP426" s="9">
        <v>34.5</v>
      </c>
      <c r="AQ426" s="9">
        <v>2.9</v>
      </c>
      <c r="AR426" s="9">
        <v>55.4</v>
      </c>
      <c r="AS426" s="9">
        <v>50</v>
      </c>
      <c r="AT426" s="9">
        <v>27</v>
      </c>
      <c r="AU426" s="9">
        <v>125</v>
      </c>
      <c r="AV426" s="9">
        <v>78</v>
      </c>
      <c r="DC426" s="10">
        <v>99.7</v>
      </c>
      <c r="DD426" s="9">
        <v>0.71</v>
      </c>
      <c r="DE426" s="9">
        <v>191</v>
      </c>
      <c r="DF426" s="10">
        <v>286</v>
      </c>
      <c r="DG426" s="9">
        <f t="shared" si="6"/>
        <v>5.1290787438938228</v>
      </c>
      <c r="DH426" s="9">
        <v>57.2</v>
      </c>
      <c r="DI426" s="10">
        <v>7.5</v>
      </c>
      <c r="DJ426" s="9">
        <v>16.7</v>
      </c>
      <c r="DK426" s="9">
        <v>26.7</v>
      </c>
      <c r="DL426" s="9">
        <v>37.1</v>
      </c>
      <c r="DM426" s="9">
        <v>96.7</v>
      </c>
      <c r="DP426" s="11">
        <v>2</v>
      </c>
      <c r="DR426" s="9">
        <v>3</v>
      </c>
      <c r="DU426" s="9">
        <v>9.5</v>
      </c>
    </row>
    <row r="427" spans="1:126" x14ac:dyDescent="0.2">
      <c r="A427" s="9" t="s">
        <v>4072</v>
      </c>
      <c r="DG427" s="9" t="e">
        <f t="shared" si="6"/>
        <v>#NUM!</v>
      </c>
    </row>
    <row r="428" spans="1:126" x14ac:dyDescent="0.2">
      <c r="A428" s="29" t="s">
        <v>4073</v>
      </c>
      <c r="B428" s="69">
        <v>43266</v>
      </c>
      <c r="C428" s="29" t="s">
        <v>95</v>
      </c>
      <c r="D428" s="29">
        <v>49</v>
      </c>
      <c r="E428" s="29" t="s">
        <v>96</v>
      </c>
      <c r="F428" s="69">
        <v>25076</v>
      </c>
      <c r="G428" s="29" t="s">
        <v>4074</v>
      </c>
      <c r="H428" s="29" t="s">
        <v>4075</v>
      </c>
      <c r="I428"/>
      <c r="J428"/>
      <c r="K428" s="29">
        <v>2008</v>
      </c>
      <c r="L428" s="29">
        <v>4</v>
      </c>
      <c r="M428" s="29" t="s">
        <v>483</v>
      </c>
      <c r="N428" s="29" t="s">
        <v>483</v>
      </c>
      <c r="O428" s="29" t="s">
        <v>483</v>
      </c>
      <c r="P428" s="29" t="s">
        <v>588</v>
      </c>
      <c r="Q428" s="29" t="s">
        <v>588</v>
      </c>
      <c r="R428" s="29" t="s">
        <v>588</v>
      </c>
      <c r="S428" s="29" t="s">
        <v>4076</v>
      </c>
      <c r="T428" s="29" t="s">
        <v>4077</v>
      </c>
      <c r="U428" s="29" t="s">
        <v>4078</v>
      </c>
      <c r="V428" s="29" t="s">
        <v>4079</v>
      </c>
      <c r="W428"/>
      <c r="X428" s="29" t="s">
        <v>483</v>
      </c>
      <c r="Y428"/>
      <c r="Z428" s="29" t="s">
        <v>930</v>
      </c>
      <c r="AA428" s="29" t="s">
        <v>949</v>
      </c>
      <c r="AB428" s="29" t="s">
        <v>949</v>
      </c>
      <c r="AC428" s="29" t="s">
        <v>949</v>
      </c>
      <c r="AD428" s="29" t="s">
        <v>949</v>
      </c>
      <c r="AE428" s="29" t="s">
        <v>4080</v>
      </c>
      <c r="AF428" s="29" t="s">
        <v>483</v>
      </c>
      <c r="AG428" s="29" t="s">
        <v>1105</v>
      </c>
      <c r="AH428" s="29" t="s">
        <v>483</v>
      </c>
      <c r="AI428" s="29" t="s">
        <v>483</v>
      </c>
      <c r="AJ428"/>
      <c r="AK428" s="29" t="s">
        <v>483</v>
      </c>
      <c r="AL428" s="29">
        <v>66</v>
      </c>
      <c r="AM428" s="29">
        <v>1.55</v>
      </c>
      <c r="AN428" s="29">
        <v>98</v>
      </c>
      <c r="AO428" s="29">
        <v>104</v>
      </c>
      <c r="AP428" s="29">
        <v>42.7</v>
      </c>
      <c r="AQ428" s="29">
        <v>8</v>
      </c>
      <c r="AR428" s="29">
        <v>23.9</v>
      </c>
      <c r="AS428" s="29">
        <v>58</v>
      </c>
      <c r="AT428" s="29">
        <v>27.5</v>
      </c>
      <c r="AU428" s="29">
        <v>102</v>
      </c>
      <c r="AV428" s="29">
        <v>69</v>
      </c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 s="29">
        <v>76.599999999999994</v>
      </c>
      <c r="DD428" s="29">
        <v>0.68</v>
      </c>
      <c r="DE428" s="48">
        <v>206</v>
      </c>
      <c r="DF428" s="29">
        <v>56</v>
      </c>
      <c r="DG428" s="9">
        <f t="shared" si="6"/>
        <v>4.1819743837408474</v>
      </c>
      <c r="DH428" s="29">
        <v>11.2</v>
      </c>
      <c r="DI428" s="29">
        <v>3</v>
      </c>
      <c r="DJ428" s="29">
        <v>20</v>
      </c>
      <c r="DK428" s="29">
        <v>25.7</v>
      </c>
      <c r="DL428"/>
      <c r="DM428"/>
      <c r="DN428"/>
      <c r="DP428" s="29">
        <v>2</v>
      </c>
      <c r="DQ428"/>
      <c r="DR428" s="29">
        <v>3</v>
      </c>
      <c r="DS428"/>
      <c r="DT428"/>
      <c r="DU428"/>
      <c r="DV428"/>
    </row>
    <row r="429" spans="1:126" x14ac:dyDescent="0.2">
      <c r="A429" s="29" t="s">
        <v>4081</v>
      </c>
      <c r="B429" s="69">
        <v>43266</v>
      </c>
      <c r="C429" s="29" t="s">
        <v>3955</v>
      </c>
      <c r="D429" s="29">
        <v>77</v>
      </c>
      <c r="E429" s="29" t="s">
        <v>4082</v>
      </c>
      <c r="F429" s="29">
        <v>1941</v>
      </c>
      <c r="G429" s="29" t="s">
        <v>3703</v>
      </c>
      <c r="H429" s="29" t="s">
        <v>3001</v>
      </c>
      <c r="I429"/>
      <c r="J429"/>
      <c r="K429"/>
      <c r="L429"/>
      <c r="M429" s="29" t="s">
        <v>483</v>
      </c>
      <c r="N429" s="29" t="s">
        <v>483</v>
      </c>
      <c r="O429" s="29" t="s">
        <v>483</v>
      </c>
      <c r="P429"/>
      <c r="Q429" s="29" t="s">
        <v>588</v>
      </c>
      <c r="R429" s="29" t="s">
        <v>483</v>
      </c>
      <c r="S429" s="29" t="s">
        <v>4076</v>
      </c>
      <c r="T429" s="29" t="s">
        <v>4083</v>
      </c>
      <c r="U429"/>
      <c r="V429"/>
      <c r="W429" s="29" t="s">
        <v>4084</v>
      </c>
      <c r="X429"/>
      <c r="Y429" s="29" t="s">
        <v>4085</v>
      </c>
      <c r="Z429" s="29" t="s">
        <v>930</v>
      </c>
      <c r="AA429" s="29" t="s">
        <v>4082</v>
      </c>
      <c r="AB429" s="29" t="s">
        <v>4082</v>
      </c>
      <c r="AC429" s="29" t="s">
        <v>4086</v>
      </c>
      <c r="AD429" s="29" t="s">
        <v>4087</v>
      </c>
      <c r="AE429" s="29" t="s">
        <v>463</v>
      </c>
      <c r="AF429" s="29" t="s">
        <v>4088</v>
      </c>
      <c r="AG429" s="29" t="s">
        <v>4089</v>
      </c>
      <c r="AH429" s="29" t="s">
        <v>483</v>
      </c>
      <c r="AI429" s="29" t="s">
        <v>483</v>
      </c>
      <c r="AJ429"/>
      <c r="AK429" s="29" t="s">
        <v>4090</v>
      </c>
      <c r="AL429" s="29">
        <v>81.900000000000006</v>
      </c>
      <c r="AM429" s="29">
        <v>1.72</v>
      </c>
      <c r="AN429" s="29">
        <v>100</v>
      </c>
      <c r="AO429" s="29">
        <v>112</v>
      </c>
      <c r="AP429" s="29">
        <v>9.4</v>
      </c>
      <c r="AQ429" s="29">
        <v>10</v>
      </c>
      <c r="AR429" s="29">
        <v>40.299999999999997</v>
      </c>
      <c r="AS429" s="29">
        <v>66</v>
      </c>
      <c r="AT429" s="29">
        <v>27.7</v>
      </c>
      <c r="AU429" s="48">
        <v>147</v>
      </c>
      <c r="AV429" s="48">
        <v>87</v>
      </c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 s="29">
        <v>83.2</v>
      </c>
      <c r="DD429" s="29">
        <v>0.91</v>
      </c>
      <c r="DE429" s="48">
        <v>209</v>
      </c>
      <c r="DF429" s="29">
        <v>105</v>
      </c>
      <c r="DG429" s="9">
        <f t="shared" si="6"/>
        <v>4.5376038489923429</v>
      </c>
      <c r="DH429" s="29">
        <v>21</v>
      </c>
      <c r="DI429" s="48">
        <v>6.24</v>
      </c>
      <c r="DJ429" s="29">
        <v>19.3</v>
      </c>
      <c r="DK429" s="29">
        <v>22</v>
      </c>
      <c r="DL429"/>
      <c r="DM429"/>
      <c r="DN429"/>
      <c r="DO429"/>
      <c r="DP429"/>
      <c r="DQ429"/>
      <c r="DR429"/>
      <c r="DS429"/>
      <c r="DT429"/>
      <c r="DU429">
        <v>5</v>
      </c>
      <c r="DV429"/>
    </row>
    <row r="430" spans="1:126" x14ac:dyDescent="0.2">
      <c r="A430" s="9" t="s">
        <v>4091</v>
      </c>
      <c r="B430" s="38">
        <v>42912</v>
      </c>
      <c r="C430" s="9" t="s">
        <v>3645</v>
      </c>
      <c r="DG430" s="9" t="e">
        <f t="shared" si="6"/>
        <v>#NUM!</v>
      </c>
      <c r="DP430" s="11">
        <v>2</v>
      </c>
      <c r="DR430" s="9">
        <v>2</v>
      </c>
    </row>
    <row r="431" spans="1:126" x14ac:dyDescent="0.2">
      <c r="A431" s="9" t="s">
        <v>4092</v>
      </c>
      <c r="B431" s="38">
        <v>43307</v>
      </c>
      <c r="C431" s="9" t="s">
        <v>675</v>
      </c>
      <c r="D431" s="9">
        <v>37</v>
      </c>
      <c r="E431" s="9" t="s">
        <v>100</v>
      </c>
      <c r="F431" s="17">
        <v>29640</v>
      </c>
      <c r="G431" s="9" t="s">
        <v>481</v>
      </c>
      <c r="H431" s="9" t="s">
        <v>4093</v>
      </c>
      <c r="M431" s="9" t="s">
        <v>99</v>
      </c>
      <c r="N431" s="9" t="s">
        <v>99</v>
      </c>
      <c r="O431" s="9" t="s">
        <v>99</v>
      </c>
      <c r="P431" s="9" t="s">
        <v>99</v>
      </c>
      <c r="Q431" s="9" t="s">
        <v>99</v>
      </c>
      <c r="R431" s="9" t="s">
        <v>99</v>
      </c>
      <c r="S431" s="9" t="s">
        <v>99</v>
      </c>
      <c r="T431" s="9" t="s">
        <v>99</v>
      </c>
      <c r="U431" s="9" t="s">
        <v>99</v>
      </c>
      <c r="V431" s="9" t="s">
        <v>99</v>
      </c>
      <c r="W431" s="9" t="s">
        <v>99</v>
      </c>
      <c r="X431" s="9" t="s">
        <v>99</v>
      </c>
      <c r="Y431" s="9" t="s">
        <v>4094</v>
      </c>
      <c r="AA431" s="9" t="s">
        <v>100</v>
      </c>
      <c r="AB431" s="9" t="s">
        <v>100</v>
      </c>
      <c r="AC431" s="9" t="s">
        <v>100</v>
      </c>
      <c r="AD431" s="9" t="s">
        <v>100</v>
      </c>
      <c r="AE431" s="9" t="s">
        <v>99</v>
      </c>
      <c r="AF431" s="9" t="s">
        <v>99</v>
      </c>
      <c r="AG431" s="9" t="s">
        <v>99</v>
      </c>
      <c r="AH431" s="9" t="s">
        <v>99</v>
      </c>
      <c r="AI431" s="9" t="s">
        <v>99</v>
      </c>
      <c r="AJ431" s="9" t="s">
        <v>99</v>
      </c>
      <c r="AK431" s="9" t="s">
        <v>99</v>
      </c>
      <c r="AL431" s="9">
        <v>77.900000000000006</v>
      </c>
      <c r="AP431" s="9">
        <v>28.7</v>
      </c>
      <c r="AQ431" s="9">
        <v>2.8</v>
      </c>
      <c r="AR431" s="9">
        <v>52.8</v>
      </c>
      <c r="AS431" s="9">
        <v>50</v>
      </c>
      <c r="DC431" s="9">
        <v>93</v>
      </c>
      <c r="DD431" s="9">
        <v>0.85</v>
      </c>
      <c r="DE431" s="9">
        <v>159</v>
      </c>
      <c r="DF431" s="10">
        <v>163</v>
      </c>
      <c r="DG431" s="9">
        <f t="shared" si="6"/>
        <v>4.8131748469800089</v>
      </c>
      <c r="DH431" s="9">
        <v>32.6</v>
      </c>
      <c r="DI431" s="10">
        <v>7.9</v>
      </c>
      <c r="DJ431" s="9">
        <v>16.7</v>
      </c>
      <c r="DK431" s="9">
        <v>18.3</v>
      </c>
      <c r="DL431" s="10">
        <v>26.5</v>
      </c>
      <c r="DM431" s="9">
        <v>99.9</v>
      </c>
      <c r="DP431" s="11">
        <v>2</v>
      </c>
      <c r="DR431" s="30">
        <v>1</v>
      </c>
      <c r="DT431" s="9">
        <v>13.3</v>
      </c>
      <c r="DU431" s="9">
        <v>8.3000000000000007</v>
      </c>
    </row>
    <row r="432" spans="1:126" x14ac:dyDescent="0.2">
      <c r="A432" s="29" t="s">
        <v>4095</v>
      </c>
      <c r="B432" s="69">
        <v>43265</v>
      </c>
      <c r="C432" s="29" t="s">
        <v>3955</v>
      </c>
      <c r="D432" s="29">
        <v>47</v>
      </c>
      <c r="E432" s="29" t="s">
        <v>949</v>
      </c>
      <c r="F432" s="114">
        <v>25942</v>
      </c>
      <c r="G432" s="29" t="s">
        <v>3703</v>
      </c>
      <c r="H432" s="29" t="s">
        <v>4096</v>
      </c>
      <c r="I432"/>
      <c r="J432"/>
      <c r="K432"/>
      <c r="L432"/>
      <c r="M432" s="29" t="s">
        <v>483</v>
      </c>
      <c r="N432" s="29" t="s">
        <v>483</v>
      </c>
      <c r="O432" s="29" t="s">
        <v>483</v>
      </c>
      <c r="P432" s="29" t="s">
        <v>588</v>
      </c>
      <c r="Q432" s="29" t="s">
        <v>588</v>
      </c>
      <c r="R432" s="29" t="s">
        <v>588</v>
      </c>
      <c r="S432" s="29" t="s">
        <v>4076</v>
      </c>
      <c r="T432" s="29" t="s">
        <v>4097</v>
      </c>
      <c r="U432" s="29" t="s">
        <v>483</v>
      </c>
      <c r="V432" s="29" t="s">
        <v>483</v>
      </c>
      <c r="W432"/>
      <c r="X432"/>
      <c r="Y432"/>
      <c r="Z432" s="29" t="s">
        <v>4098</v>
      </c>
      <c r="AA432" s="29" t="s">
        <v>949</v>
      </c>
      <c r="AB432" s="29" t="s">
        <v>949</v>
      </c>
      <c r="AC432" s="29" t="s">
        <v>949</v>
      </c>
      <c r="AD432" s="29" t="s">
        <v>4099</v>
      </c>
      <c r="AE432" s="29" t="s">
        <v>483</v>
      </c>
      <c r="AF432" s="29" t="s">
        <v>4100</v>
      </c>
      <c r="AG432" s="29" t="s">
        <v>4101</v>
      </c>
      <c r="AH432" s="29" t="s">
        <v>4102</v>
      </c>
      <c r="AI432" s="29" t="s">
        <v>483</v>
      </c>
      <c r="AJ432" s="29" t="s">
        <v>483</v>
      </c>
      <c r="AK432"/>
      <c r="AL432" s="29">
        <v>81.599999999999994</v>
      </c>
      <c r="AM432" s="29">
        <v>1.79</v>
      </c>
      <c r="AN432" s="29">
        <v>94</v>
      </c>
      <c r="AO432" s="29">
        <v>106</v>
      </c>
      <c r="AP432" s="29">
        <v>15.5</v>
      </c>
      <c r="AQ432"/>
      <c r="AR432" s="29">
        <v>10</v>
      </c>
      <c r="AS432" s="29">
        <v>51</v>
      </c>
      <c r="AT432" s="29">
        <v>25.5</v>
      </c>
      <c r="AU432" s="29">
        <v>117</v>
      </c>
      <c r="AV432" s="29">
        <v>81</v>
      </c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 s="29">
        <v>82.9</v>
      </c>
      <c r="DD432" s="29">
        <v>0.8</v>
      </c>
      <c r="DE432" s="48">
        <v>266</v>
      </c>
      <c r="DF432" s="29">
        <v>88</v>
      </c>
      <c r="DG432" s="9">
        <f t="shared" si="6"/>
        <v>4.447485938309728</v>
      </c>
      <c r="DH432" s="29">
        <v>17.600000000000001</v>
      </c>
      <c r="DI432" s="29">
        <v>5.37</v>
      </c>
      <c r="DJ432" s="29">
        <v>26.3</v>
      </c>
      <c r="DK432" s="29">
        <v>23.7</v>
      </c>
      <c r="DL432"/>
      <c r="DM432"/>
      <c r="DN432"/>
      <c r="DP432" s="29">
        <v>2</v>
      </c>
      <c r="DQ432"/>
      <c r="DR432" s="29">
        <v>3</v>
      </c>
      <c r="DS432"/>
      <c r="DT432"/>
      <c r="DU432"/>
      <c r="DV432"/>
    </row>
    <row r="433" spans="1:126" x14ac:dyDescent="0.2">
      <c r="A433" s="9">
        <v>353</v>
      </c>
      <c r="B433" s="115">
        <v>43241</v>
      </c>
      <c r="C433" s="9" t="s">
        <v>3955</v>
      </c>
      <c r="D433" s="9">
        <v>35</v>
      </c>
      <c r="E433" s="35" t="s">
        <v>3956</v>
      </c>
      <c r="F433" s="17" t="s">
        <v>4103</v>
      </c>
      <c r="G433" s="9" t="s">
        <v>4104</v>
      </c>
      <c r="H433" s="9" t="s">
        <v>4105</v>
      </c>
      <c r="M433" s="9" t="s">
        <v>263</v>
      </c>
      <c r="N433" s="9" t="s">
        <v>263</v>
      </c>
      <c r="O433" s="10" t="s">
        <v>368</v>
      </c>
      <c r="P433" s="9" t="s">
        <v>263</v>
      </c>
      <c r="Q433" s="9" t="s">
        <v>263</v>
      </c>
      <c r="R433" s="9" t="s">
        <v>4106</v>
      </c>
      <c r="S433" s="9" t="s">
        <v>263</v>
      </c>
      <c r="T433" s="9" t="s">
        <v>263</v>
      </c>
      <c r="U433" s="9" t="s">
        <v>263</v>
      </c>
      <c r="V433" s="9" t="s">
        <v>263</v>
      </c>
      <c r="W433" s="9" t="s">
        <v>263</v>
      </c>
      <c r="X433" s="9" t="s">
        <v>263</v>
      </c>
      <c r="Y433" s="9" t="s">
        <v>483</v>
      </c>
      <c r="Z433" s="9" t="s">
        <v>263</v>
      </c>
      <c r="AA433" s="52" t="s">
        <v>3965</v>
      </c>
      <c r="AB433" s="35" t="s">
        <v>3966</v>
      </c>
      <c r="AC433" s="52" t="s">
        <v>914</v>
      </c>
      <c r="AD433" s="35" t="s">
        <v>3966</v>
      </c>
      <c r="AE433" s="9" t="s">
        <v>3968</v>
      </c>
      <c r="AF433" s="9" t="s">
        <v>263</v>
      </c>
      <c r="AG433" s="9" t="s">
        <v>263</v>
      </c>
      <c r="AH433" s="9" t="s">
        <v>263</v>
      </c>
      <c r="AI433" s="9" t="s">
        <v>263</v>
      </c>
      <c r="AJ433" s="9" t="s">
        <v>263</v>
      </c>
      <c r="AK433" s="9" t="s">
        <v>263</v>
      </c>
      <c r="AL433" s="9">
        <v>79.7</v>
      </c>
      <c r="AM433" s="9">
        <v>1.58</v>
      </c>
      <c r="AN433" s="10">
        <v>110</v>
      </c>
      <c r="AO433" s="9">
        <v>108</v>
      </c>
      <c r="AP433" s="9">
        <v>35.799999999999997</v>
      </c>
      <c r="AQ433" s="9">
        <v>15</v>
      </c>
      <c r="AR433" s="9">
        <v>31</v>
      </c>
      <c r="AS433" s="9">
        <v>49</v>
      </c>
      <c r="AT433" s="9">
        <v>31.9</v>
      </c>
      <c r="AU433" s="9">
        <v>118</v>
      </c>
      <c r="AV433" s="9">
        <v>82</v>
      </c>
      <c r="AX433" s="9" t="s">
        <v>4107</v>
      </c>
      <c r="AY433" s="9" t="s">
        <v>4108</v>
      </c>
      <c r="BF433" s="9" t="s">
        <v>322</v>
      </c>
      <c r="BG433" s="9" t="s">
        <v>375</v>
      </c>
      <c r="BH433" s="9" t="s">
        <v>276</v>
      </c>
      <c r="BI433" s="9" t="s">
        <v>322</v>
      </c>
      <c r="BJ433" s="9" t="s">
        <v>483</v>
      </c>
      <c r="BK433" s="9" t="s">
        <v>483</v>
      </c>
      <c r="BN433" s="9" t="s">
        <v>4109</v>
      </c>
      <c r="BO433" s="9" t="s">
        <v>4110</v>
      </c>
      <c r="BR433" s="9" t="s">
        <v>4111</v>
      </c>
      <c r="BU433" s="9" t="s">
        <v>483</v>
      </c>
      <c r="BY433" s="9" t="s">
        <v>470</v>
      </c>
      <c r="BZ433" s="9" t="s">
        <v>4112</v>
      </c>
      <c r="CA433" s="9" t="s">
        <v>4113</v>
      </c>
      <c r="CC433" s="9" t="s">
        <v>483</v>
      </c>
      <c r="CG433" s="9" t="s">
        <v>483</v>
      </c>
      <c r="CL433" s="9" t="s">
        <v>909</v>
      </c>
      <c r="CM433" s="9" t="s">
        <v>306</v>
      </c>
      <c r="CN433" s="9" t="s">
        <v>4114</v>
      </c>
      <c r="CP433" s="9" t="s">
        <v>4115</v>
      </c>
      <c r="CQ433" s="9" t="s">
        <v>4116</v>
      </c>
      <c r="CR433" s="9" t="s">
        <v>385</v>
      </c>
      <c r="CT433" s="9" t="s">
        <v>4117</v>
      </c>
      <c r="CW433" s="9">
        <v>3</v>
      </c>
      <c r="CX433" s="9" t="s">
        <v>368</v>
      </c>
      <c r="CY433" s="9" t="s">
        <v>4118</v>
      </c>
      <c r="CZ433" s="9">
        <v>30</v>
      </c>
      <c r="DA433" s="9">
        <v>20</v>
      </c>
      <c r="DB433" s="9">
        <v>50</v>
      </c>
      <c r="DC433" s="9">
        <v>77.900000000000006</v>
      </c>
      <c r="DD433" s="9">
        <v>0.91</v>
      </c>
      <c r="DE433" s="9">
        <v>223</v>
      </c>
      <c r="DF433" s="9">
        <v>159</v>
      </c>
      <c r="DG433" s="9">
        <f t="shared" si="6"/>
        <v>4.7121650775484669</v>
      </c>
      <c r="DH433" s="9">
        <v>31.8</v>
      </c>
      <c r="DI433" s="9">
        <v>5</v>
      </c>
      <c r="DP433" s="11">
        <v>2</v>
      </c>
      <c r="DR433" s="9">
        <v>3</v>
      </c>
    </row>
    <row r="434" spans="1:126" x14ac:dyDescent="0.2">
      <c r="A434" s="116" t="s">
        <v>4119</v>
      </c>
      <c r="B434" s="38">
        <v>43277</v>
      </c>
      <c r="C434" s="9" t="s">
        <v>675</v>
      </c>
      <c r="D434" s="9">
        <v>64</v>
      </c>
      <c r="E434" s="9" t="s">
        <v>100</v>
      </c>
      <c r="F434" s="17">
        <v>19761</v>
      </c>
      <c r="G434" s="9" t="s">
        <v>481</v>
      </c>
      <c r="H434" s="9" t="s">
        <v>1663</v>
      </c>
      <c r="M434" s="9" t="s">
        <v>99</v>
      </c>
      <c r="N434" s="9" t="s">
        <v>99</v>
      </c>
      <c r="O434" s="9" t="s">
        <v>99</v>
      </c>
      <c r="P434" s="9" t="s">
        <v>99</v>
      </c>
      <c r="Q434" s="9" t="s">
        <v>110</v>
      </c>
      <c r="R434" s="9" t="s">
        <v>110</v>
      </c>
      <c r="S434" s="9" t="s">
        <v>99</v>
      </c>
      <c r="T434" s="9" t="s">
        <v>99</v>
      </c>
      <c r="U434" s="9" t="s">
        <v>99</v>
      </c>
      <c r="V434" s="9" t="s">
        <v>99</v>
      </c>
      <c r="W434" s="9" t="s">
        <v>2715</v>
      </c>
      <c r="X434" s="9" t="s">
        <v>99</v>
      </c>
      <c r="Y434" s="9" t="s">
        <v>4120</v>
      </c>
      <c r="Z434" s="9" t="s">
        <v>1903</v>
      </c>
      <c r="AA434" s="9" t="s">
        <v>100</v>
      </c>
      <c r="AB434" s="9" t="s">
        <v>100</v>
      </c>
      <c r="AC434" s="9" t="s">
        <v>100</v>
      </c>
      <c r="AD434" s="9" t="s">
        <v>100</v>
      </c>
      <c r="AE434" s="9" t="s">
        <v>118</v>
      </c>
      <c r="AF434" s="9" t="s">
        <v>125</v>
      </c>
      <c r="AG434" s="9" t="s">
        <v>126</v>
      </c>
      <c r="AH434" s="9" t="s">
        <v>110</v>
      </c>
      <c r="AI434" s="9" t="s">
        <v>99</v>
      </c>
      <c r="AJ434" s="9" t="s">
        <v>99</v>
      </c>
      <c r="AK434" s="9" t="s">
        <v>99</v>
      </c>
      <c r="AL434" s="9">
        <v>117.8</v>
      </c>
      <c r="AM434" s="9">
        <v>180</v>
      </c>
      <c r="AN434" s="10">
        <v>134.19999999999999</v>
      </c>
      <c r="AO434" s="9">
        <v>129</v>
      </c>
      <c r="AP434" s="9">
        <v>53.1</v>
      </c>
      <c r="AQ434" s="9">
        <v>2.8</v>
      </c>
      <c r="AR434" s="9">
        <v>52.5</v>
      </c>
      <c r="AS434" s="9">
        <v>50</v>
      </c>
      <c r="AT434" s="9">
        <v>36</v>
      </c>
      <c r="AU434" s="10">
        <v>132</v>
      </c>
      <c r="AV434" s="10">
        <v>87</v>
      </c>
      <c r="DC434" s="9">
        <v>78.8</v>
      </c>
      <c r="DD434" s="9">
        <v>0.95</v>
      </c>
      <c r="DE434" s="10">
        <v>217</v>
      </c>
      <c r="DF434" s="10">
        <v>286</v>
      </c>
      <c r="DG434" s="9">
        <f t="shared" si="6"/>
        <v>5.0114524038418429</v>
      </c>
      <c r="DH434" s="9">
        <v>57.2</v>
      </c>
      <c r="DI434" s="9">
        <v>6.2</v>
      </c>
      <c r="DJ434" s="9">
        <v>17.3</v>
      </c>
      <c r="DK434" s="9">
        <v>31.3</v>
      </c>
      <c r="DL434" s="9">
        <v>45.7</v>
      </c>
      <c r="DM434" s="9">
        <v>114.1</v>
      </c>
      <c r="DP434" s="11">
        <v>2</v>
      </c>
      <c r="DT434" s="9">
        <v>14.7</v>
      </c>
      <c r="DU434" s="9">
        <v>4</v>
      </c>
    </row>
    <row r="435" spans="1:126" x14ac:dyDescent="0.2">
      <c r="A435" s="117" t="s">
        <v>4119</v>
      </c>
      <c r="B435" s="118">
        <v>43308</v>
      </c>
      <c r="C435" s="119" t="s">
        <v>3955</v>
      </c>
      <c r="D435" s="119">
        <v>39</v>
      </c>
      <c r="E435" s="119" t="s">
        <v>4121</v>
      </c>
      <c r="F435" s="118">
        <v>28811</v>
      </c>
      <c r="G435" s="119" t="s">
        <v>988</v>
      </c>
      <c r="H435" s="119" t="s">
        <v>4122</v>
      </c>
      <c r="I435" s="119"/>
      <c r="J435" s="119"/>
      <c r="K435" s="119"/>
      <c r="L435" s="119"/>
      <c r="M435" s="119" t="s">
        <v>263</v>
      </c>
      <c r="N435" s="119" t="s">
        <v>263</v>
      </c>
      <c r="O435" s="119" t="s">
        <v>263</v>
      </c>
      <c r="P435" s="119" t="s">
        <v>263</v>
      </c>
      <c r="Q435" s="119" t="s">
        <v>368</v>
      </c>
      <c r="R435" s="119" t="s">
        <v>263</v>
      </c>
      <c r="S435" s="119" t="s">
        <v>263</v>
      </c>
      <c r="T435" s="119" t="s">
        <v>263</v>
      </c>
      <c r="U435" s="119" t="s">
        <v>263</v>
      </c>
      <c r="V435" s="119" t="s">
        <v>263</v>
      </c>
      <c r="W435" s="119" t="s">
        <v>263</v>
      </c>
      <c r="X435" s="119" t="s">
        <v>263</v>
      </c>
      <c r="Y435" s="119" t="s">
        <v>263</v>
      </c>
      <c r="Z435" s="119" t="s">
        <v>263</v>
      </c>
      <c r="AA435" s="119" t="s">
        <v>313</v>
      </c>
      <c r="AB435" s="119" t="s">
        <v>267</v>
      </c>
      <c r="AC435" s="119" t="s">
        <v>313</v>
      </c>
      <c r="AD435" s="119" t="s">
        <v>313</v>
      </c>
      <c r="AE435" s="119" t="s">
        <v>4123</v>
      </c>
      <c r="AF435" s="119" t="s">
        <v>483</v>
      </c>
      <c r="AG435" s="119" t="s">
        <v>36</v>
      </c>
      <c r="AH435" s="119" t="s">
        <v>4124</v>
      </c>
      <c r="AI435" s="119" t="s">
        <v>263</v>
      </c>
      <c r="AJ435" s="119" t="s">
        <v>263</v>
      </c>
      <c r="AK435" s="119" t="s">
        <v>263</v>
      </c>
      <c r="AL435" s="119">
        <v>77.5</v>
      </c>
      <c r="AM435" s="119">
        <v>1.68</v>
      </c>
      <c r="AN435" s="119">
        <v>93</v>
      </c>
      <c r="AO435" s="119">
        <v>103</v>
      </c>
      <c r="AP435" s="119">
        <v>29.5</v>
      </c>
      <c r="AQ435" s="119">
        <v>11</v>
      </c>
      <c r="AR435" s="119">
        <v>33.299999999999997</v>
      </c>
      <c r="AS435" s="119">
        <v>48</v>
      </c>
      <c r="AT435" s="119">
        <v>27.3</v>
      </c>
      <c r="AU435" s="119"/>
      <c r="AV435" s="119"/>
      <c r="AW435" s="119"/>
      <c r="AX435" s="119"/>
      <c r="AY435" s="119"/>
      <c r="AZ435" s="119"/>
      <c r="BA435" s="119"/>
      <c r="BB435" s="119"/>
      <c r="BC435" s="119"/>
      <c r="BD435" s="119"/>
      <c r="BE435" s="119"/>
      <c r="BF435" s="119"/>
      <c r="BG435" s="119"/>
      <c r="BH435" s="119"/>
      <c r="BI435" s="119"/>
      <c r="BJ435" s="119"/>
      <c r="BK435" s="119"/>
      <c r="BL435" s="119"/>
      <c r="BM435" s="119"/>
      <c r="BN435" s="119"/>
      <c r="BO435" s="119"/>
      <c r="BP435" s="119"/>
      <c r="BQ435" s="119"/>
      <c r="BR435" s="119"/>
      <c r="BS435" s="119"/>
      <c r="BT435" s="119"/>
      <c r="BU435" s="119"/>
      <c r="BV435" s="119"/>
      <c r="BW435" s="119"/>
      <c r="BX435" s="119"/>
      <c r="BY435" s="119"/>
      <c r="BZ435" s="119"/>
      <c r="CA435" s="119"/>
      <c r="CB435" s="119"/>
      <c r="CC435" s="119"/>
      <c r="CD435" s="119"/>
      <c r="CE435" s="119"/>
      <c r="CF435" s="119"/>
      <c r="CG435" s="119"/>
      <c r="CH435" s="119"/>
      <c r="CI435" s="119"/>
      <c r="CJ435" s="119"/>
      <c r="CK435" s="119"/>
      <c r="CL435" s="119"/>
      <c r="CM435" s="119"/>
      <c r="CN435" s="119"/>
      <c r="CO435" s="119"/>
      <c r="CP435" s="119"/>
      <c r="CQ435" s="119"/>
      <c r="CR435" s="119"/>
      <c r="CS435" s="119"/>
      <c r="CT435" s="119"/>
      <c r="CU435" s="119"/>
      <c r="CV435" s="119"/>
      <c r="CW435" s="119"/>
      <c r="CX435" s="119"/>
      <c r="CY435" s="119"/>
      <c r="CZ435" s="119"/>
      <c r="DA435" s="119"/>
      <c r="DB435" s="119"/>
      <c r="DC435" s="119"/>
      <c r="DD435" s="119"/>
      <c r="DE435" s="119"/>
      <c r="DF435" s="119"/>
      <c r="DG435" s="9" t="e">
        <f t="shared" si="6"/>
        <v>#NUM!</v>
      </c>
      <c r="DH435" s="119"/>
      <c r="DI435" s="119"/>
      <c r="DJ435" s="119"/>
      <c r="DK435" s="119"/>
      <c r="DL435" s="119"/>
      <c r="DM435" s="119"/>
      <c r="DN435" s="119"/>
      <c r="DO435" s="119"/>
      <c r="DP435" s="119"/>
      <c r="DQ435" s="119"/>
      <c r="DR435" s="119"/>
      <c r="DS435" s="119"/>
      <c r="DT435" s="119"/>
      <c r="DU435" s="119"/>
      <c r="DV435" s="120"/>
    </row>
    <row r="436" spans="1:126" x14ac:dyDescent="0.2">
      <c r="A436" s="116" t="s">
        <v>4125</v>
      </c>
      <c r="B436" s="38">
        <v>43277</v>
      </c>
      <c r="C436" s="9" t="s">
        <v>196</v>
      </c>
      <c r="D436" s="9">
        <v>32</v>
      </c>
      <c r="E436" s="9" t="s">
        <v>100</v>
      </c>
      <c r="G436" s="9" t="s">
        <v>4126</v>
      </c>
      <c r="H436" s="9" t="s">
        <v>4127</v>
      </c>
      <c r="J436" s="9" t="s">
        <v>99</v>
      </c>
      <c r="K436" s="9">
        <v>2012</v>
      </c>
      <c r="L436" s="9">
        <v>1</v>
      </c>
      <c r="M436" s="9" t="s">
        <v>99</v>
      </c>
      <c r="N436" s="9" t="s">
        <v>99</v>
      </c>
      <c r="O436" s="9" t="s">
        <v>99</v>
      </c>
      <c r="P436" s="9" t="s">
        <v>110</v>
      </c>
      <c r="Q436" s="9" t="s">
        <v>99</v>
      </c>
      <c r="R436" s="9" t="s">
        <v>110</v>
      </c>
      <c r="S436" s="9" t="s">
        <v>4128</v>
      </c>
      <c r="T436" s="9" t="s">
        <v>99</v>
      </c>
      <c r="U436" s="9" t="s">
        <v>99</v>
      </c>
      <c r="V436" s="9" t="s">
        <v>99</v>
      </c>
      <c r="X436" s="9" t="s">
        <v>99</v>
      </c>
      <c r="Y436" s="9" t="s">
        <v>4129</v>
      </c>
      <c r="Z436" s="9" t="s">
        <v>1222</v>
      </c>
      <c r="AA436" s="9" t="s">
        <v>100</v>
      </c>
      <c r="AB436" s="9" t="s">
        <v>100</v>
      </c>
      <c r="AC436" s="9" t="s">
        <v>4130</v>
      </c>
      <c r="AD436" s="9" t="s">
        <v>99</v>
      </c>
      <c r="AE436" s="9" t="s">
        <v>99</v>
      </c>
      <c r="AF436" s="9" t="s">
        <v>99</v>
      </c>
      <c r="AG436" s="9" t="s">
        <v>99</v>
      </c>
      <c r="AH436" s="9" t="s">
        <v>99</v>
      </c>
      <c r="AI436" s="9" t="s">
        <v>99</v>
      </c>
      <c r="AJ436" s="9" t="s">
        <v>99</v>
      </c>
      <c r="AK436" s="9" t="s">
        <v>99</v>
      </c>
      <c r="AL436" s="9">
        <v>84.2</v>
      </c>
      <c r="AM436" s="9">
        <v>165</v>
      </c>
      <c r="AN436" s="9">
        <v>87.3</v>
      </c>
      <c r="AO436" s="9">
        <v>117</v>
      </c>
      <c r="AP436" s="9">
        <v>23.3</v>
      </c>
      <c r="AQ436" s="9">
        <v>3.2</v>
      </c>
      <c r="AR436" s="9">
        <v>61.4</v>
      </c>
      <c r="AS436" s="9">
        <v>42</v>
      </c>
      <c r="AT436" s="9">
        <v>31</v>
      </c>
      <c r="AU436" s="9">
        <v>109</v>
      </c>
      <c r="AV436" s="9">
        <v>59</v>
      </c>
      <c r="DC436" s="9">
        <v>89.5</v>
      </c>
      <c r="DD436" s="9">
        <v>0.78</v>
      </c>
      <c r="DE436" s="9">
        <v>125</v>
      </c>
      <c r="DF436" s="9">
        <v>68</v>
      </c>
      <c r="DG436" s="9">
        <f t="shared" si="6"/>
        <v>4.3568731652284578</v>
      </c>
      <c r="DH436" s="9">
        <v>13.6</v>
      </c>
      <c r="DI436" s="9">
        <v>4.46</v>
      </c>
      <c r="DJ436" s="9">
        <v>15.3</v>
      </c>
      <c r="DK436" s="9">
        <v>30.3</v>
      </c>
      <c r="DL436" s="9">
        <v>43.2</v>
      </c>
      <c r="DM436" s="9">
        <v>68.2</v>
      </c>
      <c r="DP436" s="11">
        <v>2</v>
      </c>
    </row>
    <row r="437" spans="1:126" x14ac:dyDescent="0.2">
      <c r="A437" s="117" t="s">
        <v>4125</v>
      </c>
      <c r="B437" s="69">
        <v>43308</v>
      </c>
      <c r="C437" s="29" t="s">
        <v>3955</v>
      </c>
      <c r="D437" s="29">
        <v>49</v>
      </c>
      <c r="E437" s="29" t="s">
        <v>313</v>
      </c>
      <c r="F437" s="121">
        <v>25193</v>
      </c>
      <c r="G437" s="29" t="s">
        <v>988</v>
      </c>
      <c r="H437" s="29" t="s">
        <v>4131</v>
      </c>
      <c r="I437"/>
      <c r="J437"/>
      <c r="K437"/>
      <c r="L437"/>
      <c r="M437"/>
      <c r="N437"/>
      <c r="O437"/>
      <c r="P437"/>
      <c r="Q437"/>
      <c r="R437" s="29" t="s">
        <v>588</v>
      </c>
      <c r="S437"/>
      <c r="T437"/>
      <c r="U437" s="29" t="s">
        <v>483</v>
      </c>
      <c r="V437" s="29" t="s">
        <v>4132</v>
      </c>
      <c r="W437" s="29" t="s">
        <v>4133</v>
      </c>
      <c r="X437" s="29" t="s">
        <v>263</v>
      </c>
      <c r="Y437" s="29" t="s">
        <v>4134</v>
      </c>
      <c r="Z437"/>
      <c r="AA437" s="29" t="s">
        <v>949</v>
      </c>
      <c r="AB437" s="29" t="s">
        <v>949</v>
      </c>
      <c r="AC437" s="29" t="s">
        <v>949</v>
      </c>
      <c r="AD437" s="29" t="s">
        <v>932</v>
      </c>
      <c r="AE437" s="29" t="s">
        <v>483</v>
      </c>
      <c r="AF437" s="29" t="s">
        <v>423</v>
      </c>
      <c r="AG437" s="29" t="s">
        <v>483</v>
      </c>
      <c r="AH437" s="29" t="s">
        <v>483</v>
      </c>
      <c r="AI437" s="29" t="s">
        <v>483</v>
      </c>
      <c r="AJ437" s="29" t="s">
        <v>483</v>
      </c>
      <c r="AK437" s="29" t="s">
        <v>483</v>
      </c>
      <c r="AL437" s="29">
        <v>77</v>
      </c>
      <c r="AM437" s="29">
        <v>172</v>
      </c>
      <c r="AN437" s="29">
        <v>94</v>
      </c>
      <c r="AO437" s="29">
        <v>105</v>
      </c>
      <c r="AP437" s="29">
        <v>27.6</v>
      </c>
      <c r="AQ437" s="29">
        <v>11</v>
      </c>
      <c r="AR437" s="29">
        <v>32.9</v>
      </c>
      <c r="AS437" s="29">
        <v>51</v>
      </c>
      <c r="AT437" s="29">
        <v>26</v>
      </c>
      <c r="AU437"/>
      <c r="AV437"/>
      <c r="AW437"/>
      <c r="AX437" s="29" t="s">
        <v>4135</v>
      </c>
      <c r="AY437"/>
      <c r="AZ437"/>
      <c r="BA437"/>
      <c r="BB437" s="29" t="s">
        <v>4136</v>
      </c>
      <c r="BC437"/>
      <c r="BD437"/>
      <c r="BE437"/>
      <c r="BF437" s="29" t="s">
        <v>635</v>
      </c>
      <c r="BG437" s="29" t="s">
        <v>323</v>
      </c>
      <c r="BH437" s="29" t="s">
        <v>323</v>
      </c>
      <c r="BI437" s="29" t="s">
        <v>323</v>
      </c>
      <c r="BJ437"/>
      <c r="BK437" s="29" t="s">
        <v>323</v>
      </c>
      <c r="BL437"/>
      <c r="BM437" s="29" t="s">
        <v>323</v>
      </c>
      <c r="BN437" s="29" t="s">
        <v>447</v>
      </c>
      <c r="BO437" s="29" t="s">
        <v>377</v>
      </c>
      <c r="BP437" s="29" t="s">
        <v>378</v>
      </c>
      <c r="BQ437"/>
      <c r="BR437"/>
      <c r="BS437"/>
      <c r="BT437"/>
      <c r="BU437"/>
      <c r="BV437"/>
      <c r="BW437"/>
      <c r="BX437"/>
      <c r="BY437"/>
      <c r="BZ437" s="29" t="s">
        <v>941</v>
      </c>
      <c r="CA437" s="29" t="s">
        <v>415</v>
      </c>
      <c r="CB437"/>
      <c r="CC437"/>
      <c r="CD437"/>
      <c r="CE437"/>
      <c r="CF437"/>
      <c r="CG437"/>
      <c r="CH437"/>
      <c r="CI437"/>
      <c r="CJ437"/>
      <c r="CK437"/>
      <c r="CL437" s="29" t="s">
        <v>383</v>
      </c>
      <c r="CM437" s="29" t="s">
        <v>1025</v>
      </c>
      <c r="CN437"/>
      <c r="CO437"/>
      <c r="CP437"/>
      <c r="CQ437"/>
      <c r="CR437"/>
      <c r="CS437"/>
      <c r="CT437" s="29" t="s">
        <v>539</v>
      </c>
      <c r="CU437"/>
      <c r="CV437"/>
      <c r="CW437" s="29">
        <v>3</v>
      </c>
      <c r="CX437" s="29" t="s">
        <v>483</v>
      </c>
      <c r="CY437" s="29" t="s">
        <v>483</v>
      </c>
      <c r="CZ437" s="29">
        <v>30</v>
      </c>
      <c r="DA437" s="29">
        <v>30</v>
      </c>
      <c r="DB437" s="29">
        <v>40</v>
      </c>
      <c r="DC437"/>
      <c r="DD437"/>
      <c r="DE437"/>
      <c r="DF437"/>
      <c r="DG437" s="9" t="e">
        <f t="shared" si="6"/>
        <v>#NUM!</v>
      </c>
      <c r="DH437"/>
      <c r="DI437"/>
      <c r="DJ437"/>
      <c r="DK437"/>
      <c r="DL437"/>
      <c r="DM437"/>
      <c r="DN437"/>
      <c r="DO437" s="29"/>
      <c r="DP437"/>
      <c r="DQ437"/>
      <c r="DR437"/>
      <c r="DS437"/>
      <c r="DT437"/>
      <c r="DU437"/>
      <c r="DV437"/>
    </row>
    <row r="438" spans="1:126" x14ac:dyDescent="0.2">
      <c r="A438" s="116" t="s">
        <v>4137</v>
      </c>
      <c r="B438" s="38">
        <v>43277</v>
      </c>
      <c r="C438" s="9" t="s">
        <v>196</v>
      </c>
      <c r="D438" s="9">
        <v>46</v>
      </c>
      <c r="E438" s="9" t="s">
        <v>96</v>
      </c>
      <c r="G438" s="9" t="s">
        <v>1044</v>
      </c>
      <c r="H438" s="9" t="s">
        <v>4138</v>
      </c>
      <c r="J438" s="9" t="s">
        <v>99</v>
      </c>
      <c r="M438" s="9" t="s">
        <v>99</v>
      </c>
      <c r="N438" s="9" t="s">
        <v>99</v>
      </c>
      <c r="O438" s="9" t="s">
        <v>99</v>
      </c>
      <c r="P438" s="9" t="s">
        <v>110</v>
      </c>
      <c r="Q438" s="9" t="s">
        <v>110</v>
      </c>
      <c r="R438" s="9" t="s">
        <v>99</v>
      </c>
      <c r="S438" s="9" t="s">
        <v>99</v>
      </c>
      <c r="T438" s="9" t="s">
        <v>99</v>
      </c>
      <c r="U438" s="9" t="s">
        <v>99</v>
      </c>
      <c r="V438" s="9" t="s">
        <v>4139</v>
      </c>
      <c r="W438" s="9" t="s">
        <v>99</v>
      </c>
      <c r="X438" s="9" t="s">
        <v>99</v>
      </c>
      <c r="AA438" s="14" t="s">
        <v>2225</v>
      </c>
      <c r="AB438" s="9" t="s">
        <v>100</v>
      </c>
      <c r="AC438" s="9" t="s">
        <v>100</v>
      </c>
      <c r="AD438" s="9" t="s">
        <v>100</v>
      </c>
      <c r="AE438" s="9" t="s">
        <v>125</v>
      </c>
      <c r="AF438" s="9" t="s">
        <v>99</v>
      </c>
      <c r="AG438" s="9" t="s">
        <v>99</v>
      </c>
      <c r="AH438" s="9" t="s">
        <v>99</v>
      </c>
      <c r="AI438" s="9" t="s">
        <v>99</v>
      </c>
      <c r="AJ438" s="9" t="s">
        <v>99</v>
      </c>
      <c r="AK438" s="9" t="s">
        <v>99</v>
      </c>
      <c r="AL438" s="9">
        <v>57.2</v>
      </c>
      <c r="AM438" s="9">
        <v>160</v>
      </c>
      <c r="AN438" s="9">
        <v>84</v>
      </c>
      <c r="AO438" s="9">
        <v>92</v>
      </c>
      <c r="AP438" s="9">
        <v>16.399999999999999</v>
      </c>
      <c r="AQ438" s="9">
        <v>2.4</v>
      </c>
      <c r="AR438" s="9">
        <v>45.4</v>
      </c>
      <c r="AT438" s="7">
        <v>22.3</v>
      </c>
      <c r="AU438" s="9">
        <v>102</v>
      </c>
      <c r="AV438" s="9">
        <v>64</v>
      </c>
      <c r="DC438" s="9">
        <v>77</v>
      </c>
      <c r="DD438" s="9">
        <v>0.59</v>
      </c>
      <c r="DE438" s="10">
        <v>247</v>
      </c>
      <c r="DF438" s="10">
        <v>218</v>
      </c>
      <c r="DG438" s="9">
        <f t="shared" si="6"/>
        <v>4.8641502423213865</v>
      </c>
      <c r="DH438" s="9">
        <v>43.6</v>
      </c>
      <c r="DI438" s="9">
        <v>3.82</v>
      </c>
      <c r="DJ438" s="9">
        <v>4.3</v>
      </c>
      <c r="DK438" s="9">
        <v>15.3</v>
      </c>
      <c r="DL438" s="10">
        <v>40</v>
      </c>
      <c r="DM438" s="9">
        <v>163.4</v>
      </c>
      <c r="DP438" s="11">
        <v>3</v>
      </c>
      <c r="DT438" s="9">
        <v>15</v>
      </c>
      <c r="DU438" s="9">
        <v>3.17</v>
      </c>
    </row>
    <row r="439" spans="1:126" x14ac:dyDescent="0.2">
      <c r="A439" s="117" t="s">
        <v>4137</v>
      </c>
      <c r="B439" s="69">
        <v>43308</v>
      </c>
      <c r="C439" s="29" t="s">
        <v>95</v>
      </c>
      <c r="D439" s="29">
        <v>30</v>
      </c>
      <c r="E439" s="29" t="s">
        <v>313</v>
      </c>
      <c r="F439" s="121">
        <v>32292</v>
      </c>
      <c r="G439" s="29" t="s">
        <v>988</v>
      </c>
      <c r="H439" s="29" t="s">
        <v>1067</v>
      </c>
      <c r="I439"/>
      <c r="J439"/>
      <c r="K439"/>
      <c r="L439"/>
      <c r="M439" s="29" t="s">
        <v>483</v>
      </c>
      <c r="N439" s="29" t="s">
        <v>483</v>
      </c>
      <c r="O439" s="29" t="s">
        <v>483</v>
      </c>
      <c r="P439" s="29" t="s">
        <v>483</v>
      </c>
      <c r="Q439" s="29" t="s">
        <v>483</v>
      </c>
      <c r="R439" s="29" t="s">
        <v>483</v>
      </c>
      <c r="S439"/>
      <c r="T439"/>
      <c r="U439" s="29" t="s">
        <v>483</v>
      </c>
      <c r="V439"/>
      <c r="W439" s="29" t="s">
        <v>483</v>
      </c>
      <c r="X439" s="29" t="s">
        <v>483</v>
      </c>
      <c r="Y439"/>
      <c r="Z439" s="29" t="s">
        <v>4098</v>
      </c>
      <c r="AA439" s="29" t="s">
        <v>313</v>
      </c>
      <c r="AB439" s="29" t="s">
        <v>313</v>
      </c>
      <c r="AC439" s="29" t="s">
        <v>313</v>
      </c>
      <c r="AD439" s="29" t="s">
        <v>313</v>
      </c>
      <c r="AE439" s="29" t="s">
        <v>4140</v>
      </c>
      <c r="AF439" s="29" t="s">
        <v>35</v>
      </c>
      <c r="AG439"/>
      <c r="AH439"/>
      <c r="AI439"/>
      <c r="AJ439"/>
      <c r="AK439"/>
      <c r="AL439" s="29">
        <v>50.6</v>
      </c>
      <c r="AM439" s="29">
        <v>150</v>
      </c>
      <c r="AN439" s="29">
        <v>78</v>
      </c>
      <c r="AO439" s="29">
        <v>95</v>
      </c>
      <c r="AP439" s="29">
        <v>36.299999999999997</v>
      </c>
      <c r="AQ439" s="29">
        <v>5</v>
      </c>
      <c r="AR439" s="29">
        <v>23.6</v>
      </c>
      <c r="AS439" s="29">
        <v>34</v>
      </c>
      <c r="AT439" s="29">
        <v>22.5</v>
      </c>
      <c r="AU439"/>
      <c r="AV439"/>
      <c r="AW439"/>
      <c r="AX439" s="29" t="s">
        <v>1107</v>
      </c>
      <c r="AY439" s="29" t="s">
        <v>168</v>
      </c>
      <c r="AZ439" s="29" t="s">
        <v>389</v>
      </c>
      <c r="BA439"/>
      <c r="BB439" s="29" t="s">
        <v>1036</v>
      </c>
      <c r="BC439" s="29" t="s">
        <v>4141</v>
      </c>
      <c r="BD439"/>
      <c r="BE439"/>
      <c r="BF439" s="29" t="s">
        <v>325</v>
      </c>
      <c r="BG439" s="29" t="s">
        <v>322</v>
      </c>
      <c r="BH439" s="29" t="s">
        <v>323</v>
      </c>
      <c r="BI439" s="29" t="s">
        <v>635</v>
      </c>
      <c r="BJ439" s="29" t="s">
        <v>635</v>
      </c>
      <c r="BK439" s="29" t="s">
        <v>323</v>
      </c>
      <c r="BL439"/>
      <c r="BM439"/>
      <c r="BN439" s="29" t="s">
        <v>396</v>
      </c>
      <c r="BO439" s="29" t="s">
        <v>4142</v>
      </c>
      <c r="BP439" s="29" t="s">
        <v>904</v>
      </c>
      <c r="BQ439"/>
      <c r="BR439"/>
      <c r="BS439"/>
      <c r="BT439"/>
      <c r="BU439"/>
      <c r="BV439" s="29" t="s">
        <v>1152</v>
      </c>
      <c r="BW439" s="29" t="s">
        <v>918</v>
      </c>
      <c r="BX439"/>
      <c r="BY439"/>
      <c r="BZ439" s="29" t="s">
        <v>330</v>
      </c>
      <c r="CA439" s="29" t="s">
        <v>1283</v>
      </c>
      <c r="CB439" s="29" t="s">
        <v>4143</v>
      </c>
      <c r="CC439" s="29" t="s">
        <v>263</v>
      </c>
      <c r="CD439"/>
      <c r="CE439"/>
      <c r="CF439"/>
      <c r="CG439" s="29" t="s">
        <v>263</v>
      </c>
      <c r="CH439"/>
      <c r="CI439"/>
      <c r="CJ439"/>
      <c r="CK439"/>
      <c r="CL439" s="29" t="s">
        <v>4144</v>
      </c>
      <c r="CM439" s="29" t="s">
        <v>4145</v>
      </c>
      <c r="CN439" s="29" t="s">
        <v>308</v>
      </c>
      <c r="CO439"/>
      <c r="CP439" s="29" t="s">
        <v>910</v>
      </c>
      <c r="CQ439"/>
      <c r="CR439"/>
      <c r="CS439"/>
      <c r="CT439" s="29" t="s">
        <v>1287</v>
      </c>
      <c r="CU439" s="29" t="s">
        <v>4146</v>
      </c>
      <c r="CV439"/>
      <c r="CW439" s="29">
        <v>4</v>
      </c>
      <c r="CX439" s="29" t="s">
        <v>588</v>
      </c>
      <c r="CY439" s="29" t="s">
        <v>588</v>
      </c>
      <c r="CZ439" s="29">
        <v>40</v>
      </c>
      <c r="DA439" s="29">
        <v>30</v>
      </c>
      <c r="DB439" s="29">
        <v>30</v>
      </c>
      <c r="DC439" s="29"/>
      <c r="DD439" s="29"/>
      <c r="DE439" s="29"/>
      <c r="DF439" s="29"/>
      <c r="DG439" s="9" t="e">
        <f t="shared" si="6"/>
        <v>#NUM!</v>
      </c>
      <c r="DH439" s="29"/>
      <c r="DI439"/>
      <c r="DJ439"/>
      <c r="DK439"/>
      <c r="DL439"/>
      <c r="DM439"/>
      <c r="DN439"/>
      <c r="DO439" s="29"/>
      <c r="DP439"/>
      <c r="DQ439"/>
      <c r="DR439"/>
      <c r="DS439"/>
      <c r="DT439"/>
      <c r="DU439"/>
      <c r="DV439"/>
    </row>
    <row r="440" spans="1:126" x14ac:dyDescent="0.2">
      <c r="A440" s="14" t="s">
        <v>4147</v>
      </c>
      <c r="B440" s="38">
        <v>43277</v>
      </c>
      <c r="C440" s="9" t="s">
        <v>196</v>
      </c>
      <c r="D440" s="9">
        <v>47</v>
      </c>
      <c r="E440" s="9" t="s">
        <v>100</v>
      </c>
      <c r="F440" s="17">
        <v>26069</v>
      </c>
      <c r="G440" s="9" t="s">
        <v>813</v>
      </c>
      <c r="J440" s="9" t="s">
        <v>4148</v>
      </c>
      <c r="K440" s="9">
        <v>15</v>
      </c>
      <c r="L440" s="9">
        <v>4</v>
      </c>
      <c r="M440" s="9" t="s">
        <v>4149</v>
      </c>
      <c r="N440" s="9" t="s">
        <v>99</v>
      </c>
      <c r="O440" s="9" t="s">
        <v>4150</v>
      </c>
      <c r="P440" s="9" t="s">
        <v>99</v>
      </c>
      <c r="Q440" s="9" t="s">
        <v>99</v>
      </c>
      <c r="R440" s="9" t="s">
        <v>110</v>
      </c>
      <c r="S440" s="9" t="s">
        <v>99</v>
      </c>
      <c r="T440" s="9" t="s">
        <v>99</v>
      </c>
      <c r="U440" s="9" t="s">
        <v>99</v>
      </c>
      <c r="V440" s="9" t="s">
        <v>99</v>
      </c>
      <c r="W440" s="9" t="s">
        <v>99</v>
      </c>
      <c r="X440" s="9" t="s">
        <v>99</v>
      </c>
      <c r="Y440" s="9" t="s">
        <v>99</v>
      </c>
      <c r="Z440" s="9" t="s">
        <v>4151</v>
      </c>
      <c r="AA440" s="9" t="s">
        <v>100</v>
      </c>
      <c r="AB440" s="9" t="s">
        <v>100</v>
      </c>
      <c r="AC440" s="9" t="s">
        <v>100</v>
      </c>
      <c r="AD440" s="14" t="s">
        <v>4152</v>
      </c>
      <c r="AE440" s="9" t="s">
        <v>4153</v>
      </c>
      <c r="AF440" s="9" t="s">
        <v>118</v>
      </c>
      <c r="AG440" s="9" t="s">
        <v>2627</v>
      </c>
      <c r="AH440" s="9" t="s">
        <v>99</v>
      </c>
      <c r="AI440" s="9" t="s">
        <v>99</v>
      </c>
      <c r="AJ440" s="9" t="s">
        <v>99</v>
      </c>
      <c r="AK440" s="9" t="s">
        <v>99</v>
      </c>
      <c r="AL440" s="9">
        <v>72.900000000000006</v>
      </c>
      <c r="AM440" s="9">
        <v>159</v>
      </c>
      <c r="AN440" s="9">
        <v>86.7</v>
      </c>
      <c r="AO440" s="9">
        <v>108.3</v>
      </c>
      <c r="AP440" s="9">
        <v>21.8</v>
      </c>
      <c r="AQ440" s="9">
        <v>2.9</v>
      </c>
      <c r="AR440" s="9">
        <v>54.1</v>
      </c>
      <c r="AS440" s="9">
        <v>38</v>
      </c>
      <c r="AT440" s="9">
        <v>28.9</v>
      </c>
      <c r="AU440" s="36">
        <v>141</v>
      </c>
      <c r="AV440" s="9">
        <v>47</v>
      </c>
      <c r="DC440" s="14">
        <v>326.60000000000002</v>
      </c>
      <c r="DD440" s="9">
        <v>0.27</v>
      </c>
      <c r="DE440" s="10">
        <v>289</v>
      </c>
      <c r="DF440" s="14">
        <v>399</v>
      </c>
      <c r="DG440" s="9">
        <f t="shared" si="6"/>
        <v>5.8888487987131137</v>
      </c>
      <c r="DH440" s="9">
        <v>79.8</v>
      </c>
      <c r="DI440" s="10">
        <v>6.13</v>
      </c>
      <c r="DJ440" s="9">
        <v>33.700000000000003</v>
      </c>
      <c r="DK440" s="10">
        <v>45.7</v>
      </c>
      <c r="DL440" s="10">
        <v>34.200000000000003</v>
      </c>
      <c r="DM440" s="9">
        <v>175</v>
      </c>
      <c r="DP440" s="11">
        <v>2</v>
      </c>
      <c r="DR440" s="9">
        <v>2</v>
      </c>
      <c r="DT440" s="9">
        <v>11.1</v>
      </c>
      <c r="DU440" s="9">
        <v>4.5999999999999996</v>
      </c>
    </row>
    <row r="441" spans="1:126" x14ac:dyDescent="0.2">
      <c r="A441" s="9" t="s">
        <v>4154</v>
      </c>
      <c r="B441" s="38">
        <v>43277</v>
      </c>
      <c r="C441" s="9" t="s">
        <v>107</v>
      </c>
      <c r="D441" s="9">
        <v>41</v>
      </c>
      <c r="G441" s="9" t="s">
        <v>481</v>
      </c>
      <c r="M441" s="9" t="s">
        <v>99</v>
      </c>
      <c r="N441" s="9" t="s">
        <v>99</v>
      </c>
      <c r="O441" s="9" t="s">
        <v>99</v>
      </c>
      <c r="P441" s="9" t="s">
        <v>110</v>
      </c>
      <c r="Q441" s="9" t="s">
        <v>99</v>
      </c>
      <c r="R441" s="9" t="s">
        <v>110</v>
      </c>
      <c r="S441" s="9" t="s">
        <v>99</v>
      </c>
      <c r="T441" s="9" t="s">
        <v>99</v>
      </c>
      <c r="U441" s="9" t="s">
        <v>99</v>
      </c>
      <c r="V441" s="9" t="s">
        <v>99</v>
      </c>
      <c r="W441" s="9" t="s">
        <v>99</v>
      </c>
      <c r="X441" s="9" t="s">
        <v>99</v>
      </c>
      <c r="Y441" s="9" t="s">
        <v>99</v>
      </c>
      <c r="AA441" s="9" t="s">
        <v>100</v>
      </c>
      <c r="AB441" s="9" t="s">
        <v>100</v>
      </c>
      <c r="AC441" s="9" t="s">
        <v>100</v>
      </c>
      <c r="AD441" s="9" t="s">
        <v>100</v>
      </c>
      <c r="AE441" s="9" t="s">
        <v>99</v>
      </c>
      <c r="AF441" s="9" t="s">
        <v>99</v>
      </c>
      <c r="AG441" s="9" t="s">
        <v>99</v>
      </c>
      <c r="AH441" s="9" t="s">
        <v>99</v>
      </c>
      <c r="AI441" s="9" t="s">
        <v>99</v>
      </c>
      <c r="AJ441" s="9" t="s">
        <v>263</v>
      </c>
      <c r="AK441" s="9" t="s">
        <v>99</v>
      </c>
      <c r="AL441" s="9">
        <v>87</v>
      </c>
      <c r="AM441" s="9">
        <v>159</v>
      </c>
      <c r="AN441" s="9">
        <v>117</v>
      </c>
      <c r="AO441" s="9">
        <v>107</v>
      </c>
      <c r="AP441" s="9">
        <v>26.5</v>
      </c>
      <c r="AQ441" s="9">
        <v>3.2</v>
      </c>
      <c r="AR441" s="9">
        <v>53.1</v>
      </c>
      <c r="AS441" s="9">
        <v>50</v>
      </c>
      <c r="AT441" s="9">
        <v>34</v>
      </c>
      <c r="AU441" s="9">
        <v>154</v>
      </c>
      <c r="AV441" s="9">
        <v>98</v>
      </c>
      <c r="DC441" s="9">
        <v>85.7</v>
      </c>
      <c r="DD441" s="9">
        <v>0.8</v>
      </c>
      <c r="DE441" s="10">
        <v>214</v>
      </c>
      <c r="DF441" s="10">
        <v>196</v>
      </c>
      <c r="DG441" s="9">
        <f t="shared" si="6"/>
        <v>4.8644837424171259</v>
      </c>
      <c r="DH441" s="9">
        <v>39.200000000000003</v>
      </c>
      <c r="DI441" s="10">
        <v>7.6</v>
      </c>
      <c r="DJ441" s="9">
        <v>17.3</v>
      </c>
      <c r="DK441" s="9">
        <v>26.3</v>
      </c>
      <c r="DL441" s="10">
        <v>34</v>
      </c>
      <c r="DM441" s="9">
        <v>140.80000000000001</v>
      </c>
      <c r="DP441" s="11">
        <v>2</v>
      </c>
      <c r="DR441" s="9">
        <v>1</v>
      </c>
      <c r="DU441" s="9">
        <v>6</v>
      </c>
    </row>
    <row r="442" spans="1:126" x14ac:dyDescent="0.2">
      <c r="A442" s="29" t="s">
        <v>4155</v>
      </c>
      <c r="B442" s="69">
        <v>43265</v>
      </c>
      <c r="C442" s="29" t="s">
        <v>107</v>
      </c>
      <c r="D442" s="29">
        <v>71</v>
      </c>
      <c r="E442" s="29" t="s">
        <v>313</v>
      </c>
      <c r="F442" s="69">
        <v>17068</v>
      </c>
      <c r="G442" s="29" t="s">
        <v>4156</v>
      </c>
      <c r="H442" s="29" t="s">
        <v>4157</v>
      </c>
      <c r="I442"/>
      <c r="J442"/>
      <c r="K442"/>
      <c r="L442"/>
      <c r="M442" s="29" t="s">
        <v>483</v>
      </c>
      <c r="N442" s="29" t="s">
        <v>4158</v>
      </c>
      <c r="O442" s="29" t="s">
        <v>588</v>
      </c>
      <c r="P442" s="29" t="s">
        <v>483</v>
      </c>
      <c r="Q442" s="29" t="s">
        <v>483</v>
      </c>
      <c r="R442" s="29" t="s">
        <v>588</v>
      </c>
      <c r="S442" s="29" t="s">
        <v>483</v>
      </c>
      <c r="T442" s="29" t="s">
        <v>4159</v>
      </c>
      <c r="U442" s="29" t="s">
        <v>4160</v>
      </c>
      <c r="V442" s="29" t="s">
        <v>483</v>
      </c>
      <c r="W442" s="29" t="s">
        <v>483</v>
      </c>
      <c r="X442" s="29" t="s">
        <v>4161</v>
      </c>
      <c r="Y442"/>
      <c r="Z442" s="29" t="s">
        <v>4162</v>
      </c>
      <c r="AA442" s="29" t="s">
        <v>4163</v>
      </c>
      <c r="AB442" s="29" t="s">
        <v>4164</v>
      </c>
      <c r="AC442"/>
      <c r="AD442"/>
      <c r="AE442" s="29" t="s">
        <v>406</v>
      </c>
      <c r="AF442" s="29" t="s">
        <v>406</v>
      </c>
      <c r="AG442" s="29" t="s">
        <v>483</v>
      </c>
      <c r="AH442" s="29" t="s">
        <v>483</v>
      </c>
      <c r="AI442" s="29" t="s">
        <v>483</v>
      </c>
      <c r="AJ442" s="29" t="s">
        <v>483</v>
      </c>
      <c r="AK442" s="29" t="s">
        <v>4165</v>
      </c>
      <c r="AL442" s="29">
        <v>75.099999999999994</v>
      </c>
      <c r="AM442" s="29">
        <v>1.65</v>
      </c>
      <c r="AN442" s="29">
        <v>103</v>
      </c>
      <c r="AO442" s="29">
        <v>106</v>
      </c>
      <c r="AP442" s="29">
        <v>24.1</v>
      </c>
      <c r="AQ442" s="29">
        <v>14</v>
      </c>
      <c r="AR442" s="29">
        <v>33.4</v>
      </c>
      <c r="AS442" s="29">
        <v>57</v>
      </c>
      <c r="AT442" s="29">
        <v>27.6</v>
      </c>
      <c r="AU442" s="29">
        <v>120</v>
      </c>
      <c r="AV442" s="29">
        <v>77</v>
      </c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 s="9" t="e">
        <f t="shared" si="6"/>
        <v>#NUM!</v>
      </c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</row>
    <row r="443" spans="1:126" x14ac:dyDescent="0.2">
      <c r="A443" s="29">
        <v>359</v>
      </c>
      <c r="B443" s="115">
        <v>43241</v>
      </c>
      <c r="C443" s="29" t="s">
        <v>675</v>
      </c>
      <c r="D443" s="29"/>
      <c r="E443" s="29" t="s">
        <v>155</v>
      </c>
      <c r="F443" s="69"/>
      <c r="G443" s="29"/>
      <c r="H443" s="29"/>
      <c r="I443"/>
      <c r="J443"/>
      <c r="K443"/>
      <c r="L443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/>
      <c r="Z443" s="29"/>
      <c r="AA443" s="29"/>
      <c r="AB443" s="29"/>
      <c r="AC443"/>
      <c r="AD443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>
        <v>72.599999999999994</v>
      </c>
      <c r="DD443" s="29">
        <v>0.69</v>
      </c>
      <c r="DE443" s="48">
        <v>211</v>
      </c>
      <c r="DF443">
        <v>91</v>
      </c>
      <c r="DG443" s="9">
        <f t="shared" si="6"/>
        <v>4.3979122141738003</v>
      </c>
      <c r="DH443" s="29">
        <v>18.2</v>
      </c>
      <c r="DI443">
        <v>5.74</v>
      </c>
      <c r="DJ443"/>
      <c r="DK443"/>
      <c r="DL443"/>
      <c r="DM443"/>
      <c r="DN443"/>
      <c r="DO443"/>
      <c r="DP443"/>
      <c r="DQ443"/>
      <c r="DR443"/>
      <c r="DS443"/>
      <c r="DT443"/>
      <c r="DU443"/>
      <c r="DV443"/>
    </row>
    <row r="444" spans="1:126" x14ac:dyDescent="0.2">
      <c r="A444" s="9" t="s">
        <v>4166</v>
      </c>
      <c r="DG444" s="9" t="e">
        <f t="shared" si="6"/>
        <v>#NUM!</v>
      </c>
      <c r="DP444" s="11">
        <v>3</v>
      </c>
      <c r="DR444" s="9">
        <v>2</v>
      </c>
    </row>
    <row r="445" spans="1:126" x14ac:dyDescent="0.2">
      <c r="A445" s="9" t="s">
        <v>4167</v>
      </c>
      <c r="DG445" s="9" t="e">
        <f t="shared" si="6"/>
        <v>#NUM!</v>
      </c>
    </row>
    <row r="446" spans="1:126" x14ac:dyDescent="0.2">
      <c r="A446" s="9" t="s">
        <v>4168</v>
      </c>
      <c r="DG446" s="9" t="e">
        <f t="shared" si="6"/>
        <v>#NUM!</v>
      </c>
    </row>
    <row r="447" spans="1:126" x14ac:dyDescent="0.2">
      <c r="A447" s="9" t="s">
        <v>4169</v>
      </c>
      <c r="DG447" s="9" t="e">
        <f t="shared" si="6"/>
        <v>#NUM!</v>
      </c>
    </row>
    <row r="448" spans="1:126" x14ac:dyDescent="0.2">
      <c r="A448" s="9" t="s">
        <v>4170</v>
      </c>
      <c r="DG448" s="9" t="e">
        <f t="shared" si="6"/>
        <v>#NUM!</v>
      </c>
    </row>
    <row r="449" spans="1:122" x14ac:dyDescent="0.2">
      <c r="A449" s="9" t="s">
        <v>4171</v>
      </c>
      <c r="DG449" s="9" t="e">
        <f t="shared" si="6"/>
        <v>#NUM!</v>
      </c>
    </row>
    <row r="450" spans="1:122" x14ac:dyDescent="0.2">
      <c r="A450" s="9" t="s">
        <v>4172</v>
      </c>
      <c r="DG450" s="9" t="e">
        <f t="shared" si="6"/>
        <v>#NUM!</v>
      </c>
      <c r="DR450" s="9">
        <v>2</v>
      </c>
    </row>
    <row r="451" spans="1:122" x14ac:dyDescent="0.2">
      <c r="A451" s="9" t="s">
        <v>4173</v>
      </c>
      <c r="DG451" s="9" t="e">
        <f t="shared" ref="DG451:DG514" si="7">LN(DF451*DC451)/2</f>
        <v>#NUM!</v>
      </c>
    </row>
    <row r="452" spans="1:122" x14ac:dyDescent="0.2">
      <c r="A452" s="9" t="s">
        <v>4174</v>
      </c>
      <c r="DG452" s="9" t="e">
        <f t="shared" si="7"/>
        <v>#NUM!</v>
      </c>
    </row>
    <row r="453" spans="1:122" x14ac:dyDescent="0.2">
      <c r="A453" s="9" t="s">
        <v>4175</v>
      </c>
      <c r="DG453" s="9" t="e">
        <f t="shared" si="7"/>
        <v>#NUM!</v>
      </c>
      <c r="DR453" s="9">
        <v>3</v>
      </c>
    </row>
    <row r="454" spans="1:122" x14ac:dyDescent="0.2">
      <c r="A454" s="9" t="s">
        <v>4176</v>
      </c>
      <c r="DG454" s="9" t="e">
        <f t="shared" si="7"/>
        <v>#NUM!</v>
      </c>
    </row>
    <row r="455" spans="1:122" x14ac:dyDescent="0.2">
      <c r="A455" s="9" t="s">
        <v>4177</v>
      </c>
      <c r="DG455" s="9" t="e">
        <f t="shared" si="7"/>
        <v>#NUM!</v>
      </c>
    </row>
    <row r="456" spans="1:122" x14ac:dyDescent="0.2">
      <c r="A456" s="9" t="s">
        <v>4178</v>
      </c>
      <c r="DG456" s="9" t="e">
        <f t="shared" si="7"/>
        <v>#NUM!</v>
      </c>
    </row>
    <row r="457" spans="1:122" x14ac:dyDescent="0.2">
      <c r="A457" s="9" t="s">
        <v>4179</v>
      </c>
      <c r="DG457" s="9" t="e">
        <f t="shared" si="7"/>
        <v>#NUM!</v>
      </c>
    </row>
    <row r="458" spans="1:122" x14ac:dyDescent="0.2">
      <c r="A458" s="9" t="s">
        <v>4180</v>
      </c>
      <c r="DG458" s="9" t="e">
        <f t="shared" si="7"/>
        <v>#NUM!</v>
      </c>
    </row>
    <row r="459" spans="1:122" x14ac:dyDescent="0.2">
      <c r="A459" s="9" t="s">
        <v>4181</v>
      </c>
      <c r="DG459" s="9" t="e">
        <f t="shared" si="7"/>
        <v>#NUM!</v>
      </c>
    </row>
    <row r="460" spans="1:122" x14ac:dyDescent="0.2">
      <c r="A460" s="9" t="s">
        <v>4182</v>
      </c>
      <c r="B460" s="21">
        <v>43794</v>
      </c>
      <c r="C460" s="20" t="s">
        <v>107</v>
      </c>
      <c r="D460" s="20">
        <v>42</v>
      </c>
      <c r="E460" s="20" t="s">
        <v>96</v>
      </c>
      <c r="F460" s="51">
        <v>28120</v>
      </c>
      <c r="G460" s="20" t="s">
        <v>1431</v>
      </c>
      <c r="H460" s="20" t="s">
        <v>4183</v>
      </c>
      <c r="I460" s="20"/>
      <c r="J460" s="20"/>
      <c r="K460" s="20"/>
      <c r="L460" s="20"/>
      <c r="M460" s="20" t="s">
        <v>99</v>
      </c>
      <c r="N460" s="20" t="s">
        <v>99</v>
      </c>
      <c r="O460" s="20" t="s">
        <v>99</v>
      </c>
      <c r="P460" s="20" t="s">
        <v>99</v>
      </c>
      <c r="Q460" s="20" t="s">
        <v>99</v>
      </c>
      <c r="R460" s="20" t="s">
        <v>99</v>
      </c>
      <c r="S460" s="20" t="s">
        <v>4184</v>
      </c>
      <c r="T460" s="20" t="s">
        <v>99</v>
      </c>
      <c r="U460" s="20" t="s">
        <v>99</v>
      </c>
      <c r="V460" s="20" t="s">
        <v>99</v>
      </c>
      <c r="W460" s="20" t="s">
        <v>99</v>
      </c>
      <c r="X460" s="20" t="s">
        <v>99</v>
      </c>
      <c r="Y460" s="20" t="s">
        <v>99</v>
      </c>
      <c r="Z460" s="20" t="s">
        <v>99</v>
      </c>
      <c r="AA460" s="20" t="s">
        <v>96</v>
      </c>
      <c r="AB460" s="20" t="s">
        <v>96</v>
      </c>
      <c r="AC460" s="20" t="s">
        <v>96</v>
      </c>
      <c r="AD460" s="20" t="s">
        <v>96</v>
      </c>
      <c r="AE460" s="20" t="s">
        <v>4185</v>
      </c>
      <c r="AF460" s="20" t="s">
        <v>99</v>
      </c>
      <c r="AG460" s="20" t="s">
        <v>99</v>
      </c>
      <c r="AH460" s="20" t="s">
        <v>1811</v>
      </c>
      <c r="AI460" s="20" t="s">
        <v>99</v>
      </c>
      <c r="AJ460" s="20" t="s">
        <v>99</v>
      </c>
      <c r="AK460" s="20" t="s">
        <v>99</v>
      </c>
      <c r="AL460" s="20" t="s">
        <v>4186</v>
      </c>
      <c r="AM460" s="20">
        <v>174</v>
      </c>
      <c r="AN460" s="122">
        <v>90</v>
      </c>
      <c r="AO460" s="20">
        <v>97</v>
      </c>
      <c r="AP460" s="20" t="s">
        <v>4187</v>
      </c>
      <c r="AQ460" s="20">
        <v>9</v>
      </c>
      <c r="AR460" s="20" t="s">
        <v>4188</v>
      </c>
      <c r="AS460" s="20">
        <v>48</v>
      </c>
      <c r="AT460" s="20" t="s">
        <v>4189</v>
      </c>
      <c r="AU460" s="20">
        <v>93</v>
      </c>
      <c r="AV460" s="20">
        <v>67</v>
      </c>
      <c r="AW460" s="20"/>
      <c r="AX460" s="20" t="s">
        <v>4190</v>
      </c>
      <c r="AY460" s="20" t="s">
        <v>4191</v>
      </c>
      <c r="AZ460" s="20" t="s">
        <v>4192</v>
      </c>
      <c r="BA460" s="20"/>
      <c r="BB460" s="20" t="s">
        <v>409</v>
      </c>
      <c r="BC460" s="20" t="s">
        <v>4193</v>
      </c>
      <c r="BD460" s="20" t="s">
        <v>1864</v>
      </c>
      <c r="BE460" s="20"/>
      <c r="BF460" s="20" t="s">
        <v>322</v>
      </c>
      <c r="BG460" s="20" t="s">
        <v>1922</v>
      </c>
      <c r="BH460" s="20" t="s">
        <v>1818</v>
      </c>
      <c r="BI460" s="20" t="s">
        <v>1818</v>
      </c>
      <c r="BJ460" s="20" t="s">
        <v>1922</v>
      </c>
      <c r="BK460" s="20" t="s">
        <v>4194</v>
      </c>
      <c r="BL460" s="20"/>
      <c r="BM460" s="20"/>
      <c r="BN460" s="20" t="s">
        <v>918</v>
      </c>
      <c r="BO460" s="20" t="s">
        <v>395</v>
      </c>
      <c r="BP460" s="20" t="s">
        <v>1072</v>
      </c>
      <c r="BQ460" s="20"/>
      <c r="BR460" s="20"/>
      <c r="BS460" s="20"/>
      <c r="BT460" s="20"/>
      <c r="BU460" s="20"/>
      <c r="BV460" s="20" t="s">
        <v>4195</v>
      </c>
      <c r="BW460" s="22" t="s">
        <v>4196</v>
      </c>
      <c r="BX460" s="20"/>
      <c r="BY460" s="20"/>
      <c r="BZ460" s="20" t="s">
        <v>4197</v>
      </c>
      <c r="CA460" s="20" t="s">
        <v>1865</v>
      </c>
      <c r="CB460" s="20" t="s">
        <v>1965</v>
      </c>
      <c r="CC460" s="20"/>
      <c r="CD460" s="20"/>
      <c r="CE460" s="20"/>
      <c r="CF460" s="20"/>
      <c r="CG460" s="20"/>
      <c r="CH460" s="20"/>
      <c r="CI460" s="20"/>
      <c r="CJ460" s="20"/>
      <c r="CK460" s="20"/>
      <c r="CL460" s="20" t="s">
        <v>4198</v>
      </c>
      <c r="CM460" s="20" t="s">
        <v>4199</v>
      </c>
      <c r="CN460" s="20" t="s">
        <v>4200</v>
      </c>
      <c r="CO460" s="20"/>
      <c r="CP460" s="20" t="s">
        <v>1796</v>
      </c>
      <c r="CQ460" s="20" t="s">
        <v>4201</v>
      </c>
      <c r="CR460" s="20" t="s">
        <v>309</v>
      </c>
      <c r="CS460" s="20"/>
      <c r="CT460" s="20" t="s">
        <v>4202</v>
      </c>
      <c r="CU460" s="20" t="s">
        <v>4203</v>
      </c>
      <c r="CV460" s="20" t="s">
        <v>4204</v>
      </c>
      <c r="CW460" s="20" t="s">
        <v>4205</v>
      </c>
      <c r="CX460" s="20" t="s">
        <v>99</v>
      </c>
      <c r="CY460" s="20" t="s">
        <v>1922</v>
      </c>
      <c r="CZ460" s="20">
        <v>45</v>
      </c>
      <c r="DA460" s="20">
        <v>20</v>
      </c>
      <c r="DB460" s="20">
        <v>35</v>
      </c>
      <c r="DC460" s="13">
        <v>83.8</v>
      </c>
      <c r="DD460" s="13">
        <v>0.84</v>
      </c>
      <c r="DE460" s="84">
        <v>207</v>
      </c>
      <c r="DF460" s="13">
        <v>115</v>
      </c>
      <c r="DG460" s="9">
        <f t="shared" si="7"/>
        <v>4.586682567925644</v>
      </c>
      <c r="DH460" s="13">
        <v>23</v>
      </c>
      <c r="DI460" s="13">
        <v>4.7300000000000004</v>
      </c>
      <c r="DJ460" s="20"/>
      <c r="DK460" s="20"/>
      <c r="DL460" s="13">
        <v>47.2</v>
      </c>
      <c r="DM460" s="13">
        <v>136.80000000000001</v>
      </c>
      <c r="DN460" s="13"/>
      <c r="DR460" s="9">
        <v>2</v>
      </c>
    </row>
    <row r="461" spans="1:122" x14ac:dyDescent="0.2">
      <c r="A461" s="9" t="s">
        <v>4206</v>
      </c>
      <c r="B461" s="21">
        <v>43794</v>
      </c>
      <c r="C461" s="20" t="s">
        <v>95</v>
      </c>
      <c r="D461" s="20">
        <v>38</v>
      </c>
      <c r="E461" s="20" t="s">
        <v>96</v>
      </c>
      <c r="F461" s="51">
        <v>29667</v>
      </c>
      <c r="G461" s="20" t="s">
        <v>4207</v>
      </c>
      <c r="H461" s="20" t="s">
        <v>4208</v>
      </c>
      <c r="I461" s="20"/>
      <c r="J461" s="20"/>
      <c r="K461" s="20" t="s">
        <v>4209</v>
      </c>
      <c r="L461" s="20">
        <v>1</v>
      </c>
      <c r="M461" s="20" t="s">
        <v>99</v>
      </c>
      <c r="N461" s="20" t="s">
        <v>99</v>
      </c>
      <c r="O461" s="20" t="s">
        <v>4210</v>
      </c>
      <c r="P461" s="20" t="s">
        <v>99</v>
      </c>
      <c r="Q461" s="20" t="s">
        <v>4211</v>
      </c>
      <c r="R461" s="20" t="s">
        <v>110</v>
      </c>
      <c r="S461" s="20" t="s">
        <v>110</v>
      </c>
      <c r="T461" s="20" t="s">
        <v>110</v>
      </c>
      <c r="U461" s="20" t="s">
        <v>99</v>
      </c>
      <c r="V461" s="20" t="s">
        <v>99</v>
      </c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 t="s">
        <v>4212</v>
      </c>
      <c r="AM461" s="20">
        <v>162</v>
      </c>
      <c r="AN461" s="20">
        <v>114</v>
      </c>
      <c r="AO461" s="20">
        <v>115</v>
      </c>
      <c r="AP461" s="20" t="s">
        <v>4213</v>
      </c>
      <c r="AQ461" s="20"/>
      <c r="AR461" s="20" t="s">
        <v>4214</v>
      </c>
      <c r="AS461" s="20">
        <v>62</v>
      </c>
      <c r="AT461" s="20" t="s">
        <v>4215</v>
      </c>
      <c r="AU461" s="20">
        <v>99</v>
      </c>
      <c r="AV461" s="20">
        <v>65</v>
      </c>
      <c r="AW461" s="22" t="s">
        <v>4216</v>
      </c>
      <c r="AX461" s="22"/>
      <c r="AY461" s="22"/>
      <c r="AZ461" s="22"/>
      <c r="BA461" s="20"/>
      <c r="BB461" s="20" t="s">
        <v>4217</v>
      </c>
      <c r="BC461" s="20" t="s">
        <v>1148</v>
      </c>
      <c r="BD461" s="20" t="s">
        <v>4218</v>
      </c>
      <c r="BE461" s="20"/>
      <c r="BF461" s="20" t="s">
        <v>4219</v>
      </c>
      <c r="BG461" s="20" t="s">
        <v>322</v>
      </c>
      <c r="BH461" s="20" t="s">
        <v>1315</v>
      </c>
      <c r="BI461" s="20" t="s">
        <v>4220</v>
      </c>
      <c r="BJ461" s="20" t="s">
        <v>99</v>
      </c>
      <c r="BK461" s="20" t="s">
        <v>1368</v>
      </c>
      <c r="BL461" s="20"/>
      <c r="BM461" s="20"/>
      <c r="BN461" s="20" t="s">
        <v>1073</v>
      </c>
      <c r="BO461" s="20" t="s">
        <v>1149</v>
      </c>
      <c r="BP461" s="20" t="s">
        <v>4221</v>
      </c>
      <c r="BQ461" s="20"/>
      <c r="BR461" s="20"/>
      <c r="BS461" s="20"/>
      <c r="BT461" s="20"/>
      <c r="BU461" s="20"/>
      <c r="BV461" s="20"/>
      <c r="BW461" s="20"/>
      <c r="BX461" s="20"/>
      <c r="BY461" s="20"/>
      <c r="BZ461" s="20" t="s">
        <v>4222</v>
      </c>
      <c r="CA461" s="20" t="s">
        <v>4223</v>
      </c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 t="s">
        <v>4224</v>
      </c>
      <c r="CM461" s="20" t="s">
        <v>4225</v>
      </c>
      <c r="CN461" s="20" t="s">
        <v>4226</v>
      </c>
      <c r="CO461" s="20"/>
      <c r="CP461" s="20" t="s">
        <v>4227</v>
      </c>
      <c r="CQ461" s="20" t="s">
        <v>4228</v>
      </c>
      <c r="CR461" s="20" t="s">
        <v>309</v>
      </c>
      <c r="CS461" s="20"/>
      <c r="CT461" s="20" t="s">
        <v>4229</v>
      </c>
      <c r="CU461" s="20"/>
      <c r="CV461" s="20"/>
      <c r="CW461" s="20">
        <v>2</v>
      </c>
      <c r="CX461" s="20" t="s">
        <v>1374</v>
      </c>
      <c r="CY461" s="20" t="s">
        <v>99</v>
      </c>
      <c r="CZ461" s="20">
        <v>60</v>
      </c>
      <c r="DA461" s="20">
        <v>10</v>
      </c>
      <c r="DB461" s="20">
        <v>30</v>
      </c>
      <c r="DC461">
        <v>77.400000000000006</v>
      </c>
      <c r="DD461">
        <v>0.69</v>
      </c>
      <c r="DE461">
        <v>190</v>
      </c>
      <c r="DF461">
        <v>93</v>
      </c>
      <c r="DG461" s="9">
        <f t="shared" si="7"/>
        <v>4.4407931368744684</v>
      </c>
      <c r="DH461">
        <v>18.600000000000001</v>
      </c>
      <c r="DI461">
        <v>4.75</v>
      </c>
      <c r="DJ461"/>
      <c r="DK461"/>
      <c r="DL461">
        <v>44.1</v>
      </c>
      <c r="DM461">
        <v>127.3</v>
      </c>
      <c r="DN461" s="13"/>
    </row>
    <row r="462" spans="1:122" x14ac:dyDescent="0.2">
      <c r="A462" s="9" t="s">
        <v>4230</v>
      </c>
      <c r="B462" s="21">
        <v>43794</v>
      </c>
      <c r="C462" s="20" t="s">
        <v>107</v>
      </c>
      <c r="D462" s="20">
        <v>43</v>
      </c>
      <c r="E462" s="20" t="s">
        <v>96</v>
      </c>
      <c r="F462" s="51">
        <v>27925</v>
      </c>
      <c r="G462" s="20" t="s">
        <v>4231</v>
      </c>
      <c r="H462" s="20" t="s">
        <v>4232</v>
      </c>
      <c r="I462" s="20"/>
      <c r="J462" s="20"/>
      <c r="K462" s="20"/>
      <c r="L462" s="20"/>
      <c r="M462" s="20" t="s">
        <v>99</v>
      </c>
      <c r="N462" s="20" t="s">
        <v>4233</v>
      </c>
      <c r="O462" s="20" t="s">
        <v>99</v>
      </c>
      <c r="P462" s="20" t="s">
        <v>99</v>
      </c>
      <c r="Q462" s="20" t="s">
        <v>99</v>
      </c>
      <c r="R462" s="20" t="s">
        <v>110</v>
      </c>
      <c r="S462" s="20" t="s">
        <v>99</v>
      </c>
      <c r="T462" s="20" t="s">
        <v>4234</v>
      </c>
      <c r="U462" s="20" t="s">
        <v>99</v>
      </c>
      <c r="V462" s="20" t="s">
        <v>99</v>
      </c>
      <c r="W462" s="20" t="s">
        <v>4235</v>
      </c>
      <c r="X462" s="20" t="s">
        <v>99</v>
      </c>
      <c r="Y462" s="20" t="s">
        <v>3913</v>
      </c>
      <c r="Z462" s="20" t="s">
        <v>4236</v>
      </c>
      <c r="AA462" s="20" t="s">
        <v>1926</v>
      </c>
      <c r="AB462" s="20" t="s">
        <v>96</v>
      </c>
      <c r="AC462" s="20" t="s">
        <v>4237</v>
      </c>
      <c r="AD462" s="20" t="s">
        <v>96</v>
      </c>
      <c r="AE462" s="20" t="s">
        <v>4238</v>
      </c>
      <c r="AF462" s="20" t="s">
        <v>4239</v>
      </c>
      <c r="AG462" s="20" t="s">
        <v>99</v>
      </c>
      <c r="AH462" s="20" t="s">
        <v>4240</v>
      </c>
      <c r="AI462" s="20" t="s">
        <v>99</v>
      </c>
      <c r="AJ462" s="20" t="s">
        <v>99</v>
      </c>
      <c r="AK462" s="20" t="s">
        <v>4241</v>
      </c>
      <c r="AL462" s="20" t="s">
        <v>4242</v>
      </c>
      <c r="AM462" s="20">
        <v>185</v>
      </c>
      <c r="AN462" s="20">
        <v>135</v>
      </c>
      <c r="AO462" s="20">
        <v>124</v>
      </c>
      <c r="AP462" s="20">
        <v>36</v>
      </c>
      <c r="AQ462" s="20">
        <v>20</v>
      </c>
      <c r="AR462" s="20" t="s">
        <v>4243</v>
      </c>
      <c r="AS462" s="20">
        <v>80</v>
      </c>
      <c r="AT462" s="20" t="s">
        <v>4244</v>
      </c>
      <c r="AU462" s="20">
        <v>124</v>
      </c>
      <c r="AV462" s="20">
        <v>84</v>
      </c>
      <c r="AW462" s="20"/>
      <c r="AX462" s="20" t="s">
        <v>4245</v>
      </c>
      <c r="AY462" s="20" t="s">
        <v>4026</v>
      </c>
      <c r="AZ462" s="20"/>
      <c r="BA462" s="20"/>
      <c r="BB462" s="20" t="s">
        <v>409</v>
      </c>
      <c r="BC462" s="20" t="s">
        <v>1265</v>
      </c>
      <c r="BD462" s="20" t="s">
        <v>4246</v>
      </c>
      <c r="BE462" s="20"/>
      <c r="BF462" s="20" t="s">
        <v>322</v>
      </c>
      <c r="BG462" s="20" t="s">
        <v>4247</v>
      </c>
      <c r="BH462" s="20" t="s">
        <v>99</v>
      </c>
      <c r="BI462" s="20" t="s">
        <v>4248</v>
      </c>
      <c r="BJ462" s="20" t="s">
        <v>4249</v>
      </c>
      <c r="BK462" s="20" t="s">
        <v>99</v>
      </c>
      <c r="BL462" s="20"/>
      <c r="BM462" s="20"/>
      <c r="BN462" s="20" t="s">
        <v>519</v>
      </c>
      <c r="BO462" s="20" t="s">
        <v>395</v>
      </c>
      <c r="BP462" s="20" t="s">
        <v>517</v>
      </c>
      <c r="BQ462" s="20"/>
      <c r="BR462" s="20"/>
      <c r="BS462" s="20"/>
      <c r="BT462" s="20"/>
      <c r="BU462" s="20"/>
      <c r="BV462" s="22" t="s">
        <v>4250</v>
      </c>
      <c r="BW462" s="20"/>
      <c r="BX462" s="20"/>
      <c r="BY462" s="20"/>
      <c r="BZ462" s="20" t="s">
        <v>557</v>
      </c>
      <c r="CA462" s="20" t="s">
        <v>526</v>
      </c>
      <c r="CB462" s="20" t="s">
        <v>4251</v>
      </c>
      <c r="CC462" s="20"/>
      <c r="CD462" s="20"/>
      <c r="CE462" s="20"/>
      <c r="CF462" s="20"/>
      <c r="CG462" s="20"/>
      <c r="CH462" s="20" t="s">
        <v>1818</v>
      </c>
      <c r="CI462" s="20"/>
      <c r="CJ462" s="20"/>
      <c r="CK462" s="20"/>
      <c r="CL462" s="20" t="s">
        <v>434</v>
      </c>
      <c r="CM462" s="20" t="s">
        <v>4252</v>
      </c>
      <c r="CN462" s="20"/>
      <c r="CO462" s="20"/>
      <c r="CP462" s="20" t="s">
        <v>4253</v>
      </c>
      <c r="CQ462" s="20"/>
      <c r="CR462" s="20"/>
      <c r="CS462" s="20"/>
      <c r="CT462" s="20" t="s">
        <v>4254</v>
      </c>
      <c r="CU462" s="20" t="s">
        <v>4255</v>
      </c>
      <c r="CV462" s="20"/>
      <c r="CW462" s="22">
        <v>2</v>
      </c>
      <c r="CX462" s="20" t="s">
        <v>4256</v>
      </c>
      <c r="CY462" s="20" t="s">
        <v>99</v>
      </c>
      <c r="CZ462" s="20">
        <v>25</v>
      </c>
      <c r="DA462" s="20">
        <v>25</v>
      </c>
      <c r="DB462" s="20">
        <v>50</v>
      </c>
      <c r="DC462">
        <v>97.7</v>
      </c>
      <c r="DD462">
        <v>0.73</v>
      </c>
      <c r="DE462">
        <v>168</v>
      </c>
      <c r="DF462">
        <v>138</v>
      </c>
      <c r="DG462" s="9">
        <f t="shared" si="7"/>
        <v>4.7545776221029712</v>
      </c>
      <c r="DH462">
        <v>27.6</v>
      </c>
      <c r="DI462">
        <v>6.06</v>
      </c>
      <c r="DJ462"/>
      <c r="DK462"/>
      <c r="DL462">
        <v>39.9</v>
      </c>
      <c r="DM462">
        <v>100.5</v>
      </c>
      <c r="DN462" s="13"/>
      <c r="DP462" s="11">
        <v>2</v>
      </c>
      <c r="DR462" s="9">
        <v>2</v>
      </c>
    </row>
    <row r="463" spans="1:122" customFormat="1" x14ac:dyDescent="0.2">
      <c r="A463">
        <v>379</v>
      </c>
      <c r="B463" s="26">
        <v>43794</v>
      </c>
      <c r="C463" t="s">
        <v>95</v>
      </c>
      <c r="D463">
        <v>45</v>
      </c>
      <c r="E463" t="s">
        <v>96</v>
      </c>
      <c r="F463" s="26">
        <v>27192</v>
      </c>
      <c r="G463" t="s">
        <v>400</v>
      </c>
      <c r="H463" t="s">
        <v>4257</v>
      </c>
      <c r="I463" t="s">
        <v>162</v>
      </c>
      <c r="J463" t="s">
        <v>162</v>
      </c>
      <c r="K463">
        <v>2014</v>
      </c>
      <c r="L463">
        <v>4</v>
      </c>
      <c r="M463" t="s">
        <v>99</v>
      </c>
      <c r="N463" t="s">
        <v>99</v>
      </c>
      <c r="O463" t="s">
        <v>99</v>
      </c>
      <c r="P463" t="s">
        <v>99</v>
      </c>
      <c r="Q463" t="s">
        <v>1874</v>
      </c>
      <c r="R463" t="s">
        <v>162</v>
      </c>
      <c r="S463" t="s">
        <v>162</v>
      </c>
      <c r="T463" t="s">
        <v>162</v>
      </c>
      <c r="U463" t="s">
        <v>99</v>
      </c>
      <c r="V463" t="s">
        <v>99</v>
      </c>
      <c r="W463" t="s">
        <v>99</v>
      </c>
      <c r="X463" t="s">
        <v>162</v>
      </c>
      <c r="Y463" t="s">
        <v>162</v>
      </c>
      <c r="Z463" t="s">
        <v>162</v>
      </c>
      <c r="AA463" t="s">
        <v>96</v>
      </c>
      <c r="AB463" t="s">
        <v>96</v>
      </c>
      <c r="AC463" t="s">
        <v>96</v>
      </c>
      <c r="AD463" t="s">
        <v>96</v>
      </c>
      <c r="AE463" t="s">
        <v>1878</v>
      </c>
      <c r="AF463" t="s">
        <v>2013</v>
      </c>
      <c r="AG463" t="s">
        <v>99</v>
      </c>
      <c r="AH463" t="s">
        <v>99</v>
      </c>
      <c r="AI463" t="s">
        <v>99</v>
      </c>
      <c r="AJ463" t="s">
        <v>99</v>
      </c>
      <c r="AK463" t="s">
        <v>162</v>
      </c>
      <c r="AL463">
        <v>66.2</v>
      </c>
      <c r="AM463">
        <v>154</v>
      </c>
      <c r="AN463">
        <v>57</v>
      </c>
      <c r="AO463">
        <v>100</v>
      </c>
      <c r="AP463">
        <v>40.6</v>
      </c>
      <c r="AQ463">
        <v>8</v>
      </c>
      <c r="AR463">
        <v>25.7</v>
      </c>
      <c r="AS463">
        <v>56</v>
      </c>
      <c r="AT463">
        <v>27.9</v>
      </c>
      <c r="AU463" t="s">
        <v>4258</v>
      </c>
      <c r="AV463" t="s">
        <v>4259</v>
      </c>
      <c r="AX463" t="s">
        <v>4260</v>
      </c>
      <c r="AY463" t="s">
        <v>4261</v>
      </c>
      <c r="AZ463" t="s">
        <v>2038</v>
      </c>
      <c r="BB463" t="s">
        <v>171</v>
      </c>
      <c r="BC463" t="s">
        <v>4262</v>
      </c>
      <c r="BD463" t="s">
        <v>4263</v>
      </c>
      <c r="BF463" t="s">
        <v>4220</v>
      </c>
      <c r="BG463" t="s">
        <v>1368</v>
      </c>
      <c r="BH463" t="s">
        <v>1315</v>
      </c>
      <c r="BI463" t="s">
        <v>1368</v>
      </c>
      <c r="BJ463" t="s">
        <v>322</v>
      </c>
      <c r="BK463" t="s">
        <v>1315</v>
      </c>
      <c r="BM463" t="s">
        <v>322</v>
      </c>
      <c r="BN463" t="s">
        <v>1886</v>
      </c>
      <c r="BO463" t="s">
        <v>953</v>
      </c>
      <c r="BY463" t="s">
        <v>4220</v>
      </c>
      <c r="BZ463" t="s">
        <v>4264</v>
      </c>
      <c r="CA463" t="s">
        <v>1965</v>
      </c>
      <c r="CB463" t="s">
        <v>2030</v>
      </c>
      <c r="CL463" t="s">
        <v>1237</v>
      </c>
      <c r="CM463" t="s">
        <v>4198</v>
      </c>
      <c r="CN463" t="s">
        <v>1866</v>
      </c>
      <c r="CP463" t="s">
        <v>1054</v>
      </c>
      <c r="CQ463" t="s">
        <v>309</v>
      </c>
      <c r="CR463" t="s">
        <v>1796</v>
      </c>
      <c r="CT463" t="s">
        <v>1829</v>
      </c>
      <c r="CU463" t="s">
        <v>4265</v>
      </c>
      <c r="CV463" t="s">
        <v>4266</v>
      </c>
      <c r="CW463">
        <v>3</v>
      </c>
      <c r="CX463" t="s">
        <v>110</v>
      </c>
      <c r="CY463" t="s">
        <v>99</v>
      </c>
      <c r="CZ463">
        <v>30</v>
      </c>
      <c r="DA463">
        <v>40</v>
      </c>
      <c r="DB463">
        <v>30</v>
      </c>
      <c r="DC463">
        <v>73.3</v>
      </c>
      <c r="DD463">
        <v>0.51</v>
      </c>
      <c r="DE463">
        <v>197</v>
      </c>
      <c r="DF463">
        <v>76</v>
      </c>
      <c r="DG463" s="9">
        <f t="shared" si="7"/>
        <v>4.3126469745894687</v>
      </c>
      <c r="DH463">
        <v>15.2</v>
      </c>
      <c r="DI463">
        <v>4.62</v>
      </c>
      <c r="DL463">
        <v>61.3</v>
      </c>
      <c r="DM463">
        <v>120.5</v>
      </c>
    </row>
    <row r="464" spans="1:122" x14ac:dyDescent="0.2">
      <c r="A464" s="9" t="s">
        <v>4267</v>
      </c>
      <c r="B464" s="21">
        <v>43630</v>
      </c>
      <c r="C464" s="20" t="s">
        <v>95</v>
      </c>
      <c r="D464" s="20">
        <v>53</v>
      </c>
      <c r="E464" s="20" t="s">
        <v>100</v>
      </c>
      <c r="F464" s="51">
        <v>24007</v>
      </c>
      <c r="G464" s="20" t="s">
        <v>4268</v>
      </c>
      <c r="H464" s="20" t="s">
        <v>4269</v>
      </c>
      <c r="I464" s="20" t="s">
        <v>4270</v>
      </c>
      <c r="J464" s="20" t="s">
        <v>1543</v>
      </c>
      <c r="K464" s="20" t="s">
        <v>1608</v>
      </c>
      <c r="L464" s="20">
        <v>3</v>
      </c>
      <c r="M464" s="20" t="s">
        <v>4271</v>
      </c>
      <c r="N464" s="20" t="s">
        <v>99</v>
      </c>
      <c r="O464" s="20" t="s">
        <v>99</v>
      </c>
      <c r="P464" s="20" t="s">
        <v>99</v>
      </c>
      <c r="Q464" s="20" t="s">
        <v>99</v>
      </c>
      <c r="R464" s="20" t="s">
        <v>162</v>
      </c>
      <c r="S464" s="20" t="s">
        <v>99</v>
      </c>
      <c r="T464" s="20" t="s">
        <v>99</v>
      </c>
      <c r="U464" s="20" t="s">
        <v>162</v>
      </c>
      <c r="V464" s="20" t="s">
        <v>162</v>
      </c>
      <c r="W464" s="20" t="s">
        <v>162</v>
      </c>
      <c r="X464" s="20" t="s">
        <v>162</v>
      </c>
      <c r="Y464" s="20" t="s">
        <v>402</v>
      </c>
      <c r="Z464" s="20"/>
      <c r="AA464" s="123" t="s">
        <v>1738</v>
      </c>
      <c r="AB464" s="123" t="s">
        <v>1738</v>
      </c>
      <c r="AC464" s="123" t="s">
        <v>1738</v>
      </c>
      <c r="AD464" s="123" t="s">
        <v>1738</v>
      </c>
      <c r="AE464" s="20" t="s">
        <v>99</v>
      </c>
      <c r="AF464" s="20" t="s">
        <v>99</v>
      </c>
      <c r="AG464" s="20" t="s">
        <v>99</v>
      </c>
      <c r="AH464" s="20" t="s">
        <v>4272</v>
      </c>
      <c r="AI464" s="20" t="s">
        <v>99</v>
      </c>
      <c r="AJ464" s="20" t="s">
        <v>99</v>
      </c>
      <c r="AK464" s="20" t="s">
        <v>162</v>
      </c>
      <c r="AL464" s="20" t="s">
        <v>4273</v>
      </c>
      <c r="AM464" s="20">
        <v>167</v>
      </c>
      <c r="AN464" s="20">
        <v>101</v>
      </c>
      <c r="AO464" s="20">
        <v>114</v>
      </c>
      <c r="AP464" s="20" t="s">
        <v>4274</v>
      </c>
      <c r="AQ464" s="20">
        <v>10</v>
      </c>
      <c r="AR464" s="20" t="s">
        <v>4275</v>
      </c>
      <c r="AS464" s="20">
        <v>63</v>
      </c>
      <c r="AT464" s="20" t="s">
        <v>4276</v>
      </c>
      <c r="AU464" s="20">
        <v>113</v>
      </c>
      <c r="AV464" s="20">
        <v>82</v>
      </c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G464" s="9" t="e">
        <f t="shared" si="7"/>
        <v>#NUM!</v>
      </c>
      <c r="DP464" s="11">
        <v>3</v>
      </c>
      <c r="DR464" s="9">
        <v>3</v>
      </c>
    </row>
    <row r="465" spans="1:125" x14ac:dyDescent="0.2">
      <c r="A465" s="14" t="s">
        <v>4277</v>
      </c>
      <c r="B465" s="21">
        <v>43630</v>
      </c>
      <c r="C465" s="20" t="s">
        <v>95</v>
      </c>
      <c r="D465" s="20">
        <v>57</v>
      </c>
      <c r="E465" s="20" t="s">
        <v>162</v>
      </c>
      <c r="F465" s="51">
        <v>22107</v>
      </c>
      <c r="G465" s="20" t="s">
        <v>3950</v>
      </c>
      <c r="H465" s="20" t="s">
        <v>162</v>
      </c>
      <c r="I465" s="20" t="s">
        <v>3596</v>
      </c>
      <c r="J465" s="20" t="s">
        <v>4278</v>
      </c>
      <c r="K465" s="20" t="s">
        <v>4279</v>
      </c>
      <c r="L465" s="20">
        <v>3</v>
      </c>
      <c r="M465" s="20" t="s">
        <v>4280</v>
      </c>
      <c r="N465" s="20" t="s">
        <v>4281</v>
      </c>
      <c r="O465" s="20" t="s">
        <v>162</v>
      </c>
      <c r="P465" s="20" t="s">
        <v>4282</v>
      </c>
      <c r="Q465" s="20" t="s">
        <v>99</v>
      </c>
      <c r="R465" s="20" t="s">
        <v>110</v>
      </c>
      <c r="S465" s="20" t="s">
        <v>162</v>
      </c>
      <c r="T465" s="20" t="s">
        <v>162</v>
      </c>
      <c r="U465" s="20" t="s">
        <v>4283</v>
      </c>
      <c r="V465" s="20" t="s">
        <v>162</v>
      </c>
      <c r="W465" s="20" t="s">
        <v>162</v>
      </c>
      <c r="X465" s="20" t="s">
        <v>162</v>
      </c>
      <c r="Y465" s="20"/>
      <c r="Z465" s="20" t="s">
        <v>4284</v>
      </c>
      <c r="AA465" s="124" t="s">
        <v>840</v>
      </c>
      <c r="AB465" s="20" t="s">
        <v>100</v>
      </c>
      <c r="AC465" s="124" t="s">
        <v>840</v>
      </c>
      <c r="AD465" s="20" t="s">
        <v>96</v>
      </c>
      <c r="AE465" s="20" t="s">
        <v>1127</v>
      </c>
      <c r="AF465" s="20" t="s">
        <v>1127</v>
      </c>
      <c r="AG465" s="20" t="s">
        <v>162</v>
      </c>
      <c r="AH465" s="20" t="s">
        <v>162</v>
      </c>
      <c r="AI465" s="20" t="s">
        <v>162</v>
      </c>
      <c r="AJ465" s="20" t="s">
        <v>162</v>
      </c>
      <c r="AK465" s="20" t="s">
        <v>4285</v>
      </c>
      <c r="AL465" s="20" t="s">
        <v>4286</v>
      </c>
      <c r="AM465" s="20" t="s">
        <v>162</v>
      </c>
      <c r="AN465" s="20">
        <v>102</v>
      </c>
      <c r="AO465" s="20">
        <v>120</v>
      </c>
      <c r="AP465" s="20" t="s">
        <v>4287</v>
      </c>
      <c r="AQ465" s="20" t="s">
        <v>162</v>
      </c>
      <c r="AR465" s="20" t="s">
        <v>4288</v>
      </c>
      <c r="AS465" s="20">
        <v>65</v>
      </c>
      <c r="AT465" s="20"/>
      <c r="AU465" s="20">
        <v>105</v>
      </c>
      <c r="AV465" s="20">
        <v>71</v>
      </c>
      <c r="AW465" s="20"/>
      <c r="AX465" s="20" t="s">
        <v>4289</v>
      </c>
      <c r="AY465" s="20" t="s">
        <v>919</v>
      </c>
      <c r="AZ465" s="20"/>
      <c r="BA465" s="20"/>
      <c r="BB465" s="20"/>
      <c r="BC465" s="20"/>
      <c r="BD465" s="20"/>
      <c r="BE465" s="20"/>
      <c r="BF465" s="20" t="s">
        <v>4290</v>
      </c>
      <c r="BG465" s="20" t="s">
        <v>323</v>
      </c>
      <c r="BH465" s="20" t="s">
        <v>323</v>
      </c>
      <c r="BI465" s="20" t="s">
        <v>635</v>
      </c>
      <c r="BJ465" s="20" t="s">
        <v>162</v>
      </c>
      <c r="BK465" s="20" t="s">
        <v>323</v>
      </c>
      <c r="BL465" s="20"/>
      <c r="BM465" s="20"/>
      <c r="BN465" s="20" t="s">
        <v>1293</v>
      </c>
      <c r="BO465" s="20" t="s">
        <v>1021</v>
      </c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 t="s">
        <v>4291</v>
      </c>
      <c r="CA465" s="20" t="s">
        <v>4292</v>
      </c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 t="s">
        <v>435</v>
      </c>
      <c r="CU465" s="20"/>
      <c r="CV465" s="20"/>
      <c r="CW465" s="20">
        <v>3</v>
      </c>
      <c r="CX465" s="20"/>
      <c r="CY465" s="20" t="s">
        <v>99</v>
      </c>
      <c r="CZ465" s="20">
        <v>30</v>
      </c>
      <c r="DA465" s="20">
        <v>30</v>
      </c>
      <c r="DB465" s="20">
        <v>34</v>
      </c>
      <c r="DG465" s="9" t="e">
        <f t="shared" si="7"/>
        <v>#NUM!</v>
      </c>
      <c r="DP465" s="11">
        <v>3</v>
      </c>
      <c r="DQ465" s="9">
        <v>3</v>
      </c>
      <c r="DR465" s="9">
        <v>3</v>
      </c>
      <c r="DT465" s="9">
        <v>12.4</v>
      </c>
      <c r="DU465" s="9">
        <v>6</v>
      </c>
    </row>
    <row r="466" spans="1:125" x14ac:dyDescent="0.2">
      <c r="A466" s="9" t="s">
        <v>4293</v>
      </c>
      <c r="B466" s="21">
        <v>43630</v>
      </c>
      <c r="C466" s="20" t="s">
        <v>3645</v>
      </c>
      <c r="D466" s="20">
        <v>46</v>
      </c>
      <c r="E466" s="20" t="s">
        <v>100</v>
      </c>
      <c r="F466" s="51">
        <v>26609</v>
      </c>
      <c r="G466" s="20" t="s">
        <v>2088</v>
      </c>
      <c r="H466" s="20" t="s">
        <v>4294</v>
      </c>
      <c r="I466" s="20" t="s">
        <v>4295</v>
      </c>
      <c r="J466" s="20"/>
      <c r="K466" s="20">
        <v>2008</v>
      </c>
      <c r="L466" s="20">
        <v>2</v>
      </c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 t="s">
        <v>3535</v>
      </c>
      <c r="AB466" s="20"/>
      <c r="AC466" s="20" t="s">
        <v>3535</v>
      </c>
      <c r="AD466" s="20"/>
      <c r="AE466" s="20" t="s">
        <v>4296</v>
      </c>
      <c r="AF466" s="20"/>
      <c r="AG466" s="20"/>
      <c r="AH466" s="20"/>
      <c r="AI466" s="20"/>
      <c r="AJ466" s="20"/>
      <c r="AK466" s="20"/>
      <c r="AL466" s="20">
        <v>75</v>
      </c>
      <c r="AM466" s="20">
        <v>160</v>
      </c>
      <c r="AN466" s="20">
        <v>93</v>
      </c>
      <c r="AO466" s="20">
        <v>110</v>
      </c>
      <c r="AP466" s="20" t="s">
        <v>4297</v>
      </c>
      <c r="AQ466" s="22" t="s">
        <v>4274</v>
      </c>
      <c r="AR466" s="20" t="s">
        <v>4189</v>
      </c>
      <c r="AS466" s="20">
        <v>57</v>
      </c>
      <c r="AT466" s="20" t="s">
        <v>4297</v>
      </c>
      <c r="AU466" s="20">
        <v>117</v>
      </c>
      <c r="AV466" s="20">
        <v>76</v>
      </c>
      <c r="AW466" s="20"/>
      <c r="AX466" s="20" t="s">
        <v>4298</v>
      </c>
      <c r="AY466" s="20" t="s">
        <v>4299</v>
      </c>
      <c r="AZ466" s="20"/>
      <c r="BA466" s="20"/>
      <c r="BB466" s="20" t="s">
        <v>4300</v>
      </c>
      <c r="BC466" s="20"/>
      <c r="BD466" s="20"/>
      <c r="BE466" s="20"/>
      <c r="BF466" s="20" t="s">
        <v>1897</v>
      </c>
      <c r="BG466" s="20" t="s">
        <v>4301</v>
      </c>
      <c r="BH466" s="20" t="s">
        <v>4300</v>
      </c>
      <c r="BI466" s="20" t="s">
        <v>4302</v>
      </c>
      <c r="BJ466" s="20" t="s">
        <v>635</v>
      </c>
      <c r="BK466" s="20" t="s">
        <v>4303</v>
      </c>
      <c r="BL466" s="20"/>
      <c r="BM466" s="20"/>
      <c r="BN466" s="20" t="s">
        <v>4304</v>
      </c>
      <c r="BO466" s="20" t="s">
        <v>4305</v>
      </c>
      <c r="BP466" s="20"/>
      <c r="BQ466" s="20"/>
      <c r="BR466" s="20" t="s">
        <v>1818</v>
      </c>
      <c r="BS466" s="20"/>
      <c r="BT466" s="20"/>
      <c r="BU466" s="20"/>
      <c r="BV466" s="20"/>
      <c r="BW466" s="20"/>
      <c r="BX466" s="20"/>
      <c r="BY466" s="20"/>
      <c r="BZ466" s="20" t="s">
        <v>1529</v>
      </c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 t="s">
        <v>4306</v>
      </c>
      <c r="CM466" s="20"/>
      <c r="CN466" s="20"/>
      <c r="CO466" s="20"/>
      <c r="CP466" s="20" t="s">
        <v>4307</v>
      </c>
      <c r="CQ466" s="20"/>
      <c r="CR466" s="20"/>
      <c r="CS466" s="20"/>
      <c r="CT466" s="22" t="s">
        <v>99</v>
      </c>
      <c r="CU466" s="20" t="s">
        <v>1237</v>
      </c>
      <c r="CV466" s="20"/>
      <c r="CW466" s="20">
        <v>2</v>
      </c>
      <c r="CX466" s="20" t="s">
        <v>110</v>
      </c>
      <c r="CY466" s="20" t="s">
        <v>99</v>
      </c>
      <c r="CZ466" s="20"/>
      <c r="DA466" s="20"/>
      <c r="DB466" s="20"/>
      <c r="DG466" s="9" t="e">
        <f t="shared" si="7"/>
        <v>#NUM!</v>
      </c>
      <c r="DP466" s="11">
        <v>3</v>
      </c>
      <c r="DR466" s="9">
        <v>2</v>
      </c>
    </row>
    <row r="467" spans="1:125" x14ac:dyDescent="0.2">
      <c r="A467" s="9" t="s">
        <v>4308</v>
      </c>
      <c r="B467" s="21">
        <v>43630</v>
      </c>
      <c r="C467" s="20" t="s">
        <v>107</v>
      </c>
      <c r="D467" s="20">
        <v>29</v>
      </c>
      <c r="E467" s="20" t="s">
        <v>100</v>
      </c>
      <c r="F467" s="51">
        <v>32847</v>
      </c>
      <c r="G467" s="20" t="s">
        <v>4309</v>
      </c>
      <c r="H467" s="20" t="s">
        <v>4310</v>
      </c>
      <c r="I467" s="20"/>
      <c r="J467" s="20"/>
      <c r="K467" s="20"/>
      <c r="L467" s="20"/>
      <c r="M467" s="20" t="s">
        <v>99</v>
      </c>
      <c r="N467" s="20" t="s">
        <v>99</v>
      </c>
      <c r="O467" s="20" t="s">
        <v>99</v>
      </c>
      <c r="P467" s="20" t="s">
        <v>4311</v>
      </c>
      <c r="Q467" s="20" t="s">
        <v>4312</v>
      </c>
      <c r="R467" s="20" t="s">
        <v>110</v>
      </c>
      <c r="S467" s="20" t="s">
        <v>162</v>
      </c>
      <c r="T467" s="20" t="s">
        <v>162</v>
      </c>
      <c r="U467" s="20" t="s">
        <v>4313</v>
      </c>
      <c r="V467" s="20" t="s">
        <v>99</v>
      </c>
      <c r="W467" s="20" t="s">
        <v>162</v>
      </c>
      <c r="X467" s="20" t="s">
        <v>162</v>
      </c>
      <c r="Y467" s="20" t="s">
        <v>162</v>
      </c>
      <c r="Z467" s="20" t="s">
        <v>162</v>
      </c>
      <c r="AA467" s="20" t="s">
        <v>96</v>
      </c>
      <c r="AB467" s="20" t="s">
        <v>100</v>
      </c>
      <c r="AC467" s="20" t="s">
        <v>100</v>
      </c>
      <c r="AD467" s="20" t="s">
        <v>96</v>
      </c>
      <c r="AE467" s="20" t="s">
        <v>4314</v>
      </c>
      <c r="AF467" s="20" t="s">
        <v>99</v>
      </c>
      <c r="AG467" s="20" t="s">
        <v>99</v>
      </c>
      <c r="AH467" s="20" t="s">
        <v>99</v>
      </c>
      <c r="AI467" s="20" t="s">
        <v>99</v>
      </c>
      <c r="AJ467" s="20" t="s">
        <v>99</v>
      </c>
      <c r="AK467" s="20" t="s">
        <v>99</v>
      </c>
      <c r="AL467" s="20" t="s">
        <v>4315</v>
      </c>
      <c r="AM467" s="20">
        <v>170</v>
      </c>
      <c r="AN467" s="20">
        <v>102</v>
      </c>
      <c r="AO467" s="20">
        <v>110</v>
      </c>
      <c r="AP467" s="20" t="s">
        <v>4316</v>
      </c>
      <c r="AQ467" s="20">
        <v>15</v>
      </c>
      <c r="AR467" s="20">
        <v>29</v>
      </c>
      <c r="AS467" s="20">
        <v>60</v>
      </c>
      <c r="AT467" s="20" t="s">
        <v>4317</v>
      </c>
      <c r="AU467" s="20">
        <v>99</v>
      </c>
      <c r="AV467" s="20">
        <v>66</v>
      </c>
      <c r="AW467" s="20" t="s">
        <v>176</v>
      </c>
      <c r="AX467" s="20" t="s">
        <v>729</v>
      </c>
      <c r="AY467" s="20" t="s">
        <v>2566</v>
      </c>
      <c r="AZ467" s="20"/>
      <c r="BA467" s="20"/>
      <c r="BB467" s="20" t="s">
        <v>750</v>
      </c>
      <c r="BC467" s="20" t="s">
        <v>749</v>
      </c>
      <c r="BD467" s="20"/>
      <c r="BE467" s="20"/>
      <c r="BF467" s="20" t="s">
        <v>4318</v>
      </c>
      <c r="BG467" s="20" t="s">
        <v>4319</v>
      </c>
      <c r="BH467" s="20" t="s">
        <v>4320</v>
      </c>
      <c r="BI467" s="20" t="s">
        <v>4321</v>
      </c>
      <c r="BJ467" s="20" t="s">
        <v>4322</v>
      </c>
      <c r="BK467" s="20" t="s">
        <v>4323</v>
      </c>
      <c r="BL467" s="20"/>
      <c r="BM467" s="20"/>
      <c r="BN467" s="20" t="s">
        <v>1664</v>
      </c>
      <c r="BO467" s="20" t="s">
        <v>2534</v>
      </c>
      <c r="BP467" s="20" t="s">
        <v>179</v>
      </c>
      <c r="BQ467" s="20"/>
      <c r="BR467" s="20"/>
      <c r="BS467" s="20"/>
      <c r="BT467" s="20"/>
      <c r="BU467" s="20"/>
      <c r="BV467" s="20"/>
      <c r="BW467" s="20"/>
      <c r="BX467" s="20"/>
      <c r="BY467" s="20" t="s">
        <v>1229</v>
      </c>
      <c r="BZ467" s="20" t="s">
        <v>182</v>
      </c>
      <c r="CA467" s="20" t="s">
        <v>577</v>
      </c>
      <c r="CB467" s="20" t="s">
        <v>183</v>
      </c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 t="s">
        <v>4324</v>
      </c>
      <c r="CX467" s="20"/>
      <c r="CY467" s="20" t="s">
        <v>4325</v>
      </c>
      <c r="CZ467" s="20"/>
      <c r="DA467" s="20"/>
      <c r="DB467" s="20"/>
      <c r="DG467" s="9" t="e">
        <f t="shared" si="7"/>
        <v>#NUM!</v>
      </c>
      <c r="DP467" s="11">
        <v>3</v>
      </c>
      <c r="DQ467" s="9">
        <v>2</v>
      </c>
      <c r="DR467" s="9">
        <v>1</v>
      </c>
    </row>
    <row r="468" spans="1:125" x14ac:dyDescent="0.2">
      <c r="A468" s="9" t="s">
        <v>4326</v>
      </c>
      <c r="B468" s="21">
        <v>43630</v>
      </c>
      <c r="C468" s="20" t="s">
        <v>95</v>
      </c>
      <c r="D468" s="20">
        <v>60</v>
      </c>
      <c r="E468" s="20" t="s">
        <v>1123</v>
      </c>
      <c r="F468" s="51">
        <v>21708</v>
      </c>
      <c r="G468" s="20" t="s">
        <v>3950</v>
      </c>
      <c r="H468" s="20" t="s">
        <v>4327</v>
      </c>
      <c r="I468" s="20" t="s">
        <v>1321</v>
      </c>
      <c r="J468" s="20" t="s">
        <v>4328</v>
      </c>
      <c r="K468" s="51">
        <v>30826</v>
      </c>
      <c r="L468" s="20">
        <v>2</v>
      </c>
      <c r="M468" s="20" t="s">
        <v>99</v>
      </c>
      <c r="N468" s="20" t="s">
        <v>99</v>
      </c>
      <c r="O468" s="20" t="s">
        <v>99</v>
      </c>
      <c r="P468" s="20" t="s">
        <v>99</v>
      </c>
      <c r="Q468" s="20" t="s">
        <v>99</v>
      </c>
      <c r="R468" s="20" t="s">
        <v>110</v>
      </c>
      <c r="S468" s="20" t="s">
        <v>99</v>
      </c>
      <c r="T468" s="20" t="s">
        <v>99</v>
      </c>
      <c r="U468" s="20" t="s">
        <v>99</v>
      </c>
      <c r="V468" s="20" t="s">
        <v>99</v>
      </c>
      <c r="W468" s="20" t="s">
        <v>99</v>
      </c>
      <c r="X468" s="20" t="s">
        <v>99</v>
      </c>
      <c r="Y468" s="20" t="s">
        <v>162</v>
      </c>
      <c r="Z468" s="20" t="s">
        <v>162</v>
      </c>
      <c r="AA468" s="123" t="s">
        <v>203</v>
      </c>
      <c r="AB468" s="123" t="s">
        <v>203</v>
      </c>
      <c r="AC468" s="123" t="s">
        <v>203</v>
      </c>
      <c r="AD468" s="123" t="s">
        <v>203</v>
      </c>
      <c r="AE468" s="20" t="s">
        <v>99</v>
      </c>
      <c r="AF468" s="20" t="s">
        <v>99</v>
      </c>
      <c r="AG468" s="22" t="s">
        <v>2289</v>
      </c>
      <c r="AH468" s="20" t="s">
        <v>99</v>
      </c>
      <c r="AI468" s="20" t="s">
        <v>99</v>
      </c>
      <c r="AJ468" s="20" t="s">
        <v>99</v>
      </c>
      <c r="AK468" s="22" t="s">
        <v>1391</v>
      </c>
      <c r="AL468" s="20" t="s">
        <v>4329</v>
      </c>
      <c r="AM468" s="20">
        <v>170</v>
      </c>
      <c r="AN468" s="20">
        <v>102</v>
      </c>
      <c r="AO468" s="20">
        <v>112</v>
      </c>
      <c r="AP468" s="20" t="s">
        <v>4330</v>
      </c>
      <c r="AQ468" s="20">
        <v>8</v>
      </c>
      <c r="AR468" s="20" t="s">
        <v>4331</v>
      </c>
      <c r="AS468" s="20">
        <v>56</v>
      </c>
      <c r="AT468" s="20" t="s">
        <v>4332</v>
      </c>
      <c r="AU468" s="20">
        <v>91</v>
      </c>
      <c r="AV468" s="20">
        <v>67</v>
      </c>
      <c r="AW468" s="20"/>
      <c r="AX468" s="20" t="s">
        <v>4333</v>
      </c>
      <c r="AY468" s="20" t="s">
        <v>4334</v>
      </c>
      <c r="AZ468" s="20" t="s">
        <v>4335</v>
      </c>
      <c r="BA468" s="20"/>
      <c r="BB468" s="20" t="s">
        <v>750</v>
      </c>
      <c r="BC468" s="20" t="s">
        <v>1725</v>
      </c>
      <c r="BD468" s="20"/>
      <c r="BE468" s="20"/>
      <c r="BF468" s="20" t="s">
        <v>4336</v>
      </c>
      <c r="BG468" s="20">
        <v>1</v>
      </c>
      <c r="BH468" s="20" t="s">
        <v>99</v>
      </c>
      <c r="BI468" s="20" t="s">
        <v>99</v>
      </c>
      <c r="BJ468" s="20" t="s">
        <v>4337</v>
      </c>
      <c r="BK468" s="20" t="s">
        <v>4338</v>
      </c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 t="s">
        <v>4339</v>
      </c>
      <c r="CM468" s="20" t="s">
        <v>1181</v>
      </c>
      <c r="CN468" s="20"/>
      <c r="CO468" s="20"/>
      <c r="CP468" s="20" t="s">
        <v>361</v>
      </c>
      <c r="CQ468" s="20"/>
      <c r="CR468" s="20"/>
      <c r="CS468" s="20"/>
      <c r="CT468" s="20" t="s">
        <v>99</v>
      </c>
      <c r="CU468" s="20"/>
      <c r="CV468" s="20"/>
      <c r="CW468" s="20">
        <v>5</v>
      </c>
      <c r="CX468" s="20" t="s">
        <v>110</v>
      </c>
      <c r="CY468" s="20" t="s">
        <v>110</v>
      </c>
      <c r="CZ468" s="20"/>
      <c r="DA468" s="20"/>
      <c r="DB468" s="20"/>
      <c r="DG468" s="9" t="e">
        <f t="shared" si="7"/>
        <v>#NUM!</v>
      </c>
      <c r="DP468" s="11">
        <v>3</v>
      </c>
    </row>
    <row r="469" spans="1:125" x14ac:dyDescent="0.2">
      <c r="A469" s="9" t="s">
        <v>4340</v>
      </c>
      <c r="B469" s="21">
        <v>43630</v>
      </c>
      <c r="C469" s="20" t="s">
        <v>95</v>
      </c>
      <c r="D469" s="20">
        <v>34</v>
      </c>
      <c r="E469" s="20" t="s">
        <v>96</v>
      </c>
      <c r="F469" s="51">
        <v>31142</v>
      </c>
      <c r="G469" s="20" t="s">
        <v>4341</v>
      </c>
      <c r="H469" s="20" t="s">
        <v>4342</v>
      </c>
      <c r="I469" s="20" t="s">
        <v>3596</v>
      </c>
      <c r="J469" s="20"/>
      <c r="K469" s="25">
        <v>43009</v>
      </c>
      <c r="L469" s="20">
        <v>4</v>
      </c>
      <c r="M469" s="20" t="s">
        <v>99</v>
      </c>
      <c r="N469" s="20" t="s">
        <v>99</v>
      </c>
      <c r="O469" s="20" t="s">
        <v>99</v>
      </c>
      <c r="P469" s="20" t="s">
        <v>4343</v>
      </c>
      <c r="Q469" s="20" t="s">
        <v>4344</v>
      </c>
      <c r="R469" s="20" t="s">
        <v>110</v>
      </c>
      <c r="S469" s="20" t="s">
        <v>99</v>
      </c>
      <c r="T469" s="20" t="s">
        <v>99</v>
      </c>
      <c r="U469" s="20" t="s">
        <v>4345</v>
      </c>
      <c r="V469" s="20" t="s">
        <v>4346</v>
      </c>
      <c r="W469" s="20" t="s">
        <v>99</v>
      </c>
      <c r="X469" s="20" t="s">
        <v>99</v>
      </c>
      <c r="Y469" s="20" t="s">
        <v>162</v>
      </c>
      <c r="Z469" s="20" t="s">
        <v>162</v>
      </c>
      <c r="AA469" s="20" t="s">
        <v>96</v>
      </c>
      <c r="AB469" s="20" t="s">
        <v>96</v>
      </c>
      <c r="AC469" s="20" t="s">
        <v>96</v>
      </c>
      <c r="AD469" s="20" t="s">
        <v>96</v>
      </c>
      <c r="AE469" s="20" t="s">
        <v>99</v>
      </c>
      <c r="AF469" s="20" t="s">
        <v>99</v>
      </c>
      <c r="AG469" s="20" t="s">
        <v>4347</v>
      </c>
      <c r="AH469" s="20" t="s">
        <v>99</v>
      </c>
      <c r="AI469" s="20" t="s">
        <v>99</v>
      </c>
      <c r="AJ469" s="20" t="s">
        <v>99</v>
      </c>
      <c r="AK469" s="20" t="s">
        <v>99</v>
      </c>
      <c r="AL469" s="20" t="s">
        <v>4348</v>
      </c>
      <c r="AM469" s="20">
        <v>164</v>
      </c>
      <c r="AN469" s="20">
        <v>74</v>
      </c>
      <c r="AO469" s="20">
        <v>97</v>
      </c>
      <c r="AP469" s="20" t="s">
        <v>4349</v>
      </c>
      <c r="AQ469" s="20">
        <v>5</v>
      </c>
      <c r="AR469" s="20">
        <v>23</v>
      </c>
      <c r="AS469" s="20">
        <v>29</v>
      </c>
      <c r="AT469" s="20" t="s">
        <v>4350</v>
      </c>
      <c r="AU469" s="20">
        <v>101</v>
      </c>
      <c r="AV469" s="20">
        <v>73</v>
      </c>
      <c r="AW469" s="20"/>
      <c r="AX469" s="20" t="s">
        <v>4351</v>
      </c>
      <c r="AY469" s="20" t="s">
        <v>4352</v>
      </c>
      <c r="AZ469" s="20" t="s">
        <v>4353</v>
      </c>
      <c r="BA469" s="20"/>
      <c r="BB469" s="20" t="s">
        <v>4354</v>
      </c>
      <c r="BC469" s="20" t="s">
        <v>4355</v>
      </c>
      <c r="BD469" s="20" t="s">
        <v>4356</v>
      </c>
      <c r="BE469" s="20"/>
      <c r="BF469" s="20" t="s">
        <v>2039</v>
      </c>
      <c r="BG469" s="20" t="s">
        <v>1368</v>
      </c>
      <c r="BH469" s="20" t="s">
        <v>4357</v>
      </c>
      <c r="BI469" s="20" t="s">
        <v>4358</v>
      </c>
      <c r="BJ469" s="20" t="s">
        <v>4359</v>
      </c>
      <c r="BK469" s="20" t="s">
        <v>4360</v>
      </c>
      <c r="BL469" s="20"/>
      <c r="BM469" s="20"/>
      <c r="BN469" s="20" t="s">
        <v>4361</v>
      </c>
      <c r="BO469" s="20" t="s">
        <v>327</v>
      </c>
      <c r="BP469" s="20" t="s">
        <v>4362</v>
      </c>
      <c r="BQ469" s="20" t="s">
        <v>99</v>
      </c>
      <c r="BR469" s="20"/>
      <c r="BS469" s="20"/>
      <c r="BT469" s="20"/>
      <c r="BU469" s="20" t="s">
        <v>4363</v>
      </c>
      <c r="BV469" s="20"/>
      <c r="BW469" s="20"/>
      <c r="BX469" s="20"/>
      <c r="BY469" s="20"/>
      <c r="BZ469" s="20" t="s">
        <v>752</v>
      </c>
      <c r="CA469" s="20" t="s">
        <v>859</v>
      </c>
      <c r="CB469" s="20" t="s">
        <v>183</v>
      </c>
      <c r="CC469" s="20" t="s">
        <v>99</v>
      </c>
      <c r="CD469" s="20"/>
      <c r="CE469" s="20"/>
      <c r="CF469" s="20"/>
      <c r="CG469" s="20"/>
      <c r="CH469" s="20" t="s">
        <v>4364</v>
      </c>
      <c r="CI469" s="20"/>
      <c r="CJ469" s="20"/>
      <c r="CK469" s="20"/>
      <c r="CL469" s="20" t="s">
        <v>4365</v>
      </c>
      <c r="CM469" s="20" t="s">
        <v>4366</v>
      </c>
      <c r="CN469" s="20"/>
      <c r="CO469" s="20"/>
      <c r="CP469" s="20" t="s">
        <v>309</v>
      </c>
      <c r="CQ469" s="20"/>
      <c r="CR469" s="20"/>
      <c r="CS469" s="20"/>
      <c r="CT469" s="20" t="s">
        <v>4367</v>
      </c>
      <c r="CU469" s="20" t="s">
        <v>1437</v>
      </c>
      <c r="CV469" s="20"/>
      <c r="CW469" s="20">
        <v>3</v>
      </c>
      <c r="CX469" s="20" t="s">
        <v>99</v>
      </c>
      <c r="CY469" s="20" t="s">
        <v>99</v>
      </c>
      <c r="CZ469" s="20">
        <v>20</v>
      </c>
      <c r="DA469" s="20">
        <v>25</v>
      </c>
      <c r="DB469" s="20">
        <v>40</v>
      </c>
      <c r="DG469" s="9" t="e">
        <f t="shared" si="7"/>
        <v>#NUM!</v>
      </c>
      <c r="DP469" s="11">
        <v>3</v>
      </c>
      <c r="DQ469" s="9">
        <v>2</v>
      </c>
      <c r="DR469" s="30">
        <v>1</v>
      </c>
    </row>
    <row r="470" spans="1:125" x14ac:dyDescent="0.2">
      <c r="A470" s="9" t="s">
        <v>4368</v>
      </c>
      <c r="B470" s="21">
        <v>43625</v>
      </c>
      <c r="C470" s="20" t="s">
        <v>675</v>
      </c>
      <c r="D470" s="20">
        <v>56</v>
      </c>
      <c r="E470" s="123" t="s">
        <v>3956</v>
      </c>
      <c r="F470" s="51">
        <v>23149</v>
      </c>
      <c r="G470" s="20" t="s">
        <v>3950</v>
      </c>
      <c r="H470" s="20" t="s">
        <v>4369</v>
      </c>
      <c r="I470" s="20"/>
      <c r="J470" s="20"/>
      <c r="K470" s="20"/>
      <c r="L470" s="20"/>
      <c r="M470" s="20" t="s">
        <v>99</v>
      </c>
      <c r="N470" s="20" t="s">
        <v>4370</v>
      </c>
      <c r="O470" s="20" t="s">
        <v>162</v>
      </c>
      <c r="P470" s="20" t="s">
        <v>99</v>
      </c>
      <c r="Q470" s="20" t="s">
        <v>4371</v>
      </c>
      <c r="R470" s="20" t="s">
        <v>110</v>
      </c>
      <c r="S470" s="20" t="s">
        <v>162</v>
      </c>
      <c r="T470" s="20" t="s">
        <v>162</v>
      </c>
      <c r="U470" s="20" t="s">
        <v>162</v>
      </c>
      <c r="V470" s="20" t="s">
        <v>162</v>
      </c>
      <c r="W470" s="20" t="s">
        <v>162</v>
      </c>
      <c r="X470" s="20" t="s">
        <v>162</v>
      </c>
      <c r="Y470" s="20" t="s">
        <v>162</v>
      </c>
      <c r="Z470" s="20"/>
      <c r="AA470" s="20" t="s">
        <v>605</v>
      </c>
      <c r="AB470" s="123" t="s">
        <v>4372</v>
      </c>
      <c r="AC470" s="20" t="s">
        <v>605</v>
      </c>
      <c r="AD470" s="123" t="s">
        <v>3966</v>
      </c>
      <c r="AE470" s="20" t="s">
        <v>99</v>
      </c>
      <c r="AF470" s="20" t="s">
        <v>4373</v>
      </c>
      <c r="AG470" s="20" t="s">
        <v>4373</v>
      </c>
      <c r="AH470" s="20" t="s">
        <v>4373</v>
      </c>
      <c r="AI470" s="20" t="s">
        <v>4374</v>
      </c>
      <c r="AJ470" s="20" t="s">
        <v>99</v>
      </c>
      <c r="AK470" s="20" t="s">
        <v>99</v>
      </c>
      <c r="AL470" s="20" t="s">
        <v>4375</v>
      </c>
      <c r="AM470" s="20">
        <v>179</v>
      </c>
      <c r="AN470" s="20">
        <v>108</v>
      </c>
      <c r="AO470" s="20">
        <v>121</v>
      </c>
      <c r="AP470" s="20" t="s">
        <v>4376</v>
      </c>
      <c r="AQ470" s="20">
        <v>18</v>
      </c>
      <c r="AR470" s="20" t="s">
        <v>4377</v>
      </c>
      <c r="AS470" s="20">
        <v>76</v>
      </c>
      <c r="AT470" s="20" t="s">
        <v>4378</v>
      </c>
      <c r="AU470" s="20">
        <v>117</v>
      </c>
      <c r="AV470" s="20">
        <v>80</v>
      </c>
      <c r="AW470" s="20"/>
      <c r="AX470" s="20" t="s">
        <v>4379</v>
      </c>
      <c r="AY470" s="20" t="s">
        <v>4380</v>
      </c>
      <c r="AZ470" s="20"/>
      <c r="BA470" s="20"/>
      <c r="BB470" s="20" t="s">
        <v>4381</v>
      </c>
      <c r="BC470" s="20" t="s">
        <v>4382</v>
      </c>
      <c r="BD470" s="20" t="s">
        <v>4383</v>
      </c>
      <c r="BE470" s="20"/>
      <c r="BF470" s="20" t="s">
        <v>4384</v>
      </c>
      <c r="BG470" s="20" t="s">
        <v>4385</v>
      </c>
      <c r="BH470" s="20" t="s">
        <v>4386</v>
      </c>
      <c r="BI470" s="20" t="s">
        <v>4302</v>
      </c>
      <c r="BJ470" s="20" t="s">
        <v>4387</v>
      </c>
      <c r="BK470" s="20" t="s">
        <v>4388</v>
      </c>
      <c r="BL470" s="20"/>
      <c r="BM470" s="20"/>
      <c r="BN470" s="20" t="s">
        <v>4362</v>
      </c>
      <c r="BO470" s="20" t="s">
        <v>4389</v>
      </c>
      <c r="BP470" s="20"/>
      <c r="BQ470" s="20"/>
      <c r="BR470" s="20"/>
      <c r="BS470" s="20"/>
      <c r="BT470" s="20"/>
      <c r="BU470" s="20"/>
      <c r="BV470" s="20" t="s">
        <v>522</v>
      </c>
      <c r="BW470" s="22" t="s">
        <v>1763</v>
      </c>
      <c r="BX470" s="20"/>
      <c r="BY470" s="20"/>
      <c r="BZ470" s="20" t="s">
        <v>4390</v>
      </c>
      <c r="CA470" s="20" t="s">
        <v>4391</v>
      </c>
      <c r="CB470" s="20" t="s">
        <v>4392</v>
      </c>
      <c r="CC470" s="20"/>
      <c r="CD470" s="20"/>
      <c r="CE470" s="20"/>
      <c r="CF470" s="20"/>
      <c r="CG470" s="20"/>
      <c r="CH470" s="20"/>
      <c r="CI470" s="20"/>
      <c r="CJ470" s="20"/>
      <c r="CK470" s="20"/>
      <c r="CL470" s="20" t="s">
        <v>4393</v>
      </c>
      <c r="CM470" s="20" t="s">
        <v>4394</v>
      </c>
      <c r="CN470" s="20"/>
      <c r="CO470" s="20"/>
      <c r="CP470" s="20" t="s">
        <v>4395</v>
      </c>
      <c r="CQ470" s="20"/>
      <c r="CR470" s="20"/>
      <c r="CS470" s="20"/>
      <c r="CT470" s="20" t="s">
        <v>4396</v>
      </c>
      <c r="CU470" s="20" t="s">
        <v>4397</v>
      </c>
      <c r="CV470" s="20"/>
      <c r="CW470" s="20">
        <v>2</v>
      </c>
      <c r="CX470" s="20" t="s">
        <v>4398</v>
      </c>
      <c r="CY470" s="20" t="s">
        <v>99</v>
      </c>
      <c r="CZ470" s="20"/>
      <c r="DA470" s="20"/>
      <c r="DB470" s="20"/>
      <c r="DC470" s="20"/>
      <c r="DD470" s="20"/>
      <c r="DE470" s="20"/>
      <c r="DF470" s="20"/>
      <c r="DG470" s="9" t="e">
        <f t="shared" si="7"/>
        <v>#NUM!</v>
      </c>
      <c r="DH470" s="20"/>
      <c r="DI470" s="20"/>
      <c r="DJ470" s="20"/>
      <c r="DK470" s="20"/>
      <c r="DL470" s="20"/>
      <c r="DM470" s="20"/>
      <c r="DN470" s="20"/>
      <c r="DQ470" s="9">
        <v>3</v>
      </c>
    </row>
    <row r="471" spans="1:125" x14ac:dyDescent="0.2">
      <c r="A471" s="9" t="s">
        <v>4399</v>
      </c>
      <c r="B471" s="21">
        <v>43630</v>
      </c>
      <c r="C471" s="20" t="s">
        <v>95</v>
      </c>
      <c r="D471" s="20">
        <v>52</v>
      </c>
      <c r="E471" s="20" t="s">
        <v>1123</v>
      </c>
      <c r="F471" s="20"/>
      <c r="G471" s="20" t="s">
        <v>4400</v>
      </c>
      <c r="H471" s="20"/>
      <c r="I471" s="20" t="s">
        <v>1610</v>
      </c>
      <c r="J471" s="20"/>
      <c r="K471" s="25">
        <v>36557</v>
      </c>
      <c r="L471" s="20">
        <v>3</v>
      </c>
      <c r="M471" s="20" t="s">
        <v>4401</v>
      </c>
      <c r="N471" s="20" t="s">
        <v>4402</v>
      </c>
      <c r="O471" s="20" t="s">
        <v>99</v>
      </c>
      <c r="P471" s="20" t="s">
        <v>99</v>
      </c>
      <c r="Q471" s="20" t="s">
        <v>99</v>
      </c>
      <c r="R471" s="20" t="s">
        <v>110</v>
      </c>
      <c r="S471" s="20" t="s">
        <v>4403</v>
      </c>
      <c r="T471" s="22" t="s">
        <v>110</v>
      </c>
      <c r="U471" s="20" t="s">
        <v>4404</v>
      </c>
      <c r="V471" s="20" t="s">
        <v>99</v>
      </c>
      <c r="W471" s="20" t="s">
        <v>4405</v>
      </c>
      <c r="X471" s="20"/>
      <c r="Y471" s="20"/>
      <c r="Z471" s="20" t="s">
        <v>99</v>
      </c>
      <c r="AA471" s="20" t="s">
        <v>605</v>
      </c>
      <c r="AB471" s="20" t="s">
        <v>605</v>
      </c>
      <c r="AC471" s="20" t="s">
        <v>605</v>
      </c>
      <c r="AD471" s="20" t="s">
        <v>605</v>
      </c>
      <c r="AE471" s="20" t="s">
        <v>4406</v>
      </c>
      <c r="AF471" s="20" t="s">
        <v>4407</v>
      </c>
      <c r="AG471" s="20" t="s">
        <v>1912</v>
      </c>
      <c r="AH471" s="20" t="s">
        <v>99</v>
      </c>
      <c r="AI471" s="20" t="s">
        <v>1912</v>
      </c>
      <c r="AJ471" s="20" t="s">
        <v>99</v>
      </c>
      <c r="AK471" s="20" t="s">
        <v>4408</v>
      </c>
      <c r="AL471" s="20">
        <v>112</v>
      </c>
      <c r="AM471" s="20">
        <v>160</v>
      </c>
      <c r="AN471" s="20">
        <v>125</v>
      </c>
      <c r="AO471" s="20">
        <v>126</v>
      </c>
      <c r="AP471" s="20" t="s">
        <v>4409</v>
      </c>
      <c r="AQ471" s="20">
        <v>14</v>
      </c>
      <c r="AR471" s="20" t="s">
        <v>4410</v>
      </c>
      <c r="AS471" s="20">
        <v>78</v>
      </c>
      <c r="AT471" s="20" t="s">
        <v>4411</v>
      </c>
      <c r="AU471" s="20">
        <v>111</v>
      </c>
      <c r="AV471" s="20">
        <v>74</v>
      </c>
      <c r="AW471" s="20"/>
      <c r="AX471" s="20" t="s">
        <v>4412</v>
      </c>
      <c r="AY471" s="20" t="s">
        <v>4413</v>
      </c>
      <c r="AZ471" s="20" t="s">
        <v>4414</v>
      </c>
      <c r="BA471" s="20"/>
      <c r="BB471" s="20" t="s">
        <v>4415</v>
      </c>
      <c r="BC471" s="20" t="s">
        <v>515</v>
      </c>
      <c r="BD471" s="20"/>
      <c r="BE471" s="20"/>
      <c r="BF471" s="20" t="s">
        <v>4302</v>
      </c>
      <c r="BG471" s="20">
        <v>3</v>
      </c>
      <c r="BH471" s="20" t="s">
        <v>99</v>
      </c>
      <c r="BI471" s="20">
        <v>3</v>
      </c>
      <c r="BJ471" s="20" t="s">
        <v>99</v>
      </c>
      <c r="BK471" s="20" t="s">
        <v>99</v>
      </c>
      <c r="BL471" s="20"/>
      <c r="BM471" s="20"/>
      <c r="BN471" s="20" t="s">
        <v>412</v>
      </c>
      <c r="BO471" s="20" t="s">
        <v>396</v>
      </c>
      <c r="BP471" s="20" t="s">
        <v>4389</v>
      </c>
      <c r="BQ471" s="20" t="s">
        <v>99</v>
      </c>
      <c r="BR471" s="20"/>
      <c r="BS471" s="20"/>
      <c r="BT471" s="20"/>
      <c r="BU471" s="20" t="s">
        <v>99</v>
      </c>
      <c r="BV471" s="20"/>
      <c r="BW471" s="20"/>
      <c r="BX471" s="20"/>
      <c r="BY471" s="20" t="s">
        <v>4300</v>
      </c>
      <c r="BZ471" s="20" t="s">
        <v>4416</v>
      </c>
      <c r="CA471" s="20" t="s">
        <v>4417</v>
      </c>
      <c r="CB471" s="20" t="s">
        <v>278</v>
      </c>
      <c r="CC471" s="20" t="s">
        <v>99</v>
      </c>
      <c r="CD471" s="20"/>
      <c r="CE471" s="20"/>
      <c r="CF471" s="20"/>
      <c r="CG471" s="20" t="s">
        <v>99</v>
      </c>
      <c r="CH471" s="20"/>
      <c r="CI471" s="20"/>
      <c r="CJ471" s="20"/>
      <c r="CK471" s="20"/>
      <c r="CL471" s="20" t="s">
        <v>1237</v>
      </c>
      <c r="CM471" s="20" t="s">
        <v>4418</v>
      </c>
      <c r="CN471" s="20" t="s">
        <v>1238</v>
      </c>
      <c r="CO471" s="20"/>
      <c r="CP471" s="20" t="s">
        <v>1796</v>
      </c>
      <c r="CQ471" s="20" t="s">
        <v>309</v>
      </c>
      <c r="CR471" s="20" t="s">
        <v>1054</v>
      </c>
      <c r="CS471" s="20" t="s">
        <v>99</v>
      </c>
      <c r="CT471" s="20"/>
      <c r="CU471" s="20"/>
      <c r="CV471" s="20"/>
      <c r="CW471" s="20">
        <v>3</v>
      </c>
      <c r="CX471" s="20" t="s">
        <v>110</v>
      </c>
      <c r="CY471" s="20" t="s">
        <v>99</v>
      </c>
      <c r="CZ471" s="20"/>
      <c r="DA471" s="20"/>
      <c r="DB471" s="20"/>
      <c r="DC471" s="20"/>
      <c r="DD471" s="20"/>
      <c r="DE471" s="20"/>
      <c r="DF471" s="20"/>
      <c r="DG471" s="9" t="e">
        <f t="shared" si="7"/>
        <v>#NUM!</v>
      </c>
      <c r="DH471" s="20"/>
      <c r="DI471" s="20"/>
      <c r="DJ471" s="20"/>
      <c r="DK471" s="20"/>
      <c r="DL471" s="20"/>
      <c r="DM471" s="20"/>
      <c r="DN471" s="20"/>
      <c r="DR471" s="9">
        <v>2</v>
      </c>
    </row>
    <row r="472" spans="1:125" x14ac:dyDescent="0.2">
      <c r="A472" s="9" t="s">
        <v>4419</v>
      </c>
      <c r="B472" s="21">
        <v>43630</v>
      </c>
      <c r="C472" s="20" t="s">
        <v>95</v>
      </c>
      <c r="D472" s="20">
        <v>46</v>
      </c>
      <c r="E472" s="20" t="s">
        <v>96</v>
      </c>
      <c r="F472" s="51">
        <v>26549</v>
      </c>
      <c r="G472" s="20"/>
      <c r="H472" s="20" t="s">
        <v>4420</v>
      </c>
      <c r="I472" s="20"/>
      <c r="J472" s="20"/>
      <c r="K472" s="20"/>
      <c r="L472" s="20"/>
      <c r="M472" s="20" t="s">
        <v>99</v>
      </c>
      <c r="N472" s="20" t="s">
        <v>99</v>
      </c>
      <c r="O472" s="20" t="s">
        <v>99</v>
      </c>
      <c r="P472" s="20" t="s">
        <v>99</v>
      </c>
      <c r="Q472" s="20" t="s">
        <v>99</v>
      </c>
      <c r="R472" s="20"/>
      <c r="S472" s="20"/>
      <c r="T472" s="20"/>
      <c r="U472" s="20"/>
      <c r="V472" s="20"/>
      <c r="W472" s="20"/>
      <c r="X472" s="20" t="s">
        <v>99</v>
      </c>
      <c r="Y472" s="20"/>
      <c r="Z472" s="20"/>
      <c r="AA472" s="20" t="s">
        <v>96</v>
      </c>
      <c r="AB472" s="20" t="s">
        <v>96</v>
      </c>
      <c r="AC472" s="20" t="s">
        <v>96</v>
      </c>
      <c r="AD472" s="20" t="s">
        <v>96</v>
      </c>
      <c r="AE472" s="20" t="s">
        <v>1912</v>
      </c>
      <c r="AF472" s="20" t="s">
        <v>99</v>
      </c>
      <c r="AG472" s="20" t="s">
        <v>99</v>
      </c>
      <c r="AH472" s="20" t="s">
        <v>99</v>
      </c>
      <c r="AI472" s="20" t="s">
        <v>4421</v>
      </c>
      <c r="AJ472" s="20" t="s">
        <v>99</v>
      </c>
      <c r="AK472" s="20"/>
      <c r="AL472" s="20" t="s">
        <v>4273</v>
      </c>
      <c r="AM472" s="20">
        <v>164</v>
      </c>
      <c r="AN472" s="20">
        <v>100</v>
      </c>
      <c r="AO472" s="20">
        <v>121</v>
      </c>
      <c r="AP472" s="20" t="s">
        <v>4422</v>
      </c>
      <c r="AQ472" s="20">
        <v>10</v>
      </c>
      <c r="AR472" s="20" t="s">
        <v>4423</v>
      </c>
      <c r="AS472" s="20">
        <v>63</v>
      </c>
      <c r="AT472" s="20" t="s">
        <v>4424</v>
      </c>
      <c r="AU472" s="20">
        <v>101</v>
      </c>
      <c r="AV472" s="20">
        <v>72</v>
      </c>
      <c r="AW472" s="20"/>
      <c r="AX472" s="20" t="s">
        <v>4425</v>
      </c>
      <c r="AY472" s="20"/>
      <c r="AZ472" s="20"/>
      <c r="BA472" s="20"/>
      <c r="BB472" s="20" t="s">
        <v>4426</v>
      </c>
      <c r="BC472" s="20" t="s">
        <v>4427</v>
      </c>
      <c r="BD472" s="20"/>
      <c r="BE472" s="20"/>
      <c r="BF472" s="20" t="s">
        <v>1817</v>
      </c>
      <c r="BG472" s="20" t="s">
        <v>4428</v>
      </c>
      <c r="BH472" s="20" t="s">
        <v>4429</v>
      </c>
      <c r="BI472" s="20" t="s">
        <v>4430</v>
      </c>
      <c r="BJ472" s="20" t="s">
        <v>4431</v>
      </c>
      <c r="BK472" s="20" t="s">
        <v>1818</v>
      </c>
      <c r="BL472" s="20"/>
      <c r="BM472" s="20"/>
      <c r="BN472" s="20" t="s">
        <v>396</v>
      </c>
      <c r="BO472" s="20" t="s">
        <v>4389</v>
      </c>
      <c r="BP472" s="20" t="s">
        <v>4432</v>
      </c>
      <c r="BQ472" s="20"/>
      <c r="BR472" s="20" t="s">
        <v>4433</v>
      </c>
      <c r="BS472" s="20" t="s">
        <v>918</v>
      </c>
      <c r="BT472" s="22" t="s">
        <v>1152</v>
      </c>
      <c r="BU472" s="20"/>
      <c r="BV472" s="20" t="s">
        <v>522</v>
      </c>
      <c r="BW472" s="22" t="s">
        <v>1763</v>
      </c>
      <c r="BX472" s="20" t="s">
        <v>4434</v>
      </c>
      <c r="BY472" s="20"/>
      <c r="BZ472" s="20" t="s">
        <v>4435</v>
      </c>
      <c r="CA472" s="20" t="s">
        <v>994</v>
      </c>
      <c r="CB472" s="20" t="s">
        <v>4436</v>
      </c>
      <c r="CC472" s="20"/>
      <c r="CD472" s="20"/>
      <c r="CE472" s="20"/>
      <c r="CF472" s="20"/>
      <c r="CG472" s="20"/>
      <c r="CH472" s="20"/>
      <c r="CI472" s="20"/>
      <c r="CJ472" s="20"/>
      <c r="CK472" s="20"/>
      <c r="CL472" s="20" t="s">
        <v>1237</v>
      </c>
      <c r="CM472" s="20" t="s">
        <v>1866</v>
      </c>
      <c r="CN472" s="20" t="s">
        <v>1795</v>
      </c>
      <c r="CO472" s="20"/>
      <c r="CP472" s="20"/>
      <c r="CQ472" s="20"/>
      <c r="CR472" s="20"/>
      <c r="CS472" s="20"/>
      <c r="CT472" s="20" t="s">
        <v>1868</v>
      </c>
      <c r="CU472" s="20" t="s">
        <v>4437</v>
      </c>
      <c r="CV472" s="20" t="s">
        <v>4438</v>
      </c>
      <c r="CW472" s="20">
        <v>3</v>
      </c>
      <c r="CX472" s="20" t="s">
        <v>99</v>
      </c>
      <c r="CY472" s="20" t="s">
        <v>99</v>
      </c>
      <c r="CZ472" s="20"/>
      <c r="DA472" s="20"/>
      <c r="DB472" s="20"/>
      <c r="DC472" s="20"/>
      <c r="DD472" s="20"/>
      <c r="DE472" s="20"/>
      <c r="DF472" s="20"/>
      <c r="DG472" s="9" t="e">
        <f t="shared" si="7"/>
        <v>#NUM!</v>
      </c>
      <c r="DH472" s="20"/>
      <c r="DI472" s="20"/>
      <c r="DJ472" s="20"/>
      <c r="DK472" s="20"/>
      <c r="DL472" s="20"/>
      <c r="DM472" s="20"/>
      <c r="DN472" s="20"/>
      <c r="DR472" s="9">
        <v>2</v>
      </c>
    </row>
    <row r="473" spans="1:125" x14ac:dyDescent="0.2">
      <c r="A473" s="9" t="s">
        <v>4439</v>
      </c>
      <c r="B473" s="21">
        <v>43630</v>
      </c>
      <c r="C473" s="20" t="s">
        <v>95</v>
      </c>
      <c r="D473" s="20">
        <v>41</v>
      </c>
      <c r="E473" s="20" t="s">
        <v>100</v>
      </c>
      <c r="F473" s="51">
        <v>28530</v>
      </c>
      <c r="G473" s="20" t="s">
        <v>4440</v>
      </c>
      <c r="H473" s="20" t="s">
        <v>4441</v>
      </c>
      <c r="I473" s="20" t="s">
        <v>1610</v>
      </c>
      <c r="J473" s="20"/>
      <c r="K473" s="20" t="s">
        <v>4442</v>
      </c>
      <c r="L473" s="20">
        <v>2</v>
      </c>
      <c r="M473" s="20" t="s">
        <v>99</v>
      </c>
      <c r="N473" s="22" t="s">
        <v>99</v>
      </c>
      <c r="O473" s="20" t="s">
        <v>99</v>
      </c>
      <c r="P473" s="20" t="s">
        <v>99</v>
      </c>
      <c r="Q473" s="20" t="s">
        <v>99</v>
      </c>
      <c r="R473" s="20" t="s">
        <v>110</v>
      </c>
      <c r="S473" s="20" t="s">
        <v>110</v>
      </c>
      <c r="T473" s="20" t="s">
        <v>110</v>
      </c>
      <c r="U473" s="20" t="s">
        <v>99</v>
      </c>
      <c r="V473" s="20" t="s">
        <v>99</v>
      </c>
      <c r="W473" s="20" t="s">
        <v>4443</v>
      </c>
      <c r="X473" s="20"/>
      <c r="Y473" s="20" t="s">
        <v>4444</v>
      </c>
      <c r="Z473" s="20"/>
      <c r="AA473" s="20" t="s">
        <v>100</v>
      </c>
      <c r="AB473" s="20" t="s">
        <v>100</v>
      </c>
      <c r="AC473" s="20" t="s">
        <v>100</v>
      </c>
      <c r="AD473" s="20" t="s">
        <v>100</v>
      </c>
      <c r="AE473" s="20" t="s">
        <v>1912</v>
      </c>
      <c r="AF473" s="20" t="s">
        <v>4445</v>
      </c>
      <c r="AG473" s="20" t="s">
        <v>4446</v>
      </c>
      <c r="AH473" s="20" t="s">
        <v>99</v>
      </c>
      <c r="AI473" s="20"/>
      <c r="AJ473" s="20" t="s">
        <v>99</v>
      </c>
      <c r="AK473" s="20" t="s">
        <v>4447</v>
      </c>
      <c r="AL473" s="20">
        <v>103</v>
      </c>
      <c r="AM473" s="20">
        <v>173</v>
      </c>
      <c r="AN473" s="20">
        <v>100</v>
      </c>
      <c r="AO473" s="20">
        <v>121</v>
      </c>
      <c r="AP473" s="20" t="s">
        <v>4448</v>
      </c>
      <c r="AQ473" s="20">
        <v>9</v>
      </c>
      <c r="AR473" s="20" t="s">
        <v>4449</v>
      </c>
      <c r="AS473" s="20">
        <v>61</v>
      </c>
      <c r="AT473" s="20" t="s">
        <v>4450</v>
      </c>
      <c r="AU473" s="20">
        <v>100</v>
      </c>
      <c r="AV473" s="20">
        <v>70</v>
      </c>
      <c r="AW473" s="20"/>
      <c r="AX473" s="20" t="s">
        <v>4451</v>
      </c>
      <c r="AY473" s="20" t="s">
        <v>4452</v>
      </c>
      <c r="AZ473" s="20" t="s">
        <v>4453</v>
      </c>
      <c r="BA473" s="20"/>
      <c r="BB473" s="20" t="s">
        <v>4454</v>
      </c>
      <c r="BC473" s="20" t="s">
        <v>4455</v>
      </c>
      <c r="BD473" s="20"/>
      <c r="BE473" s="20"/>
      <c r="BF473" s="20" t="s">
        <v>4456</v>
      </c>
      <c r="BG473" s="20" t="s">
        <v>4457</v>
      </c>
      <c r="BH473" s="20"/>
      <c r="BI473" s="20" t="s">
        <v>4300</v>
      </c>
      <c r="BJ473" s="20"/>
      <c r="BK473" s="20" t="s">
        <v>4386</v>
      </c>
      <c r="BL473" s="20"/>
      <c r="BM473" s="20"/>
      <c r="BN473" s="20" t="s">
        <v>4458</v>
      </c>
      <c r="BO473" s="20"/>
      <c r="BP473" s="20"/>
      <c r="BQ473" s="20"/>
      <c r="BR473" s="20" t="s">
        <v>4386</v>
      </c>
      <c r="BS473" s="20"/>
      <c r="BT473" s="20"/>
      <c r="BU473" s="20"/>
      <c r="BV473" s="20"/>
      <c r="BW473" s="20"/>
      <c r="BX473" s="20"/>
      <c r="BY473" s="20"/>
      <c r="BZ473" s="20" t="s">
        <v>4459</v>
      </c>
      <c r="CA473" s="20" t="s">
        <v>4460</v>
      </c>
      <c r="CB473" s="20" t="s">
        <v>4461</v>
      </c>
      <c r="CC473" s="20"/>
      <c r="CD473" s="20"/>
      <c r="CE473" s="20"/>
      <c r="CF473" s="20"/>
      <c r="CG473" s="20"/>
      <c r="CH473" s="20"/>
      <c r="CI473" s="20"/>
      <c r="CJ473" s="20"/>
      <c r="CK473" s="20"/>
      <c r="CL473" s="20" t="s">
        <v>4462</v>
      </c>
      <c r="CM473" s="20" t="s">
        <v>4463</v>
      </c>
      <c r="CN473" s="20" t="s">
        <v>4464</v>
      </c>
      <c r="CO473" s="20"/>
      <c r="CP473" s="20" t="s">
        <v>1054</v>
      </c>
      <c r="CQ473" s="20"/>
      <c r="CR473" s="20"/>
      <c r="CS473" s="20"/>
      <c r="CT473" s="20" t="s">
        <v>4465</v>
      </c>
      <c r="CU473" s="20" t="s">
        <v>4466</v>
      </c>
      <c r="CV473" s="20"/>
      <c r="CW473" s="20">
        <v>3</v>
      </c>
      <c r="CX473" s="20" t="s">
        <v>99</v>
      </c>
      <c r="CY473" s="20" t="s">
        <v>110</v>
      </c>
      <c r="CZ473" s="20">
        <v>40</v>
      </c>
      <c r="DA473" s="20">
        <v>30</v>
      </c>
      <c r="DB473" s="20">
        <v>30</v>
      </c>
      <c r="DC473" s="20"/>
      <c r="DD473" s="20"/>
      <c r="DE473" s="20"/>
      <c r="DF473" s="20"/>
      <c r="DG473" s="9" t="e">
        <f t="shared" si="7"/>
        <v>#NUM!</v>
      </c>
      <c r="DH473" s="20"/>
      <c r="DI473" s="20"/>
      <c r="DJ473" s="20"/>
      <c r="DK473" s="20"/>
      <c r="DL473" s="20"/>
      <c r="DM473" s="20"/>
      <c r="DN473" s="20"/>
    </row>
    <row r="474" spans="1:125" x14ac:dyDescent="0.2">
      <c r="A474" s="9" t="s">
        <v>4467</v>
      </c>
      <c r="B474" s="21">
        <v>43630</v>
      </c>
      <c r="C474" s="20" t="s">
        <v>95</v>
      </c>
      <c r="D474" s="20">
        <v>54</v>
      </c>
      <c r="E474" s="20" t="s">
        <v>96</v>
      </c>
      <c r="F474" s="51">
        <v>23773</v>
      </c>
      <c r="G474" s="20" t="s">
        <v>1892</v>
      </c>
      <c r="H474" s="20" t="s">
        <v>4468</v>
      </c>
      <c r="I474" s="20" t="s">
        <v>1321</v>
      </c>
      <c r="J474" s="20" t="s">
        <v>4469</v>
      </c>
      <c r="K474" s="20" t="s">
        <v>4345</v>
      </c>
      <c r="L474" s="20">
        <v>4</v>
      </c>
      <c r="M474" s="20" t="s">
        <v>4470</v>
      </c>
      <c r="N474" s="22" t="s">
        <v>4471</v>
      </c>
      <c r="O474" s="20" t="s">
        <v>99</v>
      </c>
      <c r="P474" s="20" t="s">
        <v>99</v>
      </c>
      <c r="Q474" s="20" t="s">
        <v>99</v>
      </c>
      <c r="R474" s="20" t="s">
        <v>110</v>
      </c>
      <c r="S474" s="22"/>
      <c r="T474" s="22"/>
      <c r="U474" s="20" t="s">
        <v>4472</v>
      </c>
      <c r="V474" s="20"/>
      <c r="W474" s="20" t="s">
        <v>99</v>
      </c>
      <c r="X474" s="20" t="s">
        <v>99</v>
      </c>
      <c r="Y474" s="20"/>
      <c r="Z474" s="20" t="s">
        <v>4473</v>
      </c>
      <c r="AA474" s="20" t="s">
        <v>96</v>
      </c>
      <c r="AB474" s="123" t="s">
        <v>3407</v>
      </c>
      <c r="AC474" s="20" t="s">
        <v>96</v>
      </c>
      <c r="AD474" s="123" t="s">
        <v>3407</v>
      </c>
      <c r="AE474" s="20" t="s">
        <v>1912</v>
      </c>
      <c r="AF474" s="20" t="s">
        <v>4474</v>
      </c>
      <c r="AG474" s="20" t="s">
        <v>99</v>
      </c>
      <c r="AH474" s="20" t="s">
        <v>99</v>
      </c>
      <c r="AI474" s="20" t="s">
        <v>99</v>
      </c>
      <c r="AJ474" s="20" t="s">
        <v>99</v>
      </c>
      <c r="AK474" s="20" t="s">
        <v>4475</v>
      </c>
      <c r="AL474" s="20" t="s">
        <v>4476</v>
      </c>
      <c r="AM474" s="20">
        <v>156</v>
      </c>
      <c r="AN474" s="20">
        <v>113</v>
      </c>
      <c r="AO474" s="20">
        <v>143</v>
      </c>
      <c r="AP474" s="20">
        <v>53</v>
      </c>
      <c r="AQ474" s="20">
        <v>13</v>
      </c>
      <c r="AR474" s="20" t="s">
        <v>4477</v>
      </c>
      <c r="AS474" s="20">
        <v>77</v>
      </c>
      <c r="AT474" s="20" t="s">
        <v>4478</v>
      </c>
      <c r="AU474" s="20">
        <v>127</v>
      </c>
      <c r="AV474" s="20">
        <v>84</v>
      </c>
      <c r="AW474" s="20"/>
      <c r="AX474" s="20" t="s">
        <v>168</v>
      </c>
      <c r="AY474" s="20" t="s">
        <v>4453</v>
      </c>
      <c r="AZ474" s="20" t="s">
        <v>4479</v>
      </c>
      <c r="BA474" s="20"/>
      <c r="BB474" s="20" t="s">
        <v>409</v>
      </c>
      <c r="BC474" s="20" t="s">
        <v>4480</v>
      </c>
      <c r="BD474" s="20" t="s">
        <v>4481</v>
      </c>
      <c r="BE474" s="20"/>
      <c r="BF474" s="20" t="s">
        <v>4482</v>
      </c>
      <c r="BG474" s="20" t="s">
        <v>4483</v>
      </c>
      <c r="BH474" s="20" t="s">
        <v>4386</v>
      </c>
      <c r="BI474" s="20" t="s">
        <v>4484</v>
      </c>
      <c r="BJ474" s="20" t="s">
        <v>4485</v>
      </c>
      <c r="BK474" s="20" t="s">
        <v>4486</v>
      </c>
      <c r="BL474" s="20"/>
      <c r="BM474" s="20"/>
      <c r="BN474" s="20" t="s">
        <v>4487</v>
      </c>
      <c r="BO474" s="20" t="s">
        <v>4488</v>
      </c>
      <c r="BP474" s="20" t="s">
        <v>4489</v>
      </c>
      <c r="BQ474" s="20" t="s">
        <v>99</v>
      </c>
      <c r="BR474" s="20"/>
      <c r="BS474" s="20"/>
      <c r="BT474" s="20"/>
      <c r="BU474" s="20" t="s">
        <v>99</v>
      </c>
      <c r="BV474" s="20"/>
      <c r="BW474" s="20"/>
      <c r="BX474" s="20"/>
      <c r="BY474" s="20" t="s">
        <v>4490</v>
      </c>
      <c r="BZ474" s="20" t="s">
        <v>1865</v>
      </c>
      <c r="CA474" s="20" t="s">
        <v>277</v>
      </c>
      <c r="CB474" s="20" t="s">
        <v>1965</v>
      </c>
      <c r="CC474" s="20" t="s">
        <v>99</v>
      </c>
      <c r="CD474" s="20"/>
      <c r="CE474" s="20"/>
      <c r="CF474" s="20"/>
      <c r="CG474" s="20" t="s">
        <v>99</v>
      </c>
      <c r="CH474" s="20"/>
      <c r="CI474" s="20"/>
      <c r="CJ474" s="20"/>
      <c r="CK474" s="20" t="s">
        <v>322</v>
      </c>
      <c r="CL474" s="20" t="s">
        <v>1866</v>
      </c>
      <c r="CM474" s="20" t="s">
        <v>2031</v>
      </c>
      <c r="CN474" s="20" t="s">
        <v>1155</v>
      </c>
      <c r="CO474" s="20"/>
      <c r="CP474" s="20" t="s">
        <v>638</v>
      </c>
      <c r="CQ474" s="20" t="s">
        <v>4491</v>
      </c>
      <c r="CR474" s="20" t="s">
        <v>4492</v>
      </c>
      <c r="CS474" s="20"/>
      <c r="CT474" s="20" t="s">
        <v>4493</v>
      </c>
      <c r="CU474" s="20" t="s">
        <v>4494</v>
      </c>
      <c r="CV474" s="20"/>
      <c r="CW474" s="20">
        <v>3</v>
      </c>
      <c r="CX474" s="20" t="s">
        <v>110</v>
      </c>
      <c r="CY474" s="20" t="s">
        <v>99</v>
      </c>
      <c r="CZ474" s="20">
        <v>40</v>
      </c>
      <c r="DA474" s="20">
        <v>20</v>
      </c>
      <c r="DB474" s="20">
        <v>30</v>
      </c>
      <c r="DC474" s="20"/>
      <c r="DD474" s="20"/>
      <c r="DE474" s="20"/>
      <c r="DF474" s="20"/>
      <c r="DG474" s="9" t="e">
        <f t="shared" si="7"/>
        <v>#NUM!</v>
      </c>
      <c r="DH474" s="20"/>
      <c r="DI474" s="20"/>
      <c r="DJ474" s="20"/>
      <c r="DK474" s="20"/>
      <c r="DL474" s="20"/>
      <c r="DM474" s="20"/>
      <c r="DN474" s="20"/>
    </row>
    <row r="475" spans="1:125" x14ac:dyDescent="0.2">
      <c r="A475" s="9" t="s">
        <v>4495</v>
      </c>
      <c r="B475" s="21">
        <v>43659</v>
      </c>
      <c r="C475" s="20" t="s">
        <v>95</v>
      </c>
      <c r="D475" s="20">
        <v>44</v>
      </c>
      <c r="E475" s="20" t="s">
        <v>96</v>
      </c>
      <c r="F475" s="51">
        <v>23927</v>
      </c>
      <c r="G475" s="20" t="s">
        <v>1892</v>
      </c>
      <c r="H475" s="20" t="s">
        <v>4496</v>
      </c>
      <c r="I475" s="20" t="s">
        <v>3596</v>
      </c>
      <c r="J475" s="20"/>
      <c r="K475" s="20" t="s">
        <v>4497</v>
      </c>
      <c r="L475" s="20">
        <v>3</v>
      </c>
      <c r="M475" s="20" t="s">
        <v>99</v>
      </c>
      <c r="N475" s="20" t="s">
        <v>4498</v>
      </c>
      <c r="O475" s="20" t="s">
        <v>4499</v>
      </c>
      <c r="P475" s="20" t="s">
        <v>99</v>
      </c>
      <c r="Q475" s="20" t="s">
        <v>99</v>
      </c>
      <c r="R475" s="20"/>
      <c r="S475" s="20" t="s">
        <v>110</v>
      </c>
      <c r="T475" s="20" t="s">
        <v>99</v>
      </c>
      <c r="U475" s="22" t="s">
        <v>4500</v>
      </c>
      <c r="V475" s="20"/>
      <c r="W475" s="20" t="s">
        <v>99</v>
      </c>
      <c r="X475" s="20" t="s">
        <v>99</v>
      </c>
      <c r="Y475" s="20" t="s">
        <v>99</v>
      </c>
      <c r="Z475" s="20"/>
      <c r="AA475" s="20" t="s">
        <v>96</v>
      </c>
      <c r="AB475" s="20" t="s">
        <v>96</v>
      </c>
      <c r="AC475" s="20" t="s">
        <v>96</v>
      </c>
      <c r="AD475" s="20" t="s">
        <v>96</v>
      </c>
      <c r="AE475" s="20" t="s">
        <v>1932</v>
      </c>
      <c r="AF475" s="20" t="s">
        <v>99</v>
      </c>
      <c r="AG475" s="20" t="s">
        <v>99</v>
      </c>
      <c r="AH475" s="20" t="s">
        <v>263</v>
      </c>
      <c r="AI475" s="20" t="s">
        <v>99</v>
      </c>
      <c r="AJ475" s="20" t="s">
        <v>99</v>
      </c>
      <c r="AK475" s="22"/>
      <c r="AL475" s="20" t="s">
        <v>4501</v>
      </c>
      <c r="AM475" s="20">
        <v>160</v>
      </c>
      <c r="AN475" s="20">
        <v>103</v>
      </c>
      <c r="AO475" s="20">
        <v>114</v>
      </c>
      <c r="AP475" s="20" t="s">
        <v>4502</v>
      </c>
      <c r="AQ475" s="20">
        <v>9</v>
      </c>
      <c r="AR475" s="20" t="s">
        <v>4503</v>
      </c>
      <c r="AS475" s="20">
        <v>59</v>
      </c>
      <c r="AT475" s="20" t="s">
        <v>4504</v>
      </c>
      <c r="AU475" s="20">
        <v>112</v>
      </c>
      <c r="AV475" s="20">
        <v>83</v>
      </c>
      <c r="AW475" s="20"/>
      <c r="AX475" s="20" t="s">
        <v>4505</v>
      </c>
      <c r="AY475" s="20" t="s">
        <v>4506</v>
      </c>
      <c r="AZ475" s="20" t="s">
        <v>4507</v>
      </c>
      <c r="BA475" s="20"/>
      <c r="BB475" s="20" t="s">
        <v>4508</v>
      </c>
      <c r="BC475" s="20" t="s">
        <v>4509</v>
      </c>
      <c r="BD475" s="20"/>
      <c r="BE475" s="20"/>
      <c r="BF475" s="20" t="s">
        <v>1936</v>
      </c>
      <c r="BG475" s="20" t="s">
        <v>4484</v>
      </c>
      <c r="BH475" s="20" t="s">
        <v>4510</v>
      </c>
      <c r="BI475" s="20" t="s">
        <v>99</v>
      </c>
      <c r="BJ475" s="20" t="s">
        <v>99</v>
      </c>
      <c r="BK475" s="20" t="s">
        <v>4302</v>
      </c>
      <c r="BL475" s="20"/>
      <c r="BM475" s="20" t="s">
        <v>99</v>
      </c>
      <c r="BN475" s="20"/>
      <c r="BO475" s="20"/>
      <c r="BP475" s="20"/>
      <c r="BQ475" s="20" t="s">
        <v>99</v>
      </c>
      <c r="BR475" s="20"/>
      <c r="BS475" s="20"/>
      <c r="BT475" s="20"/>
      <c r="BU475" s="20" t="s">
        <v>99</v>
      </c>
      <c r="BV475" s="20"/>
      <c r="BW475" s="20"/>
      <c r="BX475" s="20"/>
      <c r="BY475" s="20"/>
      <c r="BZ475" s="20" t="s">
        <v>4417</v>
      </c>
      <c r="CA475" s="20" t="s">
        <v>4511</v>
      </c>
      <c r="CB475" s="20" t="s">
        <v>305</v>
      </c>
      <c r="CC475" s="20" t="s">
        <v>99</v>
      </c>
      <c r="CD475" s="20"/>
      <c r="CE475" s="20"/>
      <c r="CF475" s="20"/>
      <c r="CG475" s="20" t="s">
        <v>99</v>
      </c>
      <c r="CH475" s="20"/>
      <c r="CI475" s="20"/>
      <c r="CJ475" s="20"/>
      <c r="CK475" s="20"/>
      <c r="CL475" s="20" t="s">
        <v>4198</v>
      </c>
      <c r="CM475" s="20" t="s">
        <v>306</v>
      </c>
      <c r="CN475" s="20" t="s">
        <v>4512</v>
      </c>
      <c r="CO475" s="20"/>
      <c r="CP475" s="20" t="s">
        <v>1796</v>
      </c>
      <c r="CQ475" s="20"/>
      <c r="CR475" s="20"/>
      <c r="CS475" s="20"/>
      <c r="CT475" s="20" t="s">
        <v>4513</v>
      </c>
      <c r="CU475" s="20"/>
      <c r="CV475" s="20"/>
      <c r="CW475" s="20">
        <v>3</v>
      </c>
      <c r="CX475" s="20" t="s">
        <v>110</v>
      </c>
      <c r="CY475" s="20" t="s">
        <v>4514</v>
      </c>
      <c r="CZ475" s="20"/>
      <c r="DA475" s="20"/>
      <c r="DB475" s="20"/>
      <c r="DC475" s="20" t="s">
        <v>4515</v>
      </c>
      <c r="DD475" s="20" t="s">
        <v>4516</v>
      </c>
      <c r="DE475" s="20">
        <v>165</v>
      </c>
      <c r="DF475" s="20">
        <v>79</v>
      </c>
      <c r="DG475" s="9">
        <f t="shared" si="7"/>
        <v>4.4193991576562892</v>
      </c>
      <c r="DH475" s="20"/>
      <c r="DI475" s="20" t="s">
        <v>4517</v>
      </c>
      <c r="DJ475" s="20"/>
      <c r="DK475" s="20"/>
      <c r="DL475" s="20" t="s">
        <v>4518</v>
      </c>
      <c r="DM475" s="20" t="s">
        <v>4519</v>
      </c>
      <c r="DN475" s="20"/>
      <c r="DP475" s="11">
        <v>3</v>
      </c>
    </row>
    <row r="476" spans="1:125" x14ac:dyDescent="0.2">
      <c r="A476" s="9" t="s">
        <v>4520</v>
      </c>
      <c r="B476" s="21">
        <v>43630</v>
      </c>
      <c r="C476" s="20" t="s">
        <v>95</v>
      </c>
      <c r="D476" s="20">
        <v>22</v>
      </c>
      <c r="E476" s="20" t="s">
        <v>96</v>
      </c>
      <c r="F476" s="51">
        <v>35331</v>
      </c>
      <c r="G476" s="20" t="s">
        <v>1892</v>
      </c>
      <c r="H476" s="20" t="s">
        <v>4468</v>
      </c>
      <c r="I476" s="20"/>
      <c r="J476" s="20"/>
      <c r="K476" s="20" t="s">
        <v>4521</v>
      </c>
      <c r="L476" s="20">
        <v>1</v>
      </c>
      <c r="M476" s="20" t="s">
        <v>99</v>
      </c>
      <c r="N476" s="20" t="s">
        <v>99</v>
      </c>
      <c r="O476" s="20" t="s">
        <v>99</v>
      </c>
      <c r="P476" s="20"/>
      <c r="Q476" s="20" t="s">
        <v>99</v>
      </c>
      <c r="R476" s="20"/>
      <c r="S476" s="20"/>
      <c r="T476" s="20"/>
      <c r="U476" s="22" t="s">
        <v>4500</v>
      </c>
      <c r="V476" s="20"/>
      <c r="W476" s="20" t="s">
        <v>4522</v>
      </c>
      <c r="X476" s="20"/>
      <c r="Y476" s="20" t="s">
        <v>4523</v>
      </c>
      <c r="Z476" s="20"/>
      <c r="AA476" s="20" t="s">
        <v>96</v>
      </c>
      <c r="AB476" s="20" t="s">
        <v>96</v>
      </c>
      <c r="AC476" s="20" t="s">
        <v>96</v>
      </c>
      <c r="AD476" s="20" t="s">
        <v>96</v>
      </c>
      <c r="AE476" s="20" t="s">
        <v>99</v>
      </c>
      <c r="AF476" s="20" t="s">
        <v>99</v>
      </c>
      <c r="AG476" s="20" t="s">
        <v>99</v>
      </c>
      <c r="AH476" s="20" t="s">
        <v>99</v>
      </c>
      <c r="AI476" s="20" t="s">
        <v>99</v>
      </c>
      <c r="AJ476" s="20" t="s">
        <v>99</v>
      </c>
      <c r="AK476" s="22" t="s">
        <v>4524</v>
      </c>
      <c r="AL476" s="20" t="s">
        <v>4525</v>
      </c>
      <c r="AM476" s="20">
        <v>155</v>
      </c>
      <c r="AN476" s="20">
        <v>83</v>
      </c>
      <c r="AO476" s="20">
        <v>97</v>
      </c>
      <c r="AP476" s="20" t="s">
        <v>4526</v>
      </c>
      <c r="AQ476" s="20">
        <v>6</v>
      </c>
      <c r="AR476" s="20" t="s">
        <v>4189</v>
      </c>
      <c r="AS476" s="20">
        <v>36</v>
      </c>
      <c r="AT476" s="20" t="s">
        <v>4527</v>
      </c>
      <c r="AU476" s="20">
        <v>102</v>
      </c>
      <c r="AV476" s="20">
        <v>64</v>
      </c>
      <c r="AW476" s="20"/>
      <c r="AX476" s="20" t="s">
        <v>4528</v>
      </c>
      <c r="AY476" s="20" t="s">
        <v>4529</v>
      </c>
      <c r="AZ476" s="20" t="s">
        <v>326</v>
      </c>
      <c r="BA476" s="20"/>
      <c r="BB476" s="20" t="s">
        <v>409</v>
      </c>
      <c r="BC476" s="20" t="s">
        <v>4530</v>
      </c>
      <c r="BD476" s="20"/>
      <c r="BE476" s="20"/>
      <c r="BF476" s="20" t="s">
        <v>4531</v>
      </c>
      <c r="BG476" s="20" t="s">
        <v>1923</v>
      </c>
      <c r="BH476" s="20" t="s">
        <v>4532</v>
      </c>
      <c r="BI476" s="20" t="s">
        <v>299</v>
      </c>
      <c r="BJ476" s="20" t="s">
        <v>4533</v>
      </c>
      <c r="BK476" s="20"/>
      <c r="BL476" s="20"/>
      <c r="BM476" s="20"/>
      <c r="BN476" s="20" t="s">
        <v>394</v>
      </c>
      <c r="BO476" s="20" t="s">
        <v>4534</v>
      </c>
      <c r="BP476" s="20" t="s">
        <v>4535</v>
      </c>
      <c r="BQ476" s="20" t="s">
        <v>99</v>
      </c>
      <c r="BR476" s="20"/>
      <c r="BS476" s="20"/>
      <c r="BT476" s="20"/>
      <c r="BU476" s="20" t="s">
        <v>99</v>
      </c>
      <c r="BV476" s="20"/>
      <c r="BW476" s="20"/>
      <c r="BX476" s="20"/>
      <c r="BY476" s="20"/>
      <c r="BZ476" s="20" t="s">
        <v>3731</v>
      </c>
      <c r="CA476" s="20" t="s">
        <v>1486</v>
      </c>
      <c r="CB476" s="20" t="s">
        <v>557</v>
      </c>
      <c r="CC476" s="20" t="s">
        <v>99</v>
      </c>
      <c r="CD476" s="20"/>
      <c r="CE476" s="20"/>
      <c r="CF476" s="20"/>
      <c r="CG476" s="20" t="s">
        <v>99</v>
      </c>
      <c r="CH476" s="20"/>
      <c r="CI476" s="20"/>
      <c r="CJ476" s="20"/>
      <c r="CK476" s="20"/>
      <c r="CL476" s="20" t="s">
        <v>1966</v>
      </c>
      <c r="CM476" s="20" t="s">
        <v>1866</v>
      </c>
      <c r="CN476" s="20" t="s">
        <v>1967</v>
      </c>
      <c r="CO476" s="20"/>
      <c r="CP476" s="20" t="s">
        <v>4536</v>
      </c>
      <c r="CQ476" s="20" t="s">
        <v>4537</v>
      </c>
      <c r="CR476" s="20" t="s">
        <v>4538</v>
      </c>
      <c r="CS476" s="20"/>
      <c r="CT476" s="20" t="s">
        <v>4539</v>
      </c>
      <c r="CU476" s="20" t="s">
        <v>4540</v>
      </c>
      <c r="CV476" s="20"/>
      <c r="CW476" s="20">
        <v>3</v>
      </c>
      <c r="CX476" s="20" t="s">
        <v>4541</v>
      </c>
      <c r="CY476" s="20" t="s">
        <v>99</v>
      </c>
      <c r="CZ476" s="20">
        <v>25</v>
      </c>
      <c r="DA476" s="20">
        <v>25</v>
      </c>
      <c r="DB476" s="20">
        <v>50</v>
      </c>
      <c r="DC476" s="20"/>
      <c r="DD476" s="20"/>
      <c r="DE476" s="20"/>
      <c r="DF476" s="20"/>
      <c r="DG476" s="9" t="e">
        <f t="shared" si="7"/>
        <v>#NUM!</v>
      </c>
      <c r="DH476" s="20"/>
      <c r="DI476" s="20"/>
      <c r="DJ476" s="20"/>
      <c r="DK476" s="20"/>
      <c r="DL476" s="20"/>
      <c r="DM476" s="20"/>
      <c r="DN476" s="20"/>
    </row>
    <row r="477" spans="1:125" x14ac:dyDescent="0.2">
      <c r="A477" s="9" t="s">
        <v>4542</v>
      </c>
      <c r="B477" s="21">
        <v>43661</v>
      </c>
      <c r="C477" s="20" t="s">
        <v>95</v>
      </c>
      <c r="D477" s="20">
        <v>62</v>
      </c>
      <c r="E477" s="20" t="s">
        <v>96</v>
      </c>
      <c r="F477" s="51">
        <v>20906</v>
      </c>
      <c r="G477" s="20" t="s">
        <v>4543</v>
      </c>
      <c r="H477" s="20" t="s">
        <v>4496</v>
      </c>
      <c r="I477" s="20" t="s">
        <v>4270</v>
      </c>
      <c r="J477" s="20" t="s">
        <v>3566</v>
      </c>
      <c r="K477" s="20">
        <v>1994</v>
      </c>
      <c r="L477" s="20">
        <v>6</v>
      </c>
      <c r="M477" s="20" t="s">
        <v>99</v>
      </c>
      <c r="N477" s="20" t="s">
        <v>99</v>
      </c>
      <c r="O477" s="20" t="s">
        <v>99</v>
      </c>
      <c r="P477" s="20" t="s">
        <v>99</v>
      </c>
      <c r="Q477" s="20" t="s">
        <v>99</v>
      </c>
      <c r="R477" s="20"/>
      <c r="S477" s="20" t="s">
        <v>4544</v>
      </c>
      <c r="T477" s="20" t="s">
        <v>4545</v>
      </c>
      <c r="U477" s="20" t="s">
        <v>99</v>
      </c>
      <c r="V477" s="20" t="s">
        <v>99</v>
      </c>
      <c r="W477" s="20" t="s">
        <v>99</v>
      </c>
      <c r="X477" s="20" t="s">
        <v>99</v>
      </c>
      <c r="Y477" s="20"/>
      <c r="Z477" s="20"/>
      <c r="AA477" s="20" t="s">
        <v>949</v>
      </c>
      <c r="AB477" s="20" t="s">
        <v>949</v>
      </c>
      <c r="AC477" s="20" t="s">
        <v>949</v>
      </c>
      <c r="AD477" s="20" t="s">
        <v>949</v>
      </c>
      <c r="AE477" s="20" t="s">
        <v>1912</v>
      </c>
      <c r="AF477" s="20" t="s">
        <v>1932</v>
      </c>
      <c r="AG477" s="20" t="s">
        <v>4546</v>
      </c>
      <c r="AH477" s="20" t="s">
        <v>4547</v>
      </c>
      <c r="AI477" s="20" t="s">
        <v>99</v>
      </c>
      <c r="AJ477" s="20" t="s">
        <v>99</v>
      </c>
      <c r="AK477" s="20" t="s">
        <v>4548</v>
      </c>
      <c r="AL477" s="20" t="s">
        <v>4549</v>
      </c>
      <c r="AM477" s="20">
        <v>157</v>
      </c>
      <c r="AN477" s="20" t="s">
        <v>4550</v>
      </c>
      <c r="AO477" s="20">
        <v>101</v>
      </c>
      <c r="AP477" s="20" t="s">
        <v>4551</v>
      </c>
      <c r="AQ477" s="20">
        <v>9</v>
      </c>
      <c r="AR477" s="20">
        <v>23</v>
      </c>
      <c r="AS477" s="20">
        <v>62</v>
      </c>
      <c r="AT477" s="20" t="s">
        <v>4552</v>
      </c>
      <c r="AU477" s="20">
        <v>118</v>
      </c>
      <c r="AV477" s="20">
        <v>77</v>
      </c>
      <c r="AW477" s="20"/>
      <c r="AX477" s="20" t="s">
        <v>4553</v>
      </c>
      <c r="AY477" s="20" t="s">
        <v>4554</v>
      </c>
      <c r="AZ477" s="20" t="s">
        <v>4555</v>
      </c>
      <c r="BA477" s="20"/>
      <c r="BB477" s="20" t="s">
        <v>4556</v>
      </c>
      <c r="BC477" s="20" t="s">
        <v>4557</v>
      </c>
      <c r="BD477" s="20" t="s">
        <v>4558</v>
      </c>
      <c r="BE477" s="20"/>
      <c r="BF477" s="20" t="s">
        <v>4559</v>
      </c>
      <c r="BG477" s="20" t="s">
        <v>322</v>
      </c>
      <c r="BH477" s="20" t="s">
        <v>99</v>
      </c>
      <c r="BI477" s="20" t="s">
        <v>4560</v>
      </c>
      <c r="BJ477" s="20" t="s">
        <v>4561</v>
      </c>
      <c r="BK477" s="20" t="s">
        <v>4562</v>
      </c>
      <c r="BL477" s="20"/>
      <c r="BM477" s="20" t="s">
        <v>322</v>
      </c>
      <c r="BN477" s="20" t="s">
        <v>4563</v>
      </c>
      <c r="BO477" s="20" t="s">
        <v>4564</v>
      </c>
      <c r="BP477" s="20" t="s">
        <v>4565</v>
      </c>
      <c r="BQ477" s="20" t="s">
        <v>99</v>
      </c>
      <c r="BR477" s="20"/>
      <c r="BS477" s="20"/>
      <c r="BT477" s="20"/>
      <c r="BU477" s="20" t="s">
        <v>99</v>
      </c>
      <c r="BV477" s="20"/>
      <c r="BW477" s="20"/>
      <c r="BX477" s="20"/>
      <c r="BY477" s="20"/>
      <c r="BZ477" s="20" t="s">
        <v>4566</v>
      </c>
      <c r="CA477" s="20" t="s">
        <v>1110</v>
      </c>
      <c r="CB477" s="20" t="s">
        <v>1764</v>
      </c>
      <c r="CC477" s="20" t="s">
        <v>99</v>
      </c>
      <c r="CD477" s="20"/>
      <c r="CE477" s="20"/>
      <c r="CF477" s="20"/>
      <c r="CG477" s="20" t="s">
        <v>99</v>
      </c>
      <c r="CH477" s="20"/>
      <c r="CI477" s="20"/>
      <c r="CJ477" s="20"/>
      <c r="CK477" s="20"/>
      <c r="CL477" s="20" t="s">
        <v>1155</v>
      </c>
      <c r="CM477" s="20" t="s">
        <v>1866</v>
      </c>
      <c r="CN477" s="20" t="s">
        <v>2031</v>
      </c>
      <c r="CO477" s="20"/>
      <c r="CP477" s="20" t="s">
        <v>1796</v>
      </c>
      <c r="CQ477" s="20" t="s">
        <v>2111</v>
      </c>
      <c r="CR477" s="20" t="s">
        <v>4567</v>
      </c>
      <c r="CS477" s="20" t="s">
        <v>99</v>
      </c>
      <c r="CT477" s="20"/>
      <c r="CU477" s="20"/>
      <c r="CV477" s="20"/>
      <c r="CW477" s="20">
        <v>3</v>
      </c>
      <c r="CX477" s="20" t="s">
        <v>110</v>
      </c>
      <c r="CY477" s="20" t="s">
        <v>110</v>
      </c>
      <c r="CZ477" s="20">
        <v>40</v>
      </c>
      <c r="DA477" s="20">
        <v>30</v>
      </c>
      <c r="DB477" s="20">
        <v>30</v>
      </c>
      <c r="DC477" s="20" t="s">
        <v>4568</v>
      </c>
      <c r="DD477" s="20" t="s">
        <v>4569</v>
      </c>
      <c r="DE477" s="20">
        <v>188</v>
      </c>
      <c r="DF477" s="20">
        <v>84</v>
      </c>
      <c r="DG477" s="9">
        <f t="shared" si="7"/>
        <v>4.3833997475078945</v>
      </c>
      <c r="DH477" s="20" t="s">
        <v>4570</v>
      </c>
      <c r="DI477" s="20" t="s">
        <v>4571</v>
      </c>
      <c r="DJ477" s="20"/>
      <c r="DK477" s="20"/>
      <c r="DL477" s="20"/>
      <c r="DM477" s="20"/>
      <c r="DN477" s="20"/>
      <c r="DP477" s="11">
        <v>2</v>
      </c>
      <c r="DR477" s="9">
        <v>2</v>
      </c>
    </row>
    <row r="478" spans="1:125" x14ac:dyDescent="0.2">
      <c r="A478" s="9" t="s">
        <v>4572</v>
      </c>
      <c r="B478" s="21">
        <v>43659</v>
      </c>
      <c r="C478" s="20" t="s">
        <v>95</v>
      </c>
      <c r="D478" s="20">
        <v>51</v>
      </c>
      <c r="E478" s="123" t="s">
        <v>98</v>
      </c>
      <c r="F478" s="51">
        <v>24988</v>
      </c>
      <c r="G478" s="20" t="s">
        <v>3679</v>
      </c>
      <c r="H478" s="20" t="s">
        <v>4496</v>
      </c>
      <c r="I478" s="20" t="s">
        <v>1321</v>
      </c>
      <c r="J478" s="20" t="s">
        <v>3588</v>
      </c>
      <c r="K478" s="20" t="s">
        <v>4279</v>
      </c>
      <c r="L478" s="20" t="s">
        <v>4573</v>
      </c>
      <c r="M478" s="20" t="s">
        <v>99</v>
      </c>
      <c r="N478" s="20" t="s">
        <v>99</v>
      </c>
      <c r="O478" s="20" t="s">
        <v>4574</v>
      </c>
      <c r="P478" s="20" t="s">
        <v>99</v>
      </c>
      <c r="Q478" s="20" t="s">
        <v>99</v>
      </c>
      <c r="R478" s="20" t="s">
        <v>110</v>
      </c>
      <c r="S478" s="20" t="s">
        <v>99</v>
      </c>
      <c r="T478" s="20" t="s">
        <v>4545</v>
      </c>
      <c r="U478" s="22" t="s">
        <v>4575</v>
      </c>
      <c r="V478" s="20" t="s">
        <v>110</v>
      </c>
      <c r="W478" s="20" t="s">
        <v>4576</v>
      </c>
      <c r="X478" s="20" t="s">
        <v>99</v>
      </c>
      <c r="Y478" s="20"/>
      <c r="Z478" s="20" t="s">
        <v>4577</v>
      </c>
      <c r="AA478" s="20" t="s">
        <v>949</v>
      </c>
      <c r="AB478" s="123" t="s">
        <v>267</v>
      </c>
      <c r="AC478" s="123" t="s">
        <v>204</v>
      </c>
      <c r="AD478" s="20" t="s">
        <v>949</v>
      </c>
      <c r="AE478" s="20" t="s">
        <v>1932</v>
      </c>
      <c r="AF478" s="20" t="s">
        <v>4578</v>
      </c>
      <c r="AG478" s="20" t="s">
        <v>99</v>
      </c>
      <c r="AH478" s="20" t="s">
        <v>99</v>
      </c>
      <c r="AI478" s="20" t="s">
        <v>99</v>
      </c>
      <c r="AJ478" s="20" t="s">
        <v>99</v>
      </c>
      <c r="AK478" s="20" t="s">
        <v>4579</v>
      </c>
      <c r="AL478" s="20" t="s">
        <v>4580</v>
      </c>
      <c r="AM478" s="20">
        <v>162</v>
      </c>
      <c r="AN478" s="20">
        <v>89</v>
      </c>
      <c r="AO478" s="20">
        <v>108</v>
      </c>
      <c r="AP478" s="20">
        <v>38</v>
      </c>
      <c r="AQ478" s="20">
        <v>8</v>
      </c>
      <c r="AR478" s="20" t="s">
        <v>167</v>
      </c>
      <c r="AS478" s="20">
        <v>54</v>
      </c>
      <c r="AT478" s="20" t="s">
        <v>4581</v>
      </c>
      <c r="AU478" s="20">
        <v>105</v>
      </c>
      <c r="AV478" s="20">
        <v>73</v>
      </c>
      <c r="AW478" s="20"/>
      <c r="AX478" s="20" t="s">
        <v>4582</v>
      </c>
      <c r="AY478" s="20" t="s">
        <v>4583</v>
      </c>
      <c r="AZ478" s="20" t="s">
        <v>4453</v>
      </c>
      <c r="BA478" s="20"/>
      <c r="BB478" s="20" t="s">
        <v>4584</v>
      </c>
      <c r="BC478" s="20" t="s">
        <v>1556</v>
      </c>
      <c r="BD478" s="20" t="s">
        <v>4585</v>
      </c>
      <c r="BE478" s="20"/>
      <c r="BF478" s="20" t="s">
        <v>4586</v>
      </c>
      <c r="BG478" s="20" t="s">
        <v>99</v>
      </c>
      <c r="BH478" s="20" t="s">
        <v>2724</v>
      </c>
      <c r="BI478" s="20" t="s">
        <v>99</v>
      </c>
      <c r="BJ478" s="20" t="s">
        <v>99</v>
      </c>
      <c r="BK478" s="20" t="s">
        <v>99</v>
      </c>
      <c r="BL478" s="20"/>
      <c r="BM478" s="20"/>
      <c r="BN478" s="20" t="s">
        <v>1886</v>
      </c>
      <c r="BO478" s="20" t="s">
        <v>4587</v>
      </c>
      <c r="BP478" s="20" t="s">
        <v>4588</v>
      </c>
      <c r="BQ478" s="20" t="s">
        <v>99</v>
      </c>
      <c r="BR478" s="20"/>
      <c r="BS478" s="20"/>
      <c r="BT478" s="20"/>
      <c r="BU478" s="20" t="s">
        <v>99</v>
      </c>
      <c r="BV478" s="20"/>
      <c r="BW478" s="20"/>
      <c r="BX478" s="20"/>
      <c r="BY478" s="20" t="s">
        <v>322</v>
      </c>
      <c r="BZ478" s="20" t="s">
        <v>1236</v>
      </c>
      <c r="CA478" s="20" t="s">
        <v>1110</v>
      </c>
      <c r="CB478" s="20" t="s">
        <v>4197</v>
      </c>
      <c r="CC478" s="20" t="s">
        <v>99</v>
      </c>
      <c r="CD478" s="20"/>
      <c r="CE478" s="20"/>
      <c r="CF478" s="20"/>
      <c r="CG478" s="20" t="s">
        <v>99</v>
      </c>
      <c r="CH478" s="20"/>
      <c r="CI478" s="20"/>
      <c r="CJ478" s="20"/>
      <c r="CK478" s="20"/>
      <c r="CL478" s="20" t="s">
        <v>4589</v>
      </c>
      <c r="CM478" s="20" t="s">
        <v>1155</v>
      </c>
      <c r="CN478" s="20" t="s">
        <v>1866</v>
      </c>
      <c r="CO478" s="20"/>
      <c r="CP478" s="20"/>
      <c r="CQ478" s="20"/>
      <c r="CR478" s="20"/>
      <c r="CS478" s="20" t="s">
        <v>99</v>
      </c>
      <c r="CT478" s="20"/>
      <c r="CU478" s="20"/>
      <c r="CV478" s="20"/>
      <c r="CW478" s="20">
        <v>3</v>
      </c>
      <c r="CX478" s="20" t="s">
        <v>110</v>
      </c>
      <c r="CY478" s="20" t="s">
        <v>110</v>
      </c>
      <c r="CZ478" s="20">
        <v>50</v>
      </c>
      <c r="DA478" s="20">
        <v>40</v>
      </c>
      <c r="DB478" s="20">
        <v>10</v>
      </c>
      <c r="DC478" s="20" t="s">
        <v>4590</v>
      </c>
      <c r="DD478" s="20" t="s">
        <v>4591</v>
      </c>
      <c r="DE478" s="20">
        <v>117</v>
      </c>
      <c r="DF478" s="20">
        <v>90</v>
      </c>
      <c r="DG478" s="9">
        <f t="shared" si="7"/>
        <v>4.3916981160954469</v>
      </c>
      <c r="DH478" s="20">
        <v>18</v>
      </c>
      <c r="DI478" s="20" t="s">
        <v>4592</v>
      </c>
      <c r="DJ478" s="20"/>
      <c r="DK478" s="20"/>
      <c r="DL478" s="20" t="s">
        <v>4593</v>
      </c>
      <c r="DM478" s="20" t="s">
        <v>4594</v>
      </c>
      <c r="DN478" s="20"/>
      <c r="DP478" s="11">
        <v>2</v>
      </c>
      <c r="DR478" s="9">
        <v>2</v>
      </c>
    </row>
    <row r="479" spans="1:125" x14ac:dyDescent="0.2">
      <c r="A479" s="9" t="s">
        <v>4595</v>
      </c>
      <c r="B479" s="21">
        <v>43644</v>
      </c>
      <c r="C479" s="20" t="s">
        <v>95</v>
      </c>
      <c r="D479" s="20">
        <v>56</v>
      </c>
      <c r="E479" s="20" t="s">
        <v>100</v>
      </c>
      <c r="F479" s="51">
        <v>22924</v>
      </c>
      <c r="G479" s="20" t="s">
        <v>4596</v>
      </c>
      <c r="H479" s="20"/>
      <c r="I479" s="20" t="s">
        <v>2020</v>
      </c>
      <c r="J479" s="20" t="s">
        <v>4597</v>
      </c>
      <c r="K479" s="20">
        <v>1998</v>
      </c>
      <c r="L479" s="20">
        <v>3</v>
      </c>
      <c r="M479" s="20" t="s">
        <v>4598</v>
      </c>
      <c r="N479" s="20" t="s">
        <v>99</v>
      </c>
      <c r="O479" s="20" t="s">
        <v>99</v>
      </c>
      <c r="P479" s="20" t="s">
        <v>99</v>
      </c>
      <c r="Q479" s="20" t="s">
        <v>99</v>
      </c>
      <c r="R479" s="20"/>
      <c r="S479" s="20" t="s">
        <v>99</v>
      </c>
      <c r="T479" s="20" t="s">
        <v>4599</v>
      </c>
      <c r="U479" s="20"/>
      <c r="V479" s="20"/>
      <c r="W479" s="20" t="s">
        <v>4600</v>
      </c>
      <c r="X479" s="20"/>
      <c r="Y479" s="20"/>
      <c r="Z479" s="20"/>
      <c r="AA479" s="20" t="s">
        <v>100</v>
      </c>
      <c r="AB479" s="20" t="s">
        <v>605</v>
      </c>
      <c r="AC479" s="20" t="s">
        <v>100</v>
      </c>
      <c r="AD479" s="20" t="s">
        <v>1419</v>
      </c>
      <c r="AE479" s="20" t="s">
        <v>1932</v>
      </c>
      <c r="AF479" s="20" t="s">
        <v>4601</v>
      </c>
      <c r="AG479" s="20" t="s">
        <v>1420</v>
      </c>
      <c r="AH479" s="20" t="s">
        <v>1932</v>
      </c>
      <c r="AI479" s="20" t="s">
        <v>99</v>
      </c>
      <c r="AJ479" s="20" t="s">
        <v>99</v>
      </c>
      <c r="AK479" s="20" t="s">
        <v>4602</v>
      </c>
      <c r="AL479" s="20" t="s">
        <v>4603</v>
      </c>
      <c r="AM479" s="20">
        <v>148</v>
      </c>
      <c r="AN479" s="20">
        <v>117</v>
      </c>
      <c r="AO479" s="20">
        <v>112</v>
      </c>
      <c r="AP479" s="20" t="s">
        <v>4604</v>
      </c>
      <c r="AQ479" s="20">
        <v>13</v>
      </c>
      <c r="AR479" s="20" t="s">
        <v>4449</v>
      </c>
      <c r="AS479" s="20">
        <v>77</v>
      </c>
      <c r="AT479" s="20" t="s">
        <v>4605</v>
      </c>
      <c r="AU479" s="20">
        <v>117</v>
      </c>
      <c r="AV479" s="20">
        <v>61</v>
      </c>
      <c r="AW479" s="20"/>
      <c r="AX479" s="20" t="s">
        <v>488</v>
      </c>
      <c r="AY479" s="20"/>
      <c r="AZ479" s="20"/>
      <c r="BA479" s="20"/>
      <c r="BB479" s="20" t="s">
        <v>171</v>
      </c>
      <c r="BC479" s="20"/>
      <c r="BD479" s="20"/>
      <c r="BE479" s="20"/>
      <c r="BF479" s="20" t="s">
        <v>322</v>
      </c>
      <c r="BG479" s="20" t="s">
        <v>375</v>
      </c>
      <c r="BH479" s="20" t="s">
        <v>375</v>
      </c>
      <c r="BI479" s="20" t="s">
        <v>375</v>
      </c>
      <c r="BJ479" s="20" t="s">
        <v>322</v>
      </c>
      <c r="BK479" s="20" t="s">
        <v>323</v>
      </c>
      <c r="BL479" s="20"/>
      <c r="BM479" s="20"/>
      <c r="BN479" s="20" t="s">
        <v>376</v>
      </c>
      <c r="BO479" s="20" t="s">
        <v>499</v>
      </c>
      <c r="BP479" s="20"/>
      <c r="BQ479" s="20"/>
      <c r="BR479" s="20"/>
      <c r="BS479" s="20"/>
      <c r="BT479" s="20"/>
      <c r="BU479" s="20"/>
      <c r="BV479" s="20"/>
      <c r="BW479" s="20"/>
      <c r="BX479" s="20"/>
      <c r="BY479" s="20" t="s">
        <v>322</v>
      </c>
      <c r="BZ479" s="20" t="s">
        <v>1865</v>
      </c>
      <c r="CA479" s="20" t="s">
        <v>1764</v>
      </c>
      <c r="CB479" s="20" t="s">
        <v>4606</v>
      </c>
      <c r="CC479" s="20" t="s">
        <v>322</v>
      </c>
      <c r="CD479" s="20" t="s">
        <v>4607</v>
      </c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 t="s">
        <v>2110</v>
      </c>
      <c r="CQ479" s="20" t="s">
        <v>4608</v>
      </c>
      <c r="CR479" s="20" t="s">
        <v>309</v>
      </c>
      <c r="CS479" s="20"/>
      <c r="CT479" s="20" t="s">
        <v>4265</v>
      </c>
      <c r="CU479" s="20" t="s">
        <v>1869</v>
      </c>
      <c r="CV479" s="20" t="s">
        <v>1237</v>
      </c>
      <c r="CW479" s="20">
        <v>3</v>
      </c>
      <c r="CX479" s="20" t="s">
        <v>110</v>
      </c>
      <c r="CY479" s="20" t="s">
        <v>99</v>
      </c>
      <c r="CZ479" s="20"/>
      <c r="DA479" s="20"/>
      <c r="DB479" s="20"/>
      <c r="DC479" s="20" t="s">
        <v>4609</v>
      </c>
      <c r="DD479" s="20" t="s">
        <v>4610</v>
      </c>
      <c r="DE479" s="20">
        <v>237</v>
      </c>
      <c r="DF479" s="20">
        <v>156</v>
      </c>
      <c r="DG479" s="9">
        <f t="shared" si="7"/>
        <v>5.1359160702704258</v>
      </c>
      <c r="DH479" s="20" t="s">
        <v>4611</v>
      </c>
      <c r="DI479" s="20" t="s">
        <v>4612</v>
      </c>
      <c r="DJ479" s="20"/>
      <c r="DK479" s="20"/>
      <c r="DL479" s="20" t="s">
        <v>4613</v>
      </c>
      <c r="DM479" s="20" t="s">
        <v>4614</v>
      </c>
      <c r="DN479" s="20"/>
      <c r="DP479" s="11">
        <v>2</v>
      </c>
      <c r="DQ479" s="9">
        <v>2</v>
      </c>
      <c r="DR479" s="9">
        <v>2</v>
      </c>
    </row>
    <row r="480" spans="1:125" x14ac:dyDescent="0.2">
      <c r="A480" s="9" t="s">
        <v>4615</v>
      </c>
      <c r="B480" s="21">
        <v>43630</v>
      </c>
      <c r="C480" s="20" t="s">
        <v>3645</v>
      </c>
      <c r="D480" s="20">
        <v>57</v>
      </c>
      <c r="E480" s="20" t="s">
        <v>100</v>
      </c>
      <c r="F480" s="51">
        <v>22758</v>
      </c>
      <c r="G480" s="20"/>
      <c r="H480" s="20" t="s">
        <v>4616</v>
      </c>
      <c r="I480" s="20" t="s">
        <v>3596</v>
      </c>
      <c r="J480" s="20" t="s">
        <v>2138</v>
      </c>
      <c r="K480" s="51">
        <v>33235</v>
      </c>
      <c r="L480" s="20">
        <v>2</v>
      </c>
      <c r="M480" s="20" t="s">
        <v>99</v>
      </c>
      <c r="N480" s="20" t="s">
        <v>99</v>
      </c>
      <c r="O480" s="20" t="s">
        <v>99</v>
      </c>
      <c r="P480" s="20" t="s">
        <v>4617</v>
      </c>
      <c r="Q480" s="20" t="s">
        <v>4618</v>
      </c>
      <c r="R480" s="20" t="s">
        <v>99</v>
      </c>
      <c r="S480" s="20"/>
      <c r="T480" s="20"/>
      <c r="U480" s="20"/>
      <c r="V480" s="20"/>
      <c r="W480" s="20"/>
      <c r="X480" s="20"/>
      <c r="Y480" s="20"/>
      <c r="Z480" s="20" t="s">
        <v>4619</v>
      </c>
      <c r="AA480" s="20" t="s">
        <v>100</v>
      </c>
      <c r="AB480" s="20" t="s">
        <v>100</v>
      </c>
      <c r="AC480" s="20" t="s">
        <v>100</v>
      </c>
      <c r="AD480" s="20" t="s">
        <v>100</v>
      </c>
      <c r="AE480" s="20" t="s">
        <v>99</v>
      </c>
      <c r="AF480" s="20" t="s">
        <v>99</v>
      </c>
      <c r="AG480" s="20" t="s">
        <v>99</v>
      </c>
      <c r="AH480" s="20" t="s">
        <v>99</v>
      </c>
      <c r="AI480" s="20" t="s">
        <v>99</v>
      </c>
      <c r="AJ480" s="20" t="s">
        <v>99</v>
      </c>
      <c r="AK480" s="20"/>
      <c r="AL480" s="20" t="s">
        <v>4620</v>
      </c>
      <c r="AM480" s="20">
        <v>157</v>
      </c>
      <c r="AN480" s="20">
        <v>90</v>
      </c>
      <c r="AO480" s="20">
        <v>102</v>
      </c>
      <c r="AP480" s="20" t="s">
        <v>4621</v>
      </c>
      <c r="AQ480" s="20">
        <v>9</v>
      </c>
      <c r="AR480" s="20" t="s">
        <v>4622</v>
      </c>
      <c r="AS480" s="20">
        <v>62</v>
      </c>
      <c r="AT480" s="20" t="s">
        <v>4623</v>
      </c>
      <c r="AU480" s="20">
        <v>94</v>
      </c>
      <c r="AV480" s="20">
        <v>70</v>
      </c>
      <c r="AW480" s="20"/>
      <c r="AX480" s="20" t="s">
        <v>4452</v>
      </c>
      <c r="AY480" s="20" t="s">
        <v>4624</v>
      </c>
      <c r="AZ480" s="20" t="s">
        <v>326</v>
      </c>
      <c r="BA480" s="20"/>
      <c r="BB480" s="20" t="s">
        <v>4415</v>
      </c>
      <c r="BC480" s="20" t="s">
        <v>4625</v>
      </c>
      <c r="BD480" s="22"/>
      <c r="BE480" s="20"/>
      <c r="BF480" s="20" t="s">
        <v>322</v>
      </c>
      <c r="BG480" s="20" t="s">
        <v>4626</v>
      </c>
      <c r="BH480" s="20" t="s">
        <v>4627</v>
      </c>
      <c r="BI480" s="20" t="s">
        <v>4628</v>
      </c>
      <c r="BJ480" s="20" t="s">
        <v>635</v>
      </c>
      <c r="BK480" s="20" t="s">
        <v>4629</v>
      </c>
      <c r="BL480" s="20"/>
      <c r="BM480" s="20"/>
      <c r="BN480" s="20" t="s">
        <v>394</v>
      </c>
      <c r="BO480" s="20" t="s">
        <v>4630</v>
      </c>
      <c r="BP480" s="20"/>
      <c r="BQ480" s="20" t="s">
        <v>99</v>
      </c>
      <c r="BR480" s="20"/>
      <c r="BS480" s="20"/>
      <c r="BT480" s="20"/>
      <c r="BU480" s="20" t="s">
        <v>99</v>
      </c>
      <c r="BV480" s="20"/>
      <c r="BW480" s="20"/>
      <c r="BX480" s="20"/>
      <c r="BY480" s="20" t="s">
        <v>322</v>
      </c>
      <c r="BZ480" s="20" t="s">
        <v>277</v>
      </c>
      <c r="CA480" s="20" t="s">
        <v>4631</v>
      </c>
      <c r="CB480" s="20" t="s">
        <v>4417</v>
      </c>
      <c r="CC480" s="20" t="s">
        <v>99</v>
      </c>
      <c r="CD480" s="20"/>
      <c r="CE480" s="20"/>
      <c r="CF480" s="20"/>
      <c r="CG480" s="20" t="s">
        <v>99</v>
      </c>
      <c r="CH480" s="20"/>
      <c r="CI480" s="20"/>
      <c r="CJ480" s="20"/>
      <c r="CK480" s="20"/>
      <c r="CL480" s="20" t="s">
        <v>306</v>
      </c>
      <c r="CM480" s="20" t="s">
        <v>4632</v>
      </c>
      <c r="CN480" s="20" t="s">
        <v>4633</v>
      </c>
      <c r="CO480" s="20"/>
      <c r="CP480" s="20" t="s">
        <v>4634</v>
      </c>
      <c r="CQ480" s="20" t="s">
        <v>4635</v>
      </c>
      <c r="CR480" s="20"/>
      <c r="CS480" s="20"/>
      <c r="CT480" s="20" t="s">
        <v>4636</v>
      </c>
      <c r="CU480" s="20"/>
      <c r="CV480" s="20"/>
      <c r="CW480" s="20">
        <v>3</v>
      </c>
      <c r="CX480" s="20" t="s">
        <v>110</v>
      </c>
      <c r="CY480" s="20" t="s">
        <v>110</v>
      </c>
      <c r="CZ480" s="20"/>
      <c r="DA480" s="20"/>
      <c r="DB480" s="20"/>
      <c r="DC480" s="20"/>
      <c r="DD480" s="20"/>
      <c r="DE480" s="20"/>
      <c r="DF480" s="20"/>
      <c r="DG480" s="9" t="e">
        <f t="shared" si="7"/>
        <v>#NUM!</v>
      </c>
      <c r="DH480" s="20"/>
      <c r="DI480" s="20"/>
      <c r="DJ480" s="20"/>
      <c r="DK480" s="20"/>
      <c r="DL480" s="20"/>
      <c r="DM480" s="20"/>
      <c r="DN480" s="20"/>
      <c r="DP480" s="11">
        <v>2</v>
      </c>
      <c r="DR480" s="9">
        <v>3</v>
      </c>
    </row>
    <row r="481" spans="1:125" x14ac:dyDescent="0.2">
      <c r="A481" s="9" t="s">
        <v>4637</v>
      </c>
      <c r="B481" s="21">
        <v>43629</v>
      </c>
      <c r="C481" s="20" t="s">
        <v>675</v>
      </c>
      <c r="D481" s="20">
        <v>54</v>
      </c>
      <c r="E481" s="20" t="s">
        <v>100</v>
      </c>
      <c r="F481" s="51">
        <v>23874</v>
      </c>
      <c r="G481" s="20" t="s">
        <v>4638</v>
      </c>
      <c r="H481" s="20" t="s">
        <v>4496</v>
      </c>
      <c r="I481" s="20"/>
      <c r="J481" s="20"/>
      <c r="K481" s="20"/>
      <c r="L481" s="20"/>
      <c r="M481" s="20" t="s">
        <v>99</v>
      </c>
      <c r="N481" s="20" t="s">
        <v>99</v>
      </c>
      <c r="O481" s="20" t="s">
        <v>99</v>
      </c>
      <c r="P481" s="20" t="s">
        <v>99</v>
      </c>
      <c r="Q481" s="20" t="s">
        <v>99</v>
      </c>
      <c r="R481" s="20" t="s">
        <v>99</v>
      </c>
      <c r="S481" s="20" t="s">
        <v>99</v>
      </c>
      <c r="T481" s="20" t="s">
        <v>99</v>
      </c>
      <c r="U481" s="20" t="s">
        <v>99</v>
      </c>
      <c r="V481" s="20"/>
      <c r="W481" s="20" t="s">
        <v>99</v>
      </c>
      <c r="X481" s="20" t="s">
        <v>99</v>
      </c>
      <c r="Y481" s="20"/>
      <c r="Z481" s="20"/>
      <c r="AA481" s="20" t="s">
        <v>100</v>
      </c>
      <c r="AB481" s="20" t="s">
        <v>100</v>
      </c>
      <c r="AC481" s="20" t="s">
        <v>100</v>
      </c>
      <c r="AD481" s="20" t="s">
        <v>100</v>
      </c>
      <c r="AE481" s="20" t="s">
        <v>4639</v>
      </c>
      <c r="AF481" s="20" t="s">
        <v>1127</v>
      </c>
      <c r="AG481" s="20" t="s">
        <v>99</v>
      </c>
      <c r="AH481" s="20" t="s">
        <v>99</v>
      </c>
      <c r="AI481" s="20" t="s">
        <v>1127</v>
      </c>
      <c r="AJ481" s="20" t="s">
        <v>99</v>
      </c>
      <c r="AK481" s="20"/>
      <c r="AL481" s="20" t="s">
        <v>4640</v>
      </c>
      <c r="AM481" s="20">
        <v>178</v>
      </c>
      <c r="AN481" s="20" t="s">
        <v>4641</v>
      </c>
      <c r="AO481" s="20">
        <v>106</v>
      </c>
      <c r="AP481" s="20">
        <v>24</v>
      </c>
      <c r="AQ481" s="20">
        <v>12</v>
      </c>
      <c r="AR481" s="20" t="s">
        <v>4642</v>
      </c>
      <c r="AS481" s="20">
        <v>62</v>
      </c>
      <c r="AT481" s="20" t="s">
        <v>4643</v>
      </c>
      <c r="AU481" s="20">
        <v>127</v>
      </c>
      <c r="AV481" s="20">
        <v>81</v>
      </c>
      <c r="AW481" s="20" t="s">
        <v>4644</v>
      </c>
      <c r="AX481" s="20" t="s">
        <v>592</v>
      </c>
      <c r="AY481" s="20" t="s">
        <v>573</v>
      </c>
      <c r="AZ481" s="20" t="s">
        <v>3401</v>
      </c>
      <c r="BA481" s="20"/>
      <c r="BB481" s="20" t="s">
        <v>4645</v>
      </c>
      <c r="BC481" s="20" t="s">
        <v>4646</v>
      </c>
      <c r="BD481" s="20"/>
      <c r="BE481" s="20"/>
      <c r="BF481" s="20" t="s">
        <v>1817</v>
      </c>
      <c r="BG481" s="20" t="s">
        <v>4644</v>
      </c>
      <c r="BH481" s="20" t="s">
        <v>4300</v>
      </c>
      <c r="BI481" s="20" t="s">
        <v>4628</v>
      </c>
      <c r="BJ481" s="20" t="s">
        <v>4647</v>
      </c>
      <c r="BK481" s="20" t="s">
        <v>4648</v>
      </c>
      <c r="BL481" s="20"/>
      <c r="BM481" s="20"/>
      <c r="BN481" s="20" t="s">
        <v>4649</v>
      </c>
      <c r="BO481" s="20" t="s">
        <v>4650</v>
      </c>
      <c r="BP481" s="20"/>
      <c r="BQ481" s="20" t="s">
        <v>99</v>
      </c>
      <c r="BR481" s="20"/>
      <c r="BS481" s="20"/>
      <c r="BT481" s="20"/>
      <c r="BU481" s="20" t="s">
        <v>99</v>
      </c>
      <c r="BV481" s="20"/>
      <c r="BW481" s="20"/>
      <c r="BX481" s="20"/>
      <c r="BY481" s="20"/>
      <c r="BZ481" s="20" t="s">
        <v>4651</v>
      </c>
      <c r="CA481" s="20" t="s">
        <v>4652</v>
      </c>
      <c r="CB481" s="20" t="s">
        <v>4653</v>
      </c>
      <c r="CC481" s="20" t="s">
        <v>99</v>
      </c>
      <c r="CD481" s="20"/>
      <c r="CE481" s="20"/>
      <c r="CF481" s="20"/>
      <c r="CG481" s="20" t="s">
        <v>99</v>
      </c>
      <c r="CH481" s="20"/>
      <c r="CI481" s="20"/>
      <c r="CJ481" s="20"/>
      <c r="CK481" s="20"/>
      <c r="CL481" s="20" t="s">
        <v>4654</v>
      </c>
      <c r="CM481" s="20" t="s">
        <v>4655</v>
      </c>
      <c r="CN481" s="20" t="s">
        <v>185</v>
      </c>
      <c r="CO481" s="20"/>
      <c r="CP481" s="20" t="s">
        <v>362</v>
      </c>
      <c r="CQ481" s="20" t="s">
        <v>716</v>
      </c>
      <c r="CR481" s="20"/>
      <c r="CS481" s="20"/>
      <c r="CT481" s="22" t="s">
        <v>4656</v>
      </c>
      <c r="CU481" s="20" t="s">
        <v>4657</v>
      </c>
      <c r="CV481" s="20"/>
      <c r="CW481" s="20">
        <v>2</v>
      </c>
      <c r="CX481" s="20" t="s">
        <v>110</v>
      </c>
      <c r="CY481" s="20" t="s">
        <v>110</v>
      </c>
      <c r="CZ481" s="20">
        <v>50</v>
      </c>
      <c r="DA481" s="20">
        <v>30</v>
      </c>
      <c r="DB481" s="20">
        <v>20</v>
      </c>
      <c r="DC481" s="20" t="s">
        <v>4658</v>
      </c>
      <c r="DD481" s="20" t="s">
        <v>4659</v>
      </c>
      <c r="DE481" s="20">
        <v>161</v>
      </c>
      <c r="DF481" s="20">
        <v>137</v>
      </c>
      <c r="DG481" s="9">
        <f t="shared" si="7"/>
        <v>4.6305927829908757</v>
      </c>
      <c r="DH481" s="20" t="s">
        <v>4660</v>
      </c>
      <c r="DI481" s="20" t="s">
        <v>4661</v>
      </c>
      <c r="DJ481" s="20"/>
      <c r="DK481" s="20"/>
      <c r="DL481" s="20">
        <v>71</v>
      </c>
      <c r="DM481" s="20" t="s">
        <v>4662</v>
      </c>
      <c r="DN481" s="20"/>
      <c r="DP481" s="11">
        <v>1</v>
      </c>
      <c r="DQ481" s="9">
        <v>2</v>
      </c>
      <c r="DR481" s="9">
        <v>2</v>
      </c>
    </row>
    <row r="482" spans="1:125" x14ac:dyDescent="0.2">
      <c r="A482" s="9" t="s">
        <v>4663</v>
      </c>
      <c r="B482" s="21">
        <v>43661</v>
      </c>
      <c r="C482" s="20" t="s">
        <v>3955</v>
      </c>
      <c r="D482" s="20">
        <v>63</v>
      </c>
      <c r="E482" s="20"/>
      <c r="F482" s="51">
        <v>20838</v>
      </c>
      <c r="G482" s="20" t="s">
        <v>3009</v>
      </c>
      <c r="H482" s="20"/>
      <c r="I482" s="20"/>
      <c r="J482" s="20"/>
      <c r="K482" s="20"/>
      <c r="L482" s="20"/>
      <c r="M482" s="20" t="s">
        <v>99</v>
      </c>
      <c r="N482" s="20" t="s">
        <v>99</v>
      </c>
      <c r="O482" s="20" t="s">
        <v>99</v>
      </c>
      <c r="P482" s="20"/>
      <c r="Q482" s="20" t="s">
        <v>110</v>
      </c>
      <c r="R482" s="20"/>
      <c r="S482" s="20" t="s">
        <v>4664</v>
      </c>
      <c r="T482" s="20" t="s">
        <v>99</v>
      </c>
      <c r="U482" s="20" t="s">
        <v>99</v>
      </c>
      <c r="V482" s="20"/>
      <c r="W482" s="20" t="s">
        <v>4665</v>
      </c>
      <c r="X482" s="20"/>
      <c r="Y482" s="22" t="s">
        <v>4666</v>
      </c>
      <c r="Z482" s="20" t="s">
        <v>4667</v>
      </c>
      <c r="AA482" s="20" t="s">
        <v>949</v>
      </c>
      <c r="AB482" s="20" t="s">
        <v>949</v>
      </c>
      <c r="AC482" s="20" t="s">
        <v>949</v>
      </c>
      <c r="AD482" s="20" t="s">
        <v>100</v>
      </c>
      <c r="AE482" s="20" t="s">
        <v>843</v>
      </c>
      <c r="AF482" s="20" t="s">
        <v>4668</v>
      </c>
      <c r="AG482" s="20" t="s">
        <v>843</v>
      </c>
      <c r="AH482" s="20" t="s">
        <v>99</v>
      </c>
      <c r="AI482" s="20" t="s">
        <v>99</v>
      </c>
      <c r="AJ482" s="20" t="s">
        <v>99</v>
      </c>
      <c r="AK482" s="20" t="s">
        <v>4669</v>
      </c>
      <c r="AL482" s="20" t="s">
        <v>4670</v>
      </c>
      <c r="AM482" s="20">
        <v>172</v>
      </c>
      <c r="AN482" s="20">
        <v>108</v>
      </c>
      <c r="AO482" s="20">
        <v>105</v>
      </c>
      <c r="AP482" s="20" t="s">
        <v>4671</v>
      </c>
      <c r="AQ482" s="20">
        <v>14</v>
      </c>
      <c r="AR482" s="20" t="s">
        <v>4672</v>
      </c>
      <c r="AS482" s="20">
        <v>63</v>
      </c>
      <c r="AT482" s="20" t="s">
        <v>4673</v>
      </c>
      <c r="AU482" s="20">
        <v>113</v>
      </c>
      <c r="AV482" s="20">
        <v>71</v>
      </c>
      <c r="AW482" s="20" t="s">
        <v>176</v>
      </c>
      <c r="AX482" s="20" t="s">
        <v>1656</v>
      </c>
      <c r="AY482" s="20" t="s">
        <v>592</v>
      </c>
      <c r="AZ482" s="20" t="s">
        <v>1128</v>
      </c>
      <c r="BA482" s="20" t="s">
        <v>176</v>
      </c>
      <c r="BB482" s="20" t="s">
        <v>1080</v>
      </c>
      <c r="BC482" s="20" t="s">
        <v>2541</v>
      </c>
      <c r="BD482" s="20" t="s">
        <v>4674</v>
      </c>
      <c r="BE482" s="20"/>
      <c r="BF482" s="20" t="s">
        <v>4675</v>
      </c>
      <c r="BG482" s="20" t="s">
        <v>176</v>
      </c>
      <c r="BH482" s="20" t="s">
        <v>99</v>
      </c>
      <c r="BI482" s="20"/>
      <c r="BJ482" s="20" t="s">
        <v>4676</v>
      </c>
      <c r="BK482" s="20" t="s">
        <v>4644</v>
      </c>
      <c r="BL482" s="20"/>
      <c r="BM482" s="20" t="s">
        <v>176</v>
      </c>
      <c r="BN482" s="20" t="s">
        <v>2534</v>
      </c>
      <c r="BO482" s="20" t="s">
        <v>1664</v>
      </c>
      <c r="BP482" s="20" t="s">
        <v>4677</v>
      </c>
      <c r="BQ482" s="20" t="s">
        <v>99</v>
      </c>
      <c r="BR482" s="20"/>
      <c r="BS482" s="20"/>
      <c r="BT482" s="20"/>
      <c r="BU482" s="20" t="s">
        <v>99</v>
      </c>
      <c r="BV482" s="20"/>
      <c r="BW482" s="20"/>
      <c r="BX482" s="20"/>
      <c r="BY482" s="20" t="s">
        <v>322</v>
      </c>
      <c r="BZ482" s="20" t="s">
        <v>4678</v>
      </c>
      <c r="CA482" s="20" t="s">
        <v>1730</v>
      </c>
      <c r="CB482" s="20" t="s">
        <v>1137</v>
      </c>
      <c r="CC482" s="20" t="s">
        <v>99</v>
      </c>
      <c r="CD482" s="20"/>
      <c r="CE482" s="20"/>
      <c r="CF482" s="20"/>
      <c r="CG482" s="20" t="s">
        <v>99</v>
      </c>
      <c r="CH482" s="20"/>
      <c r="CI482" s="20"/>
      <c r="CJ482" s="20"/>
      <c r="CK482" s="20"/>
      <c r="CL482" s="20" t="s">
        <v>4679</v>
      </c>
      <c r="CM482" s="20" t="s">
        <v>4680</v>
      </c>
      <c r="CN482" s="20" t="s">
        <v>4681</v>
      </c>
      <c r="CO482" s="20"/>
      <c r="CP482" s="20" t="s">
        <v>4634</v>
      </c>
      <c r="CQ482" s="20" t="s">
        <v>4682</v>
      </c>
      <c r="CR482" s="20" t="s">
        <v>4683</v>
      </c>
      <c r="CS482" s="20" t="s">
        <v>216</v>
      </c>
      <c r="CT482" s="20" t="s">
        <v>4684</v>
      </c>
      <c r="CU482" s="20" t="s">
        <v>4685</v>
      </c>
      <c r="CV482" s="20"/>
      <c r="CW482" s="20">
        <v>3</v>
      </c>
      <c r="CX482" s="20" t="s">
        <v>110</v>
      </c>
      <c r="CY482" s="20" t="s">
        <v>110</v>
      </c>
      <c r="CZ482" s="20">
        <v>33</v>
      </c>
      <c r="DA482" s="20">
        <v>33</v>
      </c>
      <c r="DB482" s="20">
        <v>33</v>
      </c>
      <c r="DC482" s="20">
        <v>84</v>
      </c>
      <c r="DD482" s="20" t="s">
        <v>4686</v>
      </c>
      <c r="DE482" s="20">
        <v>150</v>
      </c>
      <c r="DF482" s="20">
        <v>76</v>
      </c>
      <c r="DG482" s="9">
        <f t="shared" si="7"/>
        <v>4.3807750695648222</v>
      </c>
      <c r="DH482" s="20" t="s">
        <v>4687</v>
      </c>
      <c r="DI482" s="20" t="s">
        <v>4688</v>
      </c>
      <c r="DJ482" s="20"/>
      <c r="DK482" s="20"/>
      <c r="DL482" s="20" t="s">
        <v>193</v>
      </c>
      <c r="DM482" s="20" t="s">
        <v>4689</v>
      </c>
      <c r="DN482" s="20"/>
      <c r="DP482" s="11">
        <v>2</v>
      </c>
      <c r="DQ482" s="9">
        <v>2</v>
      </c>
      <c r="DR482" s="9">
        <v>2</v>
      </c>
    </row>
    <row r="483" spans="1:125" x14ac:dyDescent="0.2">
      <c r="A483" s="9" t="s">
        <v>4690</v>
      </c>
      <c r="B483" s="21">
        <v>43619</v>
      </c>
      <c r="C483" s="20" t="s">
        <v>196</v>
      </c>
      <c r="D483" s="20">
        <v>51</v>
      </c>
      <c r="E483" s="20" t="s">
        <v>100</v>
      </c>
      <c r="F483" s="51">
        <v>24924</v>
      </c>
      <c r="G483" s="20" t="s">
        <v>4268</v>
      </c>
      <c r="H483" s="20" t="s">
        <v>98</v>
      </c>
      <c r="I483" s="20" t="s">
        <v>1321</v>
      </c>
      <c r="J483" s="20"/>
      <c r="K483" s="20" t="s">
        <v>4691</v>
      </c>
      <c r="L483" s="20" t="s">
        <v>4691</v>
      </c>
      <c r="M483" s="20" t="s">
        <v>99</v>
      </c>
      <c r="N483" s="20" t="s">
        <v>99</v>
      </c>
      <c r="O483" s="20" t="s">
        <v>99</v>
      </c>
      <c r="P483" s="20" t="s">
        <v>99</v>
      </c>
      <c r="Q483" s="20" t="s">
        <v>99</v>
      </c>
      <c r="R483" s="20" t="s">
        <v>99</v>
      </c>
      <c r="S483" s="20" t="s">
        <v>4692</v>
      </c>
      <c r="T483" s="20" t="s">
        <v>4693</v>
      </c>
      <c r="U483" s="20" t="s">
        <v>99</v>
      </c>
      <c r="V483" s="25" t="s">
        <v>4694</v>
      </c>
      <c r="W483" s="20" t="s">
        <v>4695</v>
      </c>
      <c r="X483" s="20" t="s">
        <v>162</v>
      </c>
      <c r="Y483" s="20" t="s">
        <v>162</v>
      </c>
      <c r="Z483" s="20" t="s">
        <v>4696</v>
      </c>
      <c r="AA483" s="20" t="s">
        <v>100</v>
      </c>
      <c r="AB483" s="20" t="s">
        <v>100</v>
      </c>
      <c r="AC483" s="20" t="s">
        <v>100</v>
      </c>
      <c r="AD483" s="20" t="s">
        <v>100</v>
      </c>
      <c r="AE483" s="20" t="s">
        <v>4697</v>
      </c>
      <c r="AF483" s="20" t="s">
        <v>4698</v>
      </c>
      <c r="AG483" s="20" t="s">
        <v>99</v>
      </c>
      <c r="AH483" s="20" t="s">
        <v>2047</v>
      </c>
      <c r="AI483" s="20" t="s">
        <v>2047</v>
      </c>
      <c r="AJ483" s="20" t="s">
        <v>99</v>
      </c>
      <c r="AK483" s="20" t="s">
        <v>4699</v>
      </c>
      <c r="AL483" s="20" t="s">
        <v>4700</v>
      </c>
      <c r="AM483" s="20">
        <v>162</v>
      </c>
      <c r="AN483" s="20">
        <v>84</v>
      </c>
      <c r="AO483" s="20">
        <v>100</v>
      </c>
      <c r="AP483" s="20" t="s">
        <v>845</v>
      </c>
      <c r="AQ483" s="20">
        <v>5</v>
      </c>
      <c r="AR483" s="20">
        <v>27</v>
      </c>
      <c r="AS483" s="20">
        <v>41</v>
      </c>
      <c r="AT483" s="20" t="s">
        <v>4410</v>
      </c>
      <c r="AU483" s="22">
        <v>56</v>
      </c>
      <c r="AV483" s="22">
        <v>81</v>
      </c>
      <c r="AW483" s="20" t="s">
        <v>176</v>
      </c>
      <c r="AX483" s="20" t="s">
        <v>729</v>
      </c>
      <c r="AY483" s="20" t="s">
        <v>1128</v>
      </c>
      <c r="AZ483" s="20" t="s">
        <v>4701</v>
      </c>
      <c r="BA483" s="20"/>
      <c r="BB483" s="20" t="s">
        <v>4702</v>
      </c>
      <c r="BC483" s="20" t="s">
        <v>4703</v>
      </c>
      <c r="BD483" s="20" t="s">
        <v>4704</v>
      </c>
      <c r="BE483" s="20"/>
      <c r="BF483" s="20" t="s">
        <v>4705</v>
      </c>
      <c r="BG483" s="20" t="s">
        <v>4706</v>
      </c>
      <c r="BH483" s="20" t="s">
        <v>99</v>
      </c>
      <c r="BI483" s="20" t="s">
        <v>1469</v>
      </c>
      <c r="BJ483" s="20" t="s">
        <v>4707</v>
      </c>
      <c r="BK483" s="20" t="s">
        <v>4708</v>
      </c>
      <c r="BL483" s="20"/>
      <c r="BM483" s="20" t="s">
        <v>176</v>
      </c>
      <c r="BN483" s="20" t="s">
        <v>4014</v>
      </c>
      <c r="BO483" s="20" t="s">
        <v>178</v>
      </c>
      <c r="BP483" s="20" t="s">
        <v>179</v>
      </c>
      <c r="BQ483" s="20" t="s">
        <v>1646</v>
      </c>
      <c r="BR483" s="20" t="s">
        <v>4709</v>
      </c>
      <c r="BS483" s="20"/>
      <c r="BT483" s="20"/>
      <c r="BU483" s="20" t="s">
        <v>110</v>
      </c>
      <c r="BV483" s="20" t="s">
        <v>1469</v>
      </c>
      <c r="BW483" s="20"/>
      <c r="BX483" s="20"/>
      <c r="BY483" s="20" t="s">
        <v>176</v>
      </c>
      <c r="BZ483" s="20" t="s">
        <v>183</v>
      </c>
      <c r="CA483" s="20" t="s">
        <v>709</v>
      </c>
      <c r="CB483" s="20" t="s">
        <v>859</v>
      </c>
      <c r="CC483" s="20" t="s">
        <v>1646</v>
      </c>
      <c r="CD483" s="20" t="s">
        <v>578</v>
      </c>
      <c r="CE483" s="20"/>
      <c r="CF483" s="20"/>
      <c r="CG483" s="20" t="s">
        <v>1646</v>
      </c>
      <c r="CH483" s="20" t="s">
        <v>4710</v>
      </c>
      <c r="CI483" s="20" t="s">
        <v>4711</v>
      </c>
      <c r="CJ483" s="20"/>
      <c r="CK483" s="20"/>
      <c r="CL483" s="22" t="s">
        <v>4712</v>
      </c>
      <c r="CM483" s="20" t="s">
        <v>1181</v>
      </c>
      <c r="CN483" s="20" t="s">
        <v>1180</v>
      </c>
      <c r="CO483" s="20" t="s">
        <v>176</v>
      </c>
      <c r="CP483" s="20" t="s">
        <v>361</v>
      </c>
      <c r="CQ483" s="20" t="s">
        <v>716</v>
      </c>
      <c r="CR483" s="20" t="s">
        <v>757</v>
      </c>
      <c r="CS483" s="20" t="s">
        <v>99</v>
      </c>
      <c r="CT483" s="20"/>
      <c r="CU483" s="20"/>
      <c r="CV483" s="20"/>
      <c r="CW483" s="20">
        <v>5</v>
      </c>
      <c r="CX483" s="20" t="s">
        <v>99</v>
      </c>
      <c r="CY483" s="20" t="s">
        <v>4713</v>
      </c>
      <c r="CZ483" s="22">
        <v>80</v>
      </c>
      <c r="DA483" s="22">
        <v>80</v>
      </c>
      <c r="DB483" s="22">
        <v>30</v>
      </c>
      <c r="DC483" s="20" t="s">
        <v>4714</v>
      </c>
      <c r="DD483" s="20" t="s">
        <v>4715</v>
      </c>
      <c r="DE483" s="20">
        <v>140</v>
      </c>
      <c r="DF483" s="20">
        <v>111</v>
      </c>
      <c r="DG483" s="9">
        <f t="shared" si="7"/>
        <v>4.4480750198218031</v>
      </c>
      <c r="DH483" s="20" t="s">
        <v>4716</v>
      </c>
      <c r="DI483" s="20" t="s">
        <v>4717</v>
      </c>
      <c r="DJ483" s="20"/>
      <c r="DK483" s="20"/>
      <c r="DL483" s="20" t="s">
        <v>4718</v>
      </c>
      <c r="DM483" s="20" t="s">
        <v>4719</v>
      </c>
      <c r="DN483" s="20"/>
      <c r="DP483" s="11">
        <v>3</v>
      </c>
      <c r="DQ483" s="9">
        <v>2</v>
      </c>
      <c r="DR483" s="9">
        <v>3</v>
      </c>
    </row>
    <row r="484" spans="1:125" x14ac:dyDescent="0.2">
      <c r="A484" s="9" t="s">
        <v>4720</v>
      </c>
      <c r="B484" s="21">
        <v>43644</v>
      </c>
      <c r="C484" s="20" t="s">
        <v>196</v>
      </c>
      <c r="D484" s="20">
        <v>36</v>
      </c>
      <c r="E484" s="20" t="s">
        <v>100</v>
      </c>
      <c r="F484" s="51">
        <v>30308</v>
      </c>
      <c r="G484" s="20" t="s">
        <v>2955</v>
      </c>
      <c r="H484" s="20"/>
      <c r="I484" s="20" t="s">
        <v>3222</v>
      </c>
      <c r="J484" s="20"/>
      <c r="K484" s="51">
        <v>43146</v>
      </c>
      <c r="L484" s="20" t="s">
        <v>4721</v>
      </c>
      <c r="M484" s="20" t="s">
        <v>99</v>
      </c>
      <c r="N484" s="20" t="s">
        <v>99</v>
      </c>
      <c r="O484" s="20" t="s">
        <v>99</v>
      </c>
      <c r="P484" s="20" t="s">
        <v>99</v>
      </c>
      <c r="Q484" s="20" t="s">
        <v>4722</v>
      </c>
      <c r="R484" s="20" t="s">
        <v>99</v>
      </c>
      <c r="S484" s="20" t="s">
        <v>4544</v>
      </c>
      <c r="T484" s="20"/>
      <c r="U484" s="20"/>
      <c r="V484" s="20"/>
      <c r="W484" s="20" t="s">
        <v>4723</v>
      </c>
      <c r="X484" s="20"/>
      <c r="Y484" s="20" t="s">
        <v>4724</v>
      </c>
      <c r="Z484" s="20"/>
      <c r="AA484" s="124" t="s">
        <v>840</v>
      </c>
      <c r="AB484" s="124" t="s">
        <v>840</v>
      </c>
      <c r="AC484" s="124" t="s">
        <v>840</v>
      </c>
      <c r="AD484" s="124" t="s">
        <v>840</v>
      </c>
      <c r="AE484" s="20" t="s">
        <v>343</v>
      </c>
      <c r="AF484" s="20" t="s">
        <v>4725</v>
      </c>
      <c r="AG484" s="20" t="s">
        <v>343</v>
      </c>
      <c r="AH484" s="20" t="s">
        <v>4547</v>
      </c>
      <c r="AI484" s="20" t="s">
        <v>99</v>
      </c>
      <c r="AJ484" s="20" t="s">
        <v>99</v>
      </c>
      <c r="AK484" s="20" t="s">
        <v>4726</v>
      </c>
      <c r="AL484" s="20" t="s">
        <v>4727</v>
      </c>
      <c r="AM484" s="20">
        <v>167</v>
      </c>
      <c r="AN484" s="20">
        <v>81</v>
      </c>
      <c r="AO484" s="20">
        <v>101</v>
      </c>
      <c r="AP484" s="20" t="s">
        <v>4728</v>
      </c>
      <c r="AQ484" s="20">
        <v>5</v>
      </c>
      <c r="AR484" s="20" t="s">
        <v>4729</v>
      </c>
      <c r="AS484" s="20">
        <v>37</v>
      </c>
      <c r="AT484" s="20" t="s">
        <v>4730</v>
      </c>
      <c r="AU484" s="20">
        <v>90</v>
      </c>
      <c r="AV484" s="20">
        <v>67</v>
      </c>
      <c r="AW484" s="20" t="s">
        <v>350</v>
      </c>
      <c r="AX484" s="20" t="s">
        <v>4731</v>
      </c>
      <c r="AY484" s="20" t="s">
        <v>4732</v>
      </c>
      <c r="AZ484" s="20" t="s">
        <v>4733</v>
      </c>
      <c r="BA484" s="20" t="s">
        <v>322</v>
      </c>
      <c r="BB484" s="20" t="s">
        <v>1148</v>
      </c>
      <c r="BC484" s="20" t="s">
        <v>4734</v>
      </c>
      <c r="BD484" s="20" t="s">
        <v>4735</v>
      </c>
      <c r="BE484" s="20"/>
      <c r="BF484" s="20" t="s">
        <v>1923</v>
      </c>
      <c r="BG484" s="20" t="s">
        <v>2003</v>
      </c>
      <c r="BH484" s="20" t="s">
        <v>4736</v>
      </c>
      <c r="BI484" s="20" t="s">
        <v>110</v>
      </c>
      <c r="BJ484" s="20" t="s">
        <v>682</v>
      </c>
      <c r="BK484" s="20" t="s">
        <v>1818</v>
      </c>
      <c r="BL484" s="20"/>
      <c r="BM484" s="20" t="s">
        <v>176</v>
      </c>
      <c r="BN484" s="20" t="s">
        <v>4737</v>
      </c>
      <c r="BO484" s="20" t="s">
        <v>4738</v>
      </c>
      <c r="BP484" s="20" t="s">
        <v>4739</v>
      </c>
      <c r="BQ484" s="20" t="s">
        <v>99</v>
      </c>
      <c r="BR484" s="20"/>
      <c r="BS484" s="20"/>
      <c r="BT484" s="20"/>
      <c r="BU484" s="20" t="s">
        <v>99</v>
      </c>
      <c r="BV484" s="20"/>
      <c r="BW484" s="20"/>
      <c r="BX484" s="20"/>
      <c r="BY484" s="20" t="s">
        <v>350</v>
      </c>
      <c r="BZ484" s="20" t="s">
        <v>182</v>
      </c>
      <c r="CA484" s="20" t="s">
        <v>183</v>
      </c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 t="s">
        <v>735</v>
      </c>
      <c r="CM484" s="20" t="s">
        <v>753</v>
      </c>
      <c r="CN484" s="20" t="s">
        <v>4740</v>
      </c>
      <c r="CO484" s="20"/>
      <c r="CP484" s="20" t="s">
        <v>716</v>
      </c>
      <c r="CQ484" s="20" t="s">
        <v>4741</v>
      </c>
      <c r="CR484" s="20" t="s">
        <v>3482</v>
      </c>
      <c r="CS484" s="20" t="s">
        <v>176</v>
      </c>
      <c r="CT484" s="20" t="s">
        <v>187</v>
      </c>
      <c r="CU484" s="20"/>
      <c r="CV484" s="20"/>
      <c r="CW484" s="20">
        <v>3</v>
      </c>
      <c r="CX484" s="20" t="s">
        <v>99</v>
      </c>
      <c r="CY484" s="20" t="s">
        <v>99</v>
      </c>
      <c r="CZ484" s="20">
        <v>60</v>
      </c>
      <c r="DA484" s="20">
        <v>20</v>
      </c>
      <c r="DB484" s="20">
        <v>20</v>
      </c>
      <c r="DC484" s="20">
        <v>80</v>
      </c>
      <c r="DD484" s="20" t="s">
        <v>4742</v>
      </c>
      <c r="DE484" s="20">
        <v>139</v>
      </c>
      <c r="DF484" s="20">
        <v>100</v>
      </c>
      <c r="DG484" s="9">
        <f t="shared" si="7"/>
        <v>4.4935984103309865</v>
      </c>
      <c r="DH484" s="20">
        <v>20</v>
      </c>
      <c r="DI484" s="20" t="s">
        <v>4743</v>
      </c>
      <c r="DJ484" s="20"/>
      <c r="DK484" s="20"/>
      <c r="DL484" s="20" t="s">
        <v>4744</v>
      </c>
      <c r="DM484" s="20" t="s">
        <v>4745</v>
      </c>
      <c r="DP484" s="11">
        <v>3</v>
      </c>
      <c r="DQ484" s="9">
        <v>2</v>
      </c>
      <c r="DR484" s="9">
        <v>3</v>
      </c>
    </row>
    <row r="485" spans="1:125" x14ac:dyDescent="0.2">
      <c r="A485" s="9" t="s">
        <v>4746</v>
      </c>
      <c r="B485" s="21">
        <v>43644</v>
      </c>
      <c r="C485" s="20" t="s">
        <v>196</v>
      </c>
      <c r="D485" s="20">
        <v>44</v>
      </c>
      <c r="E485" s="20" t="s">
        <v>100</v>
      </c>
      <c r="F485" s="51">
        <v>27408</v>
      </c>
      <c r="G485" s="20" t="s">
        <v>197</v>
      </c>
      <c r="H485" s="20" t="s">
        <v>4747</v>
      </c>
      <c r="I485" s="20" t="s">
        <v>4295</v>
      </c>
      <c r="J485" s="20"/>
      <c r="K485" s="20">
        <v>2012</v>
      </c>
      <c r="L485" s="20">
        <v>3</v>
      </c>
      <c r="M485" s="20" t="s">
        <v>4748</v>
      </c>
      <c r="N485" s="20" t="s">
        <v>99</v>
      </c>
      <c r="O485" s="20" t="s">
        <v>99</v>
      </c>
      <c r="P485" s="20" t="s">
        <v>4749</v>
      </c>
      <c r="Q485" s="20" t="s">
        <v>99</v>
      </c>
      <c r="R485" s="20" t="s">
        <v>110</v>
      </c>
      <c r="S485" s="20" t="s">
        <v>4750</v>
      </c>
      <c r="T485" s="20" t="s">
        <v>4751</v>
      </c>
      <c r="U485" s="20" t="s">
        <v>99</v>
      </c>
      <c r="V485" s="20" t="s">
        <v>99</v>
      </c>
      <c r="W485" s="20"/>
      <c r="X485" s="20" t="s">
        <v>99</v>
      </c>
      <c r="Y485" s="20"/>
      <c r="Z485" s="20" t="s">
        <v>4752</v>
      </c>
      <c r="AA485" s="20" t="s">
        <v>100</v>
      </c>
      <c r="AB485" s="20" t="s">
        <v>100</v>
      </c>
      <c r="AC485" s="20" t="s">
        <v>949</v>
      </c>
      <c r="AD485" s="20" t="s">
        <v>100</v>
      </c>
      <c r="AE485" s="20" t="s">
        <v>4753</v>
      </c>
      <c r="AF485" s="20" t="s">
        <v>99</v>
      </c>
      <c r="AG485" s="20" t="s">
        <v>99</v>
      </c>
      <c r="AH485" s="20" t="s">
        <v>99</v>
      </c>
      <c r="AI485" s="20" t="s">
        <v>99</v>
      </c>
      <c r="AJ485" s="20" t="s">
        <v>99</v>
      </c>
      <c r="AK485" s="20"/>
      <c r="AL485" s="20" t="s">
        <v>4620</v>
      </c>
      <c r="AM485" s="20">
        <v>156</v>
      </c>
      <c r="AN485" s="20">
        <v>42</v>
      </c>
      <c r="AO485" s="20">
        <v>104</v>
      </c>
      <c r="AP485" s="20" t="s">
        <v>4754</v>
      </c>
      <c r="AQ485" s="20">
        <v>8</v>
      </c>
      <c r="AR485" s="20" t="s">
        <v>4755</v>
      </c>
      <c r="AS485" s="20">
        <v>56</v>
      </c>
      <c r="AT485" s="20" t="s">
        <v>4756</v>
      </c>
      <c r="AU485" s="20">
        <v>111</v>
      </c>
      <c r="AV485" s="20">
        <v>68</v>
      </c>
      <c r="AW485" s="20"/>
      <c r="AX485" s="20" t="s">
        <v>4757</v>
      </c>
      <c r="AY485" s="20" t="s">
        <v>4758</v>
      </c>
      <c r="AZ485" s="20" t="s">
        <v>4759</v>
      </c>
      <c r="BA485" s="20"/>
      <c r="BB485" s="20" t="s">
        <v>4760</v>
      </c>
      <c r="BC485" s="20" t="s">
        <v>4761</v>
      </c>
      <c r="BD485" s="20"/>
      <c r="BE485" s="20"/>
      <c r="BF485" s="20" t="s">
        <v>176</v>
      </c>
      <c r="BG485" s="20" t="s">
        <v>2785</v>
      </c>
      <c r="BH485" s="20" t="s">
        <v>707</v>
      </c>
      <c r="BI485" s="20" t="s">
        <v>707</v>
      </c>
      <c r="BJ485" s="20" t="s">
        <v>176</v>
      </c>
      <c r="BK485" s="20" t="s">
        <v>213</v>
      </c>
      <c r="BL485" s="20"/>
      <c r="BM485" s="20"/>
      <c r="BN485" s="20" t="s">
        <v>352</v>
      </c>
      <c r="BO485" s="20" t="s">
        <v>179</v>
      </c>
      <c r="BP485" s="20"/>
      <c r="BQ485" s="20"/>
      <c r="BR485" s="20"/>
      <c r="BS485" s="20"/>
      <c r="BT485" s="20"/>
      <c r="BU485" s="20"/>
      <c r="BV485" s="20" t="s">
        <v>4762</v>
      </c>
      <c r="BW485" s="20"/>
      <c r="BX485" s="20"/>
      <c r="BY485" s="20"/>
      <c r="BZ485" s="20" t="s">
        <v>4763</v>
      </c>
      <c r="CA485" s="20" t="s">
        <v>4764</v>
      </c>
      <c r="CB485" s="20" t="s">
        <v>4765</v>
      </c>
      <c r="CC485" s="20" t="s">
        <v>99</v>
      </c>
      <c r="CD485" s="20"/>
      <c r="CE485" s="20"/>
      <c r="CF485" s="20"/>
      <c r="CG485" s="20" t="s">
        <v>99</v>
      </c>
      <c r="CH485" s="20"/>
      <c r="CI485" s="20"/>
      <c r="CJ485" s="20"/>
      <c r="CK485" s="20"/>
      <c r="CL485" s="20" t="s">
        <v>4766</v>
      </c>
      <c r="CM485" s="20" t="s">
        <v>4767</v>
      </c>
      <c r="CN485" s="20" t="s">
        <v>185</v>
      </c>
      <c r="CO485" s="20"/>
      <c r="CP485" s="20" t="s">
        <v>3482</v>
      </c>
      <c r="CQ485" s="20"/>
      <c r="CR485" s="20"/>
      <c r="CS485" s="20"/>
      <c r="CT485" s="20" t="s">
        <v>4768</v>
      </c>
      <c r="CU485" s="20" t="s">
        <v>4769</v>
      </c>
      <c r="CV485" s="20" t="s">
        <v>4770</v>
      </c>
      <c r="CW485" s="20">
        <v>3</v>
      </c>
      <c r="CX485" s="20" t="s">
        <v>99</v>
      </c>
      <c r="CY485" s="20" t="s">
        <v>99</v>
      </c>
      <c r="CZ485" s="20">
        <v>50</v>
      </c>
      <c r="DA485" s="20">
        <v>15</v>
      </c>
      <c r="DB485" s="20">
        <v>35</v>
      </c>
      <c r="DC485" s="20" t="s">
        <v>4771</v>
      </c>
      <c r="DD485" s="20" t="s">
        <v>4772</v>
      </c>
      <c r="DE485" s="20">
        <v>129</v>
      </c>
      <c r="DF485" s="20">
        <v>65</v>
      </c>
      <c r="DG485" s="9">
        <f t="shared" si="7"/>
        <v>4.2960111660184435</v>
      </c>
      <c r="DH485" s="20">
        <v>13</v>
      </c>
      <c r="DI485" s="20" t="s">
        <v>4773</v>
      </c>
      <c r="DJ485" s="20"/>
      <c r="DK485" s="20"/>
      <c r="DL485" s="20" t="s">
        <v>4774</v>
      </c>
      <c r="DM485" s="20" t="s">
        <v>4775</v>
      </c>
      <c r="DP485" s="11">
        <v>3</v>
      </c>
      <c r="DR485" s="9">
        <v>2</v>
      </c>
    </row>
    <row r="486" spans="1:125" x14ac:dyDescent="0.2">
      <c r="A486" s="9" t="s">
        <v>4776</v>
      </c>
      <c r="B486" s="21">
        <v>43644</v>
      </c>
      <c r="C486" s="20" t="s">
        <v>3645</v>
      </c>
      <c r="D486" s="20">
        <v>34</v>
      </c>
      <c r="E486" s="20" t="s">
        <v>100</v>
      </c>
      <c r="F486" s="51">
        <v>30937</v>
      </c>
      <c r="G486" s="20" t="s">
        <v>4777</v>
      </c>
      <c r="H486" s="20" t="s">
        <v>4747</v>
      </c>
      <c r="I486" s="20"/>
      <c r="J486" s="20"/>
      <c r="K486" s="20"/>
      <c r="L486" s="20">
        <v>2</v>
      </c>
      <c r="M486" s="20" t="s">
        <v>99</v>
      </c>
      <c r="N486" s="20" t="s">
        <v>99</v>
      </c>
      <c r="O486" s="20" t="s">
        <v>99</v>
      </c>
      <c r="P486" s="20" t="s">
        <v>4778</v>
      </c>
      <c r="Q486" s="20" t="s">
        <v>4722</v>
      </c>
      <c r="R486" s="20" t="s">
        <v>99</v>
      </c>
      <c r="S486" s="20" t="s">
        <v>4006</v>
      </c>
      <c r="T486" s="20" t="s">
        <v>4779</v>
      </c>
      <c r="U486" s="20" t="s">
        <v>4780</v>
      </c>
      <c r="V486" s="20"/>
      <c r="W486" s="20" t="s">
        <v>99</v>
      </c>
      <c r="X486" s="20" t="s">
        <v>99</v>
      </c>
      <c r="Y486" s="20" t="s">
        <v>99</v>
      </c>
      <c r="Z486" s="20" t="s">
        <v>4781</v>
      </c>
      <c r="AA486" s="20" t="s">
        <v>100</v>
      </c>
      <c r="AB486" s="20" t="s">
        <v>100</v>
      </c>
      <c r="AC486" s="20" t="s">
        <v>949</v>
      </c>
      <c r="AD486" s="20" t="s">
        <v>100</v>
      </c>
      <c r="AE486" s="20" t="s">
        <v>4782</v>
      </c>
      <c r="AF486" s="20" t="s">
        <v>99</v>
      </c>
      <c r="AG486" s="20" t="s">
        <v>99</v>
      </c>
      <c r="AH486" s="20" t="s">
        <v>99</v>
      </c>
      <c r="AI486" s="20" t="s">
        <v>99</v>
      </c>
      <c r="AJ486" s="20" t="s">
        <v>99</v>
      </c>
      <c r="AK486" s="20"/>
      <c r="AL486" s="20" t="s">
        <v>4783</v>
      </c>
      <c r="AM486" s="20">
        <v>156</v>
      </c>
      <c r="AN486" s="20">
        <v>84</v>
      </c>
      <c r="AO486" s="20">
        <v>94</v>
      </c>
      <c r="AP486" s="20" t="s">
        <v>4244</v>
      </c>
      <c r="AQ486" s="20">
        <v>5</v>
      </c>
      <c r="AR486" s="20">
        <v>24</v>
      </c>
      <c r="AS486" s="20">
        <v>38</v>
      </c>
      <c r="AT486" s="20" t="s">
        <v>4784</v>
      </c>
      <c r="AU486" s="20">
        <v>88</v>
      </c>
      <c r="AV486" s="20">
        <v>59</v>
      </c>
      <c r="AW486" s="20"/>
      <c r="AX486" s="20" t="s">
        <v>4785</v>
      </c>
      <c r="AY486" s="20" t="s">
        <v>4786</v>
      </c>
      <c r="AZ486" s="20" t="s">
        <v>4787</v>
      </c>
      <c r="BA486" s="20"/>
      <c r="BB486" s="20" t="s">
        <v>4788</v>
      </c>
      <c r="BC486" s="20" t="s">
        <v>4789</v>
      </c>
      <c r="BD486" s="20" t="s">
        <v>4790</v>
      </c>
      <c r="BE486" s="20"/>
      <c r="BF486" s="20" t="s">
        <v>176</v>
      </c>
      <c r="BG486" s="20" t="s">
        <v>4791</v>
      </c>
      <c r="BH486" s="20" t="s">
        <v>853</v>
      </c>
      <c r="BI486" s="20" t="s">
        <v>850</v>
      </c>
      <c r="BJ486" s="20" t="s">
        <v>4792</v>
      </c>
      <c r="BK486" s="20" t="s">
        <v>850</v>
      </c>
      <c r="BL486" s="20"/>
      <c r="BM486" s="20"/>
      <c r="BN486" s="20" t="s">
        <v>4793</v>
      </c>
      <c r="BO486" s="20" t="s">
        <v>4794</v>
      </c>
      <c r="BP486" s="20" t="s">
        <v>4795</v>
      </c>
      <c r="BQ486" s="20" t="s">
        <v>99</v>
      </c>
      <c r="BR486" s="20"/>
      <c r="BS486" s="20"/>
      <c r="BT486" s="20"/>
      <c r="BU486" s="20"/>
      <c r="BV486" s="20" t="s">
        <v>4796</v>
      </c>
      <c r="BW486" s="20" t="s">
        <v>4797</v>
      </c>
      <c r="BX486" s="20"/>
      <c r="BY486" s="20" t="s">
        <v>176</v>
      </c>
      <c r="BZ486" s="20" t="s">
        <v>4798</v>
      </c>
      <c r="CA486" s="20"/>
      <c r="CB486" s="20"/>
      <c r="CC486" s="20" t="s">
        <v>99</v>
      </c>
      <c r="CD486" s="20"/>
      <c r="CE486" s="20"/>
      <c r="CF486" s="20"/>
      <c r="CG486" s="20"/>
      <c r="CH486" s="20" t="s">
        <v>4799</v>
      </c>
      <c r="CI486" s="20" t="s">
        <v>4800</v>
      </c>
      <c r="CJ486" s="20"/>
      <c r="CK486" s="20"/>
      <c r="CL486" s="20" t="s">
        <v>1181</v>
      </c>
      <c r="CM486" s="20" t="s">
        <v>4801</v>
      </c>
      <c r="CN486" s="20" t="s">
        <v>4802</v>
      </c>
      <c r="CO486" s="20"/>
      <c r="CP486" s="20" t="s">
        <v>4803</v>
      </c>
      <c r="CQ486" s="20" t="s">
        <v>4634</v>
      </c>
      <c r="CR486" s="20" t="s">
        <v>4804</v>
      </c>
      <c r="CS486" s="20"/>
      <c r="CT486" s="20" t="s">
        <v>4805</v>
      </c>
      <c r="CU486" s="20" t="s">
        <v>4806</v>
      </c>
      <c r="CV486" s="20" t="s">
        <v>4807</v>
      </c>
      <c r="CW486" s="20">
        <v>3</v>
      </c>
      <c r="CX486" s="20" t="s">
        <v>99</v>
      </c>
      <c r="CY486" s="20" t="s">
        <v>99</v>
      </c>
      <c r="CZ486" s="22"/>
      <c r="DA486" s="22">
        <v>40</v>
      </c>
      <c r="DB486" s="22">
        <v>60</v>
      </c>
      <c r="DC486" s="20" t="s">
        <v>4808</v>
      </c>
      <c r="DD486" s="20" t="s">
        <v>4809</v>
      </c>
      <c r="DE486" s="20">
        <v>171</v>
      </c>
      <c r="DF486" s="20">
        <v>167</v>
      </c>
      <c r="DG486" s="9">
        <f t="shared" si="7"/>
        <v>4.6702191886330855</v>
      </c>
      <c r="DH486" s="20" t="s">
        <v>4810</v>
      </c>
      <c r="DI486" s="20" t="s">
        <v>4811</v>
      </c>
      <c r="DJ486" s="20"/>
      <c r="DK486" s="20"/>
      <c r="DL486" s="20" t="s">
        <v>4812</v>
      </c>
      <c r="DM486" s="20">
        <v>104</v>
      </c>
      <c r="DP486" s="11">
        <v>3</v>
      </c>
    </row>
    <row r="487" spans="1:125" x14ac:dyDescent="0.2">
      <c r="A487" s="7" t="s">
        <v>4813</v>
      </c>
      <c r="B487" s="21">
        <v>43644</v>
      </c>
      <c r="C487" s="20" t="s">
        <v>3955</v>
      </c>
      <c r="D487" s="20">
        <v>72</v>
      </c>
      <c r="E487" s="20" t="s">
        <v>96</v>
      </c>
      <c r="F487" s="51">
        <v>17192</v>
      </c>
      <c r="G487" s="20" t="s">
        <v>4814</v>
      </c>
      <c r="H487" s="20" t="s">
        <v>4815</v>
      </c>
      <c r="I487" s="20"/>
      <c r="J487" s="20"/>
      <c r="K487" s="20"/>
      <c r="L487" s="20"/>
      <c r="M487" s="20" t="s">
        <v>99</v>
      </c>
      <c r="N487" s="20" t="s">
        <v>99</v>
      </c>
      <c r="O487" s="20" t="s">
        <v>99</v>
      </c>
      <c r="P487" s="20" t="s">
        <v>99</v>
      </c>
      <c r="Q487" s="20" t="s">
        <v>4816</v>
      </c>
      <c r="R487" s="20" t="s">
        <v>99</v>
      </c>
      <c r="S487" s="20" t="s">
        <v>99</v>
      </c>
      <c r="T487" s="20" t="s">
        <v>110</v>
      </c>
      <c r="U487" s="20" t="s">
        <v>4817</v>
      </c>
      <c r="V487" s="20"/>
      <c r="W487" s="20" t="s">
        <v>99</v>
      </c>
      <c r="X487" s="20" t="s">
        <v>99</v>
      </c>
      <c r="Y487" s="20" t="s">
        <v>99</v>
      </c>
      <c r="Z487" s="20" t="s">
        <v>99</v>
      </c>
      <c r="AA487" s="123" t="s">
        <v>155</v>
      </c>
      <c r="AB487" s="123" t="s">
        <v>155</v>
      </c>
      <c r="AC487" s="20" t="s">
        <v>949</v>
      </c>
      <c r="AD487" s="123" t="s">
        <v>155</v>
      </c>
      <c r="AE487" s="20" t="s">
        <v>99</v>
      </c>
      <c r="AF487" s="22" t="s">
        <v>664</v>
      </c>
      <c r="AG487" s="20" t="s">
        <v>99</v>
      </c>
      <c r="AH487" s="20" t="s">
        <v>99</v>
      </c>
      <c r="AI487" s="20" t="s">
        <v>99</v>
      </c>
      <c r="AJ487" s="20" t="s">
        <v>99</v>
      </c>
      <c r="AK487" s="20" t="s">
        <v>99</v>
      </c>
      <c r="AL487" s="20" t="s">
        <v>4818</v>
      </c>
      <c r="AM487" s="20"/>
      <c r="AN487" s="20">
        <v>68</v>
      </c>
      <c r="AO487" s="20">
        <v>93</v>
      </c>
      <c r="AP487" s="20" t="s">
        <v>4819</v>
      </c>
      <c r="AQ487" s="20">
        <v>8</v>
      </c>
      <c r="AR487" s="20" t="s">
        <v>4820</v>
      </c>
      <c r="AS487" s="20">
        <v>45</v>
      </c>
      <c r="AT487" s="20">
        <v>23</v>
      </c>
      <c r="AU487" s="20">
        <v>123</v>
      </c>
      <c r="AV487" s="20">
        <v>77</v>
      </c>
      <c r="AW487" s="20"/>
      <c r="AX487" s="20" t="s">
        <v>4821</v>
      </c>
      <c r="AY487" s="20" t="s">
        <v>125</v>
      </c>
      <c r="AZ487" s="20" t="s">
        <v>573</v>
      </c>
      <c r="BA487" s="20"/>
      <c r="BB487" s="20" t="s">
        <v>1080</v>
      </c>
      <c r="BC487" s="20" t="s">
        <v>750</v>
      </c>
      <c r="BD487" s="20" t="s">
        <v>4822</v>
      </c>
      <c r="BE487" s="20"/>
      <c r="BF487" s="20" t="s">
        <v>853</v>
      </c>
      <c r="BG487" s="20" t="s">
        <v>4791</v>
      </c>
      <c r="BH487" s="20" t="s">
        <v>852</v>
      </c>
      <c r="BI487" s="20" t="s">
        <v>853</v>
      </c>
      <c r="BJ487" s="20" t="s">
        <v>4823</v>
      </c>
      <c r="BK487" s="20" t="s">
        <v>4824</v>
      </c>
      <c r="BL487" s="20"/>
      <c r="BM487" s="20" t="s">
        <v>4825</v>
      </c>
      <c r="BN487" s="20" t="s">
        <v>179</v>
      </c>
      <c r="BO487" s="20" t="s">
        <v>219</v>
      </c>
      <c r="BP487" s="20" t="s">
        <v>180</v>
      </c>
      <c r="BQ487" s="20" t="s">
        <v>110</v>
      </c>
      <c r="BR487" s="20"/>
      <c r="BS487" s="20"/>
      <c r="BT487" s="20"/>
      <c r="BU487" s="20" t="s">
        <v>99</v>
      </c>
      <c r="BV487" s="20"/>
      <c r="BW487" s="20"/>
      <c r="BX487" s="20"/>
      <c r="BY487" s="20" t="s">
        <v>176</v>
      </c>
      <c r="BZ487" s="20" t="s">
        <v>752</v>
      </c>
      <c r="CA487" s="20" t="s">
        <v>183</v>
      </c>
      <c r="CB487" s="20" t="s">
        <v>2575</v>
      </c>
      <c r="CC487" s="20" t="s">
        <v>99</v>
      </c>
      <c r="CD487" s="20"/>
      <c r="CE487" s="20"/>
      <c r="CF487" s="20"/>
      <c r="CG487" s="20" t="s">
        <v>99</v>
      </c>
      <c r="CH487" s="20"/>
      <c r="CI487" s="20"/>
      <c r="CJ487" s="20"/>
      <c r="CK487" s="20"/>
      <c r="CL487" s="20" t="s">
        <v>4826</v>
      </c>
      <c r="CM487" s="20" t="s">
        <v>4827</v>
      </c>
      <c r="CN487" s="20" t="s">
        <v>825</v>
      </c>
      <c r="CO487" s="20"/>
      <c r="CP487" s="20" t="s">
        <v>361</v>
      </c>
      <c r="CQ487" s="20" t="s">
        <v>3272</v>
      </c>
      <c r="CR487" s="20" t="s">
        <v>362</v>
      </c>
      <c r="CS487" s="20" t="s">
        <v>2769</v>
      </c>
      <c r="CT487" s="20"/>
      <c r="CU487" s="20"/>
      <c r="CV487" s="20"/>
      <c r="CW487" s="20">
        <v>3</v>
      </c>
      <c r="CX487" s="20" t="s">
        <v>110</v>
      </c>
      <c r="CY487" s="22" t="s">
        <v>2756</v>
      </c>
      <c r="CZ487" s="20">
        <v>30</v>
      </c>
      <c r="DA487" s="20">
        <v>35</v>
      </c>
      <c r="DB487" s="20">
        <v>25</v>
      </c>
      <c r="DC487" s="20" t="s">
        <v>4828</v>
      </c>
      <c r="DD487" s="20" t="s">
        <v>4829</v>
      </c>
      <c r="DE487" s="20">
        <v>199</v>
      </c>
      <c r="DF487" s="20">
        <v>129</v>
      </c>
      <c r="DG487" s="9">
        <f t="shared" si="7"/>
        <v>4.6547488437546845</v>
      </c>
      <c r="DH487" s="20" t="s">
        <v>4830</v>
      </c>
      <c r="DI487" s="20" t="s">
        <v>4831</v>
      </c>
      <c r="DJ487" s="20"/>
      <c r="DK487" s="20"/>
      <c r="DL487" s="20" t="s">
        <v>4832</v>
      </c>
      <c r="DM487" s="20" t="s">
        <v>4833</v>
      </c>
      <c r="DP487" s="11">
        <v>3</v>
      </c>
      <c r="DQ487" s="9">
        <v>2</v>
      </c>
      <c r="DR487" s="30">
        <v>1</v>
      </c>
      <c r="DT487" s="9">
        <v>10</v>
      </c>
      <c r="DU487" s="9">
        <v>5.2</v>
      </c>
    </row>
    <row r="488" spans="1:125" x14ac:dyDescent="0.2">
      <c r="A488" s="9" t="s">
        <v>4834</v>
      </c>
      <c r="B488" s="21">
        <v>43644</v>
      </c>
      <c r="C488" s="20" t="s">
        <v>107</v>
      </c>
      <c r="D488" s="20">
        <v>33</v>
      </c>
      <c r="E488" s="20" t="s">
        <v>96</v>
      </c>
      <c r="F488" s="51">
        <v>31285</v>
      </c>
      <c r="G488" s="20" t="s">
        <v>3745</v>
      </c>
      <c r="H488" s="20" t="s">
        <v>4835</v>
      </c>
      <c r="I488" s="20"/>
      <c r="J488" s="20"/>
      <c r="K488" s="20"/>
      <c r="L488" s="20"/>
      <c r="M488" s="20" t="s">
        <v>99</v>
      </c>
      <c r="N488" s="20" t="s">
        <v>99</v>
      </c>
      <c r="O488" s="20" t="s">
        <v>99</v>
      </c>
      <c r="P488" s="20" t="s">
        <v>4836</v>
      </c>
      <c r="Q488" s="20" t="s">
        <v>4837</v>
      </c>
      <c r="R488" s="20"/>
      <c r="S488" s="20"/>
      <c r="T488" s="20"/>
      <c r="U488" s="20"/>
      <c r="V488" s="20"/>
      <c r="W488" s="20"/>
      <c r="X488" s="20" t="s">
        <v>99</v>
      </c>
      <c r="Y488" s="20"/>
      <c r="Z488" s="20" t="s">
        <v>4838</v>
      </c>
      <c r="AA488" s="20" t="s">
        <v>100</v>
      </c>
      <c r="AB488" s="20" t="s">
        <v>100</v>
      </c>
      <c r="AC488" s="20" t="s">
        <v>100</v>
      </c>
      <c r="AD488" s="20" t="s">
        <v>100</v>
      </c>
      <c r="AE488" s="20" t="s">
        <v>4839</v>
      </c>
      <c r="AF488" s="20" t="s">
        <v>99</v>
      </c>
      <c r="AG488" s="20" t="s">
        <v>99</v>
      </c>
      <c r="AH488" s="20" t="s">
        <v>99</v>
      </c>
      <c r="AI488" s="20" t="s">
        <v>99</v>
      </c>
      <c r="AJ488" s="20" t="s">
        <v>99</v>
      </c>
      <c r="AK488" s="20" t="s">
        <v>99</v>
      </c>
      <c r="AL488" s="20"/>
      <c r="AM488" s="20"/>
      <c r="AN488" s="22">
        <v>104</v>
      </c>
      <c r="AO488" s="22">
        <v>103</v>
      </c>
      <c r="AP488" s="20"/>
      <c r="AQ488" s="20"/>
      <c r="AR488" s="20"/>
      <c r="AS488" s="20"/>
      <c r="AT488" s="20"/>
      <c r="AU488" s="20">
        <v>109</v>
      </c>
      <c r="AV488" s="20">
        <v>81</v>
      </c>
      <c r="AW488" s="20"/>
      <c r="AX488" s="20" t="s">
        <v>4840</v>
      </c>
      <c r="AY488" s="20" t="s">
        <v>4841</v>
      </c>
      <c r="AZ488" s="20"/>
      <c r="BA488" s="20"/>
      <c r="BB488" s="20" t="s">
        <v>4788</v>
      </c>
      <c r="BC488" s="20"/>
      <c r="BD488" s="20"/>
      <c r="BE488" s="20"/>
      <c r="BF488" s="20" t="s">
        <v>707</v>
      </c>
      <c r="BG488" s="20" t="s">
        <v>213</v>
      </c>
      <c r="BH488" s="20" t="s">
        <v>707</v>
      </c>
      <c r="BI488" s="20" t="s">
        <v>213</v>
      </c>
      <c r="BJ488" s="20" t="s">
        <v>212</v>
      </c>
      <c r="BK488" s="20" t="s">
        <v>1818</v>
      </c>
      <c r="BL488" s="20"/>
      <c r="BM488" s="20" t="s">
        <v>4842</v>
      </c>
      <c r="BN488" s="20"/>
      <c r="BO488" s="20"/>
      <c r="BP488" s="20"/>
      <c r="BQ488" s="20" t="s">
        <v>99</v>
      </c>
      <c r="BR488" s="20"/>
      <c r="BS488" s="20"/>
      <c r="BT488" s="20"/>
      <c r="BU488" s="20" t="s">
        <v>99</v>
      </c>
      <c r="BV488" s="20"/>
      <c r="BW488" s="20"/>
      <c r="BX488" s="20"/>
      <c r="BY488" s="20"/>
      <c r="BZ488" s="22" t="s">
        <v>4843</v>
      </c>
      <c r="CA488" s="20" t="s">
        <v>4844</v>
      </c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 t="s">
        <v>4845</v>
      </c>
      <c r="CM488" s="20"/>
      <c r="CN488" s="20"/>
      <c r="CO488" s="20"/>
      <c r="CP488" s="20"/>
      <c r="CQ488" s="20"/>
      <c r="CR488" s="20"/>
      <c r="CS488" s="20"/>
      <c r="CT488" s="20" t="s">
        <v>4846</v>
      </c>
      <c r="CU488" s="20" t="s">
        <v>4847</v>
      </c>
      <c r="CV488" s="20"/>
      <c r="CW488" s="20">
        <v>3</v>
      </c>
      <c r="CX488" s="20"/>
      <c r="CY488" s="20" t="s">
        <v>99</v>
      </c>
      <c r="CZ488" s="20"/>
      <c r="DA488" s="20"/>
      <c r="DB488" s="20"/>
      <c r="DC488" s="20" t="s">
        <v>4848</v>
      </c>
      <c r="DD488" s="20" t="s">
        <v>4849</v>
      </c>
      <c r="DE488" s="20">
        <v>141</v>
      </c>
      <c r="DF488" s="20">
        <v>221</v>
      </c>
      <c r="DG488" s="9">
        <f t="shared" si="7"/>
        <v>4.9786444745022189</v>
      </c>
      <c r="DH488" s="20" t="s">
        <v>4850</v>
      </c>
      <c r="DI488" s="20" t="s">
        <v>4851</v>
      </c>
      <c r="DJ488" s="20"/>
      <c r="DK488" s="20"/>
      <c r="DL488" s="20" t="s">
        <v>4852</v>
      </c>
      <c r="DM488" s="20" t="s">
        <v>4853</v>
      </c>
      <c r="DP488" s="11">
        <v>2</v>
      </c>
      <c r="DQ488" s="9">
        <v>3</v>
      </c>
      <c r="DR488" s="9">
        <v>3</v>
      </c>
      <c r="DU488" s="9">
        <v>2.2999999999999998</v>
      </c>
    </row>
    <row r="489" spans="1:125" x14ac:dyDescent="0.2">
      <c r="A489" s="9" t="s">
        <v>4854</v>
      </c>
      <c r="B489" s="21">
        <v>43644</v>
      </c>
      <c r="C489" s="20" t="s">
        <v>3645</v>
      </c>
      <c r="D489" s="20">
        <v>39</v>
      </c>
      <c r="E489" s="20" t="s">
        <v>100</v>
      </c>
      <c r="F489" s="51">
        <v>29128</v>
      </c>
      <c r="G489" s="20" t="s">
        <v>197</v>
      </c>
      <c r="H489" s="20" t="s">
        <v>4855</v>
      </c>
      <c r="I489" s="20" t="s">
        <v>4856</v>
      </c>
      <c r="J489" s="20"/>
      <c r="K489" s="20">
        <v>2013</v>
      </c>
      <c r="L489" s="20">
        <v>3</v>
      </c>
      <c r="M489" s="20" t="s">
        <v>4857</v>
      </c>
      <c r="N489" s="20" t="s">
        <v>99</v>
      </c>
      <c r="O489" s="20" t="s">
        <v>99</v>
      </c>
      <c r="P489" s="20" t="s">
        <v>4858</v>
      </c>
      <c r="Q489" s="20"/>
      <c r="R489" s="20" t="s">
        <v>110</v>
      </c>
      <c r="S489" s="20" t="s">
        <v>4859</v>
      </c>
      <c r="T489" s="20" t="s">
        <v>4860</v>
      </c>
      <c r="U489" s="20" t="s">
        <v>99</v>
      </c>
      <c r="V489" s="20" t="s">
        <v>99</v>
      </c>
      <c r="W489" s="20"/>
      <c r="X489" s="20"/>
      <c r="Y489" s="20"/>
      <c r="Z489" s="20"/>
      <c r="AA489" s="20" t="s">
        <v>100</v>
      </c>
      <c r="AB489" s="20" t="s">
        <v>100</v>
      </c>
      <c r="AC489" s="20"/>
      <c r="AD489" s="20"/>
      <c r="AE489" s="20" t="s">
        <v>4861</v>
      </c>
      <c r="AF489" s="20" t="s">
        <v>99</v>
      </c>
      <c r="AG489" s="20" t="s">
        <v>99</v>
      </c>
      <c r="AH489" s="20" t="s">
        <v>99</v>
      </c>
      <c r="AI489" s="20" t="s">
        <v>99</v>
      </c>
      <c r="AJ489" s="20" t="s">
        <v>99</v>
      </c>
      <c r="AK489" s="20"/>
      <c r="AL489" s="20" t="s">
        <v>4862</v>
      </c>
      <c r="AM489" s="20">
        <v>156</v>
      </c>
      <c r="AN489" s="20">
        <v>106</v>
      </c>
      <c r="AO489" s="20">
        <v>111</v>
      </c>
      <c r="AP489" s="20" t="s">
        <v>4863</v>
      </c>
      <c r="AQ489" s="20">
        <v>8</v>
      </c>
      <c r="AR489" s="20" t="s">
        <v>4288</v>
      </c>
      <c r="AS489" s="20">
        <v>57</v>
      </c>
      <c r="AT489" s="20" t="s">
        <v>4864</v>
      </c>
      <c r="AU489" s="20">
        <v>107</v>
      </c>
      <c r="AV489" s="20">
        <v>77</v>
      </c>
      <c r="AW489" s="20"/>
      <c r="AX489" s="20" t="s">
        <v>4865</v>
      </c>
      <c r="AY489" s="20" t="s">
        <v>4866</v>
      </c>
      <c r="AZ489" s="20" t="s">
        <v>4867</v>
      </c>
      <c r="BA489" s="20"/>
      <c r="BB489" s="20" t="s">
        <v>4788</v>
      </c>
      <c r="BC489" s="20" t="s">
        <v>4868</v>
      </c>
      <c r="BD489" s="20" t="s">
        <v>4869</v>
      </c>
      <c r="BE489" s="20"/>
      <c r="BF489" s="20" t="s">
        <v>707</v>
      </c>
      <c r="BG489" s="20" t="s">
        <v>1923</v>
      </c>
      <c r="BH489" s="20" t="s">
        <v>1469</v>
      </c>
      <c r="BI489" s="20" t="s">
        <v>1469</v>
      </c>
      <c r="BJ489" s="20" t="s">
        <v>176</v>
      </c>
      <c r="BK489" s="20" t="s">
        <v>216</v>
      </c>
      <c r="BL489" s="20"/>
      <c r="BM489" s="20"/>
      <c r="BN489" s="20" t="s">
        <v>4870</v>
      </c>
      <c r="BO489" s="20" t="s">
        <v>4871</v>
      </c>
      <c r="BP489" s="20" t="s">
        <v>4872</v>
      </c>
      <c r="BQ489" s="20"/>
      <c r="BR489" s="20"/>
      <c r="BS489" s="20"/>
      <c r="BT489" s="20"/>
      <c r="BU489" s="20"/>
      <c r="BV489" s="20"/>
      <c r="BW489" s="20"/>
      <c r="BX489" s="20"/>
      <c r="BY489" s="20" t="s">
        <v>213</v>
      </c>
      <c r="BZ489" s="20" t="s">
        <v>4798</v>
      </c>
      <c r="CA489" s="20"/>
      <c r="CB489" s="20"/>
      <c r="CC489" s="20" t="s">
        <v>99</v>
      </c>
      <c r="CD489" s="20"/>
      <c r="CE489" s="20"/>
      <c r="CF489" s="20"/>
      <c r="CG489" s="20"/>
      <c r="CH489" s="20" t="s">
        <v>4873</v>
      </c>
      <c r="CI489" s="20" t="s">
        <v>4874</v>
      </c>
      <c r="CJ489" s="20"/>
      <c r="CK489" s="20"/>
      <c r="CL489" s="20" t="s">
        <v>185</v>
      </c>
      <c r="CM489" s="20" t="s">
        <v>4875</v>
      </c>
      <c r="CN489" s="20"/>
      <c r="CO489" s="20"/>
      <c r="CP489" s="20" t="s">
        <v>362</v>
      </c>
      <c r="CQ489" s="20" t="s">
        <v>3482</v>
      </c>
      <c r="CR489" s="20"/>
      <c r="CS489" s="20"/>
      <c r="CT489" s="20" t="s">
        <v>4876</v>
      </c>
      <c r="CU489" s="20" t="s">
        <v>4877</v>
      </c>
      <c r="CV489" s="20" t="s">
        <v>4878</v>
      </c>
      <c r="CW489" s="20">
        <v>3</v>
      </c>
      <c r="CX489" s="20" t="s">
        <v>99</v>
      </c>
      <c r="CY489" s="20" t="s">
        <v>99</v>
      </c>
      <c r="CZ489" s="20">
        <v>5</v>
      </c>
      <c r="DA489" s="20">
        <v>60</v>
      </c>
      <c r="DB489" s="20">
        <v>35</v>
      </c>
      <c r="DC489" s="20" t="s">
        <v>4879</v>
      </c>
      <c r="DD489" s="20" t="s">
        <v>4880</v>
      </c>
      <c r="DE489" s="20">
        <v>203</v>
      </c>
      <c r="DF489" s="20">
        <v>219</v>
      </c>
      <c r="DG489" s="9">
        <f t="shared" si="7"/>
        <v>5.101034381503454</v>
      </c>
      <c r="DH489" s="20" t="s">
        <v>229</v>
      </c>
      <c r="DI489" s="20" t="s">
        <v>4881</v>
      </c>
      <c r="DJ489" s="20"/>
      <c r="DK489" s="20"/>
      <c r="DL489" s="20" t="s">
        <v>4882</v>
      </c>
      <c r="DM489" s="20" t="s">
        <v>4883</v>
      </c>
      <c r="DP489" s="11">
        <v>3</v>
      </c>
      <c r="DQ489" s="9">
        <v>2</v>
      </c>
      <c r="DR489" s="9">
        <v>3</v>
      </c>
    </row>
    <row r="490" spans="1:125" x14ac:dyDescent="0.2">
      <c r="A490" s="9" t="s">
        <v>4884</v>
      </c>
      <c r="B490" s="21">
        <v>43644</v>
      </c>
      <c r="C490" s="20" t="s">
        <v>196</v>
      </c>
      <c r="D490" s="20">
        <v>46</v>
      </c>
      <c r="E490" s="20" t="s">
        <v>100</v>
      </c>
      <c r="F490" s="51">
        <v>26758</v>
      </c>
      <c r="G490" s="22" t="s">
        <v>4885</v>
      </c>
      <c r="H490" s="20" t="s">
        <v>4886</v>
      </c>
      <c r="I490" s="20" t="s">
        <v>198</v>
      </c>
      <c r="J490" s="20"/>
      <c r="K490" s="51">
        <v>38705</v>
      </c>
      <c r="L490" s="20">
        <v>2</v>
      </c>
      <c r="M490" s="20" t="s">
        <v>99</v>
      </c>
      <c r="N490" s="20" t="s">
        <v>99</v>
      </c>
      <c r="O490" s="20" t="s">
        <v>99</v>
      </c>
      <c r="P490" s="20" t="s">
        <v>99</v>
      </c>
      <c r="Q490" s="20" t="s">
        <v>99</v>
      </c>
      <c r="R490" s="20" t="s">
        <v>99</v>
      </c>
      <c r="S490" s="20" t="s">
        <v>99</v>
      </c>
      <c r="T490" s="20" t="s">
        <v>99</v>
      </c>
      <c r="U490" s="20" t="s">
        <v>99</v>
      </c>
      <c r="V490" s="20" t="s">
        <v>99</v>
      </c>
      <c r="W490" s="20" t="s">
        <v>1046</v>
      </c>
      <c r="X490" s="20" t="s">
        <v>99</v>
      </c>
      <c r="Y490" s="20" t="s">
        <v>4887</v>
      </c>
      <c r="Z490" s="20"/>
      <c r="AA490" s="20" t="s">
        <v>100</v>
      </c>
      <c r="AB490" s="20" t="s">
        <v>100</v>
      </c>
      <c r="AC490" s="20" t="s">
        <v>4888</v>
      </c>
      <c r="AD490" s="20" t="s">
        <v>4889</v>
      </c>
      <c r="AE490" s="20"/>
      <c r="AF490" s="20"/>
      <c r="AG490" s="20" t="s">
        <v>4890</v>
      </c>
      <c r="AH490" s="20"/>
      <c r="AI490" s="20"/>
      <c r="AJ490" s="20"/>
      <c r="AK490" s="20"/>
      <c r="AL490" s="20">
        <v>63</v>
      </c>
      <c r="AM490" s="20">
        <v>163</v>
      </c>
      <c r="AN490" s="20">
        <v>78</v>
      </c>
      <c r="AO490" s="20">
        <v>102</v>
      </c>
      <c r="AP490" s="20" t="s">
        <v>4316</v>
      </c>
      <c r="AQ490" s="20">
        <v>6</v>
      </c>
      <c r="AR490" s="20" t="s">
        <v>4891</v>
      </c>
      <c r="AS490" s="20">
        <v>44</v>
      </c>
      <c r="AT490" s="20" t="s">
        <v>4892</v>
      </c>
      <c r="AU490" s="20">
        <v>103</v>
      </c>
      <c r="AV490" s="20">
        <v>71</v>
      </c>
      <c r="AW490" s="20"/>
      <c r="AX490" s="20" t="s">
        <v>4865</v>
      </c>
      <c r="AY490" s="20" t="s">
        <v>4893</v>
      </c>
      <c r="AZ490" s="20"/>
      <c r="BA490" s="20" t="s">
        <v>176</v>
      </c>
      <c r="BB490" s="20" t="s">
        <v>1080</v>
      </c>
      <c r="BC490" s="20" t="s">
        <v>750</v>
      </c>
      <c r="BD490" s="20" t="s">
        <v>749</v>
      </c>
      <c r="BE490" s="20"/>
      <c r="BF490" s="20" t="s">
        <v>4894</v>
      </c>
      <c r="BG490" s="20" t="s">
        <v>110</v>
      </c>
      <c r="BH490" s="20"/>
      <c r="BI490" s="20" t="s">
        <v>110</v>
      </c>
      <c r="BJ490" s="20"/>
      <c r="BK490" s="20" t="s">
        <v>1700</v>
      </c>
      <c r="BL490" s="20"/>
      <c r="BM490" s="20" t="s">
        <v>176</v>
      </c>
      <c r="BN490" s="20" t="s">
        <v>4895</v>
      </c>
      <c r="BO490" s="20" t="s">
        <v>179</v>
      </c>
      <c r="BP490" s="20" t="s">
        <v>180</v>
      </c>
      <c r="BQ490" s="20" t="s">
        <v>99</v>
      </c>
      <c r="BR490" s="20"/>
      <c r="BS490" s="20"/>
      <c r="BT490" s="20"/>
      <c r="BU490" s="20" t="s">
        <v>99</v>
      </c>
      <c r="BV490" s="20"/>
      <c r="BW490" s="20"/>
      <c r="BX490" s="20"/>
      <c r="BY490" s="20" t="s">
        <v>176</v>
      </c>
      <c r="BZ490" s="20"/>
      <c r="CA490" s="20"/>
      <c r="CB490" s="20"/>
      <c r="CC490" s="20" t="s">
        <v>99</v>
      </c>
      <c r="CD490" s="20"/>
      <c r="CE490" s="20"/>
      <c r="CF490" s="20"/>
      <c r="CG490" s="20" t="s">
        <v>99</v>
      </c>
      <c r="CH490" s="20"/>
      <c r="CI490" s="20"/>
      <c r="CJ490" s="20"/>
      <c r="CK490" s="20" t="s">
        <v>176</v>
      </c>
      <c r="CL490" s="20" t="s">
        <v>1180</v>
      </c>
      <c r="CM490" s="20" t="s">
        <v>4896</v>
      </c>
      <c r="CN490" s="20" t="s">
        <v>1181</v>
      </c>
      <c r="CO490" s="20" t="s">
        <v>176</v>
      </c>
      <c r="CP490" s="20" t="s">
        <v>362</v>
      </c>
      <c r="CQ490" s="20" t="s">
        <v>716</v>
      </c>
      <c r="CR490" s="20" t="s">
        <v>1518</v>
      </c>
      <c r="CS490" s="20" t="s">
        <v>350</v>
      </c>
      <c r="CT490" s="20"/>
      <c r="CU490" s="20"/>
      <c r="CV490" s="20"/>
      <c r="CW490" s="20" t="s">
        <v>4897</v>
      </c>
      <c r="CX490" s="20" t="s">
        <v>110</v>
      </c>
      <c r="CY490" s="20" t="s">
        <v>110</v>
      </c>
      <c r="CZ490" s="22">
        <v>40</v>
      </c>
      <c r="DA490" s="22">
        <v>30</v>
      </c>
      <c r="DB490" s="22">
        <v>60</v>
      </c>
      <c r="DC490" s="20" t="s">
        <v>4898</v>
      </c>
      <c r="DD490" s="20" t="s">
        <v>4899</v>
      </c>
      <c r="DE490" s="22">
        <v>148</v>
      </c>
      <c r="DF490" s="20">
        <v>39</v>
      </c>
      <c r="DG490" s="9">
        <f t="shared" si="7"/>
        <v>3.9817822226624688</v>
      </c>
      <c r="DH490" s="20" t="s">
        <v>4900</v>
      </c>
      <c r="DI490" s="20" t="s">
        <v>4901</v>
      </c>
      <c r="DJ490" s="20"/>
      <c r="DK490" s="20"/>
      <c r="DL490" s="20" t="s">
        <v>4902</v>
      </c>
      <c r="DM490" s="22" t="s">
        <v>4903</v>
      </c>
      <c r="DP490" s="11">
        <v>2</v>
      </c>
      <c r="DQ490" s="30">
        <v>1</v>
      </c>
      <c r="DT490" s="9">
        <v>16.5</v>
      </c>
    </row>
    <row r="491" spans="1:125" x14ac:dyDescent="0.2">
      <c r="A491" s="9" t="s">
        <v>4904</v>
      </c>
      <c r="B491" s="8">
        <v>43630</v>
      </c>
      <c r="C491" s="9" t="s">
        <v>107</v>
      </c>
      <c r="D491" s="9">
        <v>52</v>
      </c>
      <c r="E491" s="9" t="s">
        <v>100</v>
      </c>
      <c r="F491" s="8">
        <v>24427</v>
      </c>
      <c r="G491" s="9" t="s">
        <v>4905</v>
      </c>
      <c r="H491" s="9" t="s">
        <v>4906</v>
      </c>
      <c r="M491" s="9" t="s">
        <v>4907</v>
      </c>
      <c r="N491" s="9" t="s">
        <v>4908</v>
      </c>
      <c r="O491" s="9" t="s">
        <v>4909</v>
      </c>
      <c r="P491" s="9" t="s">
        <v>483</v>
      </c>
      <c r="Q491" s="9" t="s">
        <v>4910</v>
      </c>
      <c r="R491" s="9" t="s">
        <v>588</v>
      </c>
      <c r="S491" s="9" t="s">
        <v>483</v>
      </c>
      <c r="T491" s="9" t="s">
        <v>99</v>
      </c>
      <c r="U491" s="9" t="s">
        <v>99</v>
      </c>
      <c r="V491" s="9" t="s">
        <v>99</v>
      </c>
      <c r="W491" s="9" t="s">
        <v>4911</v>
      </c>
      <c r="Y491" s="9" t="s">
        <v>4912</v>
      </c>
      <c r="AA491" s="14" t="s">
        <v>2267</v>
      </c>
      <c r="AB491" s="14" t="s">
        <v>840</v>
      </c>
      <c r="AC491" s="14" t="s">
        <v>2267</v>
      </c>
      <c r="AD491" s="14" t="s">
        <v>840</v>
      </c>
      <c r="AE491" s="9" t="s">
        <v>4913</v>
      </c>
      <c r="AF491" s="9" t="s">
        <v>125</v>
      </c>
      <c r="AG491" s="9" t="s">
        <v>99</v>
      </c>
      <c r="AH491" s="9" t="s">
        <v>99</v>
      </c>
      <c r="AI491" s="9" t="s">
        <v>118</v>
      </c>
      <c r="AJ491" s="9" t="s">
        <v>99</v>
      </c>
      <c r="AL491" s="9">
        <v>84.8</v>
      </c>
      <c r="AM491" s="9">
        <v>1.68</v>
      </c>
      <c r="AN491" s="9">
        <v>104</v>
      </c>
      <c r="AO491" s="9">
        <v>109</v>
      </c>
      <c r="AP491" s="9">
        <v>30.5</v>
      </c>
      <c r="AQ491" s="9">
        <v>15</v>
      </c>
      <c r="AR491" s="9">
        <v>31.9</v>
      </c>
      <c r="AS491" s="9">
        <v>59</v>
      </c>
      <c r="AT491" s="9">
        <v>30</v>
      </c>
      <c r="AU491" s="9">
        <v>117</v>
      </c>
      <c r="AV491" s="9">
        <v>72</v>
      </c>
      <c r="AX491" s="9" t="s">
        <v>2767</v>
      </c>
      <c r="AY491" s="9" t="s">
        <v>4914</v>
      </c>
      <c r="BB491" s="9" t="s">
        <v>4915</v>
      </c>
      <c r="BC491" s="9" t="s">
        <v>1080</v>
      </c>
      <c r="BD491" s="9" t="s">
        <v>750</v>
      </c>
      <c r="BF491" s="9" t="s">
        <v>4916</v>
      </c>
      <c r="BG491" s="9" t="s">
        <v>3603</v>
      </c>
      <c r="BH491" s="9" t="s">
        <v>2445</v>
      </c>
      <c r="BI491" s="9" t="s">
        <v>700</v>
      </c>
      <c r="BM491" s="14" t="s">
        <v>1664</v>
      </c>
      <c r="BN491" s="9" t="s">
        <v>2534</v>
      </c>
      <c r="BO491" s="9" t="s">
        <v>219</v>
      </c>
      <c r="BV491" s="9" t="s">
        <v>734</v>
      </c>
      <c r="BZ491" s="9" t="s">
        <v>4917</v>
      </c>
      <c r="CA491" s="9" t="s">
        <v>4918</v>
      </c>
      <c r="CB491" s="9" t="s">
        <v>4919</v>
      </c>
      <c r="CL491" s="9" t="s">
        <v>4920</v>
      </c>
      <c r="CM491" s="9" t="s">
        <v>4921</v>
      </c>
      <c r="CN491" s="9" t="s">
        <v>4922</v>
      </c>
      <c r="CP491" s="9" t="s">
        <v>362</v>
      </c>
      <c r="CQ491" s="9" t="s">
        <v>4634</v>
      </c>
      <c r="CR491" s="9" t="s">
        <v>4923</v>
      </c>
      <c r="CT491" s="9" t="s">
        <v>1732</v>
      </c>
      <c r="CU491" s="9" t="s">
        <v>2662</v>
      </c>
      <c r="CV491" s="9" t="s">
        <v>187</v>
      </c>
      <c r="CW491" s="9">
        <v>3</v>
      </c>
      <c r="CX491" s="9" t="s">
        <v>110</v>
      </c>
      <c r="CY491" s="9" t="s">
        <v>4924</v>
      </c>
      <c r="DG491" s="9" t="e">
        <f t="shared" si="7"/>
        <v>#NUM!</v>
      </c>
      <c r="DP491" s="11">
        <v>3</v>
      </c>
      <c r="DQ491" s="9">
        <v>3</v>
      </c>
    </row>
    <row r="492" spans="1:125" x14ac:dyDescent="0.2">
      <c r="A492" s="9" t="s">
        <v>4925</v>
      </c>
      <c r="DG492" s="9" t="e">
        <f t="shared" si="7"/>
        <v>#NUM!</v>
      </c>
      <c r="DP492" s="11">
        <v>3</v>
      </c>
      <c r="DR492" s="9">
        <v>2</v>
      </c>
    </row>
    <row r="493" spans="1:125" x14ac:dyDescent="0.2">
      <c r="A493" s="7" t="s">
        <v>4926</v>
      </c>
      <c r="B493" s="8">
        <v>43644</v>
      </c>
      <c r="C493" s="9" t="s">
        <v>95</v>
      </c>
      <c r="D493" s="9">
        <v>54</v>
      </c>
      <c r="E493" s="9" t="s">
        <v>100</v>
      </c>
      <c r="F493" s="17">
        <v>23635</v>
      </c>
      <c r="G493" s="9" t="s">
        <v>3950</v>
      </c>
      <c r="H493" s="9" t="s">
        <v>4927</v>
      </c>
      <c r="I493" s="9">
        <v>12</v>
      </c>
      <c r="J493" s="9" t="s">
        <v>3113</v>
      </c>
      <c r="K493" s="9">
        <v>2002</v>
      </c>
      <c r="L493" s="9">
        <v>3</v>
      </c>
      <c r="M493" s="9" t="s">
        <v>99</v>
      </c>
      <c r="N493" s="9" t="s">
        <v>99</v>
      </c>
      <c r="O493" s="9" t="s">
        <v>99</v>
      </c>
      <c r="P493" s="9" t="s">
        <v>99</v>
      </c>
      <c r="Q493" s="9" t="s">
        <v>2385</v>
      </c>
      <c r="S493" s="9" t="s">
        <v>1971</v>
      </c>
      <c r="T493" s="9" t="s">
        <v>110</v>
      </c>
      <c r="V493" s="9">
        <v>2005</v>
      </c>
      <c r="Y493" s="9" t="s">
        <v>1903</v>
      </c>
      <c r="AA493" s="9" t="s">
        <v>100</v>
      </c>
      <c r="AB493" s="9" t="s">
        <v>100</v>
      </c>
      <c r="AC493" s="9" t="s">
        <v>100</v>
      </c>
      <c r="AD493" s="9" t="s">
        <v>100</v>
      </c>
      <c r="AE493" s="9" t="s">
        <v>99</v>
      </c>
      <c r="AF493" s="9" t="s">
        <v>126</v>
      </c>
      <c r="AG493" s="9" t="s">
        <v>4928</v>
      </c>
      <c r="AH493" s="9" t="s">
        <v>99</v>
      </c>
      <c r="AI493" s="9" t="s">
        <v>110</v>
      </c>
      <c r="AK493" s="9" t="s">
        <v>4929</v>
      </c>
      <c r="AL493" s="9">
        <v>57.6</v>
      </c>
      <c r="AM493" s="9">
        <v>1.65</v>
      </c>
      <c r="AN493" s="9">
        <v>79</v>
      </c>
      <c r="AO493" s="9">
        <v>94</v>
      </c>
      <c r="AP493" s="9">
        <v>43.2</v>
      </c>
      <c r="AQ493" s="9">
        <v>6</v>
      </c>
      <c r="AR493" s="9">
        <v>24.8</v>
      </c>
      <c r="AS493" s="9">
        <v>38</v>
      </c>
      <c r="AT493" s="9">
        <v>21.4</v>
      </c>
      <c r="AU493" s="9">
        <v>103</v>
      </c>
      <c r="AV493" s="9">
        <v>76</v>
      </c>
      <c r="AX493" s="9" t="s">
        <v>4930</v>
      </c>
      <c r="AY493" s="9" t="s">
        <v>2878</v>
      </c>
      <c r="AZ493" s="9" t="s">
        <v>679</v>
      </c>
      <c r="BB493" s="9" t="s">
        <v>346</v>
      </c>
      <c r="BC493" s="9" t="s">
        <v>3390</v>
      </c>
      <c r="BD493" s="9" t="s">
        <v>3121</v>
      </c>
      <c r="BF493" s="9" t="s">
        <v>1099</v>
      </c>
      <c r="BG493" s="9" t="s">
        <v>4931</v>
      </c>
      <c r="BH493" s="9" t="s">
        <v>4932</v>
      </c>
      <c r="BI493" s="9" t="s">
        <v>110</v>
      </c>
      <c r="BJ493" s="9" t="s">
        <v>2570</v>
      </c>
      <c r="BK493" s="9" t="s">
        <v>4933</v>
      </c>
      <c r="BM493" s="9" t="s">
        <v>4934</v>
      </c>
      <c r="BN493" s="9" t="s">
        <v>2446</v>
      </c>
      <c r="BO493" s="9" t="s">
        <v>2694</v>
      </c>
      <c r="BP493" s="9" t="s">
        <v>4935</v>
      </c>
      <c r="BY493" s="9" t="s">
        <v>176</v>
      </c>
      <c r="BZ493" s="9" t="s">
        <v>4936</v>
      </c>
      <c r="CA493" s="9" t="s">
        <v>709</v>
      </c>
      <c r="CB493" s="9" t="s">
        <v>4937</v>
      </c>
      <c r="CK493" s="9" t="s">
        <v>635</v>
      </c>
      <c r="CL493" s="9" t="s">
        <v>4938</v>
      </c>
      <c r="CM493" s="9" t="s">
        <v>4939</v>
      </c>
      <c r="CN493" s="9" t="s">
        <v>4940</v>
      </c>
      <c r="CO493" s="9" t="s">
        <v>176</v>
      </c>
      <c r="CP493" s="9" t="s">
        <v>716</v>
      </c>
      <c r="CQ493" s="9" t="s">
        <v>4941</v>
      </c>
      <c r="CR493" s="9" t="s">
        <v>4942</v>
      </c>
      <c r="CS493" s="9" t="s">
        <v>2368</v>
      </c>
      <c r="CW493" s="45" t="s">
        <v>2861</v>
      </c>
      <c r="CX493" s="9" t="s">
        <v>110</v>
      </c>
      <c r="CY493" s="9" t="s">
        <v>4943</v>
      </c>
      <c r="CZ493" s="9">
        <v>60</v>
      </c>
      <c r="DA493" s="9">
        <v>20</v>
      </c>
      <c r="DB493" s="9">
        <v>20</v>
      </c>
      <c r="DC493" s="9">
        <v>86.9</v>
      </c>
      <c r="DD493" s="9">
        <v>0.68</v>
      </c>
      <c r="DE493" s="9">
        <v>167</v>
      </c>
      <c r="DF493" s="9">
        <v>94</v>
      </c>
      <c r="DG493" s="9">
        <f t="shared" si="7"/>
        <v>4.5040264072706755</v>
      </c>
      <c r="DH493" s="9">
        <v>18.8</v>
      </c>
      <c r="DI493" s="9">
        <v>3.29</v>
      </c>
      <c r="DL493" s="9">
        <v>61.7</v>
      </c>
      <c r="DM493" s="9">
        <v>86.5</v>
      </c>
      <c r="DR493" s="9">
        <v>2</v>
      </c>
    </row>
    <row r="494" spans="1:125" x14ac:dyDescent="0.2">
      <c r="A494" s="14" t="s">
        <v>4944</v>
      </c>
      <c r="B494" s="8">
        <v>43647</v>
      </c>
      <c r="C494" s="9" t="s">
        <v>95</v>
      </c>
      <c r="D494" s="9">
        <v>51</v>
      </c>
      <c r="E494" s="125" t="s">
        <v>816</v>
      </c>
      <c r="F494" s="17">
        <v>24940</v>
      </c>
      <c r="G494" s="9" t="s">
        <v>2495</v>
      </c>
      <c r="H494" s="9" t="s">
        <v>4945</v>
      </c>
      <c r="I494" s="9">
        <v>12</v>
      </c>
      <c r="J494" s="9" t="s">
        <v>4946</v>
      </c>
      <c r="K494" s="9">
        <v>1992</v>
      </c>
      <c r="L494" s="9">
        <v>3</v>
      </c>
      <c r="M494" s="9" t="s">
        <v>4947</v>
      </c>
      <c r="N494" s="9" t="s">
        <v>4948</v>
      </c>
      <c r="O494" s="9" t="s">
        <v>99</v>
      </c>
      <c r="P494" s="9" t="s">
        <v>99</v>
      </c>
      <c r="Q494" s="9" t="s">
        <v>99</v>
      </c>
      <c r="R494" s="9" t="s">
        <v>110</v>
      </c>
      <c r="S494" s="9" t="s">
        <v>99</v>
      </c>
      <c r="T494" s="9" t="s">
        <v>99</v>
      </c>
      <c r="U494" s="9" t="s">
        <v>99</v>
      </c>
      <c r="V494" s="9" t="s">
        <v>99</v>
      </c>
      <c r="W494" s="9" t="s">
        <v>99</v>
      </c>
      <c r="X494" s="9" t="s">
        <v>99</v>
      </c>
      <c r="Y494" s="9" t="s">
        <v>99</v>
      </c>
      <c r="AA494" s="9" t="s">
        <v>816</v>
      </c>
      <c r="AB494" s="9" t="s">
        <v>816</v>
      </c>
      <c r="AC494" s="9" t="s">
        <v>816</v>
      </c>
      <c r="AD494" s="9" t="s">
        <v>816</v>
      </c>
      <c r="AE494" s="9" t="s">
        <v>4949</v>
      </c>
      <c r="AF494" s="9" t="s">
        <v>664</v>
      </c>
      <c r="AG494" s="9" t="s">
        <v>4950</v>
      </c>
      <c r="AH494" s="9" t="s">
        <v>135</v>
      </c>
      <c r="AI494" s="9" t="s">
        <v>99</v>
      </c>
      <c r="AJ494" s="9" t="s">
        <v>99</v>
      </c>
      <c r="AK494" s="9" t="s">
        <v>99</v>
      </c>
      <c r="AL494" s="9">
        <v>83</v>
      </c>
      <c r="AM494" s="9">
        <v>154</v>
      </c>
      <c r="AN494" s="9">
        <v>100</v>
      </c>
      <c r="AO494" s="9">
        <v>115</v>
      </c>
      <c r="AP494" s="9">
        <v>33</v>
      </c>
      <c r="AQ494" s="9">
        <v>9</v>
      </c>
      <c r="AR494" s="9">
        <v>26</v>
      </c>
      <c r="AS494" s="9">
        <v>49</v>
      </c>
      <c r="AT494" s="9">
        <v>35</v>
      </c>
      <c r="AU494" s="14">
        <v>148</v>
      </c>
      <c r="AV494" s="9">
        <v>78</v>
      </c>
      <c r="AX494" s="9" t="s">
        <v>4951</v>
      </c>
      <c r="AY494" s="9" t="s">
        <v>4952</v>
      </c>
      <c r="AZ494" s="9" t="s">
        <v>4953</v>
      </c>
      <c r="BB494" s="9" t="s">
        <v>4954</v>
      </c>
      <c r="BC494" s="9" t="s">
        <v>3342</v>
      </c>
      <c r="BF494" s="9" t="s">
        <v>3234</v>
      </c>
      <c r="BG494" s="9" t="s">
        <v>3234</v>
      </c>
      <c r="BH494" s="9" t="s">
        <v>3215</v>
      </c>
      <c r="BI494" s="9" t="s">
        <v>3215</v>
      </c>
      <c r="BJ494" s="9" t="s">
        <v>3234</v>
      </c>
      <c r="BK494" s="9" t="s">
        <v>1172</v>
      </c>
      <c r="BN494" s="9" t="s">
        <v>4955</v>
      </c>
      <c r="BO494" s="9" t="s">
        <v>4956</v>
      </c>
      <c r="BP494" s="9" t="s">
        <v>4957</v>
      </c>
      <c r="BZ494" s="9" t="s">
        <v>4958</v>
      </c>
      <c r="CA494" s="9" t="s">
        <v>4959</v>
      </c>
      <c r="CB494" s="9" t="s">
        <v>4960</v>
      </c>
      <c r="CL494" s="9" t="s">
        <v>4961</v>
      </c>
      <c r="CM494" s="9" t="s">
        <v>4962</v>
      </c>
      <c r="CP494" s="9" t="s">
        <v>4963</v>
      </c>
      <c r="CQ494" s="9" t="s">
        <v>4964</v>
      </c>
      <c r="CR494" s="9" t="s">
        <v>4965</v>
      </c>
      <c r="CT494" s="9" t="s">
        <v>4966</v>
      </c>
      <c r="CW494" s="9">
        <v>3</v>
      </c>
      <c r="CX494" s="9" t="s">
        <v>99</v>
      </c>
      <c r="CY494" s="9" t="s">
        <v>99</v>
      </c>
      <c r="DC494" s="14">
        <v>121</v>
      </c>
      <c r="DD494" s="9">
        <v>0.62</v>
      </c>
      <c r="DE494" s="14">
        <v>215</v>
      </c>
      <c r="DF494" s="9">
        <v>142</v>
      </c>
      <c r="DG494" s="9">
        <f t="shared" si="7"/>
        <v>4.8758088015990007</v>
      </c>
      <c r="DH494" s="9">
        <v>28.4</v>
      </c>
      <c r="DI494" s="9">
        <v>3.96</v>
      </c>
      <c r="DL494" s="14">
        <v>65.5</v>
      </c>
      <c r="DM494" s="9">
        <v>121.1</v>
      </c>
      <c r="DP494" s="11">
        <v>2</v>
      </c>
      <c r="DQ494" s="9">
        <v>2</v>
      </c>
      <c r="DR494" s="9">
        <v>3</v>
      </c>
      <c r="DT494" s="9">
        <v>16.8</v>
      </c>
    </row>
    <row r="495" spans="1:125" customFormat="1" x14ac:dyDescent="0.2">
      <c r="A495">
        <v>411</v>
      </c>
      <c r="B495" s="26">
        <v>43797</v>
      </c>
      <c r="C495" t="s">
        <v>107</v>
      </c>
      <c r="D495">
        <v>47</v>
      </c>
      <c r="E495" t="s">
        <v>96</v>
      </c>
      <c r="F495" s="26">
        <v>26305</v>
      </c>
      <c r="G495" t="s">
        <v>400</v>
      </c>
      <c r="H495" t="s">
        <v>4967</v>
      </c>
      <c r="I495" t="s">
        <v>162</v>
      </c>
      <c r="J495" t="s">
        <v>162</v>
      </c>
      <c r="K495" t="s">
        <v>162</v>
      </c>
      <c r="L495" t="s">
        <v>162</v>
      </c>
      <c r="M495" t="s">
        <v>99</v>
      </c>
      <c r="N495" t="s">
        <v>99</v>
      </c>
      <c r="O495" t="s">
        <v>99</v>
      </c>
      <c r="P495" t="s">
        <v>99</v>
      </c>
      <c r="Q495" t="s">
        <v>162</v>
      </c>
      <c r="R495" t="s">
        <v>110</v>
      </c>
      <c r="S495" t="s">
        <v>99</v>
      </c>
      <c r="T495" t="s">
        <v>99</v>
      </c>
      <c r="U495" t="s">
        <v>99</v>
      </c>
      <c r="V495" t="s">
        <v>99</v>
      </c>
      <c r="W495" t="s">
        <v>4968</v>
      </c>
      <c r="X495" t="s">
        <v>99</v>
      </c>
      <c r="Y495" t="s">
        <v>162</v>
      </c>
      <c r="Z495" t="s">
        <v>162</v>
      </c>
      <c r="AA495" t="s">
        <v>96</v>
      </c>
      <c r="AB495" t="s">
        <v>96</v>
      </c>
      <c r="AC495" t="s">
        <v>96</v>
      </c>
      <c r="AD495" t="s">
        <v>96</v>
      </c>
      <c r="AE495" t="s">
        <v>4969</v>
      </c>
      <c r="AF495" t="s">
        <v>1877</v>
      </c>
      <c r="AG495" t="s">
        <v>162</v>
      </c>
      <c r="AH495" t="s">
        <v>162</v>
      </c>
      <c r="AI495" t="s">
        <v>162</v>
      </c>
      <c r="AJ495" t="s">
        <v>162</v>
      </c>
      <c r="AK495" t="s">
        <v>162</v>
      </c>
      <c r="AL495">
        <v>104.9</v>
      </c>
      <c r="AM495">
        <v>175</v>
      </c>
      <c r="AN495">
        <v>118</v>
      </c>
      <c r="AO495">
        <v>110</v>
      </c>
      <c r="AP495">
        <v>36.5</v>
      </c>
      <c r="AQ495">
        <v>19</v>
      </c>
      <c r="AR495">
        <v>28.8</v>
      </c>
      <c r="AS495">
        <v>74</v>
      </c>
      <c r="AT495">
        <v>34.299999999999997</v>
      </c>
      <c r="AU495">
        <v>116</v>
      </c>
      <c r="AV495">
        <v>75</v>
      </c>
      <c r="DC495">
        <v>100.5</v>
      </c>
      <c r="DD495">
        <v>0.45</v>
      </c>
      <c r="DE495">
        <v>168</v>
      </c>
      <c r="DF495">
        <v>73</v>
      </c>
      <c r="DG495" s="9">
        <f t="shared" si="7"/>
        <v>4.4503085843237606</v>
      </c>
      <c r="DH495">
        <v>14.6</v>
      </c>
      <c r="DI495">
        <v>4.3</v>
      </c>
      <c r="DL495">
        <v>34.700000000000003</v>
      </c>
      <c r="DM495">
        <v>118.7</v>
      </c>
    </row>
    <row r="496" spans="1:125" customFormat="1" x14ac:dyDescent="0.2">
      <c r="A496">
        <v>412</v>
      </c>
      <c r="B496" s="26">
        <v>43797</v>
      </c>
      <c r="C496" t="s">
        <v>107</v>
      </c>
      <c r="D496">
        <v>33</v>
      </c>
      <c r="E496" t="s">
        <v>96</v>
      </c>
      <c r="F496" s="26">
        <v>31583</v>
      </c>
      <c r="G496" s="33" t="s">
        <v>4970</v>
      </c>
      <c r="H496" t="s">
        <v>1909</v>
      </c>
      <c r="I496" t="s">
        <v>162</v>
      </c>
      <c r="J496" t="s">
        <v>162</v>
      </c>
      <c r="K496" t="s">
        <v>162</v>
      </c>
      <c r="L496" t="s">
        <v>162</v>
      </c>
      <c r="M496" t="s">
        <v>99</v>
      </c>
      <c r="N496" t="s">
        <v>162</v>
      </c>
      <c r="O496" t="s">
        <v>162</v>
      </c>
      <c r="P496" t="s">
        <v>99</v>
      </c>
      <c r="Q496" t="s">
        <v>99</v>
      </c>
      <c r="R496" t="s">
        <v>162</v>
      </c>
      <c r="S496" t="s">
        <v>162</v>
      </c>
      <c r="T496" t="s">
        <v>162</v>
      </c>
      <c r="U496" t="s">
        <v>162</v>
      </c>
      <c r="V496" t="s">
        <v>162</v>
      </c>
      <c r="W496" t="s">
        <v>162</v>
      </c>
      <c r="X496" t="s">
        <v>162</v>
      </c>
      <c r="Y496" t="s">
        <v>162</v>
      </c>
      <c r="Z496" t="s">
        <v>162</v>
      </c>
      <c r="AA496" t="s">
        <v>96</v>
      </c>
      <c r="AB496" t="s">
        <v>96</v>
      </c>
      <c r="AC496" t="s">
        <v>162</v>
      </c>
      <c r="AD496" t="s">
        <v>162</v>
      </c>
      <c r="AE496" t="s">
        <v>1480</v>
      </c>
      <c r="AF496" t="s">
        <v>1919</v>
      </c>
      <c r="AG496" t="s">
        <v>99</v>
      </c>
      <c r="AH496" t="s">
        <v>99</v>
      </c>
      <c r="AI496" t="s">
        <v>99</v>
      </c>
      <c r="AJ496" t="s">
        <v>162</v>
      </c>
      <c r="AK496" t="s">
        <v>162</v>
      </c>
      <c r="AL496">
        <v>79.7</v>
      </c>
      <c r="AM496">
        <v>166</v>
      </c>
      <c r="AN496">
        <v>95</v>
      </c>
      <c r="AO496">
        <v>101</v>
      </c>
      <c r="AP496">
        <v>27.5</v>
      </c>
      <c r="AQ496">
        <v>12</v>
      </c>
      <c r="AR496">
        <v>35.799999999999997</v>
      </c>
      <c r="AS496">
        <v>45</v>
      </c>
      <c r="AT496">
        <v>28.8</v>
      </c>
      <c r="AU496">
        <v>100</v>
      </c>
      <c r="AV496">
        <v>69</v>
      </c>
      <c r="DC496">
        <v>78</v>
      </c>
      <c r="DD496">
        <v>0.94</v>
      </c>
      <c r="DE496">
        <v>173</v>
      </c>
      <c r="DF496">
        <v>283</v>
      </c>
      <c r="DG496" s="9">
        <f t="shared" si="7"/>
        <v>5.0010778621664143</v>
      </c>
      <c r="DH496">
        <v>56.6</v>
      </c>
      <c r="DI496">
        <v>7.98</v>
      </c>
      <c r="DL496">
        <v>36.799999999999997</v>
      </c>
      <c r="DM496">
        <v>79.599999999999994</v>
      </c>
    </row>
    <row r="497" spans="1:157" s="33" customFormat="1" x14ac:dyDescent="0.2">
      <c r="A497" s="60" t="s">
        <v>4971</v>
      </c>
      <c r="B497" s="32">
        <v>43797</v>
      </c>
      <c r="C497" s="31" t="s">
        <v>196</v>
      </c>
      <c r="D497" s="31">
        <v>30</v>
      </c>
      <c r="E497" s="31" t="s">
        <v>100</v>
      </c>
      <c r="F497" s="32">
        <v>32684</v>
      </c>
      <c r="G497" s="31" t="s">
        <v>4972</v>
      </c>
      <c r="H497" s="31" t="s">
        <v>4973</v>
      </c>
      <c r="I497" s="31" t="s">
        <v>4974</v>
      </c>
      <c r="J497" s="31"/>
      <c r="K497" s="31"/>
      <c r="L497" s="31"/>
      <c r="M497" s="31" t="s">
        <v>99</v>
      </c>
      <c r="N497" s="31" t="s">
        <v>99</v>
      </c>
      <c r="O497" s="31" t="s">
        <v>99</v>
      </c>
      <c r="P497" s="31" t="s">
        <v>99</v>
      </c>
      <c r="Q497" s="31" t="s">
        <v>4975</v>
      </c>
      <c r="R497" s="31" t="s">
        <v>110</v>
      </c>
      <c r="S497" s="31" t="s">
        <v>110</v>
      </c>
      <c r="T497" s="31" t="s">
        <v>110</v>
      </c>
      <c r="U497" s="31" t="s">
        <v>99</v>
      </c>
      <c r="V497" s="31" t="s">
        <v>99</v>
      </c>
      <c r="W497" s="31" t="s">
        <v>4976</v>
      </c>
      <c r="X497" s="31" t="s">
        <v>4977</v>
      </c>
      <c r="Y497" s="31"/>
      <c r="Z497" s="31"/>
      <c r="AA497" s="31" t="s">
        <v>100</v>
      </c>
      <c r="AB497" s="31" t="s">
        <v>100</v>
      </c>
      <c r="AC497" s="31" t="s">
        <v>100</v>
      </c>
      <c r="AD497" s="31" t="s">
        <v>100</v>
      </c>
      <c r="AE497" s="31" t="s">
        <v>4978</v>
      </c>
      <c r="AF497" s="31" t="s">
        <v>4979</v>
      </c>
      <c r="AG497" s="31" t="s">
        <v>4980</v>
      </c>
      <c r="AH497" s="31" t="s">
        <v>4981</v>
      </c>
      <c r="AI497" s="31" t="s">
        <v>99</v>
      </c>
      <c r="AJ497" s="31" t="s">
        <v>99</v>
      </c>
      <c r="AK497" s="31" t="s">
        <v>4982</v>
      </c>
      <c r="AL497" s="31">
        <v>87.2</v>
      </c>
      <c r="AM497" s="31">
        <v>170</v>
      </c>
      <c r="AN497" s="31">
        <v>94</v>
      </c>
      <c r="AO497" s="31">
        <v>99</v>
      </c>
      <c r="AP497" s="31">
        <v>46.6</v>
      </c>
      <c r="AQ497" s="31">
        <v>7</v>
      </c>
      <c r="AR497" s="31">
        <v>23</v>
      </c>
      <c r="AS497" s="31">
        <v>50</v>
      </c>
      <c r="AT497" s="31">
        <v>30.2</v>
      </c>
      <c r="AU497" s="31">
        <v>105</v>
      </c>
      <c r="AV497" s="31">
        <v>72</v>
      </c>
      <c r="AW497" s="31"/>
      <c r="AX497" s="31" t="s">
        <v>4983</v>
      </c>
      <c r="AY497" s="31" t="s">
        <v>1128</v>
      </c>
      <c r="AZ497" s="31" t="s">
        <v>592</v>
      </c>
      <c r="BA497" s="31"/>
      <c r="BB497" s="31" t="s">
        <v>750</v>
      </c>
      <c r="BC497" s="31" t="s">
        <v>1080</v>
      </c>
      <c r="BD497" s="31"/>
      <c r="BE497" s="31"/>
      <c r="BF497" s="31" t="s">
        <v>1658</v>
      </c>
      <c r="BG497" s="31" t="s">
        <v>682</v>
      </c>
      <c r="BH497" s="31" t="s">
        <v>4984</v>
      </c>
      <c r="BI497" s="31" t="s">
        <v>681</v>
      </c>
      <c r="BJ497" s="31" t="s">
        <v>4985</v>
      </c>
      <c r="BK497" s="31" t="s">
        <v>4984</v>
      </c>
      <c r="BL497" s="31" t="s">
        <v>351</v>
      </c>
      <c r="BM497" s="31" t="s">
        <v>179</v>
      </c>
      <c r="BN497" s="31" t="s">
        <v>219</v>
      </c>
      <c r="BO497" s="31" t="s">
        <v>1664</v>
      </c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 t="s">
        <v>821</v>
      </c>
      <c r="CA497" s="31" t="s">
        <v>183</v>
      </c>
      <c r="CB497" s="31" t="s">
        <v>182</v>
      </c>
      <c r="CC497" s="31"/>
      <c r="CD497" s="31"/>
      <c r="CE497" s="31"/>
      <c r="CF497" s="31"/>
      <c r="CG497" s="31"/>
      <c r="CH497" s="31"/>
      <c r="CI497" s="31"/>
      <c r="CJ497" s="31"/>
      <c r="CK497" s="31"/>
      <c r="CL497" s="31" t="s">
        <v>1180</v>
      </c>
      <c r="CM497" s="31" t="s">
        <v>1181</v>
      </c>
      <c r="CN497" s="31" t="s">
        <v>4015</v>
      </c>
      <c r="CO497" s="31"/>
      <c r="CP497" s="31" t="s">
        <v>4986</v>
      </c>
      <c r="CQ497" s="31" t="s">
        <v>4987</v>
      </c>
      <c r="CR497" s="31" t="s">
        <v>4988</v>
      </c>
      <c r="CS497" s="31"/>
      <c r="CT497" s="31" t="s">
        <v>4989</v>
      </c>
      <c r="CU497" s="31" t="s">
        <v>4990</v>
      </c>
      <c r="CV497" s="31" t="s">
        <v>4991</v>
      </c>
      <c r="CW497" s="31">
        <v>3</v>
      </c>
      <c r="CX497" s="31" t="s">
        <v>110</v>
      </c>
      <c r="CY497" s="31" t="s">
        <v>110</v>
      </c>
      <c r="CZ497" s="31">
        <v>30</v>
      </c>
      <c r="DA497" s="31">
        <v>30</v>
      </c>
      <c r="DB497" s="31">
        <v>40</v>
      </c>
      <c r="DC497" s="31">
        <v>73.099999999999994</v>
      </c>
      <c r="DD497" s="31">
        <v>0.48</v>
      </c>
      <c r="DE497" s="48">
        <v>217</v>
      </c>
      <c r="DF497" s="31">
        <v>135</v>
      </c>
      <c r="DG497" s="9">
        <f t="shared" si="7"/>
        <v>4.5985515725970814</v>
      </c>
      <c r="DH497" s="31">
        <v>27</v>
      </c>
      <c r="DI497" s="31">
        <v>3.79</v>
      </c>
      <c r="DJ497" s="31"/>
      <c r="DK497" s="31"/>
      <c r="DL497" s="48">
        <v>45.7</v>
      </c>
      <c r="DM497" s="31">
        <v>144.30000000000001</v>
      </c>
      <c r="DN497" s="31"/>
      <c r="DO497" s="31"/>
      <c r="DP497" s="31"/>
      <c r="DQ497" s="31"/>
      <c r="DR497" s="31"/>
      <c r="DS497" s="31"/>
      <c r="DT497" s="31"/>
      <c r="DU497" s="31"/>
      <c r="DV497" s="31"/>
    </row>
    <row r="498" spans="1:157" customFormat="1" x14ac:dyDescent="0.2">
      <c r="A498">
        <v>414</v>
      </c>
      <c r="B498" s="26">
        <v>43797</v>
      </c>
      <c r="C498" t="s">
        <v>95</v>
      </c>
      <c r="D498">
        <v>50</v>
      </c>
      <c r="E498" t="s">
        <v>96</v>
      </c>
      <c r="F498" s="26">
        <v>25413</v>
      </c>
      <c r="G498" t="s">
        <v>1908</v>
      </c>
      <c r="H498" t="s">
        <v>4992</v>
      </c>
      <c r="I498" s="26">
        <v>30136</v>
      </c>
      <c r="M498" t="s">
        <v>99</v>
      </c>
      <c r="N498" t="s">
        <v>99</v>
      </c>
      <c r="O498" t="s">
        <v>99</v>
      </c>
      <c r="P498" t="s">
        <v>99</v>
      </c>
      <c r="Q498" t="s">
        <v>99</v>
      </c>
      <c r="S498" t="s">
        <v>99</v>
      </c>
      <c r="T498" t="s">
        <v>99</v>
      </c>
      <c r="AA498" t="s">
        <v>96</v>
      </c>
      <c r="AB498" t="s">
        <v>96</v>
      </c>
      <c r="AC498" t="s">
        <v>1419</v>
      </c>
      <c r="AD498" t="s">
        <v>4993</v>
      </c>
      <c r="AE498" t="s">
        <v>1879</v>
      </c>
      <c r="AF498" t="s">
        <v>4994</v>
      </c>
      <c r="AG498" t="s">
        <v>4995</v>
      </c>
      <c r="AH498" t="s">
        <v>99</v>
      </c>
      <c r="AI498" t="s">
        <v>1912</v>
      </c>
      <c r="AJ498" t="s">
        <v>4996</v>
      </c>
      <c r="AL498">
        <v>70.099999999999994</v>
      </c>
      <c r="AM498">
        <v>159</v>
      </c>
      <c r="AN498">
        <v>95</v>
      </c>
      <c r="AO498">
        <v>102</v>
      </c>
      <c r="AP498">
        <v>40.6</v>
      </c>
      <c r="AQ498">
        <v>9</v>
      </c>
      <c r="AR498">
        <v>25.6</v>
      </c>
      <c r="AS498">
        <v>57</v>
      </c>
      <c r="AT498">
        <v>27.7</v>
      </c>
      <c r="AU498" t="s">
        <v>4997</v>
      </c>
      <c r="AV498" t="s">
        <v>4998</v>
      </c>
      <c r="DC498">
        <v>98.3</v>
      </c>
      <c r="DD498">
        <v>0.81</v>
      </c>
      <c r="DE498">
        <v>177</v>
      </c>
      <c r="DF498">
        <v>165</v>
      </c>
      <c r="DG498" s="9">
        <f t="shared" si="7"/>
        <v>4.8469847505268504</v>
      </c>
      <c r="DH498">
        <v>33</v>
      </c>
      <c r="DI498">
        <v>3.57</v>
      </c>
      <c r="DL498">
        <v>31.1</v>
      </c>
      <c r="DM498">
        <v>112.9</v>
      </c>
      <c r="DP498">
        <v>1</v>
      </c>
      <c r="DR498" s="33">
        <v>1</v>
      </c>
    </row>
    <row r="499" spans="1:157" customFormat="1" x14ac:dyDescent="0.2">
      <c r="A499">
        <v>415</v>
      </c>
      <c r="B499" s="26">
        <v>43798</v>
      </c>
      <c r="C499" t="s">
        <v>95</v>
      </c>
      <c r="D499">
        <v>52</v>
      </c>
      <c r="E499" t="s">
        <v>4999</v>
      </c>
      <c r="F499" s="26">
        <v>24594</v>
      </c>
      <c r="G499" t="s">
        <v>162</v>
      </c>
      <c r="H499" t="s">
        <v>5000</v>
      </c>
      <c r="I499" s="75" t="s">
        <v>5001</v>
      </c>
      <c r="J499" s="75" t="s">
        <v>5002</v>
      </c>
      <c r="K499">
        <v>1998</v>
      </c>
      <c r="L499">
        <v>1</v>
      </c>
      <c r="M499" t="s">
        <v>99</v>
      </c>
      <c r="N499" t="s">
        <v>99</v>
      </c>
      <c r="O499" t="s">
        <v>99</v>
      </c>
      <c r="P499" t="s">
        <v>99</v>
      </c>
      <c r="Q499" t="s">
        <v>99</v>
      </c>
      <c r="R499" t="s">
        <v>99</v>
      </c>
      <c r="S499" t="s">
        <v>99</v>
      </c>
      <c r="T499" t="s">
        <v>99</v>
      </c>
      <c r="U499" t="s">
        <v>99</v>
      </c>
      <c r="V499" t="s">
        <v>99</v>
      </c>
      <c r="W499" t="s">
        <v>99</v>
      </c>
      <c r="X499" t="s">
        <v>99</v>
      </c>
      <c r="Y499" t="s">
        <v>99</v>
      </c>
      <c r="Z499" t="s">
        <v>5003</v>
      </c>
      <c r="AA499" t="s">
        <v>1926</v>
      </c>
      <c r="AB499" t="s">
        <v>1926</v>
      </c>
      <c r="AC499" t="s">
        <v>5004</v>
      </c>
      <c r="AD499" t="s">
        <v>96</v>
      </c>
      <c r="AE499" t="s">
        <v>5005</v>
      </c>
      <c r="AF499" t="s">
        <v>5006</v>
      </c>
      <c r="AG499" t="s">
        <v>5007</v>
      </c>
      <c r="AH499" t="s">
        <v>99</v>
      </c>
      <c r="AI499" t="s">
        <v>99</v>
      </c>
      <c r="AJ499" t="s">
        <v>99</v>
      </c>
      <c r="AK499" t="s">
        <v>99</v>
      </c>
      <c r="AL499">
        <v>58.7</v>
      </c>
      <c r="AM499">
        <v>157</v>
      </c>
      <c r="AN499">
        <v>80</v>
      </c>
      <c r="AO499">
        <v>97</v>
      </c>
      <c r="AP499">
        <v>36</v>
      </c>
      <c r="AQ499">
        <v>7</v>
      </c>
      <c r="AR499">
        <v>26.3</v>
      </c>
      <c r="AS499">
        <v>49</v>
      </c>
      <c r="AT499">
        <v>23.8</v>
      </c>
      <c r="AU499" t="s">
        <v>5008</v>
      </c>
      <c r="AV499" t="s">
        <v>5009</v>
      </c>
      <c r="AX499" t="s">
        <v>5010</v>
      </c>
      <c r="AY499" t="s">
        <v>5011</v>
      </c>
      <c r="AZ499" t="s">
        <v>5012</v>
      </c>
      <c r="BB499" t="s">
        <v>5013</v>
      </c>
      <c r="BC499" t="s">
        <v>5014</v>
      </c>
      <c r="BD499" t="s">
        <v>5015</v>
      </c>
      <c r="BF499" t="s">
        <v>5016</v>
      </c>
      <c r="BG499" t="s">
        <v>4194</v>
      </c>
      <c r="BH499" t="s">
        <v>5017</v>
      </c>
      <c r="BI499" t="s">
        <v>5016</v>
      </c>
      <c r="BJ499" t="s">
        <v>322</v>
      </c>
      <c r="BK499" t="s">
        <v>4194</v>
      </c>
      <c r="BM499" t="s">
        <v>322</v>
      </c>
      <c r="BQ499" t="s">
        <v>99</v>
      </c>
      <c r="BU499" t="s">
        <v>99</v>
      </c>
      <c r="BY499" t="s">
        <v>322</v>
      </c>
      <c r="BZ499" t="s">
        <v>277</v>
      </c>
      <c r="CC499" t="s">
        <v>99</v>
      </c>
      <c r="CG499" t="s">
        <v>99</v>
      </c>
      <c r="CL499" t="s">
        <v>504</v>
      </c>
      <c r="CM499" t="s">
        <v>5018</v>
      </c>
      <c r="CO499" t="s">
        <v>322</v>
      </c>
      <c r="CS499" t="s">
        <v>2004</v>
      </c>
      <c r="CW499" s="68" t="s">
        <v>5019</v>
      </c>
      <c r="CX499" t="s">
        <v>162</v>
      </c>
      <c r="CY499" t="s">
        <v>1407</v>
      </c>
      <c r="DC499">
        <v>86.1</v>
      </c>
      <c r="DD499">
        <v>0.84</v>
      </c>
      <c r="DE499">
        <v>211</v>
      </c>
      <c r="DF499">
        <v>133</v>
      </c>
      <c r="DG499" s="9">
        <f t="shared" si="7"/>
        <v>4.6729292698277192</v>
      </c>
      <c r="DH499">
        <v>26.6</v>
      </c>
      <c r="DI499">
        <v>4.26</v>
      </c>
      <c r="DL499">
        <v>52.5</v>
      </c>
      <c r="DM499">
        <v>131.9</v>
      </c>
    </row>
    <row r="500" spans="1:157" customFormat="1" x14ac:dyDescent="0.2">
      <c r="A500">
        <v>416</v>
      </c>
      <c r="B500" s="26">
        <v>43798</v>
      </c>
      <c r="C500" t="s">
        <v>95</v>
      </c>
      <c r="D500" t="s">
        <v>5020</v>
      </c>
      <c r="E500" t="s">
        <v>313</v>
      </c>
      <c r="F500" s="26">
        <v>29465</v>
      </c>
      <c r="G500" t="s">
        <v>1308</v>
      </c>
      <c r="I500" t="s">
        <v>1321</v>
      </c>
      <c r="K500">
        <v>2012</v>
      </c>
      <c r="L500">
        <v>2</v>
      </c>
      <c r="M500" t="s">
        <v>263</v>
      </c>
      <c r="N500" t="s">
        <v>263</v>
      </c>
      <c r="O500" t="s">
        <v>263</v>
      </c>
      <c r="P500" t="s">
        <v>263</v>
      </c>
      <c r="Q500" t="s">
        <v>263</v>
      </c>
      <c r="U500" t="s">
        <v>5021</v>
      </c>
      <c r="W500" t="s">
        <v>5022</v>
      </c>
      <c r="Y500" t="s">
        <v>5023</v>
      </c>
      <c r="AA500" t="s">
        <v>5024</v>
      </c>
      <c r="AB500" t="s">
        <v>289</v>
      </c>
      <c r="AC500" t="s">
        <v>289</v>
      </c>
      <c r="AD500" t="s">
        <v>290</v>
      </c>
      <c r="AE500" t="s">
        <v>5025</v>
      </c>
      <c r="AF500" t="s">
        <v>263</v>
      </c>
      <c r="AG500" t="s">
        <v>263</v>
      </c>
      <c r="AH500" t="s">
        <v>263</v>
      </c>
      <c r="AI500" t="s">
        <v>263</v>
      </c>
      <c r="AJ500" t="s">
        <v>263</v>
      </c>
      <c r="AK500" t="s">
        <v>5026</v>
      </c>
      <c r="AL500">
        <v>63.2</v>
      </c>
      <c r="AM500">
        <v>1.6</v>
      </c>
      <c r="AN500">
        <v>83</v>
      </c>
      <c r="AO500">
        <v>103</v>
      </c>
      <c r="AP500">
        <v>41.9</v>
      </c>
      <c r="AQ500">
        <v>6</v>
      </c>
      <c r="AR500">
        <v>21.9</v>
      </c>
      <c r="AS500">
        <v>42</v>
      </c>
      <c r="AT500">
        <v>24.7</v>
      </c>
      <c r="AU500">
        <v>98</v>
      </c>
      <c r="AV500">
        <v>71</v>
      </c>
      <c r="DC500">
        <v>67</v>
      </c>
      <c r="DD500">
        <v>0.62</v>
      </c>
      <c r="DE500">
        <v>259</v>
      </c>
      <c r="DF500">
        <v>87</v>
      </c>
      <c r="DG500" s="9">
        <f t="shared" si="7"/>
        <v>4.3353003690227752</v>
      </c>
      <c r="DH500">
        <v>17.399999999999999</v>
      </c>
      <c r="DI500">
        <v>4.17</v>
      </c>
      <c r="DL500">
        <v>57.5</v>
      </c>
      <c r="DM500">
        <v>184.1</v>
      </c>
      <c r="DR500">
        <v>3</v>
      </c>
    </row>
    <row r="501" spans="1:157" customFormat="1" x14ac:dyDescent="0.2">
      <c r="A501">
        <v>417</v>
      </c>
      <c r="B501" s="26">
        <v>43797</v>
      </c>
      <c r="C501" t="s">
        <v>258</v>
      </c>
      <c r="D501" t="s">
        <v>3589</v>
      </c>
      <c r="E501" t="s">
        <v>5027</v>
      </c>
      <c r="F501" s="26">
        <v>31811</v>
      </c>
      <c r="G501" t="s">
        <v>777</v>
      </c>
      <c r="M501" t="s">
        <v>263</v>
      </c>
      <c r="N501" t="s">
        <v>263</v>
      </c>
      <c r="O501" t="s">
        <v>263</v>
      </c>
      <c r="P501" t="s">
        <v>263</v>
      </c>
      <c r="R501" t="s">
        <v>5028</v>
      </c>
      <c r="S501" t="s">
        <v>285</v>
      </c>
      <c r="T501" t="s">
        <v>263</v>
      </c>
      <c r="U501" t="s">
        <v>263</v>
      </c>
      <c r="W501" t="s">
        <v>263</v>
      </c>
      <c r="X501" t="s">
        <v>263</v>
      </c>
      <c r="AA501" t="s">
        <v>1870</v>
      </c>
      <c r="AB501" t="s">
        <v>1870</v>
      </c>
      <c r="AC501" t="s">
        <v>3535</v>
      </c>
      <c r="AD501" t="s">
        <v>3535</v>
      </c>
      <c r="AE501" t="s">
        <v>5029</v>
      </c>
      <c r="AF501" t="s">
        <v>5029</v>
      </c>
      <c r="AG501" t="s">
        <v>5030</v>
      </c>
      <c r="AH501" t="s">
        <v>263</v>
      </c>
      <c r="AI501" t="s">
        <v>5031</v>
      </c>
      <c r="AJ501" t="s">
        <v>263</v>
      </c>
      <c r="AK501" t="s">
        <v>263</v>
      </c>
      <c r="AL501">
        <v>106.8</v>
      </c>
      <c r="AM501">
        <v>1.82</v>
      </c>
      <c r="AN501">
        <v>113</v>
      </c>
      <c r="AO501">
        <v>127</v>
      </c>
      <c r="AP501">
        <v>38.299999999999997</v>
      </c>
      <c r="AQ501">
        <v>15</v>
      </c>
      <c r="AR501">
        <v>28.4</v>
      </c>
      <c r="AS501">
        <v>72</v>
      </c>
      <c r="AT501">
        <v>32.200000000000003</v>
      </c>
      <c r="AU501">
        <v>108</v>
      </c>
      <c r="AV501">
        <v>68</v>
      </c>
      <c r="DC501">
        <v>77.400000000000006</v>
      </c>
      <c r="DD501">
        <v>0.85</v>
      </c>
      <c r="DE501">
        <v>142</v>
      </c>
      <c r="DF501">
        <v>121</v>
      </c>
      <c r="DG501" s="9">
        <f t="shared" si="7"/>
        <v>4.5723886630962109</v>
      </c>
      <c r="DH501">
        <v>24.2</v>
      </c>
      <c r="DI501">
        <v>5.72</v>
      </c>
      <c r="DL501">
        <v>39.200000000000003</v>
      </c>
      <c r="DM501">
        <v>78.599999999999994</v>
      </c>
      <c r="DR501">
        <v>2</v>
      </c>
    </row>
    <row r="502" spans="1:157" customFormat="1" x14ac:dyDescent="0.2">
      <c r="A502" s="74" t="s">
        <v>5032</v>
      </c>
      <c r="B502" s="29" t="s">
        <v>5033</v>
      </c>
      <c r="C502" s="29" t="s">
        <v>196</v>
      </c>
      <c r="D502" s="29">
        <v>35</v>
      </c>
      <c r="E502" s="29" t="s">
        <v>100</v>
      </c>
      <c r="F502" s="69">
        <v>30830</v>
      </c>
      <c r="G502" s="29" t="s">
        <v>2088</v>
      </c>
      <c r="H502" s="29" t="s">
        <v>340</v>
      </c>
      <c r="I502" s="29" t="s">
        <v>198</v>
      </c>
      <c r="J502" s="29"/>
      <c r="K502" s="29">
        <v>2016</v>
      </c>
      <c r="L502" s="29">
        <v>4</v>
      </c>
      <c r="M502" s="29" t="s">
        <v>5034</v>
      </c>
      <c r="N502" s="29" t="s">
        <v>5035</v>
      </c>
      <c r="O502" s="29"/>
      <c r="P502" s="29" t="s">
        <v>99</v>
      </c>
      <c r="Q502" s="29" t="s">
        <v>5036</v>
      </c>
      <c r="R502" s="29" t="s">
        <v>110</v>
      </c>
      <c r="S502" s="29"/>
      <c r="T502" s="29"/>
      <c r="U502" s="29"/>
      <c r="V502" s="29"/>
      <c r="W502" s="29" t="s">
        <v>5037</v>
      </c>
      <c r="X502" s="29"/>
      <c r="Y502" s="29"/>
      <c r="Z502" s="29"/>
      <c r="AA502" s="29" t="s">
        <v>100</v>
      </c>
      <c r="AB502" s="29" t="s">
        <v>100</v>
      </c>
      <c r="AC502" s="29" t="s">
        <v>100</v>
      </c>
      <c r="AD502" s="29" t="s">
        <v>100</v>
      </c>
      <c r="AE502" s="29" t="s">
        <v>1904</v>
      </c>
      <c r="AF502" s="29" t="s">
        <v>1125</v>
      </c>
      <c r="AG502" s="29"/>
      <c r="AH502" s="29"/>
      <c r="AI502" s="29" t="s">
        <v>2048</v>
      </c>
      <c r="AJ502" s="29" t="s">
        <v>2048</v>
      </c>
      <c r="AK502" s="29"/>
      <c r="AL502" s="29">
        <v>101.7</v>
      </c>
      <c r="AM502" s="29">
        <v>162</v>
      </c>
      <c r="AN502" s="29">
        <v>110</v>
      </c>
      <c r="AO502" s="29">
        <v>135</v>
      </c>
      <c r="AP502" s="29">
        <v>54.3</v>
      </c>
      <c r="AQ502" s="29">
        <v>10</v>
      </c>
      <c r="AR502" s="29"/>
      <c r="AS502" s="29">
        <v>67</v>
      </c>
      <c r="AT502" s="29">
        <v>38.799999999999997</v>
      </c>
      <c r="AU502" s="48">
        <v>137</v>
      </c>
      <c r="AV502" s="48">
        <v>95</v>
      </c>
      <c r="AW502" s="29"/>
      <c r="AX502" s="29" t="s">
        <v>1656</v>
      </c>
      <c r="AY502" s="29" t="s">
        <v>573</v>
      </c>
      <c r="AZ502" s="29" t="s">
        <v>1128</v>
      </c>
      <c r="BA502" s="29"/>
      <c r="BB502" s="29" t="s">
        <v>750</v>
      </c>
      <c r="BC502" s="29" t="s">
        <v>1130</v>
      </c>
      <c r="BD502" s="29"/>
      <c r="BE502" s="29"/>
      <c r="BF502" s="29" t="s">
        <v>350</v>
      </c>
      <c r="BG502" s="29" t="s">
        <v>1979</v>
      </c>
      <c r="BH502" s="29" t="s">
        <v>1979</v>
      </c>
      <c r="BI502" s="29" t="s">
        <v>1979</v>
      </c>
      <c r="BJ502" s="29" t="s">
        <v>350</v>
      </c>
      <c r="BK502" s="29" t="s">
        <v>1513</v>
      </c>
      <c r="BL502" s="29"/>
      <c r="BM502" s="29"/>
      <c r="BN502" s="29" t="s">
        <v>219</v>
      </c>
      <c r="BO502" s="29" t="s">
        <v>179</v>
      </c>
      <c r="BP502" s="29" t="s">
        <v>180</v>
      </c>
      <c r="BQ502" s="29"/>
      <c r="BR502" s="29"/>
      <c r="BS502" s="29"/>
      <c r="BT502" s="29"/>
      <c r="BU502" s="29"/>
      <c r="BV502" s="29"/>
      <c r="BW502" s="29"/>
      <c r="BX502" s="29"/>
      <c r="BY502" s="29"/>
      <c r="BZ502" s="29" t="s">
        <v>183</v>
      </c>
      <c r="CA502" s="29" t="s">
        <v>184</v>
      </c>
      <c r="CB502" s="29" t="s">
        <v>182</v>
      </c>
      <c r="CC502" s="29"/>
      <c r="CD502" s="29"/>
      <c r="CE502" s="29"/>
      <c r="CF502" s="29"/>
      <c r="CG502" s="29"/>
      <c r="CH502" s="29"/>
      <c r="CI502" s="29"/>
      <c r="CJ502" s="29"/>
      <c r="CK502" s="29" t="s">
        <v>351</v>
      </c>
      <c r="CL502" s="29" t="s">
        <v>980</v>
      </c>
      <c r="CM502" s="29" t="s">
        <v>579</v>
      </c>
      <c r="CN502" s="29" t="s">
        <v>825</v>
      </c>
      <c r="CO502" s="29"/>
      <c r="CP502" s="29" t="s">
        <v>362</v>
      </c>
      <c r="CQ502" s="29" t="s">
        <v>716</v>
      </c>
      <c r="CR502" s="29" t="s">
        <v>4741</v>
      </c>
      <c r="CS502" s="29"/>
      <c r="CT502" s="29" t="s">
        <v>1729</v>
      </c>
      <c r="CU502" s="29" t="s">
        <v>187</v>
      </c>
      <c r="CV502" s="29" t="s">
        <v>363</v>
      </c>
      <c r="CW502" s="29">
        <v>3</v>
      </c>
      <c r="CX502" s="29" t="s">
        <v>99</v>
      </c>
      <c r="CY502" s="29" t="s">
        <v>99</v>
      </c>
      <c r="CZ502" s="29">
        <v>25</v>
      </c>
      <c r="DA502" s="29">
        <v>25</v>
      </c>
      <c r="DB502" s="29">
        <v>50</v>
      </c>
      <c r="DC502" s="48">
        <v>105.4</v>
      </c>
      <c r="DD502" s="29">
        <v>0.65</v>
      </c>
      <c r="DE502" s="29">
        <v>197</v>
      </c>
      <c r="DF502" s="48">
        <v>165</v>
      </c>
      <c r="DG502" s="9">
        <f t="shared" si="7"/>
        <v>4.8818540550039211</v>
      </c>
      <c r="DH502" s="29">
        <v>33</v>
      </c>
      <c r="DI502" s="29">
        <v>5.89</v>
      </c>
      <c r="DJ502" s="29"/>
      <c r="DK502" s="29"/>
      <c r="DL502" s="29">
        <v>51.6</v>
      </c>
      <c r="DM502" s="29">
        <v>112.4</v>
      </c>
      <c r="DN502" s="29"/>
      <c r="DO502" s="29"/>
      <c r="DP502" s="29">
        <v>3</v>
      </c>
      <c r="DQ502" s="29"/>
      <c r="DR502" s="29">
        <v>2</v>
      </c>
      <c r="DS502" s="29"/>
      <c r="DT502" s="29"/>
      <c r="DU502" s="29"/>
      <c r="DV502" s="29"/>
      <c r="DW502" s="29"/>
      <c r="DX502" s="29"/>
      <c r="DY502" s="29"/>
      <c r="DZ502" s="29"/>
      <c r="EA502" s="29"/>
      <c r="EB502" s="29"/>
      <c r="EC502" s="29"/>
      <c r="ED502" s="29"/>
      <c r="EE502" s="29"/>
      <c r="EF502" s="29"/>
      <c r="EG502" s="29"/>
      <c r="EH502" s="29"/>
      <c r="EI502" s="29"/>
      <c r="EJ502" s="29"/>
      <c r="EK502" s="29"/>
      <c r="EL502" s="29"/>
      <c r="EM502" s="29"/>
      <c r="EN502" s="29"/>
      <c r="EO502" s="29"/>
      <c r="EP502" s="29"/>
      <c r="EQ502" s="29"/>
      <c r="ER502" s="29"/>
      <c r="ES502" s="29"/>
      <c r="ET502" s="29"/>
      <c r="EU502" s="29"/>
      <c r="EV502" s="29"/>
      <c r="EW502" s="29"/>
      <c r="EX502" s="29"/>
      <c r="EY502" s="29"/>
      <c r="EZ502" s="29"/>
      <c r="FA502" s="29"/>
    </row>
    <row r="503" spans="1:157" customFormat="1" x14ac:dyDescent="0.2">
      <c r="A503">
        <v>419</v>
      </c>
      <c r="B503" s="26">
        <v>43797</v>
      </c>
      <c r="C503" t="s">
        <v>95</v>
      </c>
      <c r="D503">
        <v>42</v>
      </c>
      <c r="E503" t="s">
        <v>1697</v>
      </c>
      <c r="F503" s="26">
        <v>28220</v>
      </c>
      <c r="G503" t="s">
        <v>5038</v>
      </c>
      <c r="J503" s="26"/>
      <c r="K503" s="26">
        <v>40210</v>
      </c>
      <c r="L503">
        <v>2</v>
      </c>
      <c r="M503" t="s">
        <v>99</v>
      </c>
      <c r="N503" t="s">
        <v>5039</v>
      </c>
      <c r="O503" t="s">
        <v>5040</v>
      </c>
      <c r="P503" t="s">
        <v>5041</v>
      </c>
      <c r="Q503" t="s">
        <v>5042</v>
      </c>
      <c r="R503" t="s">
        <v>110</v>
      </c>
      <c r="S503" t="s">
        <v>99</v>
      </c>
      <c r="T503" t="s">
        <v>99</v>
      </c>
      <c r="U503" t="s">
        <v>99</v>
      </c>
      <c r="V503" t="s">
        <v>99</v>
      </c>
      <c r="W503" t="s">
        <v>5043</v>
      </c>
      <c r="X503" t="s">
        <v>99</v>
      </c>
      <c r="AA503" t="s">
        <v>1697</v>
      </c>
      <c r="AB503" t="s">
        <v>1697</v>
      </c>
      <c r="AC503" t="s">
        <v>1697</v>
      </c>
      <c r="AD503" t="s">
        <v>1697</v>
      </c>
      <c r="AE503" t="s">
        <v>2035</v>
      </c>
      <c r="AF503" t="s">
        <v>1912</v>
      </c>
      <c r="AG503" t="s">
        <v>1919</v>
      </c>
      <c r="AH503" t="s">
        <v>99</v>
      </c>
      <c r="AI503" t="s">
        <v>99</v>
      </c>
      <c r="AL503">
        <v>80.8</v>
      </c>
      <c r="AM503">
        <v>164</v>
      </c>
      <c r="AN503">
        <v>96</v>
      </c>
      <c r="AO503">
        <v>110</v>
      </c>
      <c r="AP503">
        <v>43.9</v>
      </c>
      <c r="AQ503">
        <v>8</v>
      </c>
      <c r="AR503">
        <v>24.5</v>
      </c>
      <c r="AS503">
        <v>56</v>
      </c>
      <c r="AT503">
        <v>32</v>
      </c>
      <c r="AU503" t="s">
        <v>5044</v>
      </c>
      <c r="AV503" t="s">
        <v>5045</v>
      </c>
      <c r="AX503" t="s">
        <v>5046</v>
      </c>
      <c r="AY503" t="s">
        <v>4245</v>
      </c>
      <c r="AZ503" t="s">
        <v>1963</v>
      </c>
      <c r="BF503" t="s">
        <v>968</v>
      </c>
      <c r="BG503" t="s">
        <v>2003</v>
      </c>
      <c r="BH503" t="s">
        <v>5047</v>
      </c>
      <c r="BI503" t="s">
        <v>5048</v>
      </c>
      <c r="BJ503" t="s">
        <v>2003</v>
      </c>
      <c r="BK503" t="s">
        <v>2003</v>
      </c>
      <c r="BN503" t="s">
        <v>5049</v>
      </c>
      <c r="BO503" t="s">
        <v>517</v>
      </c>
      <c r="BP503" t="s">
        <v>5050</v>
      </c>
      <c r="BV503" t="s">
        <v>1152</v>
      </c>
      <c r="BW503" t="s">
        <v>1404</v>
      </c>
      <c r="BZ503" t="s">
        <v>2030</v>
      </c>
      <c r="CA503" t="s">
        <v>1370</v>
      </c>
      <c r="CB503" t="s">
        <v>1865</v>
      </c>
      <c r="CL503" t="s">
        <v>1866</v>
      </c>
      <c r="CM503" t="s">
        <v>4198</v>
      </c>
      <c r="CP503" t="s">
        <v>1054</v>
      </c>
      <c r="CQ503" t="s">
        <v>309</v>
      </c>
      <c r="CT503" t="s">
        <v>1955</v>
      </c>
      <c r="CU503" t="s">
        <v>5051</v>
      </c>
      <c r="CW503">
        <v>3</v>
      </c>
      <c r="CX503" t="s">
        <v>110</v>
      </c>
      <c r="CY503" t="s">
        <v>99</v>
      </c>
      <c r="DC503">
        <v>75.3</v>
      </c>
      <c r="DD503">
        <v>0.84</v>
      </c>
      <c r="DE503">
        <v>144</v>
      </c>
      <c r="DF503">
        <v>144</v>
      </c>
      <c r="DG503" s="9">
        <f t="shared" si="7"/>
        <v>4.6456467171909246</v>
      </c>
      <c r="DH503">
        <v>28.8</v>
      </c>
      <c r="DI503">
        <v>4.57</v>
      </c>
      <c r="DL503">
        <v>32.6</v>
      </c>
      <c r="DM503">
        <v>82.6</v>
      </c>
    </row>
    <row r="504" spans="1:157" customFormat="1" x14ac:dyDescent="0.2">
      <c r="A504" s="71" t="s">
        <v>5052</v>
      </c>
      <c r="B504" s="69">
        <v>43797</v>
      </c>
      <c r="C504" s="29" t="s">
        <v>675</v>
      </c>
      <c r="D504" s="29">
        <v>37</v>
      </c>
      <c r="E504" s="29" t="s">
        <v>100</v>
      </c>
      <c r="F504" s="69">
        <v>30054</v>
      </c>
      <c r="G504" s="29" t="s">
        <v>837</v>
      </c>
      <c r="H504" s="29" t="s">
        <v>5053</v>
      </c>
      <c r="I504" s="29"/>
      <c r="J504" s="29"/>
      <c r="K504" s="29"/>
      <c r="L504" s="29"/>
      <c r="M504" s="29" t="s">
        <v>99</v>
      </c>
      <c r="N504" s="29" t="s">
        <v>99</v>
      </c>
      <c r="O504" s="29" t="s">
        <v>110</v>
      </c>
      <c r="P504" s="29" t="s">
        <v>99</v>
      </c>
      <c r="Q504" s="29" t="s">
        <v>1639</v>
      </c>
      <c r="R504" s="29" t="s">
        <v>110</v>
      </c>
      <c r="S504" s="29" t="s">
        <v>110</v>
      </c>
      <c r="T504" s="29" t="s">
        <v>110</v>
      </c>
      <c r="U504" s="29" t="s">
        <v>99</v>
      </c>
      <c r="V504" s="29" t="s">
        <v>99</v>
      </c>
      <c r="W504" s="29" t="s">
        <v>5054</v>
      </c>
      <c r="X504" s="29" t="s">
        <v>99</v>
      </c>
      <c r="Y504" s="29" t="s">
        <v>99</v>
      </c>
      <c r="Z504" s="29" t="s">
        <v>2192</v>
      </c>
      <c r="AA504" s="29" t="s">
        <v>100</v>
      </c>
      <c r="AB504" s="29" t="s">
        <v>109</v>
      </c>
      <c r="AC504" s="29" t="s">
        <v>100</v>
      </c>
      <c r="AD504" s="29" t="s">
        <v>109</v>
      </c>
      <c r="AE504" s="29" t="s">
        <v>343</v>
      </c>
      <c r="AF504" s="29" t="s">
        <v>5055</v>
      </c>
      <c r="AG504" s="29" t="s">
        <v>99</v>
      </c>
      <c r="AH504" s="29" t="s">
        <v>99</v>
      </c>
      <c r="AI504" s="29" t="s">
        <v>99</v>
      </c>
      <c r="AJ504" s="29" t="s">
        <v>99</v>
      </c>
      <c r="AK504" s="29" t="s">
        <v>99</v>
      </c>
      <c r="AL504" s="29">
        <v>88.5</v>
      </c>
      <c r="AM504" s="29">
        <v>1.69</v>
      </c>
      <c r="AN504" s="29">
        <v>105</v>
      </c>
      <c r="AO504" s="29">
        <v>108</v>
      </c>
      <c r="AP504" s="29">
        <v>35.4</v>
      </c>
      <c r="AQ504" s="29">
        <v>15</v>
      </c>
      <c r="AR504" s="29">
        <v>30.3</v>
      </c>
      <c r="AS504" s="29">
        <v>58</v>
      </c>
      <c r="AT504" s="29">
        <v>31</v>
      </c>
      <c r="AU504" s="29">
        <v>118</v>
      </c>
      <c r="AV504" s="29">
        <v>67</v>
      </c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>
        <v>96.7</v>
      </c>
      <c r="DD504" s="29">
        <v>0.92</v>
      </c>
      <c r="DE504" s="48">
        <v>202</v>
      </c>
      <c r="DF504" s="48">
        <v>173</v>
      </c>
      <c r="DG504" s="9">
        <f t="shared" si="7"/>
        <v>4.8624524984785138</v>
      </c>
      <c r="DH504" s="29">
        <v>34.6</v>
      </c>
      <c r="DI504" s="29">
        <v>6.18</v>
      </c>
      <c r="DJ504" s="29"/>
      <c r="DK504" s="29"/>
      <c r="DL504" s="48">
        <v>35.200000000000003</v>
      </c>
      <c r="DM504" s="29">
        <v>132.19999999999999</v>
      </c>
      <c r="DN504" s="29"/>
      <c r="DO504" s="29"/>
      <c r="DP504" s="29">
        <v>3</v>
      </c>
      <c r="DQ504" s="29"/>
      <c r="DR504" s="29">
        <v>2</v>
      </c>
      <c r="DS504" s="29"/>
      <c r="DT504" s="29"/>
      <c r="DU504" s="29">
        <v>7.5</v>
      </c>
      <c r="DV504" s="29"/>
      <c r="DW504" s="29"/>
      <c r="DX504" s="29"/>
      <c r="DY504" s="29"/>
      <c r="DZ504" s="29"/>
      <c r="EA504" s="29"/>
      <c r="EB504" s="29"/>
      <c r="EC504" s="29"/>
      <c r="ED504" s="29"/>
      <c r="EE504" s="29"/>
      <c r="EF504" s="29"/>
      <c r="EG504" s="29"/>
      <c r="EH504" s="29"/>
      <c r="EI504" s="29"/>
      <c r="EJ504" s="29"/>
      <c r="EK504" s="29"/>
      <c r="EL504" s="29"/>
      <c r="EM504" s="29"/>
      <c r="EN504" s="29"/>
      <c r="EO504" s="29"/>
      <c r="EP504" s="29"/>
      <c r="EQ504" s="29"/>
      <c r="ER504" s="29"/>
      <c r="ES504" s="29"/>
      <c r="ET504" s="29"/>
      <c r="EU504" s="29"/>
      <c r="EV504" s="29"/>
      <c r="EW504" s="29"/>
      <c r="EX504" s="29"/>
      <c r="EY504" s="29"/>
      <c r="EZ504" s="29"/>
      <c r="FA504" s="29"/>
    </row>
    <row r="505" spans="1:157" customFormat="1" x14ac:dyDescent="0.2">
      <c r="A505">
        <v>421</v>
      </c>
      <c r="B505" s="26">
        <v>43798</v>
      </c>
      <c r="C505" t="s">
        <v>107</v>
      </c>
      <c r="D505">
        <v>37</v>
      </c>
      <c r="E505" t="s">
        <v>1330</v>
      </c>
      <c r="F505" t="s">
        <v>5056</v>
      </c>
      <c r="G505" t="s">
        <v>1431</v>
      </c>
      <c r="H505" t="s">
        <v>2137</v>
      </c>
      <c r="M505" t="s">
        <v>263</v>
      </c>
      <c r="N505" t="s">
        <v>263</v>
      </c>
      <c r="O505" t="s">
        <v>263</v>
      </c>
      <c r="P505" t="s">
        <v>263</v>
      </c>
      <c r="Q505" t="s">
        <v>5057</v>
      </c>
      <c r="R505" t="s">
        <v>5058</v>
      </c>
      <c r="S505" t="s">
        <v>588</v>
      </c>
      <c r="T505" t="s">
        <v>263</v>
      </c>
      <c r="U505" t="s">
        <v>263</v>
      </c>
      <c r="V505" t="s">
        <v>263</v>
      </c>
      <c r="W505" t="s">
        <v>263</v>
      </c>
      <c r="X505" t="s">
        <v>263</v>
      </c>
      <c r="Y505" t="s">
        <v>263</v>
      </c>
      <c r="Z505" t="s">
        <v>5059</v>
      </c>
      <c r="AA505" t="s">
        <v>289</v>
      </c>
      <c r="AB505" t="s">
        <v>289</v>
      </c>
      <c r="AC505" t="s">
        <v>1825</v>
      </c>
      <c r="AD505" t="s">
        <v>289</v>
      </c>
      <c r="AE505" t="s">
        <v>263</v>
      </c>
      <c r="AF505" t="s">
        <v>5060</v>
      </c>
      <c r="AG505" t="s">
        <v>263</v>
      </c>
      <c r="AH505" t="s">
        <v>487</v>
      </c>
      <c r="AI505" t="s">
        <v>5061</v>
      </c>
      <c r="AJ505" t="s">
        <v>263</v>
      </c>
      <c r="AK505" t="s">
        <v>263</v>
      </c>
      <c r="AL505">
        <v>96.3</v>
      </c>
      <c r="AM505">
        <v>172</v>
      </c>
      <c r="AN505">
        <v>100</v>
      </c>
      <c r="AO505">
        <v>106</v>
      </c>
      <c r="AP505">
        <v>36.6</v>
      </c>
      <c r="AQ505">
        <v>16</v>
      </c>
      <c r="AR505">
        <v>29.6</v>
      </c>
      <c r="AS505">
        <v>64</v>
      </c>
      <c r="AT505">
        <v>32.6</v>
      </c>
      <c r="AU505">
        <v>114</v>
      </c>
      <c r="AV505">
        <v>72</v>
      </c>
      <c r="AX505" t="s">
        <v>5062</v>
      </c>
      <c r="BB505" t="s">
        <v>322</v>
      </c>
      <c r="BF505" t="s">
        <v>322</v>
      </c>
      <c r="BG505" t="s">
        <v>322</v>
      </c>
      <c r="BH505" t="s">
        <v>322</v>
      </c>
      <c r="BI505" t="s">
        <v>322</v>
      </c>
      <c r="BJ505" t="s">
        <v>322</v>
      </c>
      <c r="BK505" t="s">
        <v>322</v>
      </c>
      <c r="BN505" t="s">
        <v>276</v>
      </c>
      <c r="BR505" t="s">
        <v>375</v>
      </c>
      <c r="BV505" t="s">
        <v>276</v>
      </c>
      <c r="BZ505" t="s">
        <v>322</v>
      </c>
      <c r="CP505" t="s">
        <v>322</v>
      </c>
      <c r="CT505" t="s">
        <v>322</v>
      </c>
      <c r="CW505">
        <v>3</v>
      </c>
      <c r="CX505" t="s">
        <v>5063</v>
      </c>
      <c r="CY505" t="s">
        <v>368</v>
      </c>
      <c r="DC505">
        <v>76.3</v>
      </c>
      <c r="DD505">
        <v>1.1200000000000001</v>
      </c>
      <c r="DE505">
        <v>216</v>
      </c>
      <c r="DF505">
        <v>238</v>
      </c>
      <c r="DG505" s="9">
        <f t="shared" si="7"/>
        <v>4.903471805980943</v>
      </c>
      <c r="DH505">
        <v>47.6</v>
      </c>
      <c r="DI505">
        <v>7.44</v>
      </c>
      <c r="DL505">
        <v>38.799999999999997</v>
      </c>
      <c r="DM505">
        <v>129.6</v>
      </c>
    </row>
    <row r="506" spans="1:157" customFormat="1" x14ac:dyDescent="0.2">
      <c r="A506">
        <v>422</v>
      </c>
      <c r="B506" s="26">
        <v>43797</v>
      </c>
      <c r="C506" t="s">
        <v>107</v>
      </c>
      <c r="D506">
        <v>54</v>
      </c>
      <c r="E506" t="s">
        <v>96</v>
      </c>
      <c r="F506" s="26">
        <v>24011</v>
      </c>
      <c r="G506" t="s">
        <v>5064</v>
      </c>
      <c r="H506" t="s">
        <v>1472</v>
      </c>
      <c r="M506" t="s">
        <v>99</v>
      </c>
      <c r="N506" t="s">
        <v>5065</v>
      </c>
      <c r="O506" t="s">
        <v>99</v>
      </c>
      <c r="P506" t="s">
        <v>99</v>
      </c>
      <c r="Q506" t="s">
        <v>99</v>
      </c>
      <c r="R506" t="s">
        <v>110</v>
      </c>
      <c r="S506" t="s">
        <v>99</v>
      </c>
      <c r="T506" t="s">
        <v>99</v>
      </c>
      <c r="U506" t="s">
        <v>99</v>
      </c>
      <c r="V506" t="s">
        <v>99</v>
      </c>
      <c r="W506" t="s">
        <v>1771</v>
      </c>
      <c r="X506" t="s">
        <v>99</v>
      </c>
      <c r="Y506" t="s">
        <v>162</v>
      </c>
      <c r="AA506" t="s">
        <v>1926</v>
      </c>
      <c r="AB506" t="s">
        <v>1926</v>
      </c>
      <c r="AC506" t="s">
        <v>1926</v>
      </c>
      <c r="AD506" t="s">
        <v>5066</v>
      </c>
      <c r="AE506" t="s">
        <v>1420</v>
      </c>
      <c r="AF506" t="s">
        <v>4272</v>
      </c>
      <c r="AL506">
        <v>81.8</v>
      </c>
      <c r="AM506">
        <v>177</v>
      </c>
      <c r="AN506">
        <v>91</v>
      </c>
      <c r="AO506">
        <v>99</v>
      </c>
      <c r="AP506">
        <v>16.8</v>
      </c>
      <c r="AQ506">
        <v>14</v>
      </c>
      <c r="AR506">
        <v>17.8</v>
      </c>
      <c r="AS506">
        <v>18</v>
      </c>
      <c r="AT506">
        <v>26.1</v>
      </c>
      <c r="AU506">
        <v>118</v>
      </c>
      <c r="AV506">
        <v>81</v>
      </c>
      <c r="DC506">
        <v>82.4</v>
      </c>
      <c r="DD506">
        <v>1.03</v>
      </c>
      <c r="DE506">
        <v>171</v>
      </c>
      <c r="DF506">
        <v>75</v>
      </c>
      <c r="DG506" s="9">
        <f t="shared" si="7"/>
        <v>4.3645367752258686</v>
      </c>
      <c r="DH506">
        <v>15</v>
      </c>
      <c r="DI506">
        <v>6.16</v>
      </c>
      <c r="DL506">
        <v>54.5</v>
      </c>
      <c r="DM506">
        <v>101.5</v>
      </c>
      <c r="DR506">
        <v>2</v>
      </c>
    </row>
    <row r="507" spans="1:157" customFormat="1" x14ac:dyDescent="0.2">
      <c r="A507" s="71" t="s">
        <v>5067</v>
      </c>
      <c r="B507" s="69">
        <v>43797</v>
      </c>
      <c r="C507" s="29" t="s">
        <v>675</v>
      </c>
      <c r="D507" s="29">
        <v>34</v>
      </c>
      <c r="E507" s="29" t="s">
        <v>100</v>
      </c>
      <c r="F507" s="121">
        <v>30935</v>
      </c>
      <c r="G507" s="29" t="s">
        <v>837</v>
      </c>
      <c r="H507" s="29"/>
      <c r="I507" s="29"/>
      <c r="J507" s="29"/>
      <c r="K507" s="29"/>
      <c r="L507" s="29"/>
      <c r="M507" s="29" t="s">
        <v>99</v>
      </c>
      <c r="N507" s="29" t="s">
        <v>99</v>
      </c>
      <c r="O507" s="29" t="s">
        <v>99</v>
      </c>
      <c r="P507" s="29" t="s">
        <v>5068</v>
      </c>
      <c r="Q507" s="29" t="s">
        <v>4975</v>
      </c>
      <c r="R507" s="29" t="s">
        <v>99</v>
      </c>
      <c r="S507" s="29" t="s">
        <v>110</v>
      </c>
      <c r="T507" s="29" t="s">
        <v>99</v>
      </c>
      <c r="U507" s="29" t="s">
        <v>99</v>
      </c>
      <c r="V507" s="29" t="s">
        <v>99</v>
      </c>
      <c r="W507" s="29" t="s">
        <v>99</v>
      </c>
      <c r="X507" s="29" t="s">
        <v>99</v>
      </c>
      <c r="Y507" s="29"/>
      <c r="Z507" s="29"/>
      <c r="AA507" s="29" t="s">
        <v>100</v>
      </c>
      <c r="AB507" s="29" t="s">
        <v>100</v>
      </c>
      <c r="AC507" s="29" t="s">
        <v>100</v>
      </c>
      <c r="AD507" s="29" t="s">
        <v>2234</v>
      </c>
      <c r="AE507" s="29" t="s">
        <v>1904</v>
      </c>
      <c r="AF507" s="29" t="s">
        <v>110</v>
      </c>
      <c r="AG507" s="29" t="s">
        <v>99</v>
      </c>
      <c r="AH507" s="29" t="s">
        <v>99</v>
      </c>
      <c r="AI507" s="29" t="s">
        <v>99</v>
      </c>
      <c r="AJ507" s="29" t="s">
        <v>99</v>
      </c>
      <c r="AK507" s="29" t="s">
        <v>99</v>
      </c>
      <c r="AL507" s="29">
        <v>98.1</v>
      </c>
      <c r="AM507" s="29">
        <v>170</v>
      </c>
      <c r="AN507" s="29">
        <v>108</v>
      </c>
      <c r="AO507" s="29">
        <v>105</v>
      </c>
      <c r="AP507" s="29">
        <v>32.9</v>
      </c>
      <c r="AQ507" s="29">
        <v>16</v>
      </c>
      <c r="AR507" s="29">
        <v>32.299999999999997</v>
      </c>
      <c r="AS507" s="29">
        <v>63</v>
      </c>
      <c r="AT507" s="29">
        <v>33.9</v>
      </c>
      <c r="AU507" s="29">
        <v>125</v>
      </c>
      <c r="AV507" s="29">
        <v>84</v>
      </c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>
        <v>88.3</v>
      </c>
      <c r="DD507" s="29">
        <v>0.59</v>
      </c>
      <c r="DE507" s="29">
        <v>166</v>
      </c>
      <c r="DF507" s="74">
        <v>482</v>
      </c>
      <c r="DG507" s="9">
        <f t="shared" si="7"/>
        <v>5.3293421108302574</v>
      </c>
      <c r="DH507" s="29">
        <v>96.4</v>
      </c>
      <c r="DI507" s="29">
        <v>9.77</v>
      </c>
      <c r="DJ507" s="29"/>
      <c r="DK507" s="29"/>
      <c r="DL507" s="48">
        <v>23.1</v>
      </c>
      <c r="DM507" s="29">
        <v>46.5</v>
      </c>
      <c r="DN507" s="29"/>
      <c r="DO507" s="29"/>
      <c r="DP507" s="29"/>
      <c r="DQ507" s="29"/>
      <c r="DR507" s="29"/>
      <c r="DS507" s="29"/>
      <c r="DT507" s="29"/>
      <c r="DU507" s="29">
        <v>5.7</v>
      </c>
      <c r="DV507" s="29"/>
      <c r="DW507" s="29"/>
      <c r="DX507" s="29"/>
      <c r="DY507" s="29"/>
      <c r="DZ507" s="29"/>
      <c r="EA507" s="29"/>
      <c r="EB507" s="29"/>
      <c r="EC507" s="29"/>
      <c r="ED507" s="29"/>
      <c r="EE507" s="29"/>
      <c r="EF507" s="29"/>
      <c r="EG507" s="29"/>
      <c r="EH507" s="29"/>
      <c r="EI507" s="29"/>
      <c r="EJ507" s="29"/>
      <c r="EK507" s="29"/>
      <c r="EL507" s="29"/>
      <c r="EM507" s="29"/>
      <c r="EN507" s="29"/>
      <c r="EO507" s="29"/>
      <c r="EP507" s="29"/>
      <c r="EQ507" s="29"/>
      <c r="ER507" s="29"/>
      <c r="ES507" s="29"/>
      <c r="ET507" s="29"/>
      <c r="EU507" s="29"/>
      <c r="EV507" s="29"/>
      <c r="EW507" s="29"/>
      <c r="EX507" s="29"/>
      <c r="EY507" s="29"/>
      <c r="EZ507" s="29"/>
      <c r="FA507" s="29"/>
    </row>
    <row r="508" spans="1:157" customFormat="1" x14ac:dyDescent="0.2">
      <c r="A508">
        <v>424</v>
      </c>
      <c r="B508" s="26">
        <v>43798</v>
      </c>
      <c r="C508" t="s">
        <v>258</v>
      </c>
      <c r="D508" t="s">
        <v>5069</v>
      </c>
      <c r="E508" t="s">
        <v>313</v>
      </c>
      <c r="F508" s="26">
        <v>27671</v>
      </c>
      <c r="G508" t="s">
        <v>314</v>
      </c>
      <c r="H508" t="s">
        <v>2137</v>
      </c>
      <c r="Q508" t="s">
        <v>5070</v>
      </c>
      <c r="R508" t="s">
        <v>285</v>
      </c>
      <c r="Z508" t="s">
        <v>5071</v>
      </c>
      <c r="AA508" t="s">
        <v>289</v>
      </c>
      <c r="AB508" t="s">
        <v>289</v>
      </c>
      <c r="AC508" t="s">
        <v>5072</v>
      </c>
      <c r="AD508" t="s">
        <v>290</v>
      </c>
      <c r="AE508" t="s">
        <v>292</v>
      </c>
      <c r="AF508" t="s">
        <v>292</v>
      </c>
      <c r="AG508" t="s">
        <v>292</v>
      </c>
      <c r="AH508" t="s">
        <v>1383</v>
      </c>
      <c r="AI508" t="s">
        <v>263</v>
      </c>
      <c r="AJ508" t="s">
        <v>263</v>
      </c>
      <c r="AK508" t="s">
        <v>263</v>
      </c>
      <c r="AL508">
        <v>79.099999999999994</v>
      </c>
      <c r="AM508">
        <v>1.65</v>
      </c>
      <c r="AN508">
        <v>100</v>
      </c>
      <c r="AO508">
        <v>107</v>
      </c>
      <c r="AU508">
        <v>130</v>
      </c>
      <c r="AV508">
        <v>87</v>
      </c>
      <c r="AX508" t="s">
        <v>168</v>
      </c>
      <c r="AY508" t="s">
        <v>5073</v>
      </c>
      <c r="BB508" t="s">
        <v>515</v>
      </c>
      <c r="BC508" t="s">
        <v>1255</v>
      </c>
      <c r="BF508" t="s">
        <v>5074</v>
      </c>
      <c r="BG508" t="s">
        <v>5075</v>
      </c>
      <c r="BH508" t="s">
        <v>5076</v>
      </c>
      <c r="BI508" t="s">
        <v>5077</v>
      </c>
      <c r="BJ508" t="s">
        <v>272</v>
      </c>
      <c r="BK508" t="s">
        <v>5076</v>
      </c>
      <c r="BN508" t="s">
        <v>5078</v>
      </c>
      <c r="BO508" t="s">
        <v>918</v>
      </c>
      <c r="BP508" t="s">
        <v>1886</v>
      </c>
      <c r="BZ508" t="s">
        <v>1502</v>
      </c>
      <c r="CA508" t="s">
        <v>1626</v>
      </c>
      <c r="CL508" t="s">
        <v>504</v>
      </c>
      <c r="CM508" t="s">
        <v>5079</v>
      </c>
      <c r="CN508" t="s">
        <v>5080</v>
      </c>
      <c r="CP508" t="s">
        <v>452</v>
      </c>
      <c r="CQ508" t="s">
        <v>5081</v>
      </c>
      <c r="CR508" t="s">
        <v>5082</v>
      </c>
      <c r="CW508">
        <v>3</v>
      </c>
      <c r="CX508" t="s">
        <v>263</v>
      </c>
      <c r="CY508" t="s">
        <v>263</v>
      </c>
      <c r="CZ508">
        <v>25</v>
      </c>
      <c r="DA508">
        <v>25</v>
      </c>
      <c r="DB508">
        <v>50</v>
      </c>
      <c r="DC508">
        <v>86.8</v>
      </c>
      <c r="DD508">
        <v>1.02</v>
      </c>
      <c r="DE508">
        <v>147</v>
      </c>
      <c r="DF508">
        <v>149</v>
      </c>
      <c r="DG508" s="9">
        <f t="shared" si="7"/>
        <v>4.7337764638058815</v>
      </c>
      <c r="DH508">
        <v>29.8</v>
      </c>
      <c r="DI508">
        <v>6.27</v>
      </c>
      <c r="DL508">
        <v>31.5</v>
      </c>
      <c r="DM508">
        <v>85.7</v>
      </c>
      <c r="DR508">
        <v>2</v>
      </c>
    </row>
    <row r="509" spans="1:157" customFormat="1" x14ac:dyDescent="0.2">
      <c r="A509">
        <v>425</v>
      </c>
      <c r="B509" s="26">
        <v>43797</v>
      </c>
      <c r="C509" t="s">
        <v>107</v>
      </c>
      <c r="D509">
        <v>42</v>
      </c>
      <c r="E509" t="s">
        <v>162</v>
      </c>
      <c r="F509" s="26">
        <v>27926</v>
      </c>
      <c r="G509" t="s">
        <v>5083</v>
      </c>
      <c r="H509" t="s">
        <v>5084</v>
      </c>
      <c r="M509" t="s">
        <v>99</v>
      </c>
      <c r="N509" t="s">
        <v>99</v>
      </c>
      <c r="O509" t="s">
        <v>99</v>
      </c>
      <c r="P509" t="s">
        <v>99</v>
      </c>
      <c r="Q509" t="s">
        <v>162</v>
      </c>
      <c r="R509" t="s">
        <v>162</v>
      </c>
      <c r="S509" t="s">
        <v>162</v>
      </c>
      <c r="T509" t="s">
        <v>162</v>
      </c>
      <c r="U509" t="s">
        <v>162</v>
      </c>
      <c r="V509" t="s">
        <v>162</v>
      </c>
      <c r="W509" t="s">
        <v>5085</v>
      </c>
      <c r="X509" t="s">
        <v>162</v>
      </c>
      <c r="Y509" t="s">
        <v>162</v>
      </c>
      <c r="Z509" t="s">
        <v>162</v>
      </c>
      <c r="AA509" t="s">
        <v>96</v>
      </c>
      <c r="AB509" t="s">
        <v>5086</v>
      </c>
      <c r="AC509" t="s">
        <v>96</v>
      </c>
      <c r="AD509" t="s">
        <v>96</v>
      </c>
      <c r="AJ509" t="s">
        <v>4578</v>
      </c>
      <c r="AL509">
        <v>77.2</v>
      </c>
      <c r="AM509">
        <v>165</v>
      </c>
      <c r="AN509">
        <v>97</v>
      </c>
      <c r="AO509">
        <v>101</v>
      </c>
      <c r="AP509">
        <v>28</v>
      </c>
      <c r="AQ509">
        <v>13</v>
      </c>
      <c r="AR509">
        <v>34.5</v>
      </c>
      <c r="AS509">
        <v>47</v>
      </c>
      <c r="AT509">
        <v>28.4</v>
      </c>
      <c r="AU509">
        <v>113</v>
      </c>
      <c r="AV509">
        <v>66</v>
      </c>
      <c r="DC509">
        <v>78.7</v>
      </c>
      <c r="DD509">
        <v>0.67</v>
      </c>
      <c r="DE509">
        <v>180</v>
      </c>
      <c r="DF509">
        <v>140</v>
      </c>
      <c r="DG509" s="9">
        <f t="shared" si="7"/>
        <v>4.653642789016331</v>
      </c>
      <c r="DH509">
        <v>28</v>
      </c>
      <c r="DI509">
        <v>7.18</v>
      </c>
      <c r="DL509">
        <v>43</v>
      </c>
      <c r="DM509">
        <v>109</v>
      </c>
    </row>
    <row r="510" spans="1:157" customFormat="1" x14ac:dyDescent="0.2">
      <c r="A510" s="70" t="s">
        <v>5087</v>
      </c>
      <c r="B510" s="69">
        <v>43799</v>
      </c>
      <c r="C510" s="29" t="s">
        <v>196</v>
      </c>
      <c r="D510" s="29">
        <v>41</v>
      </c>
      <c r="E510" s="29" t="s">
        <v>100</v>
      </c>
      <c r="F510" s="69">
        <v>28698</v>
      </c>
      <c r="G510" s="29" t="s">
        <v>234</v>
      </c>
      <c r="H510" s="29" t="s">
        <v>340</v>
      </c>
      <c r="I510" s="29"/>
      <c r="J510" s="29"/>
      <c r="K510" s="29">
        <v>2010</v>
      </c>
      <c r="L510" s="29">
        <v>4</v>
      </c>
      <c r="M510" s="29" t="s">
        <v>99</v>
      </c>
      <c r="N510" s="29" t="s">
        <v>99</v>
      </c>
      <c r="O510" s="29" t="s">
        <v>99</v>
      </c>
      <c r="P510" s="29" t="s">
        <v>99</v>
      </c>
      <c r="Q510" s="29" t="s">
        <v>99</v>
      </c>
      <c r="R510" s="29" t="s">
        <v>99</v>
      </c>
      <c r="S510" s="29" t="s">
        <v>99</v>
      </c>
      <c r="T510" s="29" t="s">
        <v>99</v>
      </c>
      <c r="U510" s="29" t="s">
        <v>99</v>
      </c>
      <c r="V510" s="29" t="s">
        <v>99</v>
      </c>
      <c r="W510" s="29" t="s">
        <v>99</v>
      </c>
      <c r="X510" s="29" t="s">
        <v>99</v>
      </c>
      <c r="Y510" s="29" t="s">
        <v>99</v>
      </c>
      <c r="Z510" s="29"/>
      <c r="AA510" s="29" t="s">
        <v>100</v>
      </c>
      <c r="AB510" s="29" t="s">
        <v>100</v>
      </c>
      <c r="AC510" s="29" t="s">
        <v>100</v>
      </c>
      <c r="AD510" s="29" t="s">
        <v>100</v>
      </c>
      <c r="AE510" s="29" t="s">
        <v>246</v>
      </c>
      <c r="AF510" s="29" t="s">
        <v>1905</v>
      </c>
      <c r="AG510" s="29" t="s">
        <v>99</v>
      </c>
      <c r="AH510" s="29" t="s">
        <v>343</v>
      </c>
      <c r="AI510" s="29"/>
      <c r="AJ510" s="29"/>
      <c r="AK510" s="29"/>
      <c r="AL510" s="29">
        <v>66</v>
      </c>
      <c r="AM510" s="29">
        <v>166</v>
      </c>
      <c r="AN510" s="29">
        <v>97</v>
      </c>
      <c r="AO510" s="29">
        <v>107</v>
      </c>
      <c r="AP510" s="29">
        <v>13</v>
      </c>
      <c r="AQ510" s="29">
        <v>8</v>
      </c>
      <c r="AR510" s="29">
        <v>10.3</v>
      </c>
      <c r="AS510" s="29">
        <v>18</v>
      </c>
      <c r="AT510" s="70">
        <v>24</v>
      </c>
      <c r="AU510" s="29">
        <v>112</v>
      </c>
      <c r="AV510" s="29">
        <v>78</v>
      </c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>
        <v>81.2</v>
      </c>
      <c r="DD510" s="29">
        <v>0.62</v>
      </c>
      <c r="DE510" s="48">
        <v>200</v>
      </c>
      <c r="DF510" s="29">
        <v>65</v>
      </c>
      <c r="DG510" s="9">
        <f t="shared" si="7"/>
        <v>4.2856512585316349</v>
      </c>
      <c r="DH510" s="29">
        <v>13</v>
      </c>
      <c r="DI510" s="29">
        <v>3.28</v>
      </c>
      <c r="DJ510" s="29"/>
      <c r="DK510" s="29"/>
      <c r="DL510" s="29">
        <v>61.2</v>
      </c>
      <c r="DM510" s="29">
        <v>125.8</v>
      </c>
      <c r="DN510" s="29"/>
      <c r="DO510" s="29"/>
      <c r="DP510" s="29"/>
      <c r="DQ510" s="29"/>
      <c r="DR510" s="29"/>
      <c r="DS510" s="29"/>
      <c r="DT510" s="29"/>
      <c r="DU510" s="29"/>
      <c r="DV510" s="29"/>
      <c r="DW510" s="29"/>
      <c r="DX510" s="29"/>
      <c r="DY510" s="29"/>
      <c r="DZ510" s="29"/>
      <c r="EA510" s="29"/>
      <c r="EB510" s="29"/>
      <c r="EC510" s="29"/>
      <c r="ED510" s="29"/>
      <c r="EE510" s="29"/>
      <c r="EF510" s="29"/>
      <c r="EG510" s="29"/>
      <c r="EH510" s="29"/>
      <c r="EI510" s="29"/>
      <c r="EJ510" s="29"/>
      <c r="EK510" s="29"/>
      <c r="EL510" s="29"/>
      <c r="EM510" s="29"/>
      <c r="EN510" s="29"/>
      <c r="EO510" s="29"/>
      <c r="EP510" s="29"/>
      <c r="EQ510" s="29"/>
      <c r="ER510" s="29"/>
      <c r="ES510" s="29"/>
      <c r="ET510" s="29"/>
      <c r="EU510" s="29"/>
      <c r="EV510" s="29"/>
      <c r="EW510" s="29"/>
      <c r="EX510" s="29"/>
      <c r="EY510" s="29"/>
      <c r="EZ510" s="29"/>
      <c r="FA510" s="29"/>
    </row>
    <row r="511" spans="1:157" customFormat="1" x14ac:dyDescent="0.2">
      <c r="A511">
        <v>427</v>
      </c>
      <c r="B511" s="26">
        <v>43798</v>
      </c>
      <c r="C511" t="s">
        <v>95</v>
      </c>
      <c r="D511">
        <v>27</v>
      </c>
      <c r="E511" t="s">
        <v>1330</v>
      </c>
      <c r="F511" s="26">
        <v>33933</v>
      </c>
      <c r="G511" t="s">
        <v>5088</v>
      </c>
      <c r="H511" t="s">
        <v>4967</v>
      </c>
      <c r="M511" t="s">
        <v>263</v>
      </c>
      <c r="N511" t="s">
        <v>263</v>
      </c>
      <c r="O511" t="s">
        <v>263</v>
      </c>
      <c r="P511" t="s">
        <v>263</v>
      </c>
      <c r="Q511" t="s">
        <v>5089</v>
      </c>
      <c r="R511" t="s">
        <v>263</v>
      </c>
      <c r="S511" t="s">
        <v>263</v>
      </c>
      <c r="T511" t="s">
        <v>263</v>
      </c>
      <c r="U511" t="s">
        <v>263</v>
      </c>
      <c r="V511" t="s">
        <v>263</v>
      </c>
      <c r="W511" t="s">
        <v>263</v>
      </c>
      <c r="X511" t="s">
        <v>263</v>
      </c>
      <c r="Y511" t="s">
        <v>263</v>
      </c>
      <c r="Z511" t="s">
        <v>263</v>
      </c>
      <c r="AA511" t="s">
        <v>289</v>
      </c>
      <c r="AB511" t="s">
        <v>289</v>
      </c>
      <c r="AC511" t="s">
        <v>1825</v>
      </c>
      <c r="AD511" t="s">
        <v>289</v>
      </c>
      <c r="AE511" t="s">
        <v>5090</v>
      </c>
      <c r="AF511" t="s">
        <v>5090</v>
      </c>
      <c r="AG511" t="s">
        <v>368</v>
      </c>
      <c r="AH511" t="s">
        <v>368</v>
      </c>
      <c r="AI511" t="s">
        <v>263</v>
      </c>
      <c r="AJ511" t="s">
        <v>263</v>
      </c>
      <c r="AK511" t="s">
        <v>263</v>
      </c>
      <c r="AL511">
        <v>61.4</v>
      </c>
      <c r="AM511">
        <v>1.58</v>
      </c>
      <c r="AN511">
        <v>75</v>
      </c>
      <c r="AO511">
        <v>101</v>
      </c>
      <c r="AP511">
        <v>38.700000000000003</v>
      </c>
      <c r="AQ511">
        <v>5</v>
      </c>
      <c r="AR511">
        <v>25.2</v>
      </c>
      <c r="AS511">
        <v>38</v>
      </c>
      <c r="AT511">
        <v>24.6</v>
      </c>
      <c r="AU511">
        <v>99</v>
      </c>
      <c r="AV511">
        <v>63</v>
      </c>
      <c r="AX511" t="s">
        <v>389</v>
      </c>
      <c r="AY511" t="s">
        <v>168</v>
      </c>
      <c r="BB511" t="s">
        <v>1556</v>
      </c>
      <c r="BC511" t="s">
        <v>1265</v>
      </c>
      <c r="BF511" t="s">
        <v>5091</v>
      </c>
      <c r="BG511" t="s">
        <v>263</v>
      </c>
      <c r="BH511" t="s">
        <v>263</v>
      </c>
      <c r="BI511" t="s">
        <v>5092</v>
      </c>
      <c r="BJ511" t="s">
        <v>5093</v>
      </c>
      <c r="BK511" t="s">
        <v>5094</v>
      </c>
      <c r="BN511" t="s">
        <v>412</v>
      </c>
      <c r="BO511" t="s">
        <v>326</v>
      </c>
      <c r="BP511" t="s">
        <v>396</v>
      </c>
      <c r="BR511" t="s">
        <v>263</v>
      </c>
      <c r="BV511" t="s">
        <v>263</v>
      </c>
      <c r="BZ511" t="s">
        <v>332</v>
      </c>
      <c r="CA511" t="s">
        <v>5095</v>
      </c>
      <c r="CB511" t="s">
        <v>1563</v>
      </c>
      <c r="CD511" t="s">
        <v>263</v>
      </c>
      <c r="CH511" t="s">
        <v>263</v>
      </c>
      <c r="CL511" t="s">
        <v>306</v>
      </c>
      <c r="CM511" t="s">
        <v>923</v>
      </c>
      <c r="CP511" t="s">
        <v>910</v>
      </c>
      <c r="CQ511" t="s">
        <v>5096</v>
      </c>
      <c r="CT511" t="s">
        <v>1541</v>
      </c>
      <c r="CW511">
        <v>5</v>
      </c>
      <c r="CX511" t="s">
        <v>263</v>
      </c>
      <c r="CY511" t="s">
        <v>368</v>
      </c>
      <c r="CZ511">
        <v>30</v>
      </c>
      <c r="DA511">
        <v>30</v>
      </c>
      <c r="DB511">
        <v>30</v>
      </c>
      <c r="DC511">
        <v>73.3</v>
      </c>
      <c r="DD511">
        <v>0.64</v>
      </c>
      <c r="DE511">
        <v>172</v>
      </c>
      <c r="DF511">
        <v>65</v>
      </c>
      <c r="DG511" s="9">
        <f t="shared" si="7"/>
        <v>4.2344739393941211</v>
      </c>
      <c r="DH511">
        <v>13</v>
      </c>
      <c r="DI511">
        <v>4.2300000000000004</v>
      </c>
      <c r="DL511" t="s">
        <v>1870</v>
      </c>
      <c r="DM511">
        <v>55.9</v>
      </c>
      <c r="DP511">
        <v>3</v>
      </c>
    </row>
    <row r="512" spans="1:157" customFormat="1" x14ac:dyDescent="0.2">
      <c r="A512" s="74" t="s">
        <v>5097</v>
      </c>
      <c r="B512" s="69">
        <v>43797</v>
      </c>
      <c r="C512" s="29" t="s">
        <v>196</v>
      </c>
      <c r="D512" s="29">
        <v>55</v>
      </c>
      <c r="E512" s="29" t="s">
        <v>203</v>
      </c>
      <c r="F512" s="121">
        <v>23614</v>
      </c>
      <c r="G512" s="29" t="s">
        <v>5098</v>
      </c>
      <c r="H512" s="29"/>
      <c r="I512" s="29"/>
      <c r="J512" s="29"/>
      <c r="K512" s="29">
        <v>2000</v>
      </c>
      <c r="L512" s="29">
        <v>3</v>
      </c>
      <c r="M512" s="29" t="s">
        <v>99</v>
      </c>
      <c r="N512" s="29" t="s">
        <v>99</v>
      </c>
      <c r="O512" s="29" t="s">
        <v>99</v>
      </c>
      <c r="P512" s="29" t="s">
        <v>99</v>
      </c>
      <c r="Q512" s="29" t="s">
        <v>99</v>
      </c>
      <c r="R512" s="29" t="s">
        <v>5099</v>
      </c>
      <c r="S512" s="29" t="s">
        <v>99</v>
      </c>
      <c r="T512" s="29" t="s">
        <v>99</v>
      </c>
      <c r="U512" s="29" t="s">
        <v>99</v>
      </c>
      <c r="V512" s="29" t="s">
        <v>99</v>
      </c>
      <c r="W512" s="29"/>
      <c r="X512" s="29"/>
      <c r="Y512" s="29"/>
      <c r="Z512" s="29"/>
      <c r="AA512" s="29" t="s">
        <v>816</v>
      </c>
      <c r="AB512" s="29" t="s">
        <v>1123</v>
      </c>
      <c r="AC512" s="29" t="s">
        <v>816</v>
      </c>
      <c r="AD512" s="29" t="s">
        <v>1123</v>
      </c>
      <c r="AE512" s="29" t="s">
        <v>5100</v>
      </c>
      <c r="AF512" s="29" t="s">
        <v>5101</v>
      </c>
      <c r="AG512" s="29" t="s">
        <v>5102</v>
      </c>
      <c r="AH512" s="29" t="s">
        <v>5103</v>
      </c>
      <c r="AI512" s="29" t="s">
        <v>343</v>
      </c>
      <c r="AJ512" s="29" t="s">
        <v>5104</v>
      </c>
      <c r="AK512" s="29"/>
      <c r="AL512" s="29">
        <v>81.2</v>
      </c>
      <c r="AM512" s="29">
        <v>170</v>
      </c>
      <c r="AN512" s="29">
        <v>90</v>
      </c>
      <c r="AO512" s="29">
        <v>114</v>
      </c>
      <c r="AP512" s="29">
        <v>43.1</v>
      </c>
      <c r="AQ512" s="29">
        <v>9</v>
      </c>
      <c r="AR512" s="29">
        <v>24.2</v>
      </c>
      <c r="AS512" s="29">
        <v>58</v>
      </c>
      <c r="AT512" s="29">
        <v>28.1</v>
      </c>
      <c r="AU512" s="29">
        <v>109</v>
      </c>
      <c r="AV512" s="29">
        <v>77</v>
      </c>
      <c r="AW512" s="29"/>
      <c r="AX512" s="29" t="s">
        <v>573</v>
      </c>
      <c r="AY512" s="29" t="s">
        <v>4983</v>
      </c>
      <c r="AZ512" s="29" t="s">
        <v>1128</v>
      </c>
      <c r="BA512" s="29"/>
      <c r="BB512" s="29" t="s">
        <v>750</v>
      </c>
      <c r="BC512" s="29" t="s">
        <v>2735</v>
      </c>
      <c r="BD512" s="29"/>
      <c r="BE512" s="29"/>
      <c r="BF512" s="29" t="s">
        <v>351</v>
      </c>
      <c r="BG512" s="29" t="s">
        <v>351</v>
      </c>
      <c r="BH512" s="29"/>
      <c r="BI512" s="29" t="s">
        <v>351</v>
      </c>
      <c r="BJ512" s="29" t="s">
        <v>351</v>
      </c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 t="s">
        <v>182</v>
      </c>
      <c r="CA512" s="29" t="s">
        <v>708</v>
      </c>
      <c r="CB512" s="29" t="s">
        <v>822</v>
      </c>
      <c r="CC512" s="29"/>
      <c r="CD512" s="29"/>
      <c r="CE512" s="29"/>
      <c r="CF512" s="29"/>
      <c r="CG512" s="29"/>
      <c r="CH512" s="29"/>
      <c r="CI512" s="29"/>
      <c r="CJ512" s="29"/>
      <c r="CK512" s="29"/>
      <c r="CL512" s="29" t="s">
        <v>1181</v>
      </c>
      <c r="CM512" s="29" t="s">
        <v>5105</v>
      </c>
      <c r="CN512" s="29"/>
      <c r="CO512" s="29"/>
      <c r="CP512" s="29"/>
      <c r="CQ512" s="29"/>
      <c r="CR512" s="29"/>
      <c r="CS512" s="29"/>
      <c r="CT512" s="29"/>
      <c r="CU512" s="29"/>
      <c r="CV512" s="29"/>
      <c r="CW512" s="29">
        <v>3</v>
      </c>
      <c r="CX512" s="29" t="s">
        <v>110</v>
      </c>
      <c r="CY512" s="29" t="s">
        <v>110</v>
      </c>
      <c r="CZ512" s="29">
        <v>30</v>
      </c>
      <c r="DA512" s="29">
        <v>30</v>
      </c>
      <c r="DB512" s="29">
        <v>40</v>
      </c>
      <c r="DC512" s="48">
        <v>102.8</v>
      </c>
      <c r="DD512" s="29">
        <v>0.43</v>
      </c>
      <c r="DE512" s="48">
        <v>244</v>
      </c>
      <c r="DF512" s="48">
        <v>169</v>
      </c>
      <c r="DG512" s="9">
        <f t="shared" si="7"/>
        <v>4.8813420339720688</v>
      </c>
      <c r="DH512" s="29">
        <v>33.799999999999997</v>
      </c>
      <c r="DI512" s="29">
        <v>4.8899999999999997</v>
      </c>
      <c r="DJ512" s="29"/>
      <c r="DK512" s="29"/>
      <c r="DL512" s="48">
        <v>37.299999999999997</v>
      </c>
      <c r="DM512" s="29">
        <v>172.9</v>
      </c>
      <c r="DN512" s="29"/>
      <c r="DO512" s="29"/>
      <c r="DP512" s="29">
        <v>3</v>
      </c>
      <c r="DQ512" s="29"/>
      <c r="DR512" s="29">
        <v>3</v>
      </c>
      <c r="DS512" s="29"/>
      <c r="DT512" s="29"/>
      <c r="DU512" s="29">
        <v>6.7</v>
      </c>
      <c r="DV512" s="29"/>
      <c r="DW512" s="29"/>
      <c r="DX512" s="29"/>
      <c r="DY512" s="29"/>
      <c r="DZ512" s="29"/>
      <c r="EA512" s="29"/>
      <c r="EB512" s="29"/>
      <c r="EC512" s="29"/>
      <c r="ED512" s="29"/>
      <c r="EE512" s="29"/>
      <c r="EF512" s="29"/>
      <c r="EG512" s="29"/>
      <c r="EH512" s="29"/>
      <c r="EI512" s="29"/>
      <c r="EJ512" s="29"/>
      <c r="EK512" s="29"/>
      <c r="EL512" s="29"/>
      <c r="EM512" s="29"/>
      <c r="EN512" s="29"/>
      <c r="EO512" s="29"/>
      <c r="EP512" s="29"/>
      <c r="EQ512" s="29"/>
      <c r="ER512" s="29"/>
      <c r="ES512" s="29"/>
      <c r="ET512" s="29"/>
      <c r="EU512" s="29"/>
      <c r="EV512" s="29"/>
      <c r="EW512" s="29"/>
      <c r="EX512" s="29"/>
      <c r="EY512" s="29"/>
      <c r="EZ512" s="29"/>
      <c r="FA512" s="29"/>
    </row>
    <row r="513" spans="1:157" customFormat="1" x14ac:dyDescent="0.2">
      <c r="A513" s="70" t="s">
        <v>5106</v>
      </c>
      <c r="B513" s="69">
        <v>43797</v>
      </c>
      <c r="C513" s="29" t="s">
        <v>675</v>
      </c>
      <c r="D513" s="29">
        <v>23</v>
      </c>
      <c r="E513" s="29" t="s">
        <v>100</v>
      </c>
      <c r="F513" s="69">
        <v>43754</v>
      </c>
      <c r="G513" s="29" t="s">
        <v>4905</v>
      </c>
      <c r="H513" s="29" t="s">
        <v>5107</v>
      </c>
      <c r="I513" s="29"/>
      <c r="J513" s="29"/>
      <c r="K513" s="29"/>
      <c r="L513" s="29"/>
      <c r="M513" s="29" t="s">
        <v>99</v>
      </c>
      <c r="N513" s="29" t="s">
        <v>99</v>
      </c>
      <c r="O513" s="29" t="s">
        <v>99</v>
      </c>
      <c r="P513" s="29" t="s">
        <v>99</v>
      </c>
      <c r="Q513" s="29" t="s">
        <v>690</v>
      </c>
      <c r="R513" s="29"/>
      <c r="S513" s="29" t="s">
        <v>99</v>
      </c>
      <c r="T513" s="29" t="s">
        <v>99</v>
      </c>
      <c r="U513" s="29" t="s">
        <v>99</v>
      </c>
      <c r="V513" s="29" t="s">
        <v>99</v>
      </c>
      <c r="W513" s="29" t="s">
        <v>99</v>
      </c>
      <c r="X513" s="29" t="s">
        <v>99</v>
      </c>
      <c r="Y513" s="29" t="s">
        <v>99</v>
      </c>
      <c r="Z513" s="29"/>
      <c r="AA513" s="29" t="s">
        <v>100</v>
      </c>
      <c r="AB513" s="29" t="s">
        <v>100</v>
      </c>
      <c r="AC513" s="29" t="s">
        <v>100</v>
      </c>
      <c r="AD513" s="29" t="s">
        <v>100</v>
      </c>
      <c r="AE513" s="29" t="s">
        <v>246</v>
      </c>
      <c r="AF513" s="29" t="s">
        <v>1127</v>
      </c>
      <c r="AG513" s="29"/>
      <c r="AH513" s="29"/>
      <c r="AI513" s="29"/>
      <c r="AJ513" s="29"/>
      <c r="AK513" s="29"/>
      <c r="AL513" s="29">
        <v>77.3</v>
      </c>
      <c r="AM513" s="29">
        <v>184</v>
      </c>
      <c r="AN513" s="29">
        <v>87</v>
      </c>
      <c r="AO513" s="29">
        <v>98</v>
      </c>
      <c r="AP513" s="29">
        <v>27.2</v>
      </c>
      <c r="AQ513" s="29">
        <v>6</v>
      </c>
      <c r="AR513" s="29">
        <v>33.4</v>
      </c>
      <c r="AS513" s="29">
        <v>46</v>
      </c>
      <c r="AT513" s="70">
        <v>22.8</v>
      </c>
      <c r="AU513" s="29">
        <v>97</v>
      </c>
      <c r="AV513" s="29">
        <v>58</v>
      </c>
      <c r="AW513" s="29"/>
      <c r="AX513" s="29" t="s">
        <v>573</v>
      </c>
      <c r="AY513" s="29" t="s">
        <v>1656</v>
      </c>
      <c r="AZ513" s="29" t="s">
        <v>592</v>
      </c>
      <c r="BA513" s="29"/>
      <c r="BB513" s="29" t="s">
        <v>2541</v>
      </c>
      <c r="BC513" s="29" t="s">
        <v>1080</v>
      </c>
      <c r="BD513" s="29"/>
      <c r="BE513" s="29"/>
      <c r="BF513" s="29" t="s">
        <v>351</v>
      </c>
      <c r="BG513" s="29" t="s">
        <v>351</v>
      </c>
      <c r="BH513" s="29" t="s">
        <v>350</v>
      </c>
      <c r="BI513" s="29" t="s">
        <v>350</v>
      </c>
      <c r="BJ513" s="29" t="s">
        <v>351</v>
      </c>
      <c r="BK513" s="29" t="s">
        <v>350</v>
      </c>
      <c r="BL513" s="29" t="s">
        <v>351</v>
      </c>
      <c r="BM513" s="29"/>
      <c r="BN513" s="29" t="s">
        <v>179</v>
      </c>
      <c r="BO513" s="29" t="s">
        <v>352</v>
      </c>
      <c r="BP513" s="29" t="s">
        <v>1664</v>
      </c>
      <c r="BQ513" s="29"/>
      <c r="BR513" s="29"/>
      <c r="BS513" s="29"/>
      <c r="BT513" s="29"/>
      <c r="BU513" s="29"/>
      <c r="BV513" s="29" t="s">
        <v>5108</v>
      </c>
      <c r="BW513" s="29"/>
      <c r="BX513" s="29"/>
      <c r="BY513" s="29" t="s">
        <v>351</v>
      </c>
      <c r="BZ513" s="29" t="s">
        <v>183</v>
      </c>
      <c r="CA513" s="29" t="s">
        <v>2096</v>
      </c>
      <c r="CB513" s="29" t="s">
        <v>182</v>
      </c>
      <c r="CC513" s="29"/>
      <c r="CD513" s="29"/>
      <c r="CE513" s="29" t="s">
        <v>5109</v>
      </c>
      <c r="CF513" s="29"/>
      <c r="CG513" s="29"/>
      <c r="CH513" s="29" t="s">
        <v>5110</v>
      </c>
      <c r="CI513" s="29"/>
      <c r="CJ513" s="29"/>
      <c r="CK513" s="29"/>
      <c r="CL513" s="29" t="s">
        <v>1181</v>
      </c>
      <c r="CM513" s="29" t="s">
        <v>1731</v>
      </c>
      <c r="CN513" s="29" t="s">
        <v>5111</v>
      </c>
      <c r="CO513" s="29"/>
      <c r="CP513" s="29" t="s">
        <v>4986</v>
      </c>
      <c r="CQ513" s="29" t="s">
        <v>5112</v>
      </c>
      <c r="CR513" s="29"/>
      <c r="CS513" s="29"/>
      <c r="CT513" s="29" t="s">
        <v>187</v>
      </c>
      <c r="CU513" s="29" t="s">
        <v>1660</v>
      </c>
      <c r="CV513" s="29"/>
      <c r="CW513" s="29">
        <v>5</v>
      </c>
      <c r="CX513" s="29" t="s">
        <v>110</v>
      </c>
      <c r="CY513" s="29" t="s">
        <v>110</v>
      </c>
      <c r="CZ513" s="29">
        <v>20</v>
      </c>
      <c r="DA513" s="29">
        <v>30</v>
      </c>
      <c r="DB513" s="29">
        <v>50</v>
      </c>
      <c r="DC513" s="29">
        <v>88.9</v>
      </c>
      <c r="DD513" s="29">
        <v>0.99</v>
      </c>
      <c r="DE513" s="29">
        <v>137</v>
      </c>
      <c r="DF513" s="29">
        <v>77</v>
      </c>
      <c r="DG513" s="9">
        <f t="shared" si="7"/>
        <v>4.415658782186771</v>
      </c>
      <c r="DH513" s="29">
        <v>15.4</v>
      </c>
      <c r="DI513" s="29">
        <v>5.58</v>
      </c>
      <c r="DJ513" s="29"/>
      <c r="DK513" s="29"/>
      <c r="DL513" s="29">
        <v>45.9</v>
      </c>
      <c r="DM513" s="29">
        <v>75.7</v>
      </c>
      <c r="DN513" s="29"/>
      <c r="DO513" s="29"/>
      <c r="DP513" s="29"/>
      <c r="DQ513" s="29"/>
      <c r="DR513" s="29">
        <v>3</v>
      </c>
      <c r="DS513" s="29"/>
      <c r="DT513" s="29"/>
      <c r="DU513" s="29">
        <v>5.5</v>
      </c>
      <c r="DV513" s="29"/>
      <c r="DW513" s="29"/>
      <c r="DX513" s="29"/>
      <c r="DY513" s="29"/>
      <c r="DZ513" s="29"/>
      <c r="EA513" s="29"/>
      <c r="EB513" s="29"/>
      <c r="EC513" s="29"/>
      <c r="ED513" s="29"/>
      <c r="EE513" s="29"/>
      <c r="EF513" s="29"/>
      <c r="EG513" s="29"/>
      <c r="EH513" s="29"/>
      <c r="EI513" s="29"/>
      <c r="EJ513" s="29"/>
      <c r="EK513" s="29"/>
      <c r="EL513" s="29"/>
      <c r="EM513" s="29"/>
      <c r="EN513" s="29"/>
      <c r="EO513" s="29"/>
      <c r="EP513" s="29"/>
      <c r="EQ513" s="29"/>
      <c r="ER513" s="29"/>
      <c r="ES513" s="29"/>
      <c r="ET513" s="29"/>
      <c r="EU513" s="29"/>
      <c r="EV513" s="29"/>
      <c r="EW513" s="29"/>
      <c r="EX513" s="29"/>
      <c r="EY513" s="29"/>
      <c r="EZ513" s="29"/>
      <c r="FA513" s="29"/>
    </row>
    <row r="514" spans="1:157" customFormat="1" x14ac:dyDescent="0.2">
      <c r="A514">
        <v>430</v>
      </c>
      <c r="B514" s="26">
        <v>43798</v>
      </c>
      <c r="C514" t="s">
        <v>95</v>
      </c>
      <c r="D514">
        <v>56</v>
      </c>
      <c r="E514" t="s">
        <v>96</v>
      </c>
      <c r="I514" t="s">
        <v>1321</v>
      </c>
      <c r="J514" t="s">
        <v>5113</v>
      </c>
      <c r="K514" t="s">
        <v>4279</v>
      </c>
      <c r="L514">
        <v>2</v>
      </c>
      <c r="M514" t="s">
        <v>99</v>
      </c>
      <c r="N514" t="s">
        <v>99</v>
      </c>
      <c r="O514" t="s">
        <v>5114</v>
      </c>
      <c r="P514" t="s">
        <v>5115</v>
      </c>
      <c r="Q514" t="s">
        <v>4343</v>
      </c>
      <c r="R514" t="s">
        <v>110</v>
      </c>
      <c r="S514" t="s">
        <v>99</v>
      </c>
      <c r="T514" t="s">
        <v>99</v>
      </c>
      <c r="U514" t="s">
        <v>162</v>
      </c>
      <c r="V514" t="s">
        <v>162</v>
      </c>
      <c r="W514" t="s">
        <v>162</v>
      </c>
      <c r="X514" t="s">
        <v>162</v>
      </c>
      <c r="Y514" t="s">
        <v>162</v>
      </c>
      <c r="Z514" t="s">
        <v>162</v>
      </c>
      <c r="AA514" t="s">
        <v>3535</v>
      </c>
      <c r="AB514" t="s">
        <v>96</v>
      </c>
      <c r="AC514" t="s">
        <v>3535</v>
      </c>
      <c r="AD514" t="s">
        <v>96</v>
      </c>
      <c r="AG514" t="s">
        <v>5116</v>
      </c>
      <c r="AI514" t="s">
        <v>1932</v>
      </c>
      <c r="AL514">
        <v>73.400000000000006</v>
      </c>
      <c r="AM514">
        <v>155</v>
      </c>
      <c r="AN514">
        <v>91</v>
      </c>
      <c r="AO514">
        <v>110</v>
      </c>
      <c r="AP514">
        <v>46.8</v>
      </c>
      <c r="AQ514">
        <v>11</v>
      </c>
      <c r="AR514">
        <v>22.5</v>
      </c>
      <c r="AS514">
        <v>68</v>
      </c>
      <c r="AT514">
        <v>30.6</v>
      </c>
      <c r="AU514" t="s">
        <v>5117</v>
      </c>
      <c r="AV514" t="s">
        <v>5118</v>
      </c>
      <c r="AW514" t="s">
        <v>322</v>
      </c>
      <c r="BA514" t="s">
        <v>322</v>
      </c>
      <c r="BF514" t="s">
        <v>322</v>
      </c>
      <c r="BG514" t="s">
        <v>375</v>
      </c>
      <c r="BH514" t="s">
        <v>276</v>
      </c>
      <c r="BI514" t="s">
        <v>375</v>
      </c>
      <c r="BJ514" t="s">
        <v>276</v>
      </c>
      <c r="BK514" t="s">
        <v>375</v>
      </c>
      <c r="BM514" t="s">
        <v>322</v>
      </c>
      <c r="BY514" t="s">
        <v>322</v>
      </c>
      <c r="CK514" s="33" t="s">
        <v>375</v>
      </c>
      <c r="CO514" t="s">
        <v>322</v>
      </c>
      <c r="CS514" t="s">
        <v>375</v>
      </c>
      <c r="CW514">
        <v>3</v>
      </c>
      <c r="CX514" t="s">
        <v>110</v>
      </c>
      <c r="CY514" t="s">
        <v>99</v>
      </c>
      <c r="CZ514">
        <v>40</v>
      </c>
      <c r="DA514">
        <v>40</v>
      </c>
      <c r="DB514">
        <v>20</v>
      </c>
      <c r="DC514">
        <v>86.1</v>
      </c>
      <c r="DD514">
        <v>1.1499999999999999</v>
      </c>
      <c r="DE514">
        <v>288</v>
      </c>
      <c r="DF514">
        <v>70</v>
      </c>
      <c r="DG514" s="9">
        <f t="shared" si="7"/>
        <v>4.3520023267415224</v>
      </c>
      <c r="DH514">
        <v>14</v>
      </c>
      <c r="DI514">
        <v>4.09</v>
      </c>
      <c r="DL514">
        <v>66.400000000000006</v>
      </c>
      <c r="DM514">
        <v>207.6</v>
      </c>
      <c r="DR514">
        <v>2</v>
      </c>
    </row>
    <row r="515" spans="1:157" customFormat="1" x14ac:dyDescent="0.2">
      <c r="A515">
        <v>431</v>
      </c>
      <c r="B515" s="26">
        <v>43798</v>
      </c>
      <c r="C515" t="s">
        <v>95</v>
      </c>
      <c r="D515" t="s">
        <v>5119</v>
      </c>
      <c r="F515" s="26">
        <v>18825</v>
      </c>
      <c r="G515" t="s">
        <v>1892</v>
      </c>
      <c r="H515" t="s">
        <v>5120</v>
      </c>
      <c r="I515" t="s">
        <v>2020</v>
      </c>
      <c r="J515" t="s">
        <v>2138</v>
      </c>
      <c r="K515">
        <v>1991</v>
      </c>
      <c r="M515" t="s">
        <v>263</v>
      </c>
      <c r="N515" t="s">
        <v>263</v>
      </c>
      <c r="O515" t="s">
        <v>263</v>
      </c>
      <c r="P515" t="s">
        <v>263</v>
      </c>
      <c r="Q515" t="s">
        <v>5121</v>
      </c>
      <c r="R515" t="s">
        <v>285</v>
      </c>
      <c r="S515" t="s">
        <v>263</v>
      </c>
      <c r="T515" t="s">
        <v>263</v>
      </c>
      <c r="U515" t="s">
        <v>263</v>
      </c>
      <c r="V515" t="s">
        <v>263</v>
      </c>
      <c r="AL515">
        <v>75.5</v>
      </c>
      <c r="AM515">
        <v>1.66</v>
      </c>
      <c r="AN515">
        <v>86</v>
      </c>
      <c r="AO515">
        <v>115</v>
      </c>
      <c r="AP515">
        <v>41.3</v>
      </c>
      <c r="AQ515">
        <v>9</v>
      </c>
      <c r="AR515">
        <v>24.9</v>
      </c>
      <c r="AS515">
        <v>61</v>
      </c>
      <c r="AT515">
        <v>27.4</v>
      </c>
      <c r="AU515">
        <v>132</v>
      </c>
      <c r="AV515">
        <v>94</v>
      </c>
      <c r="AX515" t="s">
        <v>322</v>
      </c>
      <c r="BB515" t="s">
        <v>322</v>
      </c>
      <c r="BF515" t="s">
        <v>322</v>
      </c>
      <c r="BG515" t="s">
        <v>322</v>
      </c>
      <c r="BJ515" t="s">
        <v>322</v>
      </c>
      <c r="BK515" t="s">
        <v>322</v>
      </c>
      <c r="BN515" t="s">
        <v>375</v>
      </c>
      <c r="BZ515" t="s">
        <v>322</v>
      </c>
      <c r="CL515" t="s">
        <v>375</v>
      </c>
      <c r="CP515" t="s">
        <v>375</v>
      </c>
      <c r="CT515" t="s">
        <v>276</v>
      </c>
      <c r="CW515">
        <v>3</v>
      </c>
      <c r="CY515" t="s">
        <v>285</v>
      </c>
      <c r="DC515">
        <v>90.1</v>
      </c>
      <c r="DD515">
        <v>0.53</v>
      </c>
      <c r="DE515">
        <v>218</v>
      </c>
      <c r="DF515">
        <v>87</v>
      </c>
      <c r="DG515" s="9">
        <f t="shared" ref="DG515:DG578" si="8">LN(DF515*DC515)/2</f>
        <v>4.4834141416344382</v>
      </c>
      <c r="DH515">
        <v>17.399999999999999</v>
      </c>
      <c r="DI515">
        <v>2.25</v>
      </c>
      <c r="DL515">
        <v>84.3</v>
      </c>
      <c r="DM515">
        <v>116.3</v>
      </c>
      <c r="DP515">
        <v>3</v>
      </c>
      <c r="DR515">
        <v>2</v>
      </c>
    </row>
    <row r="516" spans="1:157" customFormat="1" x14ac:dyDescent="0.2">
      <c r="A516">
        <v>432</v>
      </c>
      <c r="B516" s="26">
        <v>43798</v>
      </c>
      <c r="C516" t="s">
        <v>95</v>
      </c>
      <c r="D516">
        <v>35</v>
      </c>
      <c r="E516" t="s">
        <v>1330</v>
      </c>
      <c r="F516" s="26">
        <v>30709</v>
      </c>
      <c r="G516" t="s">
        <v>5122</v>
      </c>
      <c r="I516" t="s">
        <v>1321</v>
      </c>
      <c r="K516">
        <v>2009</v>
      </c>
      <c r="L516">
        <v>1</v>
      </c>
      <c r="M516" t="s">
        <v>263</v>
      </c>
      <c r="N516" t="s">
        <v>263</v>
      </c>
      <c r="O516" t="s">
        <v>263</v>
      </c>
      <c r="P516" t="s">
        <v>5123</v>
      </c>
      <c r="Q516" t="s">
        <v>1769</v>
      </c>
      <c r="R516" t="s">
        <v>368</v>
      </c>
      <c r="T516" t="s">
        <v>5124</v>
      </c>
      <c r="U516" t="s">
        <v>5125</v>
      </c>
      <c r="V516" t="s">
        <v>263</v>
      </c>
      <c r="W516" t="s">
        <v>5126</v>
      </c>
      <c r="X516" t="s">
        <v>263</v>
      </c>
      <c r="Y516" t="s">
        <v>263</v>
      </c>
      <c r="Z516" t="s">
        <v>5127</v>
      </c>
      <c r="AA516" t="s">
        <v>151</v>
      </c>
      <c r="AB516" t="s">
        <v>5128</v>
      </c>
      <c r="AC516" t="s">
        <v>151</v>
      </c>
      <c r="AD516" t="s">
        <v>5128</v>
      </c>
      <c r="AE516" t="s">
        <v>2146</v>
      </c>
      <c r="AF516" t="s">
        <v>5129</v>
      </c>
      <c r="AG516" t="s">
        <v>5130</v>
      </c>
      <c r="AH516" t="s">
        <v>263</v>
      </c>
      <c r="AI516" t="s">
        <v>263</v>
      </c>
      <c r="AJ516" t="s">
        <v>263</v>
      </c>
      <c r="AK516" t="s">
        <v>263</v>
      </c>
      <c r="AL516">
        <v>82.4</v>
      </c>
      <c r="AM516">
        <v>1.69</v>
      </c>
      <c r="AN516">
        <v>90</v>
      </c>
      <c r="AO516">
        <v>115</v>
      </c>
      <c r="AP516">
        <v>32.9</v>
      </c>
      <c r="AQ516">
        <v>9</v>
      </c>
      <c r="AR516">
        <v>10.1</v>
      </c>
      <c r="AS516">
        <v>18</v>
      </c>
      <c r="AT516">
        <v>28.9</v>
      </c>
      <c r="AU516">
        <v>118</v>
      </c>
      <c r="AV516">
        <v>81</v>
      </c>
      <c r="AX516" t="s">
        <v>5131</v>
      </c>
      <c r="AY516" t="s">
        <v>5132</v>
      </c>
      <c r="AZ516" t="s">
        <v>5132</v>
      </c>
      <c r="BF516" t="s">
        <v>5133</v>
      </c>
      <c r="BG516" t="s">
        <v>5134</v>
      </c>
      <c r="BH516" t="s">
        <v>5135</v>
      </c>
      <c r="BJ516" t="s">
        <v>5136</v>
      </c>
      <c r="BK516" t="s">
        <v>5137</v>
      </c>
      <c r="BN516" t="s">
        <v>322</v>
      </c>
      <c r="BZ516" t="s">
        <v>5138</v>
      </c>
      <c r="CL516" t="s">
        <v>5139</v>
      </c>
      <c r="CM516" t="s">
        <v>5140</v>
      </c>
      <c r="CP516" t="s">
        <v>452</v>
      </c>
      <c r="CW516" t="s">
        <v>969</v>
      </c>
      <c r="CX516" t="s">
        <v>5141</v>
      </c>
      <c r="CY516" t="s">
        <v>263</v>
      </c>
      <c r="DC516">
        <v>66.8</v>
      </c>
      <c r="DD516">
        <v>1.08</v>
      </c>
      <c r="DE516">
        <v>167</v>
      </c>
      <c r="DF516">
        <v>66</v>
      </c>
      <c r="DG516" s="9">
        <f t="shared" si="8"/>
        <v>4.1956789112845128</v>
      </c>
      <c r="DH516">
        <v>13.2</v>
      </c>
      <c r="DI516">
        <v>3.42</v>
      </c>
      <c r="DL516">
        <v>52</v>
      </c>
      <c r="DM516">
        <v>101.8</v>
      </c>
    </row>
    <row r="517" spans="1:157" customFormat="1" x14ac:dyDescent="0.2">
      <c r="A517">
        <v>433</v>
      </c>
      <c r="B517" s="26">
        <v>43797</v>
      </c>
      <c r="C517" t="s">
        <v>107</v>
      </c>
      <c r="D517">
        <v>35</v>
      </c>
      <c r="E517" t="s">
        <v>96</v>
      </c>
      <c r="F517" s="26">
        <v>30924</v>
      </c>
      <c r="G517" t="s">
        <v>400</v>
      </c>
      <c r="I517" t="s">
        <v>162</v>
      </c>
      <c r="J517" t="s">
        <v>162</v>
      </c>
      <c r="K517" t="s">
        <v>162</v>
      </c>
      <c r="L517" t="s">
        <v>162</v>
      </c>
      <c r="M517" t="s">
        <v>99</v>
      </c>
      <c r="N517" t="s">
        <v>99</v>
      </c>
      <c r="O517" t="s">
        <v>99</v>
      </c>
      <c r="P517" t="s">
        <v>99</v>
      </c>
      <c r="Q517" t="s">
        <v>162</v>
      </c>
      <c r="R517" t="s">
        <v>99</v>
      </c>
      <c r="S517" t="s">
        <v>162</v>
      </c>
      <c r="T517" t="s">
        <v>162</v>
      </c>
      <c r="U517" t="s">
        <v>99</v>
      </c>
      <c r="V517" t="s">
        <v>162</v>
      </c>
      <c r="W517" t="s">
        <v>99</v>
      </c>
      <c r="X517" t="s">
        <v>99</v>
      </c>
      <c r="Y517" t="s">
        <v>162</v>
      </c>
      <c r="Z517" t="s">
        <v>162</v>
      </c>
      <c r="AA517" t="s">
        <v>96</v>
      </c>
      <c r="AB517" t="s">
        <v>96</v>
      </c>
      <c r="AC517" t="s">
        <v>96</v>
      </c>
      <c r="AD517" t="s">
        <v>96</v>
      </c>
      <c r="AE517" t="s">
        <v>5142</v>
      </c>
      <c r="AF517" t="s">
        <v>1861</v>
      </c>
      <c r="AG517" t="s">
        <v>99</v>
      </c>
      <c r="AH517" t="s">
        <v>99</v>
      </c>
      <c r="AI517" t="s">
        <v>99</v>
      </c>
      <c r="AJ517" t="s">
        <v>99</v>
      </c>
      <c r="AK517" t="s">
        <v>162</v>
      </c>
      <c r="AL517">
        <v>82.2</v>
      </c>
      <c r="AM517">
        <v>172</v>
      </c>
      <c r="AN517">
        <v>99</v>
      </c>
      <c r="AO517">
        <v>105</v>
      </c>
      <c r="AP517">
        <v>29</v>
      </c>
      <c r="AQ517">
        <v>11</v>
      </c>
      <c r="AR517">
        <v>34.1</v>
      </c>
      <c r="AS517">
        <v>50</v>
      </c>
      <c r="AT517">
        <v>27.8</v>
      </c>
      <c r="AU517">
        <v>96</v>
      </c>
      <c r="AV517">
        <v>66</v>
      </c>
      <c r="DC517">
        <v>89.7</v>
      </c>
      <c r="DD517">
        <v>0.83</v>
      </c>
      <c r="DE517">
        <v>167</v>
      </c>
      <c r="DF517">
        <v>126</v>
      </c>
      <c r="DG517" s="9">
        <f t="shared" si="8"/>
        <v>4.6663763380081145</v>
      </c>
      <c r="DH517">
        <v>25.2</v>
      </c>
      <c r="DI517">
        <v>6.64</v>
      </c>
      <c r="DL517">
        <v>45.7</v>
      </c>
      <c r="DM517">
        <v>96.1</v>
      </c>
      <c r="DP517">
        <v>1</v>
      </c>
      <c r="DR517">
        <v>3</v>
      </c>
    </row>
    <row r="518" spans="1:157" s="33" customFormat="1" x14ac:dyDescent="0.2">
      <c r="A518" s="31" t="s">
        <v>5143</v>
      </c>
      <c r="B518" s="32">
        <v>43797</v>
      </c>
      <c r="C518" s="31" t="s">
        <v>196</v>
      </c>
      <c r="D518" s="31">
        <v>61</v>
      </c>
      <c r="E518" s="31"/>
      <c r="F518" s="32">
        <v>21356</v>
      </c>
      <c r="G518" s="31" t="s">
        <v>5144</v>
      </c>
      <c r="H518" s="31"/>
      <c r="I518" s="31" t="s">
        <v>236</v>
      </c>
      <c r="J518" s="31">
        <v>45</v>
      </c>
      <c r="K518" s="31"/>
      <c r="L518" s="31">
        <v>2</v>
      </c>
      <c r="M518" s="31" t="s">
        <v>5145</v>
      </c>
      <c r="N518" s="31" t="s">
        <v>99</v>
      </c>
      <c r="O518" s="31" t="s">
        <v>110</v>
      </c>
      <c r="P518" s="31" t="s">
        <v>5146</v>
      </c>
      <c r="Q518" s="31" t="s">
        <v>99</v>
      </c>
      <c r="R518" s="31" t="s">
        <v>110</v>
      </c>
      <c r="S518" s="31" t="s">
        <v>110</v>
      </c>
      <c r="T518" s="31" t="s">
        <v>5147</v>
      </c>
      <c r="U518" s="31" t="s">
        <v>5148</v>
      </c>
      <c r="V518" s="31"/>
      <c r="W518" s="31" t="s">
        <v>5149</v>
      </c>
      <c r="X518" s="31"/>
      <c r="Y518" s="31"/>
      <c r="Z518" s="31"/>
      <c r="AA518" s="31" t="s">
        <v>100</v>
      </c>
      <c r="AB518" s="31" t="s">
        <v>100</v>
      </c>
      <c r="AC518" s="31" t="s">
        <v>100</v>
      </c>
      <c r="AD518" s="31" t="s">
        <v>100</v>
      </c>
      <c r="AE518" s="31" t="s">
        <v>4981</v>
      </c>
      <c r="AF518" s="31" t="s">
        <v>99</v>
      </c>
      <c r="AG518" s="31" t="s">
        <v>99</v>
      </c>
      <c r="AH518" s="31" t="s">
        <v>99</v>
      </c>
      <c r="AI518" s="31" t="s">
        <v>99</v>
      </c>
      <c r="AJ518" s="31" t="s">
        <v>99</v>
      </c>
      <c r="AK518" s="31" t="s">
        <v>99</v>
      </c>
      <c r="AL518" s="31">
        <v>65.3</v>
      </c>
      <c r="AM518" s="31">
        <v>155</v>
      </c>
      <c r="AN518" s="31">
        <v>91</v>
      </c>
      <c r="AO518" s="31">
        <v>102</v>
      </c>
      <c r="AP518" s="31">
        <v>41.2</v>
      </c>
      <c r="AQ518" s="31">
        <v>9</v>
      </c>
      <c r="AR518" s="31">
        <v>24.7</v>
      </c>
      <c r="AS518" s="31">
        <v>63</v>
      </c>
      <c r="AT518" s="31">
        <v>27.2</v>
      </c>
      <c r="AU518" s="31">
        <v>111</v>
      </c>
      <c r="AV518" s="31">
        <v>70</v>
      </c>
      <c r="AW518" s="31"/>
      <c r="AX518" s="31" t="s">
        <v>592</v>
      </c>
      <c r="AY518" s="31" t="s">
        <v>573</v>
      </c>
      <c r="AZ518" s="31" t="s">
        <v>572</v>
      </c>
      <c r="BA518" s="31"/>
      <c r="BB518" s="31" t="s">
        <v>1080</v>
      </c>
      <c r="BC518" s="31" t="s">
        <v>2692</v>
      </c>
      <c r="BD518" s="31"/>
      <c r="BE518" s="31"/>
      <c r="BF518" s="31" t="s">
        <v>350</v>
      </c>
      <c r="BG518" s="31" t="s">
        <v>4984</v>
      </c>
      <c r="BH518" s="31" t="s">
        <v>4984</v>
      </c>
      <c r="BI518" s="31" t="s">
        <v>4984</v>
      </c>
      <c r="BJ518" s="31"/>
      <c r="BK518" s="31" t="s">
        <v>350</v>
      </c>
      <c r="BL518" s="31"/>
      <c r="BM518" s="31"/>
      <c r="BN518" s="31" t="s">
        <v>219</v>
      </c>
      <c r="BO518" s="31" t="s">
        <v>125</v>
      </c>
      <c r="BP518" s="31" t="s">
        <v>180</v>
      </c>
      <c r="BQ518" s="31"/>
      <c r="BR518" s="31"/>
      <c r="BS518" s="31"/>
      <c r="BT518" s="31"/>
      <c r="BU518" s="31"/>
      <c r="BV518" s="31"/>
      <c r="BW518" s="31"/>
      <c r="BX518" s="31"/>
      <c r="BY518" s="31"/>
      <c r="BZ518" s="31" t="s">
        <v>822</v>
      </c>
      <c r="CA518" s="31" t="s">
        <v>184</v>
      </c>
      <c r="CB518" s="31" t="s">
        <v>5150</v>
      </c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 t="s">
        <v>1729</v>
      </c>
      <c r="CU518" s="31" t="s">
        <v>363</v>
      </c>
      <c r="CV518" s="31"/>
      <c r="CW518" s="31">
        <v>3</v>
      </c>
      <c r="CX518" s="31" t="s">
        <v>99</v>
      </c>
      <c r="CY518" s="31" t="s">
        <v>99</v>
      </c>
      <c r="CZ518" s="31">
        <v>30</v>
      </c>
      <c r="DA518" s="31">
        <v>30</v>
      </c>
      <c r="DB518" s="31">
        <v>40</v>
      </c>
      <c r="DC518" s="74">
        <v>160</v>
      </c>
      <c r="DD518" s="31">
        <v>0.82</v>
      </c>
      <c r="DE518" s="31">
        <v>194</v>
      </c>
      <c r="DF518" s="31">
        <v>62</v>
      </c>
      <c r="DG518" s="9">
        <f t="shared" si="8"/>
        <v>4.6011541001394596</v>
      </c>
      <c r="DH518" s="31">
        <v>12.4</v>
      </c>
      <c r="DI518" s="31">
        <v>4.33</v>
      </c>
      <c r="DJ518" s="31"/>
      <c r="DK518" s="31"/>
      <c r="DL518" s="31">
        <v>65.599999999999994</v>
      </c>
      <c r="DM518" s="31">
        <v>116</v>
      </c>
      <c r="DN518" s="31"/>
      <c r="DO518" s="31"/>
      <c r="DP518" s="31">
        <v>3</v>
      </c>
      <c r="DQ518" s="31"/>
      <c r="DR518" s="31">
        <v>2</v>
      </c>
      <c r="DS518" s="31"/>
      <c r="DT518" s="31"/>
      <c r="DU518" s="31">
        <v>10</v>
      </c>
      <c r="DV518" s="31"/>
      <c r="DW518" s="31"/>
      <c r="DX518" s="31"/>
      <c r="DY518" s="31"/>
      <c r="DZ518" s="31"/>
      <c r="EA518" s="31"/>
      <c r="EB518" s="31"/>
      <c r="EC518" s="31"/>
      <c r="ED518" s="31"/>
      <c r="EE518" s="31"/>
      <c r="EF518" s="31"/>
      <c r="EG518" s="31"/>
      <c r="EH518" s="31"/>
      <c r="EI518" s="31"/>
      <c r="EJ518" s="31"/>
      <c r="EK518" s="31"/>
      <c r="EL518" s="31"/>
      <c r="EM518" s="31"/>
      <c r="EN518" s="31"/>
      <c r="EO518" s="31"/>
      <c r="EP518" s="31"/>
      <c r="EQ518" s="31"/>
      <c r="ER518" s="31"/>
      <c r="ES518" s="31"/>
      <c r="ET518" s="31"/>
      <c r="EU518" s="31"/>
      <c r="EV518" s="31"/>
      <c r="EW518" s="31"/>
      <c r="EX518" s="31"/>
      <c r="EY518" s="31"/>
      <c r="EZ518" s="31"/>
      <c r="FA518" s="31"/>
    </row>
    <row r="519" spans="1:157" customFormat="1" x14ac:dyDescent="0.2">
      <c r="A519" s="73">
        <v>435</v>
      </c>
      <c r="B519" s="26">
        <v>43798</v>
      </c>
      <c r="M519" t="s">
        <v>99</v>
      </c>
      <c r="N519" t="s">
        <v>5151</v>
      </c>
      <c r="P519" t="s">
        <v>99</v>
      </c>
      <c r="Q519" t="s">
        <v>1699</v>
      </c>
      <c r="R519" t="s">
        <v>99</v>
      </c>
      <c r="U519" t="s">
        <v>99</v>
      </c>
      <c r="V519" t="s">
        <v>99</v>
      </c>
      <c r="W519" t="s">
        <v>99</v>
      </c>
      <c r="X519" t="s">
        <v>99</v>
      </c>
      <c r="AA519" t="s">
        <v>96</v>
      </c>
      <c r="AB519" t="s">
        <v>96</v>
      </c>
      <c r="AC519" t="s">
        <v>96</v>
      </c>
      <c r="AD519" t="s">
        <v>96</v>
      </c>
      <c r="AE519" t="s">
        <v>110</v>
      </c>
      <c r="AF519" t="s">
        <v>110</v>
      </c>
      <c r="AG519" t="s">
        <v>99</v>
      </c>
      <c r="AH519" t="s">
        <v>99</v>
      </c>
      <c r="AI519" t="s">
        <v>99</v>
      </c>
      <c r="AJ519" t="s">
        <v>99</v>
      </c>
      <c r="DC519">
        <v>138.4</v>
      </c>
      <c r="DD519">
        <v>1.2</v>
      </c>
      <c r="DE519">
        <v>166</v>
      </c>
      <c r="DF519">
        <v>366</v>
      </c>
      <c r="DG519" s="9">
        <f t="shared" si="8"/>
        <v>5.4163906882924682</v>
      </c>
      <c r="DH519">
        <v>73.2</v>
      </c>
      <c r="DI519">
        <v>6.44</v>
      </c>
      <c r="DL519">
        <v>46</v>
      </c>
      <c r="DM519">
        <v>46.8</v>
      </c>
      <c r="DP519">
        <v>3</v>
      </c>
      <c r="DR519">
        <v>3</v>
      </c>
    </row>
    <row r="520" spans="1:157" customFormat="1" x14ac:dyDescent="0.2">
      <c r="A520">
        <v>436</v>
      </c>
      <c r="B520" s="26">
        <v>43798</v>
      </c>
      <c r="C520" t="s">
        <v>95</v>
      </c>
      <c r="D520">
        <v>69</v>
      </c>
      <c r="E520" t="s">
        <v>96</v>
      </c>
      <c r="F520" s="26">
        <v>18430</v>
      </c>
      <c r="I520" t="s">
        <v>1610</v>
      </c>
      <c r="J520" s="33" t="s">
        <v>5152</v>
      </c>
      <c r="K520" s="33" t="s">
        <v>5153</v>
      </c>
      <c r="L520">
        <v>4</v>
      </c>
      <c r="M520" t="s">
        <v>99</v>
      </c>
      <c r="N520" t="s">
        <v>5154</v>
      </c>
      <c r="O520" t="s">
        <v>99</v>
      </c>
      <c r="P520" t="s">
        <v>99</v>
      </c>
      <c r="Q520" t="s">
        <v>99</v>
      </c>
      <c r="R520" t="s">
        <v>99</v>
      </c>
      <c r="S520" t="s">
        <v>99</v>
      </c>
      <c r="T520" t="s">
        <v>99</v>
      </c>
      <c r="U520" t="s">
        <v>99</v>
      </c>
      <c r="V520" t="s">
        <v>99</v>
      </c>
      <c r="W520" t="s">
        <v>99</v>
      </c>
      <c r="X520" t="s">
        <v>99</v>
      </c>
      <c r="AA520" t="s">
        <v>96</v>
      </c>
      <c r="AB520" t="s">
        <v>96</v>
      </c>
      <c r="AE520" t="s">
        <v>5155</v>
      </c>
      <c r="AF520" s="33" t="s">
        <v>5156</v>
      </c>
      <c r="AG520" t="s">
        <v>99</v>
      </c>
      <c r="AH520" s="33" t="s">
        <v>110</v>
      </c>
      <c r="AI520" t="s">
        <v>5155</v>
      </c>
      <c r="AJ520" s="33" t="s">
        <v>99</v>
      </c>
      <c r="AL520">
        <v>66.3</v>
      </c>
      <c r="AM520">
        <v>160</v>
      </c>
      <c r="AN520">
        <v>90</v>
      </c>
      <c r="AO520">
        <v>110</v>
      </c>
      <c r="AP520">
        <v>38.700000000000003</v>
      </c>
      <c r="AQ520">
        <v>9</v>
      </c>
      <c r="AR520">
        <v>25.7</v>
      </c>
      <c r="AS520">
        <v>63</v>
      </c>
      <c r="AT520">
        <v>25.9</v>
      </c>
      <c r="AU520" t="s">
        <v>5157</v>
      </c>
      <c r="AV520" t="s">
        <v>5158</v>
      </c>
      <c r="AX520" t="s">
        <v>5159</v>
      </c>
      <c r="AY520" t="s">
        <v>5160</v>
      </c>
      <c r="AZ520" s="33" t="s">
        <v>5161</v>
      </c>
      <c r="BA520" t="s">
        <v>375</v>
      </c>
      <c r="BB520" t="s">
        <v>1864</v>
      </c>
      <c r="BC520" t="s">
        <v>5162</v>
      </c>
      <c r="BF520" t="s">
        <v>322</v>
      </c>
      <c r="BG520" t="s">
        <v>322</v>
      </c>
      <c r="BH520" t="s">
        <v>1778</v>
      </c>
      <c r="BI520" t="s">
        <v>322</v>
      </c>
      <c r="BJ520" t="s">
        <v>322</v>
      </c>
      <c r="BN520" t="s">
        <v>5163</v>
      </c>
      <c r="BO520" t="s">
        <v>517</v>
      </c>
      <c r="BR520" t="s">
        <v>1152</v>
      </c>
      <c r="BZ520" t="s">
        <v>557</v>
      </c>
      <c r="CA520" t="s">
        <v>5164</v>
      </c>
      <c r="CB520" t="s">
        <v>5165</v>
      </c>
      <c r="CL520" t="s">
        <v>5166</v>
      </c>
      <c r="CM520" t="s">
        <v>1237</v>
      </c>
      <c r="CN520" t="s">
        <v>1372</v>
      </c>
      <c r="CP520" t="s">
        <v>5167</v>
      </c>
      <c r="CQ520" t="s">
        <v>561</v>
      </c>
      <c r="CR520" t="s">
        <v>309</v>
      </c>
      <c r="CT520" t="s">
        <v>336</v>
      </c>
      <c r="CU520" t="s">
        <v>5168</v>
      </c>
      <c r="CV520" t="s">
        <v>5169</v>
      </c>
      <c r="CW520">
        <v>3</v>
      </c>
      <c r="CX520" t="s">
        <v>110</v>
      </c>
      <c r="CY520" t="s">
        <v>99</v>
      </c>
      <c r="CZ520">
        <v>40</v>
      </c>
      <c r="DA520">
        <v>30</v>
      </c>
      <c r="DB520">
        <v>30</v>
      </c>
      <c r="DG520" s="9" t="e">
        <f t="shared" si="8"/>
        <v>#NUM!</v>
      </c>
      <c r="DR520">
        <v>2</v>
      </c>
    </row>
    <row r="521" spans="1:157" customFormat="1" x14ac:dyDescent="0.2">
      <c r="A521">
        <v>437</v>
      </c>
      <c r="B521" s="26">
        <v>43789</v>
      </c>
      <c r="C521" t="s">
        <v>95</v>
      </c>
      <c r="D521">
        <v>14</v>
      </c>
      <c r="E521" t="s">
        <v>5170</v>
      </c>
      <c r="F521" s="26">
        <v>38404</v>
      </c>
      <c r="G521" t="s">
        <v>97</v>
      </c>
      <c r="H521" t="s">
        <v>1846</v>
      </c>
      <c r="I521" t="s">
        <v>1610</v>
      </c>
      <c r="M521" t="s">
        <v>263</v>
      </c>
      <c r="N521" t="s">
        <v>263</v>
      </c>
      <c r="O521" t="s">
        <v>263</v>
      </c>
      <c r="P521" t="s">
        <v>263</v>
      </c>
      <c r="Q521" t="s">
        <v>5057</v>
      </c>
      <c r="R521" t="s">
        <v>263</v>
      </c>
      <c r="S521" t="s">
        <v>263</v>
      </c>
      <c r="T521" t="s">
        <v>5171</v>
      </c>
      <c r="U521" t="s">
        <v>263</v>
      </c>
      <c r="V521" t="s">
        <v>263</v>
      </c>
      <c r="W521" t="s">
        <v>263</v>
      </c>
      <c r="X521" t="s">
        <v>263</v>
      </c>
      <c r="Y521" t="s">
        <v>263</v>
      </c>
      <c r="Z521" t="s">
        <v>263</v>
      </c>
      <c r="AA521" t="s">
        <v>289</v>
      </c>
      <c r="AB521" t="s">
        <v>289</v>
      </c>
      <c r="AC521" t="s">
        <v>5172</v>
      </c>
      <c r="AD521" t="s">
        <v>5173</v>
      </c>
      <c r="AE521" t="s">
        <v>487</v>
      </c>
      <c r="AF521" t="s">
        <v>5174</v>
      </c>
      <c r="AG521" t="s">
        <v>263</v>
      </c>
      <c r="AH521" t="s">
        <v>5057</v>
      </c>
      <c r="AI521" t="s">
        <v>5061</v>
      </c>
      <c r="AJ521" t="s">
        <v>263</v>
      </c>
      <c r="AK521" t="s">
        <v>5175</v>
      </c>
      <c r="AL521">
        <v>55.5</v>
      </c>
      <c r="AM521">
        <v>1.6</v>
      </c>
      <c r="AN521">
        <v>68</v>
      </c>
      <c r="AO521">
        <v>94</v>
      </c>
      <c r="AP521">
        <v>32.9</v>
      </c>
      <c r="AQ521">
        <v>6</v>
      </c>
      <c r="AR521">
        <v>21.1</v>
      </c>
      <c r="AS521">
        <v>18</v>
      </c>
      <c r="AT521">
        <v>21.7</v>
      </c>
      <c r="AU521">
        <v>77</v>
      </c>
      <c r="AV521">
        <v>51</v>
      </c>
      <c r="AX521" t="s">
        <v>389</v>
      </c>
      <c r="AY521" t="s">
        <v>326</v>
      </c>
      <c r="AZ521" t="s">
        <v>1070</v>
      </c>
      <c r="BB521" t="s">
        <v>1265</v>
      </c>
      <c r="BC521" t="s">
        <v>409</v>
      </c>
      <c r="BF521" t="s">
        <v>322</v>
      </c>
      <c r="BG521" t="s">
        <v>375</v>
      </c>
      <c r="BH521" t="s">
        <v>322</v>
      </c>
      <c r="BN521" t="s">
        <v>376</v>
      </c>
      <c r="BO521" t="s">
        <v>938</v>
      </c>
      <c r="BP521" t="s">
        <v>498</v>
      </c>
      <c r="BV521" t="s">
        <v>1282</v>
      </c>
      <c r="BZ521" t="s">
        <v>5176</v>
      </c>
      <c r="CA521" t="s">
        <v>5177</v>
      </c>
      <c r="CB521" t="s">
        <v>1834</v>
      </c>
      <c r="CL521" t="s">
        <v>306</v>
      </c>
      <c r="CM521" t="s">
        <v>5178</v>
      </c>
      <c r="CP521" t="s">
        <v>1244</v>
      </c>
      <c r="CQ521" t="s">
        <v>910</v>
      </c>
      <c r="CR521" t="s">
        <v>5179</v>
      </c>
      <c r="CT521" t="s">
        <v>926</v>
      </c>
      <c r="CU521" t="s">
        <v>5180</v>
      </c>
      <c r="CV521" t="s">
        <v>5181</v>
      </c>
      <c r="CW521" t="s">
        <v>5182</v>
      </c>
      <c r="CX521" t="s">
        <v>263</v>
      </c>
      <c r="CY521" t="s">
        <v>368</v>
      </c>
      <c r="CZ521">
        <v>30</v>
      </c>
      <c r="DA521">
        <v>50</v>
      </c>
      <c r="DB521">
        <v>20</v>
      </c>
      <c r="DC521">
        <v>82.1</v>
      </c>
      <c r="DD521">
        <v>1.17</v>
      </c>
      <c r="DE521">
        <v>287</v>
      </c>
      <c r="DF521">
        <v>168</v>
      </c>
      <c r="DG521" s="9">
        <f t="shared" si="8"/>
        <v>4.7659509979308208</v>
      </c>
      <c r="DH521">
        <v>33.6</v>
      </c>
      <c r="DI521">
        <v>6.35</v>
      </c>
      <c r="DL521">
        <v>72.3</v>
      </c>
      <c r="DM521">
        <v>181.1</v>
      </c>
      <c r="DR521">
        <v>3</v>
      </c>
    </row>
    <row r="522" spans="1:157" customFormat="1" x14ac:dyDescent="0.2">
      <c r="A522">
        <v>438</v>
      </c>
      <c r="B522" s="26">
        <v>43798</v>
      </c>
      <c r="C522" t="s">
        <v>107</v>
      </c>
      <c r="D522">
        <v>20</v>
      </c>
      <c r="E522" t="s">
        <v>162</v>
      </c>
      <c r="F522" s="26">
        <v>36424</v>
      </c>
      <c r="G522" t="s">
        <v>162</v>
      </c>
      <c r="H522" t="s">
        <v>98</v>
      </c>
      <c r="I522" t="s">
        <v>162</v>
      </c>
      <c r="J522" t="s">
        <v>162</v>
      </c>
      <c r="K522" t="s">
        <v>162</v>
      </c>
      <c r="L522" t="s">
        <v>162</v>
      </c>
      <c r="M522" t="s">
        <v>99</v>
      </c>
      <c r="N522" t="s">
        <v>99</v>
      </c>
      <c r="O522" t="s">
        <v>99</v>
      </c>
      <c r="P522" t="s">
        <v>99</v>
      </c>
      <c r="Q522" t="s">
        <v>162</v>
      </c>
      <c r="R522" t="s">
        <v>99</v>
      </c>
      <c r="S522" t="s">
        <v>99</v>
      </c>
      <c r="T522" t="s">
        <v>162</v>
      </c>
      <c r="U522" t="s">
        <v>99</v>
      </c>
      <c r="V522" t="s">
        <v>99</v>
      </c>
      <c r="W522" t="s">
        <v>99</v>
      </c>
      <c r="X522" t="s">
        <v>99</v>
      </c>
      <c r="Y522" t="s">
        <v>162</v>
      </c>
      <c r="Z522" t="s">
        <v>162</v>
      </c>
      <c r="AA522" t="s">
        <v>162</v>
      </c>
      <c r="AB522" t="s">
        <v>162</v>
      </c>
      <c r="AC522" t="s">
        <v>96</v>
      </c>
      <c r="AD522" t="s">
        <v>96</v>
      </c>
      <c r="AF522" t="s">
        <v>110</v>
      </c>
      <c r="AL522">
        <v>71.099999999999994</v>
      </c>
      <c r="AM522">
        <v>168</v>
      </c>
      <c r="AN522">
        <v>83</v>
      </c>
      <c r="AO522">
        <v>100</v>
      </c>
      <c r="AP522">
        <v>23.6</v>
      </c>
      <c r="AQ522">
        <v>7</v>
      </c>
      <c r="AR522">
        <v>39.1</v>
      </c>
      <c r="AS522">
        <v>30</v>
      </c>
      <c r="AT522">
        <v>25.2</v>
      </c>
      <c r="AU522" t="s">
        <v>5183</v>
      </c>
      <c r="AV522" t="s">
        <v>5184</v>
      </c>
      <c r="AX522" t="s">
        <v>1787</v>
      </c>
      <c r="AY522" t="s">
        <v>5185</v>
      </c>
      <c r="AZ522" t="s">
        <v>1826</v>
      </c>
      <c r="BF522" t="s">
        <v>375</v>
      </c>
      <c r="BG522" t="s">
        <v>375</v>
      </c>
      <c r="BH522" t="s">
        <v>375</v>
      </c>
      <c r="BI522" t="s">
        <v>276</v>
      </c>
      <c r="BJ522" t="s">
        <v>375</v>
      </c>
      <c r="BK522" t="s">
        <v>276</v>
      </c>
      <c r="BN522" t="s">
        <v>5186</v>
      </c>
      <c r="BO522" t="s">
        <v>5187</v>
      </c>
      <c r="BP522" t="s">
        <v>5188</v>
      </c>
      <c r="BV522" t="s">
        <v>5189</v>
      </c>
      <c r="BZ522" t="s">
        <v>5190</v>
      </c>
      <c r="CA522" t="s">
        <v>5191</v>
      </c>
      <c r="CB522" t="s">
        <v>5192</v>
      </c>
      <c r="CL522" t="s">
        <v>5193</v>
      </c>
      <c r="CM522" t="s">
        <v>4393</v>
      </c>
      <c r="CN522" t="s">
        <v>5194</v>
      </c>
      <c r="CP522" t="s">
        <v>1054</v>
      </c>
      <c r="CT522" t="s">
        <v>5195</v>
      </c>
      <c r="CU522" t="s">
        <v>530</v>
      </c>
      <c r="CW522">
        <v>3</v>
      </c>
      <c r="CX522" t="s">
        <v>99</v>
      </c>
      <c r="CY522" t="s">
        <v>110</v>
      </c>
      <c r="DC522">
        <v>70</v>
      </c>
      <c r="DD522">
        <v>1.04</v>
      </c>
      <c r="DE522">
        <v>155</v>
      </c>
      <c r="DF522">
        <v>114</v>
      </c>
      <c r="DG522" s="9">
        <f t="shared" si="8"/>
        <v>4.4923468452219275</v>
      </c>
      <c r="DH522">
        <v>22.8</v>
      </c>
      <c r="DI522">
        <v>9.98</v>
      </c>
      <c r="DL522">
        <v>41.8</v>
      </c>
      <c r="DM522">
        <v>90.4</v>
      </c>
    </row>
    <row r="523" spans="1:157" s="33" customFormat="1" x14ac:dyDescent="0.2">
      <c r="A523" s="29" t="s">
        <v>5196</v>
      </c>
      <c r="B523" s="32">
        <v>43798</v>
      </c>
      <c r="C523" s="31" t="s">
        <v>675</v>
      </c>
      <c r="D523" s="31">
        <v>49</v>
      </c>
      <c r="E523" s="31"/>
      <c r="F523" s="31"/>
      <c r="G523" s="31" t="s">
        <v>2362</v>
      </c>
      <c r="H523" s="31" t="s">
        <v>5197</v>
      </c>
      <c r="I523" s="31"/>
      <c r="J523" s="31"/>
      <c r="K523" s="31"/>
      <c r="L523" s="31"/>
      <c r="M523" s="31" t="s">
        <v>99</v>
      </c>
      <c r="N523" s="31" t="s">
        <v>568</v>
      </c>
      <c r="O523" s="31"/>
      <c r="P523" s="31" t="s">
        <v>110</v>
      </c>
      <c r="Q523" s="31" t="s">
        <v>1736</v>
      </c>
      <c r="R523" s="31" t="s">
        <v>110</v>
      </c>
      <c r="S523" s="31" t="s">
        <v>110</v>
      </c>
      <c r="T523" s="31" t="s">
        <v>110</v>
      </c>
      <c r="U523" s="31" t="s">
        <v>5198</v>
      </c>
      <c r="V523" s="31"/>
      <c r="W523" s="31"/>
      <c r="X523" s="31"/>
      <c r="Y523" s="31"/>
      <c r="Z523" s="31"/>
      <c r="AA523" s="31" t="s">
        <v>100</v>
      </c>
      <c r="AB523" s="31" t="s">
        <v>100</v>
      </c>
      <c r="AC523" s="31"/>
      <c r="AD523" s="31"/>
      <c r="AE523" s="31" t="s">
        <v>1127</v>
      </c>
      <c r="AF523" s="31" t="s">
        <v>246</v>
      </c>
      <c r="AG523" s="31"/>
      <c r="AH523" s="31"/>
      <c r="AI523" s="31"/>
      <c r="AJ523" s="31"/>
      <c r="AK523" s="31"/>
      <c r="AL523" s="31">
        <v>99.5</v>
      </c>
      <c r="AM523" s="31">
        <v>167</v>
      </c>
      <c r="AN523" s="48">
        <v>128</v>
      </c>
      <c r="AO523" s="31">
        <v>126</v>
      </c>
      <c r="AP523" s="31">
        <v>39.299999999999997</v>
      </c>
      <c r="AQ523" s="31">
        <v>21</v>
      </c>
      <c r="AR523" s="31">
        <v>27.4</v>
      </c>
      <c r="AS523" s="31">
        <v>70</v>
      </c>
      <c r="AT523" s="31">
        <v>35.700000000000003</v>
      </c>
      <c r="AU523" s="31">
        <v>114</v>
      </c>
      <c r="AV523" s="31">
        <v>84</v>
      </c>
      <c r="AW523" s="31"/>
      <c r="AX523" s="31"/>
      <c r="AY523" s="31"/>
      <c r="AZ523" s="31"/>
      <c r="BA523" s="31"/>
      <c r="BB523" s="31"/>
      <c r="BC523" s="31"/>
      <c r="BD523" s="31"/>
      <c r="BE523" s="31"/>
      <c r="BF523" s="31" t="s">
        <v>351</v>
      </c>
      <c r="BG523" s="31" t="s">
        <v>350</v>
      </c>
      <c r="BH523" s="31" t="s">
        <v>350</v>
      </c>
      <c r="BI523" s="31" t="s">
        <v>350</v>
      </c>
      <c r="BJ523" s="31" t="s">
        <v>350</v>
      </c>
      <c r="BK523" s="31" t="s">
        <v>1513</v>
      </c>
      <c r="BL523" s="31"/>
      <c r="BM523" s="31"/>
      <c r="BN523" s="31" t="s">
        <v>179</v>
      </c>
      <c r="BO523" s="31" t="s">
        <v>219</v>
      </c>
      <c r="BP523" s="31" t="s">
        <v>352</v>
      </c>
      <c r="BQ523" s="31"/>
      <c r="BR523" s="31"/>
      <c r="BS523" s="31"/>
      <c r="BT523" s="31"/>
      <c r="BU523" s="31"/>
      <c r="BV523" s="31"/>
      <c r="BW523" s="31"/>
      <c r="BX523" s="31"/>
      <c r="BY523" s="31"/>
      <c r="BZ523" s="31" t="s">
        <v>709</v>
      </c>
      <c r="CA523" s="31" t="s">
        <v>1730</v>
      </c>
      <c r="CB523" s="31" t="s">
        <v>1100</v>
      </c>
      <c r="CC523" s="31"/>
      <c r="CD523" s="31"/>
      <c r="CE523" s="31"/>
      <c r="CF523" s="31"/>
      <c r="CG523" s="31"/>
      <c r="CH523" s="31"/>
      <c r="CI523" s="31"/>
      <c r="CJ523" s="31"/>
      <c r="CK523" s="31"/>
      <c r="CL523" s="31" t="s">
        <v>980</v>
      </c>
      <c r="CM523" s="31" t="s">
        <v>825</v>
      </c>
      <c r="CN523" s="31" t="s">
        <v>1659</v>
      </c>
      <c r="CO523" s="31"/>
      <c r="CP523" s="31" t="s">
        <v>362</v>
      </c>
      <c r="CQ523" s="31" t="s">
        <v>2658</v>
      </c>
      <c r="CR523" s="31" t="s">
        <v>2098</v>
      </c>
      <c r="CS523" s="31"/>
      <c r="CT523" s="31" t="s">
        <v>1732</v>
      </c>
      <c r="CU523" s="31" t="s">
        <v>5199</v>
      </c>
      <c r="CV523" s="31" t="s">
        <v>5200</v>
      </c>
      <c r="CW523" s="31">
        <v>3</v>
      </c>
      <c r="CX523" s="31" t="s">
        <v>99</v>
      </c>
      <c r="CY523" s="31" t="s">
        <v>99</v>
      </c>
      <c r="CZ523" s="31">
        <v>30</v>
      </c>
      <c r="DA523" s="31">
        <v>10</v>
      </c>
      <c r="DB523" s="31">
        <v>60</v>
      </c>
      <c r="DC523" s="48">
        <v>100.6</v>
      </c>
      <c r="DD523" s="31">
        <v>0.38</v>
      </c>
      <c r="DE523" s="31">
        <v>186</v>
      </c>
      <c r="DF523" s="31">
        <v>125</v>
      </c>
      <c r="DG523" s="9">
        <f t="shared" si="8"/>
        <v>4.7197329974839697</v>
      </c>
      <c r="DH523" s="31">
        <v>25</v>
      </c>
      <c r="DI523" s="48">
        <v>7.7</v>
      </c>
      <c r="DJ523" s="31"/>
      <c r="DK523" s="31"/>
      <c r="DL523" s="31">
        <v>63.2</v>
      </c>
      <c r="DM523" s="31">
        <v>97.8</v>
      </c>
      <c r="DN523" s="31"/>
      <c r="DO523" s="31"/>
      <c r="DP523" s="31"/>
      <c r="DQ523" s="31"/>
      <c r="DR523" s="31">
        <v>2</v>
      </c>
      <c r="DS523" s="31"/>
      <c r="DT523" s="31"/>
      <c r="DU523" s="31"/>
      <c r="DV523" s="31"/>
      <c r="DW523" s="31"/>
      <c r="DX523" s="31"/>
      <c r="DY523" s="31"/>
      <c r="DZ523" s="31"/>
      <c r="EA523" s="31"/>
      <c r="EB523" s="31"/>
      <c r="EC523" s="31"/>
      <c r="ED523" s="31"/>
      <c r="EE523" s="31"/>
      <c r="EF523" s="31"/>
      <c r="EG523" s="31"/>
      <c r="EH523" s="31"/>
      <c r="EI523" s="31"/>
      <c r="EJ523" s="31"/>
      <c r="EK523" s="31"/>
      <c r="EL523" s="31"/>
      <c r="EM523" s="31"/>
      <c r="EN523" s="31"/>
      <c r="EO523" s="31"/>
      <c r="EP523" s="31"/>
      <c r="EQ523" s="31"/>
      <c r="ER523" s="31"/>
      <c r="ES523" s="31"/>
      <c r="ET523" s="31"/>
      <c r="EU523" s="31"/>
      <c r="EV523" s="31"/>
      <c r="EW523" s="31"/>
      <c r="EX523" s="31"/>
      <c r="EY523" s="31"/>
      <c r="EZ523" s="31"/>
      <c r="FA523" s="31"/>
    </row>
    <row r="524" spans="1:157" customFormat="1" x14ac:dyDescent="0.2">
      <c r="A524">
        <v>440</v>
      </c>
      <c r="B524" s="26">
        <v>43798</v>
      </c>
      <c r="C524" t="s">
        <v>95</v>
      </c>
      <c r="D524">
        <v>25</v>
      </c>
      <c r="E524" t="s">
        <v>1330</v>
      </c>
      <c r="F524" s="26">
        <v>34446</v>
      </c>
      <c r="G524" t="s">
        <v>1320</v>
      </c>
      <c r="H524" t="s">
        <v>5201</v>
      </c>
      <c r="I524" t="s">
        <v>3587</v>
      </c>
      <c r="K524" t="s">
        <v>5202</v>
      </c>
      <c r="L524">
        <v>2</v>
      </c>
      <c r="M524" t="s">
        <v>263</v>
      </c>
      <c r="N524" t="s">
        <v>5203</v>
      </c>
      <c r="O524" t="s">
        <v>5204</v>
      </c>
      <c r="P524" t="s">
        <v>263</v>
      </c>
      <c r="Q524" t="s">
        <v>5205</v>
      </c>
      <c r="R524" t="s">
        <v>5206</v>
      </c>
      <c r="S524" t="s">
        <v>263</v>
      </c>
      <c r="T524" t="s">
        <v>5207</v>
      </c>
      <c r="U524" t="s">
        <v>3597</v>
      </c>
      <c r="V524" t="s">
        <v>263</v>
      </c>
      <c r="W524" t="s">
        <v>1549</v>
      </c>
      <c r="X524" t="s">
        <v>263</v>
      </c>
      <c r="Z524" t="s">
        <v>5208</v>
      </c>
      <c r="AA524" t="s">
        <v>5209</v>
      </c>
      <c r="AB524" t="s">
        <v>5210</v>
      </c>
      <c r="AC524" t="s">
        <v>5211</v>
      </c>
      <c r="AD524" t="s">
        <v>5210</v>
      </c>
      <c r="AE524" t="s">
        <v>5060</v>
      </c>
      <c r="AF524" t="s">
        <v>2145</v>
      </c>
      <c r="AG524" t="s">
        <v>5060</v>
      </c>
      <c r="AH524" t="s">
        <v>2146</v>
      </c>
      <c r="AI524" t="s">
        <v>263</v>
      </c>
      <c r="AJ524" t="s">
        <v>263</v>
      </c>
      <c r="AK524" t="s">
        <v>263</v>
      </c>
      <c r="AL524">
        <v>94.7</v>
      </c>
      <c r="AM524">
        <v>1.65</v>
      </c>
      <c r="AN524">
        <v>97</v>
      </c>
      <c r="AO524">
        <v>112</v>
      </c>
      <c r="AP524">
        <v>42.1</v>
      </c>
      <c r="AQ524">
        <v>7</v>
      </c>
      <c r="AR524">
        <v>26.6</v>
      </c>
      <c r="AS524">
        <v>51</v>
      </c>
      <c r="AT524">
        <v>34.799999999999997</v>
      </c>
      <c r="AU524">
        <v>128</v>
      </c>
      <c r="AV524">
        <v>82</v>
      </c>
      <c r="AX524" t="s">
        <v>322</v>
      </c>
      <c r="BB524" t="s">
        <v>322</v>
      </c>
      <c r="BF524">
        <v>5</v>
      </c>
      <c r="BG524">
        <v>2</v>
      </c>
      <c r="BH524">
        <v>5</v>
      </c>
      <c r="BI524">
        <v>4</v>
      </c>
      <c r="BJ524">
        <v>7</v>
      </c>
      <c r="BK524">
        <v>2</v>
      </c>
      <c r="BN524" t="s">
        <v>322</v>
      </c>
      <c r="BR524" t="s">
        <v>263</v>
      </c>
      <c r="BV524" t="s">
        <v>263</v>
      </c>
      <c r="BZ524" t="s">
        <v>322</v>
      </c>
      <c r="CD524" t="s">
        <v>263</v>
      </c>
      <c r="CH524" t="s">
        <v>263</v>
      </c>
      <c r="CL524" t="s">
        <v>5212</v>
      </c>
      <c r="CP524" t="s">
        <v>322</v>
      </c>
      <c r="CT524" t="s">
        <v>1897</v>
      </c>
      <c r="CW524">
        <v>3</v>
      </c>
      <c r="CX524" t="s">
        <v>368</v>
      </c>
      <c r="CY524" t="s">
        <v>5213</v>
      </c>
      <c r="CZ524">
        <v>25</v>
      </c>
      <c r="DA524">
        <v>25</v>
      </c>
      <c r="DB524">
        <v>50</v>
      </c>
      <c r="DC524">
        <v>64.900000000000006</v>
      </c>
      <c r="DD524">
        <v>0.47</v>
      </c>
      <c r="DE524">
        <v>172</v>
      </c>
      <c r="DF524">
        <v>141</v>
      </c>
      <c r="DG524" s="9">
        <f t="shared" si="8"/>
        <v>4.5608037570441065</v>
      </c>
      <c r="DH524">
        <v>28.2</v>
      </c>
      <c r="DI524">
        <v>7.46</v>
      </c>
      <c r="DL524">
        <v>36.4</v>
      </c>
      <c r="DM524">
        <v>107.4</v>
      </c>
    </row>
    <row r="525" spans="1:157" customFormat="1" x14ac:dyDescent="0.2">
      <c r="A525">
        <v>441</v>
      </c>
      <c r="B525" s="26">
        <v>43798</v>
      </c>
      <c r="C525" t="s">
        <v>258</v>
      </c>
      <c r="D525" t="s">
        <v>5214</v>
      </c>
      <c r="E525" t="s">
        <v>313</v>
      </c>
      <c r="F525" s="26">
        <v>35354</v>
      </c>
      <c r="G525" t="s">
        <v>97</v>
      </c>
      <c r="H525" t="s">
        <v>5215</v>
      </c>
      <c r="M525" t="s">
        <v>263</v>
      </c>
      <c r="N525" t="s">
        <v>263</v>
      </c>
      <c r="O525" t="s">
        <v>263</v>
      </c>
      <c r="P525" t="s">
        <v>263</v>
      </c>
      <c r="R525" t="s">
        <v>285</v>
      </c>
      <c r="S525" t="s">
        <v>263</v>
      </c>
      <c r="T525" t="s">
        <v>263</v>
      </c>
      <c r="AA525" t="s">
        <v>289</v>
      </c>
      <c r="AC525" t="s">
        <v>289</v>
      </c>
      <c r="AE525" t="s">
        <v>263</v>
      </c>
      <c r="AF525" t="s">
        <v>285</v>
      </c>
      <c r="AG525" t="s">
        <v>263</v>
      </c>
      <c r="AH525" t="s">
        <v>263</v>
      </c>
      <c r="AI525" t="s">
        <v>263</v>
      </c>
      <c r="AJ525" t="s">
        <v>263</v>
      </c>
      <c r="AK525" t="s">
        <v>263</v>
      </c>
      <c r="AL525">
        <v>94.9</v>
      </c>
      <c r="AM525">
        <v>1.72</v>
      </c>
      <c r="AN525">
        <v>100</v>
      </c>
      <c r="AO525">
        <v>102</v>
      </c>
      <c r="AP525">
        <v>32.299999999999997</v>
      </c>
      <c r="AQ525">
        <v>13</v>
      </c>
      <c r="AR525">
        <v>33.5</v>
      </c>
      <c r="AS525">
        <v>57</v>
      </c>
      <c r="AT525">
        <v>32.1</v>
      </c>
      <c r="AU525">
        <v>105</v>
      </c>
      <c r="AV525">
        <v>72</v>
      </c>
      <c r="AX525" t="s">
        <v>1116</v>
      </c>
      <c r="AY525" t="s">
        <v>1070</v>
      </c>
      <c r="BB525" t="s">
        <v>5216</v>
      </c>
      <c r="BC525" t="s">
        <v>5217</v>
      </c>
      <c r="BD525" t="s">
        <v>5218</v>
      </c>
      <c r="BF525" t="s">
        <v>5219</v>
      </c>
      <c r="BG525" t="s">
        <v>299</v>
      </c>
      <c r="BN525" t="s">
        <v>376</v>
      </c>
      <c r="BO525" t="s">
        <v>499</v>
      </c>
      <c r="BP525" t="s">
        <v>938</v>
      </c>
      <c r="BZ525" t="s">
        <v>415</v>
      </c>
      <c r="CA525" t="s">
        <v>5220</v>
      </c>
      <c r="CB525" t="s">
        <v>5221</v>
      </c>
      <c r="CL525" t="s">
        <v>4199</v>
      </c>
      <c r="CM525" t="s">
        <v>4198</v>
      </c>
      <c r="CT525" t="s">
        <v>5222</v>
      </c>
      <c r="CU525" t="s">
        <v>793</v>
      </c>
      <c r="CV525" t="s">
        <v>5223</v>
      </c>
      <c r="CW525">
        <v>5</v>
      </c>
      <c r="CX525" t="s">
        <v>263</v>
      </c>
      <c r="CY525" t="s">
        <v>263</v>
      </c>
      <c r="CZ525">
        <v>30</v>
      </c>
      <c r="DA525">
        <v>10</v>
      </c>
      <c r="DB525">
        <v>60</v>
      </c>
      <c r="DC525">
        <v>80.7</v>
      </c>
      <c r="DD525">
        <v>0.91</v>
      </c>
      <c r="DE525">
        <v>203</v>
      </c>
      <c r="DF525">
        <v>137</v>
      </c>
      <c r="DG525" s="9">
        <f t="shared" si="8"/>
        <v>4.6553597505520141</v>
      </c>
      <c r="DH525">
        <v>27.4</v>
      </c>
      <c r="DI525">
        <v>10.56</v>
      </c>
      <c r="DL525">
        <v>40.5</v>
      </c>
      <c r="DM525">
        <v>135.1</v>
      </c>
      <c r="DR525">
        <v>3</v>
      </c>
    </row>
    <row r="526" spans="1:157" customFormat="1" x14ac:dyDescent="0.2">
      <c r="A526" s="71" t="s">
        <v>5224</v>
      </c>
      <c r="B526" s="69">
        <v>43798</v>
      </c>
      <c r="C526" s="29" t="s">
        <v>675</v>
      </c>
      <c r="D526" s="29">
        <v>41</v>
      </c>
      <c r="E526" s="29" t="s">
        <v>1123</v>
      </c>
      <c r="F526" s="69">
        <v>28797</v>
      </c>
      <c r="G526" s="29" t="s">
        <v>481</v>
      </c>
      <c r="H526" s="29"/>
      <c r="I526" s="29"/>
      <c r="J526" s="29"/>
      <c r="K526" s="29"/>
      <c r="L526" s="29"/>
      <c r="M526" s="29" t="s">
        <v>99</v>
      </c>
      <c r="N526" s="29" t="s">
        <v>99</v>
      </c>
      <c r="O526" s="29" t="s">
        <v>99</v>
      </c>
      <c r="P526" s="29" t="s">
        <v>99</v>
      </c>
      <c r="Q526" s="29" t="s">
        <v>99</v>
      </c>
      <c r="R526" s="29" t="s">
        <v>99</v>
      </c>
      <c r="S526" s="29" t="s">
        <v>99</v>
      </c>
      <c r="T526" s="29" t="s">
        <v>99</v>
      </c>
      <c r="U526" s="29" t="s">
        <v>99</v>
      </c>
      <c r="V526" s="29" t="s">
        <v>99</v>
      </c>
      <c r="W526" s="29" t="s">
        <v>99</v>
      </c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>
        <v>84.5</v>
      </c>
      <c r="AM526" s="29">
        <v>165</v>
      </c>
      <c r="AN526" s="48">
        <v>103</v>
      </c>
      <c r="AO526" s="29">
        <v>108</v>
      </c>
      <c r="AP526" s="29">
        <v>29.9</v>
      </c>
      <c r="AQ526" s="29">
        <v>15</v>
      </c>
      <c r="AR526" s="29">
        <v>33.700000000000003</v>
      </c>
      <c r="AS526" s="29">
        <v>53</v>
      </c>
      <c r="AT526" s="29">
        <v>31</v>
      </c>
      <c r="AU526" s="29">
        <v>112</v>
      </c>
      <c r="AV526" s="29">
        <v>60</v>
      </c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>
        <v>86.6</v>
      </c>
      <c r="DD526" s="29">
        <v>0.77</v>
      </c>
      <c r="DE526" s="29">
        <v>187</v>
      </c>
      <c r="DF526" s="48">
        <v>352</v>
      </c>
      <c r="DG526" s="9">
        <f t="shared" si="8"/>
        <v>5.162465495583243</v>
      </c>
      <c r="DH526" s="29">
        <v>70.400000000000006</v>
      </c>
      <c r="DI526" s="48">
        <v>7.27</v>
      </c>
      <c r="DJ526" s="29"/>
      <c r="DK526" s="29"/>
      <c r="DL526" s="48">
        <v>36.200000000000003</v>
      </c>
      <c r="DM526" s="29">
        <v>80.400000000000006</v>
      </c>
      <c r="DN526" s="29"/>
      <c r="DO526" s="29"/>
      <c r="DP526" s="29">
        <v>3</v>
      </c>
      <c r="DQ526" s="29"/>
      <c r="DR526" s="29">
        <v>3</v>
      </c>
      <c r="DS526" s="29"/>
      <c r="DT526" s="29"/>
      <c r="DU526" s="29"/>
      <c r="DV526" s="29"/>
      <c r="DW526" s="29"/>
      <c r="DX526" s="29"/>
      <c r="DY526" s="29"/>
      <c r="DZ526" s="29"/>
      <c r="EA526" s="29"/>
      <c r="EB526" s="29"/>
      <c r="EC526" s="29"/>
      <c r="ED526" s="29"/>
      <c r="EE526" s="29"/>
      <c r="EF526" s="29"/>
      <c r="EG526" s="29"/>
      <c r="EH526" s="29"/>
      <c r="EI526" s="29"/>
      <c r="EJ526" s="29"/>
      <c r="EK526" s="29"/>
      <c r="EL526" s="29"/>
      <c r="EM526" s="29"/>
      <c r="EN526" s="29"/>
      <c r="EO526" s="29"/>
      <c r="EP526" s="29"/>
      <c r="EQ526" s="29"/>
      <c r="ER526" s="29"/>
      <c r="ES526" s="29"/>
      <c r="ET526" s="29"/>
      <c r="EU526" s="29"/>
      <c r="EV526" s="29"/>
      <c r="EW526" s="29"/>
      <c r="EX526" s="29"/>
      <c r="EY526" s="29"/>
      <c r="EZ526" s="29"/>
      <c r="FA526" s="29"/>
    </row>
    <row r="527" spans="1:157" customFormat="1" x14ac:dyDescent="0.2">
      <c r="A527">
        <v>443</v>
      </c>
      <c r="B527" s="26">
        <v>43828</v>
      </c>
      <c r="C527" t="s">
        <v>258</v>
      </c>
      <c r="D527" t="s">
        <v>5225</v>
      </c>
      <c r="E527" t="s">
        <v>313</v>
      </c>
      <c r="F527" s="26">
        <v>33028</v>
      </c>
      <c r="G527" t="s">
        <v>314</v>
      </c>
      <c r="H527" t="s">
        <v>4496</v>
      </c>
      <c r="M527" t="s">
        <v>263</v>
      </c>
      <c r="N527" t="s">
        <v>263</v>
      </c>
      <c r="O527" t="s">
        <v>263</v>
      </c>
      <c r="P527" t="s">
        <v>263</v>
      </c>
      <c r="Q527" t="s">
        <v>5226</v>
      </c>
      <c r="R527" t="s">
        <v>483</v>
      </c>
      <c r="S527" t="s">
        <v>263</v>
      </c>
      <c r="T527" t="s">
        <v>263</v>
      </c>
      <c r="U527" t="s">
        <v>263</v>
      </c>
      <c r="V527" t="s">
        <v>263</v>
      </c>
      <c r="W527" t="s">
        <v>263</v>
      </c>
      <c r="X527" t="s">
        <v>263</v>
      </c>
      <c r="Y527" t="s">
        <v>263</v>
      </c>
      <c r="Z527" t="s">
        <v>263</v>
      </c>
      <c r="AA527" t="s">
        <v>289</v>
      </c>
      <c r="AB527" t="s">
        <v>289</v>
      </c>
      <c r="AC527" t="s">
        <v>289</v>
      </c>
      <c r="AD527" t="s">
        <v>290</v>
      </c>
      <c r="AE527" t="s">
        <v>780</v>
      </c>
      <c r="AF527" t="s">
        <v>5227</v>
      </c>
      <c r="AG527" t="s">
        <v>5228</v>
      </c>
      <c r="AH527" t="s">
        <v>263</v>
      </c>
      <c r="AI527" t="s">
        <v>292</v>
      </c>
      <c r="AJ527" t="s">
        <v>263</v>
      </c>
      <c r="AK527" t="s">
        <v>263</v>
      </c>
      <c r="AL527">
        <v>83.6</v>
      </c>
      <c r="AM527">
        <v>1.72</v>
      </c>
      <c r="AN527">
        <v>96</v>
      </c>
      <c r="AO527">
        <v>110</v>
      </c>
      <c r="AP527">
        <v>32.4</v>
      </c>
      <c r="AQ527">
        <v>11</v>
      </c>
      <c r="AR527">
        <v>32.4</v>
      </c>
      <c r="AS527">
        <v>51</v>
      </c>
      <c r="AT527">
        <v>28.3</v>
      </c>
      <c r="AU527">
        <v>99</v>
      </c>
      <c r="AV527">
        <v>65</v>
      </c>
      <c r="AX527" t="s">
        <v>168</v>
      </c>
      <c r="BB527" t="s">
        <v>5229</v>
      </c>
      <c r="BC527" t="s">
        <v>785</v>
      </c>
      <c r="BD527" t="s">
        <v>409</v>
      </c>
      <c r="BF527" t="s">
        <v>1619</v>
      </c>
      <c r="BG527" t="s">
        <v>1619</v>
      </c>
      <c r="BH527" t="s">
        <v>299</v>
      </c>
      <c r="BI527" t="s">
        <v>1619</v>
      </c>
      <c r="BJ527" t="s">
        <v>1619</v>
      </c>
      <c r="BK527" t="s">
        <v>299</v>
      </c>
      <c r="BN527" t="s">
        <v>412</v>
      </c>
      <c r="BO527" t="s">
        <v>327</v>
      </c>
      <c r="BP527" t="s">
        <v>410</v>
      </c>
      <c r="BZ527" t="s">
        <v>5230</v>
      </c>
      <c r="CA527" t="s">
        <v>5231</v>
      </c>
      <c r="CB527" t="s">
        <v>4607</v>
      </c>
      <c r="CL527" t="s">
        <v>5232</v>
      </c>
      <c r="CM527" t="s">
        <v>5233</v>
      </c>
      <c r="CN527" t="s">
        <v>5234</v>
      </c>
      <c r="CP527" t="s">
        <v>1054</v>
      </c>
      <c r="CQ527" t="s">
        <v>309</v>
      </c>
      <c r="CT527" t="s">
        <v>5235</v>
      </c>
      <c r="CU527" t="s">
        <v>5236</v>
      </c>
      <c r="CV527" t="s">
        <v>5237</v>
      </c>
      <c r="CW527">
        <v>2</v>
      </c>
      <c r="CX527" t="s">
        <v>5238</v>
      </c>
      <c r="CY527" t="s">
        <v>299</v>
      </c>
      <c r="DC527">
        <v>84.4</v>
      </c>
      <c r="DD527">
        <v>0.85</v>
      </c>
      <c r="DE527">
        <v>169</v>
      </c>
      <c r="DF527">
        <v>162</v>
      </c>
      <c r="DG527" s="9">
        <f t="shared" si="8"/>
        <v>4.7615818684171476</v>
      </c>
      <c r="DH527">
        <v>32.4</v>
      </c>
      <c r="DI527">
        <v>4.75</v>
      </c>
      <c r="DL527">
        <v>55</v>
      </c>
      <c r="DM527">
        <v>81.599999999999994</v>
      </c>
      <c r="DR527">
        <v>2</v>
      </c>
    </row>
    <row r="528" spans="1:157" customFormat="1" x14ac:dyDescent="0.2">
      <c r="A528">
        <v>444</v>
      </c>
      <c r="B528" s="26">
        <v>43798</v>
      </c>
      <c r="C528" t="s">
        <v>95</v>
      </c>
      <c r="D528">
        <v>26</v>
      </c>
      <c r="E528" t="s">
        <v>96</v>
      </c>
      <c r="F528" s="26">
        <v>33988</v>
      </c>
      <c r="H528" t="s">
        <v>1893</v>
      </c>
      <c r="K528" s="26">
        <v>41747</v>
      </c>
      <c r="L528">
        <v>1</v>
      </c>
      <c r="M528" t="s">
        <v>99</v>
      </c>
      <c r="N528" t="s">
        <v>99</v>
      </c>
      <c r="O528" t="s">
        <v>99</v>
      </c>
      <c r="P528" t="s">
        <v>99</v>
      </c>
      <c r="Q528" t="s">
        <v>99</v>
      </c>
      <c r="R528" t="s">
        <v>5239</v>
      </c>
      <c r="S528" t="s">
        <v>99</v>
      </c>
      <c r="T528" t="s">
        <v>99</v>
      </c>
      <c r="U528" t="s">
        <v>5240</v>
      </c>
      <c r="W528" t="s">
        <v>5241</v>
      </c>
      <c r="X528" t="s">
        <v>99</v>
      </c>
      <c r="Y528" s="126" t="s">
        <v>5242</v>
      </c>
      <c r="AA528" t="s">
        <v>1419</v>
      </c>
      <c r="AB528" t="s">
        <v>96</v>
      </c>
      <c r="AC528" t="s">
        <v>1419</v>
      </c>
      <c r="AD528" t="s">
        <v>5243</v>
      </c>
      <c r="AE528" t="s">
        <v>5244</v>
      </c>
      <c r="AF528" t="s">
        <v>5244</v>
      </c>
      <c r="AG528" t="s">
        <v>99</v>
      </c>
      <c r="AH528" t="s">
        <v>1811</v>
      </c>
      <c r="AI528" t="s">
        <v>1912</v>
      </c>
      <c r="AJ528" t="s">
        <v>99</v>
      </c>
      <c r="AL528">
        <v>66.099999999999994</v>
      </c>
      <c r="AM528">
        <v>162</v>
      </c>
      <c r="AN528">
        <v>86</v>
      </c>
      <c r="AO528">
        <v>105</v>
      </c>
      <c r="AP528">
        <v>42.5</v>
      </c>
      <c r="AQ528">
        <v>5</v>
      </c>
      <c r="AR528">
        <v>22.4</v>
      </c>
      <c r="AS528">
        <v>37</v>
      </c>
      <c r="AT528">
        <v>25.2</v>
      </c>
      <c r="AU528" t="s">
        <v>5245</v>
      </c>
      <c r="AV528" t="s">
        <v>1713</v>
      </c>
      <c r="AX528" t="s">
        <v>5246</v>
      </c>
      <c r="BB528" t="s">
        <v>5247</v>
      </c>
      <c r="BC528" t="s">
        <v>5248</v>
      </c>
      <c r="BF528" t="s">
        <v>5249</v>
      </c>
      <c r="BG528" t="s">
        <v>1923</v>
      </c>
      <c r="BH528" t="s">
        <v>1818</v>
      </c>
      <c r="BI528" t="s">
        <v>5250</v>
      </c>
      <c r="BJ528" t="s">
        <v>1818</v>
      </c>
      <c r="BK528" t="s">
        <v>5250</v>
      </c>
      <c r="BN528" t="s">
        <v>5251</v>
      </c>
      <c r="BO528" t="s">
        <v>517</v>
      </c>
      <c r="BP528" t="s">
        <v>5252</v>
      </c>
      <c r="BQ528" t="s">
        <v>99</v>
      </c>
      <c r="BU528" t="s">
        <v>99</v>
      </c>
      <c r="BZ528" t="s">
        <v>5253</v>
      </c>
      <c r="CA528" t="s">
        <v>5254</v>
      </c>
      <c r="CB528" t="s">
        <v>5255</v>
      </c>
      <c r="CG528" t="s">
        <v>99</v>
      </c>
      <c r="CL528" t="s">
        <v>1373</v>
      </c>
      <c r="CM528" t="s">
        <v>5256</v>
      </c>
      <c r="CN528" t="s">
        <v>5257</v>
      </c>
      <c r="CP528" t="s">
        <v>1691</v>
      </c>
      <c r="CQ528" t="s">
        <v>384</v>
      </c>
      <c r="CT528" t="s">
        <v>5258</v>
      </c>
      <c r="CU528" t="s">
        <v>5259</v>
      </c>
      <c r="CW528" t="s">
        <v>1890</v>
      </c>
      <c r="CX528" t="s">
        <v>5260</v>
      </c>
      <c r="CY528" t="s">
        <v>5261</v>
      </c>
      <c r="DC528">
        <v>86.6</v>
      </c>
      <c r="DD528">
        <v>0.63</v>
      </c>
      <c r="DE528">
        <v>193</v>
      </c>
      <c r="DF528">
        <v>217</v>
      </c>
      <c r="DG528" s="9">
        <f t="shared" si="8"/>
        <v>4.9205985845544244</v>
      </c>
      <c r="DH528">
        <v>43.4</v>
      </c>
      <c r="DI528">
        <v>4.7</v>
      </c>
      <c r="DL528">
        <v>53.6</v>
      </c>
      <c r="DM528">
        <v>96</v>
      </c>
    </row>
    <row r="529" spans="1:157" customFormat="1" x14ac:dyDescent="0.2">
      <c r="A529" s="72">
        <v>445</v>
      </c>
      <c r="B529" s="26">
        <v>43798</v>
      </c>
      <c r="C529" t="s">
        <v>95</v>
      </c>
      <c r="D529">
        <v>27</v>
      </c>
      <c r="F529" s="26">
        <v>33810</v>
      </c>
      <c r="I529" t="s">
        <v>1610</v>
      </c>
      <c r="M529" t="s">
        <v>99</v>
      </c>
      <c r="N529" t="s">
        <v>99</v>
      </c>
      <c r="O529" t="s">
        <v>99</v>
      </c>
      <c r="P529" t="s">
        <v>5262</v>
      </c>
      <c r="Q529" t="s">
        <v>1699</v>
      </c>
      <c r="R529" t="s">
        <v>99</v>
      </c>
      <c r="S529" t="s">
        <v>99</v>
      </c>
      <c r="T529" t="s">
        <v>99</v>
      </c>
      <c r="U529" t="s">
        <v>99</v>
      </c>
      <c r="V529" t="s">
        <v>99</v>
      </c>
      <c r="Z529" t="s">
        <v>5263</v>
      </c>
      <c r="AA529" t="s">
        <v>96</v>
      </c>
      <c r="AB529" t="s">
        <v>96</v>
      </c>
      <c r="AC529" t="s">
        <v>96</v>
      </c>
      <c r="AD529" t="s">
        <v>96</v>
      </c>
      <c r="AE529" t="s">
        <v>99</v>
      </c>
      <c r="AF529" t="s">
        <v>99</v>
      </c>
      <c r="AG529" t="s">
        <v>5264</v>
      </c>
      <c r="AH529" t="s">
        <v>5265</v>
      </c>
      <c r="AI529" t="s">
        <v>99</v>
      </c>
      <c r="AJ529" t="s">
        <v>99</v>
      </c>
      <c r="AL529">
        <v>53.4</v>
      </c>
      <c r="AM529">
        <v>157</v>
      </c>
      <c r="AN529">
        <v>74</v>
      </c>
      <c r="AO529">
        <v>96</v>
      </c>
      <c r="AP529">
        <v>31.7</v>
      </c>
      <c r="AQ529">
        <v>4</v>
      </c>
      <c r="AR529">
        <v>27.8</v>
      </c>
      <c r="AS529">
        <v>29</v>
      </c>
      <c r="AT529">
        <v>21.7</v>
      </c>
      <c r="AU529" t="s">
        <v>5266</v>
      </c>
      <c r="AV529" t="s">
        <v>5267</v>
      </c>
      <c r="AW529" t="s">
        <v>4158</v>
      </c>
      <c r="AX529" t="s">
        <v>1826</v>
      </c>
      <c r="AY529" t="s">
        <v>5268</v>
      </c>
      <c r="AZ529" t="s">
        <v>1152</v>
      </c>
      <c r="BF529" t="s">
        <v>5269</v>
      </c>
      <c r="BG529" t="s">
        <v>1818</v>
      </c>
      <c r="BH529" t="s">
        <v>1923</v>
      </c>
      <c r="BI529" t="s">
        <v>322</v>
      </c>
      <c r="BJ529" t="s">
        <v>322</v>
      </c>
      <c r="BK529" t="s">
        <v>1922</v>
      </c>
      <c r="BN529" t="s">
        <v>1886</v>
      </c>
      <c r="BO529" t="s">
        <v>5270</v>
      </c>
      <c r="BP529" t="s">
        <v>1072</v>
      </c>
      <c r="BV529" t="s">
        <v>1152</v>
      </c>
      <c r="BZ529" t="s">
        <v>1865</v>
      </c>
      <c r="CA529" t="s">
        <v>277</v>
      </c>
      <c r="CB529" t="s">
        <v>2030</v>
      </c>
      <c r="CD529" t="s">
        <v>4222</v>
      </c>
      <c r="CH529" t="s">
        <v>1249</v>
      </c>
      <c r="CI529" t="s">
        <v>1110</v>
      </c>
      <c r="CL529" t="s">
        <v>5271</v>
      </c>
      <c r="CM529" t="s">
        <v>5272</v>
      </c>
      <c r="CT529" t="s">
        <v>5273</v>
      </c>
      <c r="CU529" t="s">
        <v>5274</v>
      </c>
      <c r="CW529">
        <v>3</v>
      </c>
      <c r="CX529" t="s">
        <v>110</v>
      </c>
      <c r="CY529" t="s">
        <v>110</v>
      </c>
      <c r="DC529">
        <v>83.9</v>
      </c>
      <c r="DD529">
        <v>0.56000000000000005</v>
      </c>
      <c r="DE529">
        <v>162</v>
      </c>
      <c r="DF529">
        <v>45</v>
      </c>
      <c r="DG529" s="9">
        <f t="shared" si="8"/>
        <v>4.1181440516217398</v>
      </c>
      <c r="DH529">
        <v>9</v>
      </c>
      <c r="DI529">
        <v>2.69</v>
      </c>
      <c r="DL529">
        <v>53.4</v>
      </c>
      <c r="DM529">
        <v>99.6</v>
      </c>
      <c r="DP529">
        <v>1</v>
      </c>
      <c r="DR529">
        <v>2</v>
      </c>
    </row>
    <row r="530" spans="1:157" customFormat="1" x14ac:dyDescent="0.2">
      <c r="A530">
        <v>446</v>
      </c>
      <c r="B530" s="26">
        <v>43798</v>
      </c>
      <c r="C530" t="s">
        <v>95</v>
      </c>
      <c r="D530" t="s">
        <v>5275</v>
      </c>
      <c r="E530" t="s">
        <v>313</v>
      </c>
      <c r="F530" s="26">
        <v>28235</v>
      </c>
      <c r="G530" t="s">
        <v>5276</v>
      </c>
      <c r="H530" t="s">
        <v>5277</v>
      </c>
      <c r="I530" t="s">
        <v>2020</v>
      </c>
      <c r="K530">
        <v>2011</v>
      </c>
      <c r="L530">
        <v>4</v>
      </c>
      <c r="M530" t="s">
        <v>263</v>
      </c>
      <c r="O530" t="s">
        <v>263</v>
      </c>
      <c r="Q530" t="s">
        <v>316</v>
      </c>
      <c r="S530" t="s">
        <v>263</v>
      </c>
      <c r="T530" t="s">
        <v>263</v>
      </c>
      <c r="U530" t="s">
        <v>263</v>
      </c>
      <c r="V530" t="s">
        <v>263</v>
      </c>
      <c r="AA530" t="s">
        <v>289</v>
      </c>
      <c r="AB530" t="s">
        <v>289</v>
      </c>
      <c r="AC530" t="s">
        <v>96</v>
      </c>
      <c r="AD530" t="s">
        <v>96</v>
      </c>
      <c r="AE530" t="s">
        <v>292</v>
      </c>
      <c r="AF530" t="s">
        <v>291</v>
      </c>
      <c r="AG530" t="s">
        <v>5278</v>
      </c>
      <c r="AH530" t="s">
        <v>291</v>
      </c>
      <c r="AI530" t="s">
        <v>263</v>
      </c>
      <c r="AJ530" t="s">
        <v>263</v>
      </c>
      <c r="AK530" t="s">
        <v>263</v>
      </c>
      <c r="AL530">
        <v>67.599999999999994</v>
      </c>
      <c r="AM530">
        <v>1.6</v>
      </c>
      <c r="AN530">
        <v>80</v>
      </c>
      <c r="AO530">
        <v>110</v>
      </c>
      <c r="AP530">
        <v>36.9</v>
      </c>
      <c r="AQ530">
        <v>7</v>
      </c>
      <c r="AR530">
        <v>27.6</v>
      </c>
      <c r="AS530">
        <v>49</v>
      </c>
      <c r="AT530">
        <v>26.4</v>
      </c>
      <c r="AU530">
        <v>106</v>
      </c>
      <c r="AV530">
        <v>74</v>
      </c>
      <c r="DC530">
        <v>89.1</v>
      </c>
      <c r="DD530">
        <v>0.74</v>
      </c>
      <c r="DE530">
        <v>197</v>
      </c>
      <c r="DF530">
        <v>114</v>
      </c>
      <c r="DG530" s="9">
        <f t="shared" si="8"/>
        <v>4.6129788914356293</v>
      </c>
      <c r="DH530">
        <v>22.8</v>
      </c>
      <c r="DI530">
        <v>4.5</v>
      </c>
      <c r="DL530">
        <v>64.400000000000006</v>
      </c>
      <c r="DM530">
        <v>109.8</v>
      </c>
    </row>
    <row r="531" spans="1:157" s="33" customFormat="1" x14ac:dyDescent="0.2">
      <c r="A531" s="74" t="s">
        <v>5279</v>
      </c>
      <c r="B531" s="32">
        <v>43798</v>
      </c>
      <c r="C531" s="31" t="s">
        <v>675</v>
      </c>
      <c r="D531" s="31">
        <v>35</v>
      </c>
      <c r="E531" s="31" t="s">
        <v>100</v>
      </c>
      <c r="F531" s="32">
        <v>30984</v>
      </c>
      <c r="G531" s="31" t="s">
        <v>5280</v>
      </c>
      <c r="H531" s="31" t="s">
        <v>1663</v>
      </c>
      <c r="I531" s="31"/>
      <c r="J531" s="31"/>
      <c r="K531" s="31"/>
      <c r="L531" s="31"/>
      <c r="M531" s="31" t="s">
        <v>99</v>
      </c>
      <c r="N531" s="31" t="s">
        <v>99</v>
      </c>
      <c r="O531" s="31" t="s">
        <v>5281</v>
      </c>
      <c r="P531" s="31" t="s">
        <v>99</v>
      </c>
      <c r="Q531" s="31" t="s">
        <v>4975</v>
      </c>
      <c r="R531" s="31" t="s">
        <v>99</v>
      </c>
      <c r="S531" s="31" t="s">
        <v>99</v>
      </c>
      <c r="T531" s="31" t="s">
        <v>5282</v>
      </c>
      <c r="U531" s="31"/>
      <c r="V531" s="31"/>
      <c r="W531" s="31" t="s">
        <v>5283</v>
      </c>
      <c r="X531" s="31"/>
      <c r="Y531" s="31"/>
      <c r="Z531" s="31"/>
      <c r="AA531" s="31" t="s">
        <v>2777</v>
      </c>
      <c r="AB531" s="31" t="s">
        <v>100</v>
      </c>
      <c r="AC531" s="31" t="s">
        <v>2777</v>
      </c>
      <c r="AD531" s="31" t="s">
        <v>100</v>
      </c>
      <c r="AE531" s="31" t="s">
        <v>5284</v>
      </c>
      <c r="AF531" s="31" t="s">
        <v>99</v>
      </c>
      <c r="AG531" s="31" t="s">
        <v>99</v>
      </c>
      <c r="AH531" s="31" t="s">
        <v>99</v>
      </c>
      <c r="AI531" s="31" t="s">
        <v>343</v>
      </c>
      <c r="AJ531" s="31"/>
      <c r="AK531" s="31" t="s">
        <v>99</v>
      </c>
      <c r="AL531" s="31">
        <v>68.7</v>
      </c>
      <c r="AM531" s="31">
        <v>170</v>
      </c>
      <c r="AN531" s="31">
        <v>86</v>
      </c>
      <c r="AO531" s="31">
        <v>98</v>
      </c>
      <c r="AP531" s="31">
        <v>21.3</v>
      </c>
      <c r="AQ531" s="31">
        <v>7</v>
      </c>
      <c r="AR531" s="31">
        <v>38.299999999999997</v>
      </c>
      <c r="AS531" s="31">
        <v>34</v>
      </c>
      <c r="AT531" s="31">
        <v>23.8</v>
      </c>
      <c r="AU531" s="31">
        <v>89</v>
      </c>
      <c r="AV531" s="31">
        <v>62</v>
      </c>
      <c r="AW531" s="31"/>
      <c r="AX531" s="31" t="s">
        <v>1128</v>
      </c>
      <c r="AY531" s="31" t="s">
        <v>3216</v>
      </c>
      <c r="AZ531" s="31" t="s">
        <v>2680</v>
      </c>
      <c r="BA531" s="31"/>
      <c r="BB531" s="31" t="s">
        <v>346</v>
      </c>
      <c r="BC531" s="31" t="s">
        <v>5285</v>
      </c>
      <c r="BD531" s="31" t="s">
        <v>2735</v>
      </c>
      <c r="BE531" s="31"/>
      <c r="BF531" s="31" t="s">
        <v>176</v>
      </c>
      <c r="BG531" s="31" t="s">
        <v>1643</v>
      </c>
      <c r="BH531" s="31" t="s">
        <v>4984</v>
      </c>
      <c r="BI531" s="31" t="s">
        <v>682</v>
      </c>
      <c r="BJ531" s="31" t="s">
        <v>682</v>
      </c>
      <c r="BK531" s="31" t="s">
        <v>213</v>
      </c>
      <c r="BL531" s="31"/>
      <c r="BM531" s="31"/>
      <c r="BN531" s="31" t="s">
        <v>5286</v>
      </c>
      <c r="BO531" s="31" t="s">
        <v>219</v>
      </c>
      <c r="BP531" s="31" t="s">
        <v>179</v>
      </c>
      <c r="BQ531" s="31"/>
      <c r="BR531" s="31"/>
      <c r="BS531" s="31"/>
      <c r="BT531" s="31"/>
      <c r="BU531" s="31"/>
      <c r="BV531" s="31"/>
      <c r="BW531" s="31"/>
      <c r="BX531" s="31"/>
      <c r="BY531" s="31"/>
      <c r="BZ531" s="31" t="s">
        <v>183</v>
      </c>
      <c r="CA531" s="31" t="s">
        <v>709</v>
      </c>
      <c r="CB531" s="31" t="s">
        <v>822</v>
      </c>
      <c r="CC531" s="31"/>
      <c r="CD531" s="31"/>
      <c r="CE531" s="31"/>
      <c r="CF531" s="31"/>
      <c r="CG531" s="31"/>
      <c r="CH531" s="31" t="s">
        <v>5287</v>
      </c>
      <c r="CI531" s="31" t="s">
        <v>1137</v>
      </c>
      <c r="CJ531" s="31"/>
      <c r="CK531" s="31"/>
      <c r="CL531" s="31" t="s">
        <v>5288</v>
      </c>
      <c r="CM531" s="31" t="s">
        <v>1138</v>
      </c>
      <c r="CN531" s="31" t="s">
        <v>5289</v>
      </c>
      <c r="CO531" s="31"/>
      <c r="CP531" s="31" t="s">
        <v>362</v>
      </c>
      <c r="CQ531" s="31" t="s">
        <v>716</v>
      </c>
      <c r="CR531" s="31" t="s">
        <v>361</v>
      </c>
      <c r="CS531" s="31"/>
      <c r="CT531" s="31" t="s">
        <v>5290</v>
      </c>
      <c r="CU531" s="31" t="s">
        <v>5291</v>
      </c>
      <c r="CV531" s="31" t="s">
        <v>5292</v>
      </c>
      <c r="CW531" s="31">
        <v>3</v>
      </c>
      <c r="CX531" s="31" t="s">
        <v>99</v>
      </c>
      <c r="CY531" s="31" t="s">
        <v>110</v>
      </c>
      <c r="CZ531" s="31">
        <v>20</v>
      </c>
      <c r="DA531" s="31">
        <v>30</v>
      </c>
      <c r="DB531" s="31">
        <v>50</v>
      </c>
      <c r="DC531" s="74">
        <v>184.9</v>
      </c>
      <c r="DD531" s="31">
        <v>1.05</v>
      </c>
      <c r="DE531" s="31">
        <v>322</v>
      </c>
      <c r="DF531" s="74">
        <v>980</v>
      </c>
      <c r="DG531" s="9">
        <f t="shared" si="8"/>
        <v>6.0536838550288481</v>
      </c>
      <c r="DH531" s="31"/>
      <c r="DI531" s="74">
        <v>23.28</v>
      </c>
      <c r="DJ531" s="31"/>
      <c r="DK531" s="31"/>
      <c r="DL531" s="48">
        <v>39</v>
      </c>
      <c r="DM531" s="31"/>
      <c r="DN531" s="31"/>
      <c r="DO531" s="31"/>
      <c r="DP531" s="31"/>
      <c r="DQ531" s="31"/>
      <c r="DR531" s="31">
        <v>1</v>
      </c>
      <c r="DS531" s="31"/>
      <c r="DT531" s="31"/>
      <c r="DU531" s="31">
        <v>5</v>
      </c>
      <c r="DV531" s="31"/>
      <c r="DW531" s="31"/>
      <c r="DX531" s="31"/>
      <c r="DY531" s="31"/>
      <c r="DZ531" s="31"/>
      <c r="EA531" s="31"/>
      <c r="EB531" s="31"/>
      <c r="EC531" s="31"/>
      <c r="ED531" s="31"/>
      <c r="EE531" s="31"/>
      <c r="EF531" s="31"/>
      <c r="EG531" s="31"/>
      <c r="EH531" s="31"/>
      <c r="EI531" s="31"/>
      <c r="EJ531" s="31"/>
      <c r="EK531" s="31"/>
      <c r="EL531" s="31"/>
      <c r="EM531" s="31"/>
      <c r="EN531" s="31"/>
      <c r="EO531" s="31"/>
      <c r="EP531" s="31"/>
      <c r="EQ531" s="31"/>
      <c r="ER531" s="31"/>
      <c r="ES531" s="31"/>
      <c r="ET531" s="31"/>
      <c r="EU531" s="31"/>
      <c r="EV531" s="31"/>
      <c r="EW531" s="31"/>
      <c r="EX531" s="31"/>
      <c r="EY531" s="31"/>
      <c r="EZ531" s="31"/>
      <c r="FA531" s="31"/>
    </row>
    <row r="532" spans="1:157" customFormat="1" x14ac:dyDescent="0.2">
      <c r="A532">
        <v>448</v>
      </c>
      <c r="B532" s="26">
        <v>43798</v>
      </c>
      <c r="C532" t="s">
        <v>95</v>
      </c>
      <c r="D532" t="s">
        <v>5293</v>
      </c>
      <c r="E532" t="s">
        <v>5294</v>
      </c>
      <c r="F532" s="26">
        <v>21416</v>
      </c>
      <c r="G532" t="s">
        <v>1892</v>
      </c>
      <c r="H532" t="s">
        <v>1377</v>
      </c>
      <c r="I532" t="s">
        <v>1610</v>
      </c>
      <c r="J532" t="s">
        <v>1307</v>
      </c>
      <c r="K532" t="s">
        <v>5295</v>
      </c>
      <c r="L532">
        <v>5</v>
      </c>
      <c r="M532" t="s">
        <v>263</v>
      </c>
      <c r="N532" t="s">
        <v>263</v>
      </c>
      <c r="O532" t="s">
        <v>285</v>
      </c>
      <c r="P532" t="s">
        <v>263</v>
      </c>
      <c r="Q532" t="s">
        <v>5296</v>
      </c>
      <c r="W532" t="s">
        <v>5297</v>
      </c>
      <c r="AA532" t="s">
        <v>5298</v>
      </c>
      <c r="AB532" t="s">
        <v>5294</v>
      </c>
      <c r="AC532" t="s">
        <v>1752</v>
      </c>
      <c r="AD532" t="s">
        <v>605</v>
      </c>
      <c r="AE532" t="s">
        <v>5299</v>
      </c>
      <c r="AF532" t="s">
        <v>5299</v>
      </c>
      <c r="AG532" t="s">
        <v>263</v>
      </c>
      <c r="AH532" t="s">
        <v>263</v>
      </c>
      <c r="AI532" t="s">
        <v>263</v>
      </c>
      <c r="AJ532" t="s">
        <v>263</v>
      </c>
      <c r="AK532" t="s">
        <v>263</v>
      </c>
      <c r="AL532">
        <v>63</v>
      </c>
      <c r="AM532">
        <v>1.54</v>
      </c>
      <c r="AP532">
        <v>41.5</v>
      </c>
      <c r="AQ532">
        <v>9</v>
      </c>
      <c r="AR532">
        <v>24</v>
      </c>
      <c r="AS532">
        <v>62</v>
      </c>
      <c r="AT532">
        <v>26.6</v>
      </c>
      <c r="AU532">
        <v>111</v>
      </c>
      <c r="AV532">
        <v>65</v>
      </c>
      <c r="AX532" t="s">
        <v>322</v>
      </c>
      <c r="BB532" t="s">
        <v>322</v>
      </c>
      <c r="BF532" t="s">
        <v>322</v>
      </c>
      <c r="BG532" t="s">
        <v>272</v>
      </c>
      <c r="BI532" t="s">
        <v>322</v>
      </c>
      <c r="BN532" t="s">
        <v>322</v>
      </c>
      <c r="BZ532" t="s">
        <v>330</v>
      </c>
      <c r="CA532" t="s">
        <v>332</v>
      </c>
      <c r="CB532" t="s">
        <v>3642</v>
      </c>
      <c r="CH532" t="s">
        <v>1404</v>
      </c>
      <c r="CL532" t="s">
        <v>375</v>
      </c>
      <c r="CP532" t="s">
        <v>322</v>
      </c>
      <c r="CW532" t="s">
        <v>1633</v>
      </c>
      <c r="CX532" t="s">
        <v>5141</v>
      </c>
      <c r="CY532" t="s">
        <v>5141</v>
      </c>
      <c r="DC532">
        <v>78.900000000000006</v>
      </c>
      <c r="DD532">
        <v>0.74</v>
      </c>
      <c r="DE532">
        <v>237</v>
      </c>
      <c r="DF532">
        <v>113</v>
      </c>
      <c r="DG532" s="9">
        <f t="shared" si="8"/>
        <v>4.5477845232820844</v>
      </c>
      <c r="DH532">
        <v>22.6</v>
      </c>
      <c r="DI532">
        <v>4.42</v>
      </c>
      <c r="DL532">
        <v>56.7</v>
      </c>
      <c r="DM532">
        <v>157.69999999999999</v>
      </c>
      <c r="DU532">
        <v>7.6</v>
      </c>
    </row>
    <row r="533" spans="1:157" customFormat="1" x14ac:dyDescent="0.2">
      <c r="A533" s="127" t="s">
        <v>5300</v>
      </c>
      <c r="B533" s="128">
        <v>43802</v>
      </c>
      <c r="C533" s="127" t="s">
        <v>675</v>
      </c>
      <c r="D533" s="127">
        <v>31</v>
      </c>
      <c r="E533" s="127" t="s">
        <v>100</v>
      </c>
      <c r="F533" s="128">
        <v>30326</v>
      </c>
      <c r="G533" s="127" t="s">
        <v>5301</v>
      </c>
      <c r="H533" s="127" t="s">
        <v>1727</v>
      </c>
      <c r="I533" s="127" t="s">
        <v>500</v>
      </c>
      <c r="J533" s="127" t="s">
        <v>500</v>
      </c>
      <c r="K533" s="127" t="s">
        <v>500</v>
      </c>
      <c r="L533" s="127" t="s">
        <v>500</v>
      </c>
      <c r="M533" s="127" t="s">
        <v>99</v>
      </c>
      <c r="N533" s="127" t="s">
        <v>99</v>
      </c>
      <c r="O533" s="127" t="s">
        <v>99</v>
      </c>
      <c r="P533" s="127" t="s">
        <v>99</v>
      </c>
      <c r="Q533" s="127" t="s">
        <v>99</v>
      </c>
      <c r="R533" s="127" t="s">
        <v>99</v>
      </c>
      <c r="S533" s="127" t="s">
        <v>99</v>
      </c>
      <c r="T533" s="127" t="s">
        <v>99</v>
      </c>
      <c r="U533" s="127" t="s">
        <v>5302</v>
      </c>
      <c r="V533" s="127" t="s">
        <v>99</v>
      </c>
      <c r="W533" s="127" t="s">
        <v>99</v>
      </c>
      <c r="X533" s="127" t="s">
        <v>99</v>
      </c>
      <c r="Y533" s="127" t="s">
        <v>99</v>
      </c>
      <c r="Z533" s="127" t="s">
        <v>99</v>
      </c>
      <c r="AA533" s="127" t="s">
        <v>1123</v>
      </c>
      <c r="AB533" s="127" t="s">
        <v>1123</v>
      </c>
      <c r="AC533" s="127" t="s">
        <v>1123</v>
      </c>
      <c r="AD533" s="127" t="s">
        <v>1123</v>
      </c>
      <c r="AE533" s="127" t="s">
        <v>5104</v>
      </c>
      <c r="AF533" s="127" t="s">
        <v>1127</v>
      </c>
      <c r="AG533" s="127" t="s">
        <v>99</v>
      </c>
      <c r="AH533" s="129" t="s">
        <v>1127</v>
      </c>
      <c r="AI533" s="127" t="s">
        <v>99</v>
      </c>
      <c r="AJ533" s="9" t="s">
        <v>99</v>
      </c>
      <c r="AK533" s="9" t="s">
        <v>99</v>
      </c>
      <c r="AL533" s="9">
        <v>88.7</v>
      </c>
      <c r="AM533" s="9">
        <v>170</v>
      </c>
      <c r="AN533" s="9">
        <v>94</v>
      </c>
      <c r="AO533" s="9">
        <v>111</v>
      </c>
      <c r="AP533" s="9">
        <v>40.4</v>
      </c>
      <c r="AQ533" s="9">
        <v>15</v>
      </c>
      <c r="AR533" s="9">
        <v>24</v>
      </c>
      <c r="AS533" s="9">
        <v>71</v>
      </c>
      <c r="AT533" s="9">
        <v>30.7</v>
      </c>
      <c r="AU533" s="9">
        <v>135</v>
      </c>
      <c r="AV533" s="9">
        <v>80</v>
      </c>
      <c r="AW533" s="9" t="s">
        <v>110</v>
      </c>
      <c r="AX533" s="9" t="s">
        <v>2937</v>
      </c>
      <c r="AY533" s="9" t="s">
        <v>592</v>
      </c>
      <c r="AZ533" s="9" t="s">
        <v>5303</v>
      </c>
      <c r="BA533" s="9" t="s">
        <v>110</v>
      </c>
      <c r="BB533" s="9" t="s">
        <v>346</v>
      </c>
      <c r="BC533" s="9" t="s">
        <v>2965</v>
      </c>
      <c r="BD533" s="9" t="s">
        <v>500</v>
      </c>
      <c r="BE533" s="9" t="s">
        <v>110</v>
      </c>
      <c r="BF533" s="9" t="s">
        <v>707</v>
      </c>
      <c r="BG533" s="9" t="s">
        <v>2769</v>
      </c>
      <c r="BH533" s="9" t="s">
        <v>176</v>
      </c>
      <c r="BI533" s="9" t="s">
        <v>213</v>
      </c>
      <c r="BJ533" s="9" t="s">
        <v>1979</v>
      </c>
      <c r="BK533" s="9" t="s">
        <v>1469</v>
      </c>
      <c r="BL533" s="9" t="s">
        <v>110</v>
      </c>
      <c r="BM533" s="9" t="s">
        <v>176</v>
      </c>
      <c r="BN533" s="9" t="s">
        <v>179</v>
      </c>
      <c r="BO533" s="9" t="s">
        <v>352</v>
      </c>
      <c r="BP533" s="9" t="s">
        <v>180</v>
      </c>
      <c r="BQ533" s="9" t="s">
        <v>99</v>
      </c>
      <c r="BR533" s="9" t="s">
        <v>500</v>
      </c>
      <c r="BS533" s="9" t="s">
        <v>500</v>
      </c>
      <c r="BT533" s="9" t="s">
        <v>500</v>
      </c>
      <c r="BU533" s="9" t="s">
        <v>99</v>
      </c>
      <c r="BV533" s="9" t="s">
        <v>500</v>
      </c>
      <c r="BW533" s="9" t="s">
        <v>500</v>
      </c>
      <c r="BX533" s="9" t="s">
        <v>500</v>
      </c>
      <c r="BY533" s="9" t="s">
        <v>351</v>
      </c>
      <c r="BZ533" s="9" t="s">
        <v>182</v>
      </c>
      <c r="CA533" s="9" t="s">
        <v>1137</v>
      </c>
      <c r="CB533" s="9" t="s">
        <v>500</v>
      </c>
      <c r="CC533" s="9" t="s">
        <v>99</v>
      </c>
      <c r="CD533" s="9" t="s">
        <v>500</v>
      </c>
      <c r="CE533" s="9" t="s">
        <v>500</v>
      </c>
      <c r="CF533" s="9" t="s">
        <v>500</v>
      </c>
      <c r="CG533" s="9" t="s">
        <v>99</v>
      </c>
      <c r="CH533" s="9" t="s">
        <v>500</v>
      </c>
      <c r="CI533" s="9" t="s">
        <v>500</v>
      </c>
      <c r="CJ533" s="9" t="s">
        <v>500</v>
      </c>
      <c r="CK533" s="9" t="s">
        <v>176</v>
      </c>
      <c r="CL533" s="9" t="s">
        <v>579</v>
      </c>
      <c r="CM533" s="9" t="s">
        <v>581</v>
      </c>
      <c r="CN533" s="9" t="s">
        <v>500</v>
      </c>
      <c r="CO533" s="9" t="s">
        <v>176</v>
      </c>
      <c r="CP533" s="9" t="s">
        <v>362</v>
      </c>
      <c r="CQ533" s="9" t="s">
        <v>5304</v>
      </c>
      <c r="CR533" s="9" t="s">
        <v>500</v>
      </c>
      <c r="CS533" s="9" t="s">
        <v>350</v>
      </c>
      <c r="CT533" s="9" t="s">
        <v>5305</v>
      </c>
      <c r="CU533" s="9" t="s">
        <v>1729</v>
      </c>
      <c r="CV533" s="9" t="s">
        <v>500</v>
      </c>
      <c r="CW533" s="9">
        <v>2</v>
      </c>
      <c r="CX533" s="9" t="s">
        <v>110</v>
      </c>
      <c r="CY533" s="9" t="s">
        <v>110</v>
      </c>
      <c r="CZ533" s="9" t="s">
        <v>500</v>
      </c>
      <c r="DA533" s="9" t="s">
        <v>500</v>
      </c>
      <c r="DB533" s="9" t="s">
        <v>500</v>
      </c>
      <c r="DC533" s="9"/>
      <c r="DD533" s="9"/>
      <c r="DE533" s="9"/>
      <c r="DF533" s="9"/>
      <c r="DG533" s="9" t="e">
        <f t="shared" si="8"/>
        <v>#NUM!</v>
      </c>
      <c r="DH533" s="9"/>
      <c r="DI533" s="9"/>
      <c r="DJ533" s="9"/>
      <c r="DK533" s="9"/>
      <c r="DL533" s="9"/>
      <c r="DM533" s="9"/>
      <c r="DN533" s="9"/>
      <c r="DO533" s="9"/>
      <c r="DU533">
        <v>4.4000000000000004</v>
      </c>
    </row>
    <row r="534" spans="1:157" x14ac:dyDescent="0.2">
      <c r="A534" s="6">
        <v>450</v>
      </c>
      <c r="B534" s="38">
        <v>42944</v>
      </c>
      <c r="C534" s="9" t="s">
        <v>196</v>
      </c>
      <c r="D534" s="9">
        <v>43</v>
      </c>
      <c r="E534" s="9" t="s">
        <v>100</v>
      </c>
      <c r="F534" s="17">
        <v>27016</v>
      </c>
      <c r="G534" s="9" t="s">
        <v>197</v>
      </c>
      <c r="H534" s="9" t="s">
        <v>3794</v>
      </c>
      <c r="J534" s="9" t="s">
        <v>99</v>
      </c>
      <c r="M534" s="9" t="s">
        <v>99</v>
      </c>
      <c r="N534" s="9" t="s">
        <v>99</v>
      </c>
      <c r="O534" s="9" t="s">
        <v>99</v>
      </c>
      <c r="P534" s="9" t="s">
        <v>99</v>
      </c>
      <c r="Q534" s="9" t="s">
        <v>99</v>
      </c>
      <c r="R534" s="9" t="s">
        <v>110</v>
      </c>
      <c r="V534" s="9" t="s">
        <v>99</v>
      </c>
      <c r="Y534" s="9" t="s">
        <v>99</v>
      </c>
      <c r="AA534" s="9" t="s">
        <v>100</v>
      </c>
      <c r="AB534" s="56" t="s">
        <v>975</v>
      </c>
      <c r="AC534" s="9" t="s">
        <v>3194</v>
      </c>
      <c r="AD534" s="9" t="s">
        <v>3194</v>
      </c>
      <c r="AG534" s="9" t="s">
        <v>5306</v>
      </c>
      <c r="AL534" s="9">
        <v>87.2</v>
      </c>
      <c r="AM534" s="9">
        <v>165</v>
      </c>
      <c r="AN534" s="9">
        <v>112</v>
      </c>
      <c r="AO534" s="9">
        <v>110</v>
      </c>
      <c r="AP534" s="9">
        <v>40.1</v>
      </c>
      <c r="AQ534" s="9">
        <v>9</v>
      </c>
      <c r="AR534" s="9">
        <v>27.2</v>
      </c>
      <c r="AS534" s="9">
        <v>56</v>
      </c>
      <c r="AT534" s="9">
        <v>32</v>
      </c>
      <c r="AU534" s="9">
        <v>103</v>
      </c>
      <c r="AV534" s="9">
        <v>76</v>
      </c>
      <c r="AX534" s="9" t="s">
        <v>5307</v>
      </c>
      <c r="BB534" s="9" t="s">
        <v>5308</v>
      </c>
      <c r="BE534" s="9" t="s">
        <v>350</v>
      </c>
      <c r="BF534" s="9" t="s">
        <v>5309</v>
      </c>
      <c r="BG534" s="9" t="s">
        <v>99</v>
      </c>
      <c r="BH534" s="9" t="s">
        <v>99</v>
      </c>
      <c r="BI534" s="9" t="s">
        <v>5310</v>
      </c>
      <c r="BJ534" s="9" t="s">
        <v>5311</v>
      </c>
      <c r="BK534" s="9" t="s">
        <v>99</v>
      </c>
      <c r="BN534" s="9" t="s">
        <v>180</v>
      </c>
      <c r="BO534" s="14" t="s">
        <v>125</v>
      </c>
      <c r="BP534" s="9" t="s">
        <v>5312</v>
      </c>
      <c r="BR534" s="9" t="s">
        <v>99</v>
      </c>
      <c r="BV534" s="9" t="s">
        <v>99</v>
      </c>
      <c r="BY534" s="9" t="s">
        <v>350</v>
      </c>
      <c r="BZ534" s="9" t="s">
        <v>5313</v>
      </c>
      <c r="CA534" s="9" t="s">
        <v>577</v>
      </c>
      <c r="CB534" s="9" t="s">
        <v>821</v>
      </c>
      <c r="CD534" s="9" t="s">
        <v>99</v>
      </c>
      <c r="CH534" s="9" t="s">
        <v>99</v>
      </c>
      <c r="CK534" s="9" t="s">
        <v>176</v>
      </c>
      <c r="CL534" s="9" t="s">
        <v>5314</v>
      </c>
      <c r="CM534" s="9" t="s">
        <v>2194</v>
      </c>
      <c r="CN534" s="9" t="s">
        <v>2195</v>
      </c>
      <c r="CP534" s="9" t="s">
        <v>350</v>
      </c>
      <c r="CT534" s="9" t="s">
        <v>99</v>
      </c>
      <c r="CW534" s="9">
        <v>4</v>
      </c>
      <c r="CX534" s="9" t="s">
        <v>110</v>
      </c>
      <c r="CY534" s="9" t="s">
        <v>110</v>
      </c>
      <c r="DC534" s="10">
        <v>99.8</v>
      </c>
      <c r="DD534" s="9">
        <v>0.54</v>
      </c>
      <c r="DE534" s="9">
        <v>126</v>
      </c>
      <c r="DF534" s="9">
        <v>50</v>
      </c>
      <c r="DG534" s="9">
        <f t="shared" si="8"/>
        <v>4.2575955943727823</v>
      </c>
      <c r="DH534" s="9">
        <v>10</v>
      </c>
      <c r="DI534" s="9">
        <v>4.22</v>
      </c>
      <c r="DP534" s="11">
        <v>2</v>
      </c>
      <c r="DQ534" s="6" t="s">
        <v>111</v>
      </c>
      <c r="DR534" s="9">
        <v>2</v>
      </c>
    </row>
    <row r="535" spans="1:157" x14ac:dyDescent="0.2">
      <c r="A535" s="6">
        <v>451</v>
      </c>
      <c r="B535" s="38">
        <v>42942</v>
      </c>
      <c r="C535" s="9" t="s">
        <v>196</v>
      </c>
      <c r="D535" s="9">
        <v>59</v>
      </c>
      <c r="E535" s="9" t="s">
        <v>100</v>
      </c>
      <c r="G535" s="9" t="s">
        <v>197</v>
      </c>
      <c r="H535" s="9" t="s">
        <v>5315</v>
      </c>
      <c r="I535" s="9">
        <v>13</v>
      </c>
      <c r="J535" s="9">
        <v>50</v>
      </c>
      <c r="K535" s="9">
        <v>30</v>
      </c>
      <c r="L535" s="9">
        <v>3</v>
      </c>
      <c r="M535" s="9" t="s">
        <v>99</v>
      </c>
      <c r="N535" s="9" t="s">
        <v>99</v>
      </c>
      <c r="O535" s="9" t="s">
        <v>5316</v>
      </c>
      <c r="P535" s="9" t="s">
        <v>99</v>
      </c>
      <c r="Q535" s="9" t="s">
        <v>99</v>
      </c>
      <c r="AA535" s="9" t="s">
        <v>100</v>
      </c>
      <c r="AB535" s="9" t="s">
        <v>100</v>
      </c>
      <c r="AC535" s="9" t="s">
        <v>100</v>
      </c>
      <c r="AD535" s="9" t="s">
        <v>100</v>
      </c>
      <c r="AE535" s="9" t="s">
        <v>99</v>
      </c>
      <c r="AF535" s="9" t="s">
        <v>99</v>
      </c>
      <c r="AG535" s="9" t="s">
        <v>99</v>
      </c>
      <c r="AH535" s="9" t="s">
        <v>99</v>
      </c>
      <c r="AI535" s="9" t="s">
        <v>99</v>
      </c>
      <c r="AJ535" s="9" t="s">
        <v>99</v>
      </c>
      <c r="AK535" s="9" t="s">
        <v>99</v>
      </c>
      <c r="AL535" s="9">
        <v>60</v>
      </c>
      <c r="AM535" s="9">
        <v>150</v>
      </c>
      <c r="AN535" s="9">
        <v>79</v>
      </c>
      <c r="AO535" s="9">
        <v>104</v>
      </c>
      <c r="AP535" s="9">
        <v>40.9</v>
      </c>
      <c r="AQ535" s="9">
        <v>9</v>
      </c>
      <c r="AR535" s="9">
        <v>24.7</v>
      </c>
      <c r="AS535" s="9">
        <v>63</v>
      </c>
      <c r="AT535" s="9">
        <v>27</v>
      </c>
      <c r="AU535" s="9">
        <v>120</v>
      </c>
      <c r="AV535" s="9">
        <v>85</v>
      </c>
      <c r="AX535" s="9" t="s">
        <v>2633</v>
      </c>
      <c r="AY535" s="9" t="s">
        <v>679</v>
      </c>
      <c r="AZ535" s="9" t="s">
        <v>5317</v>
      </c>
      <c r="BB535" s="9" t="s">
        <v>3138</v>
      </c>
      <c r="BC535" s="9" t="s">
        <v>3276</v>
      </c>
      <c r="BD535" s="9" t="s">
        <v>3284</v>
      </c>
      <c r="BF535" s="9" t="s">
        <v>350</v>
      </c>
      <c r="BG535" s="9" t="s">
        <v>655</v>
      </c>
      <c r="BH535" s="9" t="s">
        <v>655</v>
      </c>
      <c r="BI535" s="9" t="s">
        <v>350</v>
      </c>
      <c r="BJ535" s="9" t="s">
        <v>176</v>
      </c>
      <c r="BK535" s="9" t="s">
        <v>1740</v>
      </c>
      <c r="BN535" s="9" t="s">
        <v>3450</v>
      </c>
      <c r="BO535" s="9" t="s">
        <v>1980</v>
      </c>
      <c r="BP535" s="9" t="s">
        <v>5318</v>
      </c>
      <c r="BZ535" s="9" t="s">
        <v>5319</v>
      </c>
      <c r="CA535" s="9" t="s">
        <v>670</v>
      </c>
      <c r="CB535" s="9" t="s">
        <v>2887</v>
      </c>
      <c r="CL535" s="9" t="s">
        <v>5320</v>
      </c>
      <c r="CM535" s="9" t="s">
        <v>685</v>
      </c>
      <c r="CN535" s="9" t="s">
        <v>5321</v>
      </c>
      <c r="CT535" s="9" t="s">
        <v>5322</v>
      </c>
      <c r="CW535" s="9">
        <v>3</v>
      </c>
      <c r="CX535" s="9" t="s">
        <v>110</v>
      </c>
      <c r="CY535" s="9" t="s">
        <v>110</v>
      </c>
      <c r="CZ535" s="9">
        <v>50</v>
      </c>
      <c r="DA535" s="9">
        <v>50</v>
      </c>
      <c r="DB535" s="9">
        <v>50</v>
      </c>
      <c r="DC535" s="9">
        <v>96.4</v>
      </c>
      <c r="DD535" s="9">
        <v>0.76</v>
      </c>
      <c r="DE535" s="10">
        <v>316</v>
      </c>
      <c r="DF535" s="10">
        <v>301</v>
      </c>
      <c r="DG535" s="9">
        <f t="shared" si="8"/>
        <v>5.137808233182688</v>
      </c>
      <c r="DH535" s="9">
        <v>60.2</v>
      </c>
      <c r="DI535" s="9">
        <v>6.19</v>
      </c>
      <c r="DP535" s="18">
        <v>1</v>
      </c>
      <c r="DQ535" s="6" t="s">
        <v>111</v>
      </c>
      <c r="DR535" s="9">
        <v>2</v>
      </c>
      <c r="DT535" s="9">
        <v>15.5</v>
      </c>
      <c r="DU535" s="9">
        <v>10</v>
      </c>
    </row>
    <row r="536" spans="1:157" x14ac:dyDescent="0.2">
      <c r="A536" s="6">
        <v>452</v>
      </c>
      <c r="B536" s="38">
        <v>42943</v>
      </c>
      <c r="C536" s="9" t="s">
        <v>196</v>
      </c>
      <c r="D536" s="9">
        <v>68</v>
      </c>
      <c r="E536" s="35" t="s">
        <v>155</v>
      </c>
      <c r="F536" s="17">
        <v>17671</v>
      </c>
      <c r="G536" s="9" t="s">
        <v>5323</v>
      </c>
      <c r="H536" s="9" t="s">
        <v>3794</v>
      </c>
      <c r="I536" s="9">
        <v>12</v>
      </c>
      <c r="J536" s="9">
        <v>55</v>
      </c>
      <c r="K536" s="9">
        <v>35</v>
      </c>
      <c r="L536" s="9">
        <v>6</v>
      </c>
      <c r="M536" s="9" t="s">
        <v>99</v>
      </c>
      <c r="N536" s="9" t="s">
        <v>99</v>
      </c>
      <c r="O536" s="9" t="s">
        <v>99</v>
      </c>
      <c r="P536" s="9" t="s">
        <v>99</v>
      </c>
      <c r="Q536" s="9" t="s">
        <v>99</v>
      </c>
      <c r="R536" s="9" t="s">
        <v>110</v>
      </c>
      <c r="S536" s="9" t="s">
        <v>110</v>
      </c>
      <c r="T536" s="9" t="s">
        <v>110</v>
      </c>
      <c r="U536" s="9" t="s">
        <v>5324</v>
      </c>
      <c r="W536" s="9" t="s">
        <v>99</v>
      </c>
      <c r="X536" s="9" t="s">
        <v>99</v>
      </c>
      <c r="Y536" s="9" t="s">
        <v>5325</v>
      </c>
      <c r="AA536" s="9" t="s">
        <v>1123</v>
      </c>
      <c r="AB536" s="35" t="s">
        <v>155</v>
      </c>
      <c r="AC536" s="9" t="s">
        <v>1123</v>
      </c>
      <c r="AD536" s="35" t="s">
        <v>155</v>
      </c>
      <c r="AE536" s="9" t="s">
        <v>99</v>
      </c>
      <c r="AF536" s="9" t="s">
        <v>99</v>
      </c>
      <c r="AG536" s="9" t="s">
        <v>99</v>
      </c>
      <c r="AH536" s="9" t="s">
        <v>123</v>
      </c>
      <c r="AI536" s="9" t="s">
        <v>99</v>
      </c>
      <c r="AJ536" s="9" t="s">
        <v>99</v>
      </c>
      <c r="AK536" s="9" t="s">
        <v>99</v>
      </c>
      <c r="AL536" s="9">
        <v>59.5</v>
      </c>
      <c r="AN536" s="9">
        <v>92</v>
      </c>
      <c r="AO536" s="9">
        <v>102</v>
      </c>
      <c r="AP536" s="9">
        <v>37.9</v>
      </c>
      <c r="AQ536" s="9">
        <v>9</v>
      </c>
      <c r="AR536" s="9">
        <v>25.5</v>
      </c>
      <c r="AS536" s="9">
        <v>63</v>
      </c>
      <c r="AT536" s="9">
        <v>25.1</v>
      </c>
      <c r="AU536" s="9">
        <v>123</v>
      </c>
      <c r="AV536" s="9">
        <v>60</v>
      </c>
      <c r="DC536" s="9">
        <v>91.3</v>
      </c>
      <c r="DD536" s="9">
        <v>0.71</v>
      </c>
      <c r="DE536" s="10">
        <v>225</v>
      </c>
      <c r="DF536" s="9">
        <v>93</v>
      </c>
      <c r="DG536" s="9">
        <f t="shared" si="8"/>
        <v>4.5233751403770892</v>
      </c>
      <c r="DH536" s="9">
        <v>18.600000000000001</v>
      </c>
      <c r="DI536" s="9">
        <v>4.4000000000000004</v>
      </c>
      <c r="DP536" s="11">
        <v>2</v>
      </c>
      <c r="DQ536" s="6" t="s">
        <v>105</v>
      </c>
      <c r="DR536" s="9">
        <v>2</v>
      </c>
    </row>
    <row r="537" spans="1:157" x14ac:dyDescent="0.2">
      <c r="A537" s="6">
        <v>453</v>
      </c>
      <c r="B537" s="38"/>
      <c r="E537" s="35"/>
      <c r="F537" s="17"/>
      <c r="AB537" s="35"/>
      <c r="AD537" s="35"/>
      <c r="DC537" s="9">
        <v>71.900000000000006</v>
      </c>
      <c r="DD537" s="9">
        <v>0.57999999999999996</v>
      </c>
      <c r="DE537" s="9">
        <v>145</v>
      </c>
      <c r="DF537" s="9">
        <v>81</v>
      </c>
      <c r="DG537" s="9">
        <f t="shared" si="8"/>
        <v>4.3348627096997197</v>
      </c>
      <c r="DH537" s="9">
        <v>16.2</v>
      </c>
      <c r="DI537" s="9">
        <v>3.33</v>
      </c>
      <c r="DQ537" s="6"/>
      <c r="DR537" s="9">
        <v>2</v>
      </c>
    </row>
    <row r="538" spans="1:157" x14ac:dyDescent="0.2">
      <c r="A538" s="6">
        <v>453</v>
      </c>
      <c r="B538" s="38">
        <v>43005</v>
      </c>
      <c r="C538" s="9" t="s">
        <v>196</v>
      </c>
      <c r="D538" s="9">
        <v>61</v>
      </c>
      <c r="E538" s="9" t="s">
        <v>1123</v>
      </c>
      <c r="G538" s="9" t="s">
        <v>234</v>
      </c>
      <c r="H538" s="9" t="s">
        <v>5326</v>
      </c>
      <c r="I538" s="9">
        <v>12</v>
      </c>
      <c r="J538" s="9">
        <v>50</v>
      </c>
      <c r="K538" s="9">
        <v>28</v>
      </c>
      <c r="L538" s="9">
        <v>2</v>
      </c>
      <c r="M538" s="9" t="s">
        <v>110</v>
      </c>
      <c r="N538" s="9" t="s">
        <v>99</v>
      </c>
      <c r="P538" s="9" t="s">
        <v>99</v>
      </c>
      <c r="Q538" s="9" t="s">
        <v>99</v>
      </c>
      <c r="S538" s="9" t="s">
        <v>99</v>
      </c>
      <c r="T538" s="9" t="s">
        <v>99</v>
      </c>
      <c r="U538" s="9" t="s">
        <v>99</v>
      </c>
      <c r="V538" s="9" t="s">
        <v>99</v>
      </c>
      <c r="AL538" s="9">
        <v>74.900000000000006</v>
      </c>
      <c r="AM538" s="9">
        <v>156</v>
      </c>
      <c r="AN538" s="9">
        <v>97</v>
      </c>
      <c r="AO538" s="9">
        <v>106</v>
      </c>
      <c r="AP538" s="9">
        <v>48.6</v>
      </c>
      <c r="AQ538" s="9">
        <v>12</v>
      </c>
      <c r="AR538" s="9">
        <v>21</v>
      </c>
      <c r="AS538" s="9">
        <v>70</v>
      </c>
      <c r="AT538" s="9">
        <v>30.8</v>
      </c>
      <c r="AU538" s="9">
        <v>110</v>
      </c>
      <c r="AV538" s="9">
        <v>75</v>
      </c>
      <c r="DG538" s="9" t="e">
        <f t="shared" si="8"/>
        <v>#NUM!</v>
      </c>
      <c r="DP538" s="11">
        <v>3</v>
      </c>
      <c r="DQ538" s="6"/>
      <c r="DR538" s="9">
        <v>2</v>
      </c>
      <c r="DT538" s="9">
        <v>15</v>
      </c>
      <c r="DU538" s="9">
        <v>1.27</v>
      </c>
    </row>
    <row r="539" spans="1:157" x14ac:dyDescent="0.2">
      <c r="A539" s="6">
        <v>454</v>
      </c>
      <c r="B539" s="38">
        <v>42944</v>
      </c>
      <c r="C539" s="9" t="s">
        <v>196</v>
      </c>
      <c r="D539" s="9">
        <v>51</v>
      </c>
      <c r="E539" s="9" t="s">
        <v>100</v>
      </c>
      <c r="F539" s="17">
        <v>24233</v>
      </c>
      <c r="G539" s="9" t="s">
        <v>197</v>
      </c>
      <c r="H539" s="9" t="s">
        <v>3794</v>
      </c>
      <c r="J539" s="9">
        <v>10</v>
      </c>
      <c r="K539" s="9">
        <v>1996</v>
      </c>
      <c r="L539" s="9" t="s">
        <v>5327</v>
      </c>
      <c r="M539" s="9" t="s">
        <v>99</v>
      </c>
      <c r="N539" s="9" t="s">
        <v>99</v>
      </c>
      <c r="P539" s="9" t="s">
        <v>99</v>
      </c>
      <c r="Q539" s="9" t="s">
        <v>99</v>
      </c>
      <c r="U539" s="9" t="s">
        <v>99</v>
      </c>
      <c r="V539" s="9" t="s">
        <v>99</v>
      </c>
      <c r="Z539" s="9" t="s">
        <v>5328</v>
      </c>
      <c r="AA539" s="9" t="s">
        <v>100</v>
      </c>
      <c r="AB539" s="9" t="s">
        <v>100</v>
      </c>
      <c r="AC539" s="9" t="s">
        <v>100</v>
      </c>
      <c r="AD539" s="9" t="s">
        <v>100</v>
      </c>
      <c r="AE539" s="9" t="s">
        <v>125</v>
      </c>
      <c r="AF539" s="9" t="s">
        <v>99</v>
      </c>
      <c r="AG539" s="9" t="s">
        <v>99</v>
      </c>
      <c r="AH539" s="9" t="s">
        <v>5329</v>
      </c>
      <c r="AI539" s="9" t="s">
        <v>99</v>
      </c>
      <c r="AJ539" s="9" t="s">
        <v>99</v>
      </c>
      <c r="AK539" s="9" t="s">
        <v>99</v>
      </c>
      <c r="AL539" s="9">
        <v>64.7</v>
      </c>
      <c r="AM539" s="9">
        <v>153</v>
      </c>
      <c r="AN539" s="9">
        <v>95</v>
      </c>
      <c r="AO539" s="9">
        <v>103</v>
      </c>
      <c r="AP539" s="9">
        <v>43.4</v>
      </c>
      <c r="AQ539" s="9">
        <v>9</v>
      </c>
      <c r="AR539" s="9">
        <v>23.3</v>
      </c>
      <c r="AS539" s="9">
        <v>60</v>
      </c>
      <c r="AT539" s="9">
        <v>27.6</v>
      </c>
      <c r="AU539" s="9">
        <v>107</v>
      </c>
      <c r="AV539" s="9">
        <v>77</v>
      </c>
      <c r="AX539" s="9" t="s">
        <v>573</v>
      </c>
      <c r="AY539" s="9" t="s">
        <v>5330</v>
      </c>
      <c r="AZ539" s="9" t="s">
        <v>592</v>
      </c>
      <c r="BB539" s="9" t="s">
        <v>849</v>
      </c>
      <c r="BC539" s="9" t="s">
        <v>749</v>
      </c>
      <c r="BF539" s="9" t="s">
        <v>175</v>
      </c>
      <c r="BG539" s="9" t="s">
        <v>175</v>
      </c>
      <c r="BH539" s="9" t="s">
        <v>99</v>
      </c>
      <c r="BI539" s="9" t="s">
        <v>177</v>
      </c>
      <c r="BJ539" s="9" t="s">
        <v>5331</v>
      </c>
      <c r="BK539" s="9" t="s">
        <v>683</v>
      </c>
      <c r="BN539" s="9" t="s">
        <v>2770</v>
      </c>
      <c r="BO539" s="9" t="s">
        <v>219</v>
      </c>
      <c r="BP539" s="9" t="s">
        <v>179</v>
      </c>
      <c r="BR539" s="9" t="s">
        <v>99</v>
      </c>
      <c r="BV539" s="9" t="s">
        <v>2609</v>
      </c>
      <c r="BZ539" s="9" t="s">
        <v>182</v>
      </c>
      <c r="CA539" s="9" t="s">
        <v>752</v>
      </c>
      <c r="CB539" s="9" t="s">
        <v>577</v>
      </c>
      <c r="CD539" s="9" t="s">
        <v>99</v>
      </c>
      <c r="CH539" s="9" t="s">
        <v>99</v>
      </c>
      <c r="CL539" s="9" t="s">
        <v>579</v>
      </c>
      <c r="CM539" s="9" t="s">
        <v>980</v>
      </c>
      <c r="CN539" s="9" t="s">
        <v>2705</v>
      </c>
      <c r="CP539" s="9" t="s">
        <v>361</v>
      </c>
      <c r="CQ539" s="9" t="s">
        <v>716</v>
      </c>
      <c r="CR539" s="9" t="s">
        <v>5332</v>
      </c>
      <c r="CT539" s="9" t="s">
        <v>985</v>
      </c>
      <c r="CU539" s="9" t="s">
        <v>5333</v>
      </c>
      <c r="CW539" s="9">
        <v>4</v>
      </c>
      <c r="CX539" s="9" t="s">
        <v>110</v>
      </c>
      <c r="CY539" s="9" t="s">
        <v>110</v>
      </c>
      <c r="CZ539" s="9">
        <v>75</v>
      </c>
      <c r="DA539" s="9">
        <v>10</v>
      </c>
      <c r="DB539" s="9">
        <v>15</v>
      </c>
      <c r="DC539" s="9">
        <v>88.3</v>
      </c>
      <c r="DD539" s="9">
        <v>0.61</v>
      </c>
      <c r="DE539" s="10">
        <v>204</v>
      </c>
      <c r="DF539" s="9">
        <v>105</v>
      </c>
      <c r="DG539" s="9">
        <f t="shared" si="8"/>
        <v>4.5673502288837184</v>
      </c>
      <c r="DH539" s="9">
        <v>21</v>
      </c>
      <c r="DI539" s="9">
        <v>5.0199999999999996</v>
      </c>
      <c r="DP539" s="18">
        <v>1</v>
      </c>
      <c r="DQ539" s="6" t="s">
        <v>111</v>
      </c>
      <c r="DR539" s="9">
        <v>2</v>
      </c>
    </row>
    <row r="540" spans="1:157" x14ac:dyDescent="0.2">
      <c r="A540" s="6">
        <v>455</v>
      </c>
      <c r="B540" s="38">
        <v>42944</v>
      </c>
      <c r="C540" s="9" t="s">
        <v>675</v>
      </c>
      <c r="D540" s="9">
        <v>38</v>
      </c>
      <c r="E540" s="9" t="s">
        <v>100</v>
      </c>
      <c r="F540" s="17">
        <v>28719</v>
      </c>
      <c r="G540" s="9" t="s">
        <v>234</v>
      </c>
      <c r="H540" s="9" t="s">
        <v>3794</v>
      </c>
      <c r="M540" s="9" t="s">
        <v>99</v>
      </c>
      <c r="N540" s="9" t="s">
        <v>99</v>
      </c>
      <c r="O540" s="9" t="s">
        <v>99</v>
      </c>
      <c r="P540" s="9" t="s">
        <v>110</v>
      </c>
      <c r="Q540" s="9" t="s">
        <v>110</v>
      </c>
      <c r="R540" s="9" t="s">
        <v>110</v>
      </c>
      <c r="S540" s="9" t="s">
        <v>110</v>
      </c>
      <c r="T540" s="9" t="s">
        <v>110</v>
      </c>
      <c r="U540" s="9" t="s">
        <v>5334</v>
      </c>
      <c r="W540" s="9" t="s">
        <v>99</v>
      </c>
      <c r="X540" s="9" t="s">
        <v>99</v>
      </c>
      <c r="Y540" s="9" t="s">
        <v>5335</v>
      </c>
      <c r="AA540" s="9" t="s">
        <v>840</v>
      </c>
      <c r="AB540" s="9" t="s">
        <v>840</v>
      </c>
      <c r="AC540" s="9" t="s">
        <v>840</v>
      </c>
      <c r="AD540" s="9" t="s">
        <v>840</v>
      </c>
      <c r="AE540" s="9" t="s">
        <v>99</v>
      </c>
      <c r="AF540" s="9" t="s">
        <v>99</v>
      </c>
      <c r="AG540" s="9" t="s">
        <v>2744</v>
      </c>
      <c r="AH540" s="9" t="s">
        <v>99</v>
      </c>
      <c r="AI540" s="9" t="s">
        <v>99</v>
      </c>
      <c r="AJ540" s="9" t="s">
        <v>99</v>
      </c>
      <c r="AK540" s="9" t="s">
        <v>5336</v>
      </c>
      <c r="AL540" s="9">
        <v>87.5</v>
      </c>
      <c r="AN540" s="9">
        <v>101</v>
      </c>
      <c r="AO540" s="9">
        <v>104</v>
      </c>
      <c r="AP540" s="9">
        <v>33.5</v>
      </c>
      <c r="AQ540" s="9">
        <v>14</v>
      </c>
      <c r="AR540" s="9">
        <v>31.3</v>
      </c>
      <c r="AS540" s="9">
        <v>57</v>
      </c>
      <c r="AT540" s="9">
        <v>30.3</v>
      </c>
      <c r="AU540" s="9">
        <v>110</v>
      </c>
      <c r="AV540" s="9">
        <v>73</v>
      </c>
      <c r="AX540" s="9" t="s">
        <v>679</v>
      </c>
      <c r="AY540" s="9" t="s">
        <v>5337</v>
      </c>
      <c r="AZ540" s="9" t="s">
        <v>5338</v>
      </c>
      <c r="BB540" s="9" t="s">
        <v>750</v>
      </c>
      <c r="BC540" s="9" t="s">
        <v>3352</v>
      </c>
      <c r="BD540" s="9" t="s">
        <v>3351</v>
      </c>
      <c r="BF540" s="9" t="s">
        <v>2828</v>
      </c>
      <c r="BG540" s="9" t="s">
        <v>99</v>
      </c>
      <c r="BH540" s="9" t="s">
        <v>683</v>
      </c>
      <c r="BI540" s="9" t="s">
        <v>2606</v>
      </c>
      <c r="BJ540" s="9" t="s">
        <v>175</v>
      </c>
      <c r="BK540" s="9" t="s">
        <v>683</v>
      </c>
      <c r="BN540" s="9" t="s">
        <v>219</v>
      </c>
      <c r="BO540" s="9" t="s">
        <v>178</v>
      </c>
      <c r="BP540" s="9" t="s">
        <v>180</v>
      </c>
      <c r="BR540" s="9" t="s">
        <v>99</v>
      </c>
      <c r="BV540" s="9" t="s">
        <v>99</v>
      </c>
      <c r="BZ540" s="9" t="s">
        <v>183</v>
      </c>
      <c r="CA540" s="9" t="s">
        <v>182</v>
      </c>
      <c r="CB540" s="9" t="s">
        <v>5339</v>
      </c>
      <c r="CD540" s="9" t="s">
        <v>99</v>
      </c>
      <c r="CH540" s="9" t="s">
        <v>5340</v>
      </c>
      <c r="CL540" s="9" t="s">
        <v>1181</v>
      </c>
      <c r="CM540" s="9" t="s">
        <v>1180</v>
      </c>
      <c r="CN540" s="9" t="s">
        <v>980</v>
      </c>
      <c r="CP540" s="9" t="s">
        <v>362</v>
      </c>
      <c r="CT540" s="9" t="s">
        <v>5341</v>
      </c>
      <c r="CU540" s="9" t="s">
        <v>1732</v>
      </c>
      <c r="CV540" s="9" t="s">
        <v>5342</v>
      </c>
      <c r="CW540" s="9">
        <v>2</v>
      </c>
      <c r="CX540" s="9" t="s">
        <v>110</v>
      </c>
      <c r="CY540" s="9" t="s">
        <v>99</v>
      </c>
      <c r="CZ540" s="45" t="s">
        <v>5343</v>
      </c>
      <c r="DA540" s="9">
        <v>30</v>
      </c>
      <c r="DB540" s="9" t="s">
        <v>5344</v>
      </c>
      <c r="DC540" s="9">
        <v>82.5</v>
      </c>
      <c r="DD540" s="9">
        <v>0.9</v>
      </c>
      <c r="DE540" s="10">
        <v>208</v>
      </c>
      <c r="DF540" s="9">
        <v>96</v>
      </c>
      <c r="DG540" s="9">
        <f t="shared" si="8"/>
        <v>4.4885732424042359</v>
      </c>
      <c r="DH540" s="9">
        <v>19.2</v>
      </c>
      <c r="DI540" s="9">
        <v>6.98</v>
      </c>
      <c r="DP540" s="11">
        <v>2</v>
      </c>
      <c r="DQ540" s="6" t="s">
        <v>111</v>
      </c>
      <c r="DR540" s="9">
        <v>2</v>
      </c>
    </row>
    <row r="541" spans="1:157" x14ac:dyDescent="0.2">
      <c r="A541" s="16">
        <v>456</v>
      </c>
      <c r="B541" s="38">
        <v>42942</v>
      </c>
      <c r="C541" s="9" t="s">
        <v>196</v>
      </c>
      <c r="D541" s="9">
        <v>66</v>
      </c>
      <c r="E541" s="9" t="s">
        <v>1123</v>
      </c>
      <c r="F541" s="17">
        <v>18611</v>
      </c>
      <c r="G541" s="9" t="s">
        <v>197</v>
      </c>
      <c r="H541" s="9" t="s">
        <v>3794</v>
      </c>
      <c r="I541" s="9">
        <v>11</v>
      </c>
      <c r="J541" s="9">
        <v>40</v>
      </c>
      <c r="K541" s="9">
        <v>36</v>
      </c>
      <c r="L541" s="9">
        <v>4</v>
      </c>
      <c r="M541" s="9" t="s">
        <v>5345</v>
      </c>
      <c r="N541" s="9" t="s">
        <v>99</v>
      </c>
      <c r="O541" s="9" t="s">
        <v>5346</v>
      </c>
      <c r="P541" s="9" t="s">
        <v>5347</v>
      </c>
      <c r="Q541" s="9" t="s">
        <v>110</v>
      </c>
      <c r="R541" s="9" t="s">
        <v>110</v>
      </c>
      <c r="S541" s="9" t="s">
        <v>99</v>
      </c>
      <c r="T541" s="9" t="s">
        <v>110</v>
      </c>
      <c r="U541" s="9" t="s">
        <v>5348</v>
      </c>
      <c r="V541" s="9" t="s">
        <v>3194</v>
      </c>
      <c r="W541" s="14" t="s">
        <v>5349</v>
      </c>
      <c r="X541" s="9" t="s">
        <v>99</v>
      </c>
      <c r="Y541" s="9" t="s">
        <v>5350</v>
      </c>
      <c r="Z541" s="9" t="s">
        <v>1903</v>
      </c>
      <c r="AA541" s="9" t="s">
        <v>1123</v>
      </c>
      <c r="AB541" s="9" t="s">
        <v>1123</v>
      </c>
      <c r="AC541" s="9" t="s">
        <v>1123</v>
      </c>
      <c r="AD541" s="9" t="s">
        <v>1123</v>
      </c>
      <c r="AE541" s="9" t="s">
        <v>5351</v>
      </c>
      <c r="AF541" s="9" t="s">
        <v>5352</v>
      </c>
      <c r="AG541" s="9" t="s">
        <v>5353</v>
      </c>
      <c r="AH541" s="9" t="s">
        <v>570</v>
      </c>
      <c r="AI541" s="9" t="s">
        <v>5354</v>
      </c>
      <c r="AL541" s="9">
        <v>73.8</v>
      </c>
      <c r="AM541" s="9">
        <v>156</v>
      </c>
      <c r="AN541" s="9">
        <v>106</v>
      </c>
      <c r="AO541" s="9">
        <v>100</v>
      </c>
      <c r="AP541" s="9">
        <v>47.3</v>
      </c>
      <c r="AQ541" s="9">
        <v>12</v>
      </c>
      <c r="AR541" s="9">
        <v>21.4</v>
      </c>
      <c r="AS541" s="9">
        <v>72</v>
      </c>
      <c r="AT541" s="9">
        <v>30</v>
      </c>
      <c r="DC541" s="10">
        <v>119.3</v>
      </c>
      <c r="DD541" s="9">
        <v>0.77</v>
      </c>
      <c r="DE541" s="10">
        <v>243</v>
      </c>
      <c r="DF541" s="10">
        <v>203</v>
      </c>
      <c r="DG541" s="9">
        <f t="shared" si="8"/>
        <v>5.047423654072829</v>
      </c>
      <c r="DH541" s="9">
        <v>40.6</v>
      </c>
      <c r="DI541" s="10">
        <v>7.79</v>
      </c>
      <c r="DP541" s="11">
        <v>2</v>
      </c>
      <c r="DQ541" s="6" t="s">
        <v>111</v>
      </c>
      <c r="DR541" s="9">
        <v>2</v>
      </c>
    </row>
    <row r="542" spans="1:157" x14ac:dyDescent="0.2">
      <c r="A542" s="79">
        <v>457</v>
      </c>
      <c r="B542" s="38">
        <v>42944</v>
      </c>
      <c r="C542" s="9" t="s">
        <v>196</v>
      </c>
      <c r="D542" s="9">
        <v>36</v>
      </c>
      <c r="E542" s="9" t="s">
        <v>100</v>
      </c>
      <c r="F542" s="17">
        <v>29694</v>
      </c>
      <c r="G542" s="9" t="s">
        <v>197</v>
      </c>
      <c r="H542" s="9" t="s">
        <v>5355</v>
      </c>
      <c r="I542" s="9">
        <v>12</v>
      </c>
      <c r="J542" s="9" t="s">
        <v>99</v>
      </c>
      <c r="K542" s="9">
        <v>31</v>
      </c>
      <c r="L542" s="9">
        <v>4</v>
      </c>
      <c r="M542" s="9" t="s">
        <v>99</v>
      </c>
      <c r="N542" s="9" t="s">
        <v>99</v>
      </c>
      <c r="O542" s="9" t="s">
        <v>99</v>
      </c>
      <c r="P542" s="9" t="s">
        <v>99</v>
      </c>
      <c r="Q542" s="9" t="s">
        <v>99</v>
      </c>
      <c r="R542" s="9" t="s">
        <v>99</v>
      </c>
      <c r="S542" s="9" t="s">
        <v>110</v>
      </c>
      <c r="T542" s="9" t="s">
        <v>110</v>
      </c>
      <c r="U542" s="9" t="s">
        <v>99</v>
      </c>
      <c r="V542" s="9" t="s">
        <v>99</v>
      </c>
      <c r="W542" s="9" t="s">
        <v>5356</v>
      </c>
      <c r="X542" s="9" t="s">
        <v>99</v>
      </c>
      <c r="AA542" s="9" t="s">
        <v>100</v>
      </c>
      <c r="AB542" s="9" t="s">
        <v>3194</v>
      </c>
      <c r="AC542" s="9" t="s">
        <v>3194</v>
      </c>
      <c r="AD542" s="9" t="s">
        <v>3194</v>
      </c>
      <c r="AE542" s="9" t="s">
        <v>5357</v>
      </c>
      <c r="AF542" s="9" t="s">
        <v>118</v>
      </c>
      <c r="AG542" s="9" t="s">
        <v>99</v>
      </c>
      <c r="AH542" s="9" t="s">
        <v>99</v>
      </c>
      <c r="AI542" s="9" t="s">
        <v>99</v>
      </c>
      <c r="AJ542" s="9" t="s">
        <v>99</v>
      </c>
      <c r="AK542" s="9" t="s">
        <v>99</v>
      </c>
      <c r="AL542" s="9">
        <v>52.5</v>
      </c>
      <c r="AM542" s="9">
        <v>160</v>
      </c>
      <c r="AN542" s="7">
        <v>79</v>
      </c>
      <c r="AO542" s="9">
        <v>94</v>
      </c>
      <c r="AP542" s="9">
        <v>23.8</v>
      </c>
      <c r="AQ542" s="9">
        <v>4</v>
      </c>
      <c r="AR542" s="9">
        <v>32.6</v>
      </c>
      <c r="AS542" s="9">
        <v>28</v>
      </c>
      <c r="AT542" s="7">
        <v>20.5</v>
      </c>
      <c r="AU542" s="9">
        <v>100</v>
      </c>
      <c r="AV542" s="9">
        <v>70</v>
      </c>
      <c r="AW542" s="9" t="s">
        <v>176</v>
      </c>
      <c r="AX542" s="9" t="s">
        <v>729</v>
      </c>
      <c r="AY542" s="9" t="s">
        <v>2566</v>
      </c>
      <c r="AZ542" s="9" t="s">
        <v>187</v>
      </c>
      <c r="BA542" s="9" t="s">
        <v>176</v>
      </c>
      <c r="BF542" s="9" t="s">
        <v>2407</v>
      </c>
      <c r="BG542" s="9" t="s">
        <v>2407</v>
      </c>
      <c r="BH542" s="9" t="s">
        <v>2407</v>
      </c>
      <c r="BI542" s="9" t="s">
        <v>2654</v>
      </c>
      <c r="BJ542" s="9" t="s">
        <v>176</v>
      </c>
      <c r="BK542" s="9" t="s">
        <v>5358</v>
      </c>
      <c r="BM542" s="9" t="s">
        <v>350</v>
      </c>
      <c r="BN542" s="9" t="s">
        <v>178</v>
      </c>
      <c r="BO542" s="9" t="s">
        <v>180</v>
      </c>
      <c r="BP542" s="9" t="s">
        <v>219</v>
      </c>
      <c r="BR542" s="9" t="s">
        <v>99</v>
      </c>
      <c r="BV542" s="9" t="s">
        <v>99</v>
      </c>
      <c r="BY542" s="9" t="s">
        <v>176</v>
      </c>
      <c r="BZ542" s="9" t="s">
        <v>182</v>
      </c>
      <c r="CA542" s="9" t="s">
        <v>2484</v>
      </c>
      <c r="CB542" s="9" t="s">
        <v>3382</v>
      </c>
      <c r="CD542" s="9" t="s">
        <v>99</v>
      </c>
      <c r="CH542" s="9" t="s">
        <v>99</v>
      </c>
      <c r="CL542" s="9" t="s">
        <v>5359</v>
      </c>
      <c r="CM542" s="9" t="s">
        <v>5360</v>
      </c>
      <c r="CO542" s="9" t="s">
        <v>176</v>
      </c>
      <c r="CP542" s="9" t="s">
        <v>361</v>
      </c>
      <c r="CQ542" s="9" t="s">
        <v>362</v>
      </c>
      <c r="CR542" s="9" t="s">
        <v>716</v>
      </c>
      <c r="CT542" s="9" t="s">
        <v>99</v>
      </c>
      <c r="CW542" s="9">
        <v>2</v>
      </c>
      <c r="CX542" s="9" t="s">
        <v>99</v>
      </c>
      <c r="CY542" s="9" t="s">
        <v>99</v>
      </c>
      <c r="DC542" s="9">
        <v>95.7</v>
      </c>
      <c r="DD542" s="9">
        <v>0.71</v>
      </c>
      <c r="DE542" s="9">
        <v>132</v>
      </c>
      <c r="DF542" s="9" t="s">
        <v>5361</v>
      </c>
      <c r="DG542" s="9" t="e">
        <f t="shared" si="8"/>
        <v>#VALUE!</v>
      </c>
      <c r="DH542" s="9">
        <v>12</v>
      </c>
      <c r="DI542" s="9">
        <v>3.15</v>
      </c>
      <c r="DP542" s="11">
        <v>3</v>
      </c>
      <c r="DQ542" s="6" t="s">
        <v>111</v>
      </c>
      <c r="DR542" s="9">
        <v>3</v>
      </c>
      <c r="DU542" s="9">
        <v>7</v>
      </c>
    </row>
    <row r="543" spans="1:157" x14ac:dyDescent="0.2">
      <c r="A543" s="6">
        <v>458</v>
      </c>
      <c r="B543" s="38">
        <v>42942</v>
      </c>
      <c r="C543" s="9" t="s">
        <v>196</v>
      </c>
      <c r="D543" s="9">
        <v>46</v>
      </c>
      <c r="E543" s="9" t="s">
        <v>100</v>
      </c>
      <c r="F543" s="17">
        <v>25888</v>
      </c>
      <c r="G543" s="9" t="s">
        <v>234</v>
      </c>
      <c r="H543" s="9" t="s">
        <v>3794</v>
      </c>
      <c r="I543" s="9">
        <v>15</v>
      </c>
      <c r="K543" s="9">
        <v>2007</v>
      </c>
      <c r="L543" s="9">
        <v>1</v>
      </c>
      <c r="M543" s="9" t="s">
        <v>99</v>
      </c>
      <c r="N543" s="9" t="s">
        <v>99</v>
      </c>
      <c r="O543" s="9" t="s">
        <v>99</v>
      </c>
      <c r="P543" s="9" t="s">
        <v>99</v>
      </c>
      <c r="Q543" s="9" t="s">
        <v>110</v>
      </c>
      <c r="R543" s="9" t="s">
        <v>99</v>
      </c>
      <c r="S543" s="9" t="s">
        <v>110</v>
      </c>
      <c r="T543" s="9" t="s">
        <v>99</v>
      </c>
      <c r="V543" s="9" t="s">
        <v>5362</v>
      </c>
      <c r="W543" s="9" t="s">
        <v>99</v>
      </c>
      <c r="X543" s="9" t="s">
        <v>99</v>
      </c>
      <c r="AA543" s="9" t="s">
        <v>100</v>
      </c>
      <c r="AB543" s="9" t="s">
        <v>2234</v>
      </c>
      <c r="AC543" s="9" t="s">
        <v>5363</v>
      </c>
      <c r="AD543" s="9" t="s">
        <v>5363</v>
      </c>
      <c r="AE543" s="9" t="s">
        <v>118</v>
      </c>
      <c r="AF543" s="9" t="s">
        <v>118</v>
      </c>
      <c r="AG543" s="9" t="s">
        <v>125</v>
      </c>
      <c r="AH543" s="9" t="s">
        <v>99</v>
      </c>
      <c r="AI543" s="9" t="s">
        <v>99</v>
      </c>
      <c r="AJ543" s="9" t="s">
        <v>99</v>
      </c>
      <c r="AK543" s="9" t="s">
        <v>99</v>
      </c>
      <c r="AL543" s="9">
        <v>64.3</v>
      </c>
      <c r="AM543" s="9">
        <v>167</v>
      </c>
      <c r="AN543" s="9">
        <v>82</v>
      </c>
      <c r="AO543" s="9">
        <v>102</v>
      </c>
      <c r="AP543" s="9">
        <v>34</v>
      </c>
      <c r="AQ543" s="9">
        <v>6</v>
      </c>
      <c r="AR543" s="9">
        <v>28</v>
      </c>
      <c r="AS543" s="9">
        <v>43</v>
      </c>
      <c r="AT543" s="9">
        <v>23.6</v>
      </c>
      <c r="AU543" s="9">
        <v>115</v>
      </c>
      <c r="AV543" s="9">
        <v>79</v>
      </c>
      <c r="AW543" s="9" t="s">
        <v>350</v>
      </c>
      <c r="AX543" s="9" t="s">
        <v>1128</v>
      </c>
      <c r="AY543" s="9" t="s">
        <v>1800</v>
      </c>
      <c r="AZ543" s="9" t="s">
        <v>5364</v>
      </c>
      <c r="BB543" s="9" t="s">
        <v>346</v>
      </c>
      <c r="BF543" s="9" t="s">
        <v>5365</v>
      </c>
      <c r="BG543" s="9" t="s">
        <v>683</v>
      </c>
      <c r="BH543" s="9" t="s">
        <v>99</v>
      </c>
      <c r="BI543" s="9" t="s">
        <v>172</v>
      </c>
      <c r="BJ543" s="9" t="s">
        <v>99</v>
      </c>
      <c r="BK543" s="9" t="s">
        <v>5366</v>
      </c>
      <c r="BM543" s="9" t="s">
        <v>176</v>
      </c>
      <c r="BN543" s="9" t="s">
        <v>3292</v>
      </c>
      <c r="BO543" s="9" t="s">
        <v>2557</v>
      </c>
      <c r="BP543" s="9" t="s">
        <v>5367</v>
      </c>
      <c r="BR543" s="9" t="s">
        <v>99</v>
      </c>
      <c r="BV543" s="9" t="s">
        <v>5368</v>
      </c>
      <c r="BY543" s="9" t="s">
        <v>176</v>
      </c>
      <c r="BZ543" s="9" t="s">
        <v>2640</v>
      </c>
      <c r="CA543" s="9" t="s">
        <v>5369</v>
      </c>
      <c r="CB543" s="9" t="s">
        <v>5370</v>
      </c>
      <c r="CD543" s="9" t="s">
        <v>99</v>
      </c>
      <c r="CH543" s="9" t="s">
        <v>99</v>
      </c>
      <c r="CL543" s="9" t="s">
        <v>5371</v>
      </c>
      <c r="CN543" s="9" t="s">
        <v>823</v>
      </c>
      <c r="CP543" s="9" t="s">
        <v>5372</v>
      </c>
      <c r="CQ543" s="9" t="s">
        <v>5373</v>
      </c>
      <c r="CR543" s="9" t="s">
        <v>5374</v>
      </c>
      <c r="CT543" s="9" t="s">
        <v>5375</v>
      </c>
      <c r="CU543" s="9" t="s">
        <v>3858</v>
      </c>
      <c r="CV543" s="9" t="s">
        <v>5376</v>
      </c>
      <c r="CW543" s="9">
        <v>5</v>
      </c>
      <c r="CX543" s="9" t="s">
        <v>110</v>
      </c>
      <c r="CY543" s="9" t="s">
        <v>110</v>
      </c>
      <c r="CZ543" s="9">
        <v>30</v>
      </c>
      <c r="DA543" s="9">
        <v>30</v>
      </c>
      <c r="DB543" s="9">
        <v>30</v>
      </c>
      <c r="DC543" s="130">
        <v>99.4</v>
      </c>
      <c r="DD543" s="130">
        <v>0.64</v>
      </c>
      <c r="DE543" s="130">
        <v>208</v>
      </c>
      <c r="DF543" s="130" t="s">
        <v>5377</v>
      </c>
      <c r="DG543" s="9" t="e">
        <f t="shared" si="8"/>
        <v>#VALUE!</v>
      </c>
      <c r="DH543" s="130">
        <v>26.6</v>
      </c>
      <c r="DI543" s="130">
        <v>3.79</v>
      </c>
      <c r="DJ543" s="130"/>
      <c r="DK543" s="130"/>
      <c r="DL543" s="130"/>
      <c r="DM543" s="130"/>
      <c r="DN543" s="130"/>
      <c r="DO543" s="130"/>
      <c r="DP543" s="131">
        <v>3</v>
      </c>
      <c r="DQ543" s="6" t="s">
        <v>105</v>
      </c>
      <c r="DR543" s="130"/>
      <c r="DT543" s="9">
        <v>13.7</v>
      </c>
    </row>
    <row r="544" spans="1:157" x14ac:dyDescent="0.2">
      <c r="A544" s="9">
        <v>458</v>
      </c>
      <c r="B544" s="38">
        <v>42942</v>
      </c>
      <c r="C544" s="9" t="s">
        <v>196</v>
      </c>
      <c r="D544" s="9">
        <v>27</v>
      </c>
      <c r="E544" s="9" t="s">
        <v>100</v>
      </c>
      <c r="F544" s="17">
        <v>32745</v>
      </c>
      <c r="G544" s="9" t="s">
        <v>234</v>
      </c>
      <c r="H544" s="9" t="s">
        <v>3794</v>
      </c>
      <c r="I544" s="9">
        <v>10</v>
      </c>
      <c r="K544" s="9">
        <v>23</v>
      </c>
      <c r="L544" s="9">
        <v>2</v>
      </c>
      <c r="M544" s="9" t="s">
        <v>99</v>
      </c>
      <c r="N544" s="9" t="s">
        <v>99</v>
      </c>
      <c r="O544" s="9" t="s">
        <v>99</v>
      </c>
      <c r="P544" s="9" t="s">
        <v>99</v>
      </c>
      <c r="Q544" s="9" t="s">
        <v>110</v>
      </c>
      <c r="R544" s="9" t="s">
        <v>110</v>
      </c>
      <c r="S544" s="9" t="s">
        <v>99</v>
      </c>
      <c r="T544" s="9" t="s">
        <v>99</v>
      </c>
      <c r="U544" s="9" t="s">
        <v>99</v>
      </c>
      <c r="AA544" s="9" t="s">
        <v>100</v>
      </c>
      <c r="AB544" s="52" t="s">
        <v>1654</v>
      </c>
      <c r="AC544" s="9" t="s">
        <v>100</v>
      </c>
      <c r="AD544" s="132" t="s">
        <v>1654</v>
      </c>
      <c r="AE544" s="9" t="s">
        <v>3408</v>
      </c>
      <c r="AF544" s="9" t="s">
        <v>5378</v>
      </c>
      <c r="AG544" s="9" t="s">
        <v>3408</v>
      </c>
      <c r="AH544" s="9" t="s">
        <v>5378</v>
      </c>
      <c r="AI544" s="9" t="s">
        <v>99</v>
      </c>
      <c r="AJ544" s="9" t="s">
        <v>99</v>
      </c>
      <c r="AL544" s="9">
        <v>78.400000000000006</v>
      </c>
      <c r="AM544" s="9">
        <v>157</v>
      </c>
      <c r="AN544" s="9">
        <v>99</v>
      </c>
      <c r="AO544" s="9">
        <v>106</v>
      </c>
      <c r="AP544" s="9">
        <v>48.7</v>
      </c>
      <c r="AQ544" s="9">
        <v>7</v>
      </c>
      <c r="AR544" s="9">
        <v>22</v>
      </c>
      <c r="AS544" s="9">
        <v>54</v>
      </c>
      <c r="AT544" s="9">
        <v>31.8</v>
      </c>
      <c r="DC544" s="130">
        <v>99.4</v>
      </c>
      <c r="DD544" s="130">
        <v>0.64</v>
      </c>
      <c r="DE544" s="130">
        <v>208</v>
      </c>
      <c r="DF544" s="130" t="s">
        <v>5377</v>
      </c>
      <c r="DG544" s="9" t="e">
        <f t="shared" si="8"/>
        <v>#VALUE!</v>
      </c>
      <c r="DH544" s="130">
        <v>26.6</v>
      </c>
      <c r="DI544" s="130">
        <v>3.79</v>
      </c>
      <c r="DJ544" s="130"/>
      <c r="DK544" s="130"/>
      <c r="DL544" s="130"/>
      <c r="DM544" s="130"/>
      <c r="DN544" s="130"/>
      <c r="DO544" s="130"/>
      <c r="DP544" s="131"/>
      <c r="DQ544" s="6"/>
      <c r="DR544" s="130"/>
    </row>
    <row r="545" spans="1:127" x14ac:dyDescent="0.2">
      <c r="A545" s="6">
        <v>459</v>
      </c>
      <c r="B545" s="38">
        <v>42943</v>
      </c>
      <c r="C545" s="9" t="s">
        <v>196</v>
      </c>
      <c r="D545" s="9">
        <v>47</v>
      </c>
      <c r="E545" s="9" t="s">
        <v>100</v>
      </c>
      <c r="F545" s="45">
        <v>25733</v>
      </c>
      <c r="G545" s="9" t="s">
        <v>197</v>
      </c>
      <c r="H545" s="9" t="s">
        <v>3794</v>
      </c>
      <c r="I545" s="9">
        <v>13</v>
      </c>
      <c r="J545" s="9">
        <v>35</v>
      </c>
      <c r="K545" s="9">
        <v>2005</v>
      </c>
      <c r="L545" s="9">
        <v>4</v>
      </c>
      <c r="M545" s="9" t="s">
        <v>99</v>
      </c>
      <c r="N545" s="9" t="s">
        <v>5379</v>
      </c>
      <c r="O545" s="9" t="s">
        <v>5380</v>
      </c>
      <c r="P545" s="9" t="s">
        <v>99</v>
      </c>
      <c r="Q545" s="9" t="s">
        <v>99</v>
      </c>
      <c r="R545" s="9" t="s">
        <v>110</v>
      </c>
      <c r="S545" s="9" t="s">
        <v>110</v>
      </c>
      <c r="T545" s="9" t="s">
        <v>110</v>
      </c>
      <c r="U545" s="9" t="s">
        <v>5381</v>
      </c>
      <c r="V545" s="9">
        <v>2005</v>
      </c>
      <c r="W545" s="9" t="s">
        <v>99</v>
      </c>
      <c r="X545" s="9" t="s">
        <v>99</v>
      </c>
      <c r="Y545" s="9" t="s">
        <v>5382</v>
      </c>
      <c r="Z545" s="9" t="s">
        <v>1903</v>
      </c>
      <c r="AA545" s="9" t="s">
        <v>100</v>
      </c>
      <c r="AB545" s="9" t="s">
        <v>100</v>
      </c>
      <c r="AC545" s="9" t="s">
        <v>100</v>
      </c>
      <c r="AD545" s="9" t="s">
        <v>100</v>
      </c>
      <c r="AE545" s="9" t="s">
        <v>5383</v>
      </c>
      <c r="AF545" s="9" t="s">
        <v>123</v>
      </c>
      <c r="AG545" s="9" t="s">
        <v>99</v>
      </c>
      <c r="AH545" s="9" t="s">
        <v>99</v>
      </c>
      <c r="AI545" s="9" t="s">
        <v>118</v>
      </c>
      <c r="AJ545" s="9" t="s">
        <v>99</v>
      </c>
      <c r="AK545" s="9" t="s">
        <v>5384</v>
      </c>
      <c r="AL545" s="9">
        <v>67</v>
      </c>
      <c r="AM545" s="9">
        <v>151</v>
      </c>
      <c r="AN545" s="9">
        <v>83</v>
      </c>
      <c r="AO545" s="9">
        <v>108</v>
      </c>
      <c r="AP545" s="9">
        <v>45.5</v>
      </c>
      <c r="AQ545" s="9">
        <v>9</v>
      </c>
      <c r="AR545" s="9">
        <v>22.8</v>
      </c>
      <c r="AS545" s="9">
        <v>62</v>
      </c>
      <c r="AT545" s="9">
        <v>29.4</v>
      </c>
      <c r="AU545" s="9">
        <v>115</v>
      </c>
      <c r="AV545" s="9">
        <v>81</v>
      </c>
      <c r="AX545" s="9" t="s">
        <v>5385</v>
      </c>
      <c r="AY545" s="9" t="s">
        <v>679</v>
      </c>
      <c r="AZ545" s="9" t="s">
        <v>1097</v>
      </c>
      <c r="BB545" s="9" t="s">
        <v>3814</v>
      </c>
      <c r="BC545" s="9" t="s">
        <v>5386</v>
      </c>
      <c r="BD545" s="9" t="s">
        <v>3342</v>
      </c>
      <c r="BF545" s="9" t="s">
        <v>176</v>
      </c>
      <c r="BG545" s="9" t="s">
        <v>177</v>
      </c>
      <c r="BH545" s="9" t="s">
        <v>683</v>
      </c>
      <c r="BI545" s="9" t="s">
        <v>683</v>
      </c>
      <c r="BJ545" s="9" t="s">
        <v>1173</v>
      </c>
      <c r="BK545" s="9" t="s">
        <v>177</v>
      </c>
      <c r="BN545" s="9" t="s">
        <v>5387</v>
      </c>
      <c r="BO545" s="14" t="s">
        <v>1136</v>
      </c>
      <c r="BP545" s="9" t="s">
        <v>3833</v>
      </c>
      <c r="BZ545" s="9" t="s">
        <v>2640</v>
      </c>
      <c r="CA545" s="9" t="s">
        <v>5388</v>
      </c>
      <c r="CB545" s="9" t="s">
        <v>5389</v>
      </c>
      <c r="CH545" s="9" t="s">
        <v>2575</v>
      </c>
      <c r="CL545" s="9" t="s">
        <v>5390</v>
      </c>
      <c r="CM545" s="9" t="s">
        <v>5391</v>
      </c>
      <c r="CN545" s="9" t="s">
        <v>3866</v>
      </c>
      <c r="CP545" s="9" t="s">
        <v>890</v>
      </c>
      <c r="CQ545" s="9" t="s">
        <v>5392</v>
      </c>
      <c r="CT545" s="9" t="s">
        <v>5393</v>
      </c>
      <c r="CW545" s="9">
        <v>5</v>
      </c>
      <c r="CX545" s="9" t="s">
        <v>110</v>
      </c>
      <c r="CY545" s="9" t="s">
        <v>5394</v>
      </c>
      <c r="DA545" s="9">
        <v>50</v>
      </c>
      <c r="DB545" s="9">
        <v>50</v>
      </c>
      <c r="DC545" s="9">
        <v>94.6</v>
      </c>
      <c r="DD545" s="9">
        <v>0.46</v>
      </c>
      <c r="DE545" s="9">
        <v>186</v>
      </c>
      <c r="DF545" s="9" t="s">
        <v>5395</v>
      </c>
      <c r="DG545" s="9" t="e">
        <f t="shared" si="8"/>
        <v>#VALUE!</v>
      </c>
      <c r="DH545" s="9">
        <v>12.8</v>
      </c>
      <c r="DI545" s="9">
        <v>5.75</v>
      </c>
      <c r="DP545" s="11">
        <v>3</v>
      </c>
      <c r="DQ545" s="9" t="s">
        <v>105</v>
      </c>
      <c r="DR545" s="9">
        <v>2</v>
      </c>
    </row>
    <row r="546" spans="1:127" x14ac:dyDescent="0.2">
      <c r="A546" s="6">
        <v>460</v>
      </c>
      <c r="DG546" s="9" t="e">
        <f t="shared" si="8"/>
        <v>#NUM!</v>
      </c>
    </row>
    <row r="547" spans="1:127" x14ac:dyDescent="0.2">
      <c r="A547" s="6">
        <v>461</v>
      </c>
      <c r="DG547" s="9" t="e">
        <f t="shared" si="8"/>
        <v>#NUM!</v>
      </c>
    </row>
    <row r="548" spans="1:127" x14ac:dyDescent="0.2">
      <c r="A548" s="6">
        <v>462</v>
      </c>
      <c r="DG548" s="9" t="e">
        <f t="shared" si="8"/>
        <v>#NUM!</v>
      </c>
    </row>
    <row r="549" spans="1:127" x14ac:dyDescent="0.2">
      <c r="A549" s="6">
        <v>463</v>
      </c>
      <c r="DG549" s="9" t="e">
        <f t="shared" si="8"/>
        <v>#NUM!</v>
      </c>
    </row>
    <row r="550" spans="1:127" x14ac:dyDescent="0.2">
      <c r="A550" s="6">
        <v>464</v>
      </c>
      <c r="DG550" s="9" t="e">
        <f t="shared" si="8"/>
        <v>#NUM!</v>
      </c>
    </row>
    <row r="551" spans="1:127" x14ac:dyDescent="0.2">
      <c r="A551" s="6">
        <v>465</v>
      </c>
      <c r="DG551" s="9" t="e">
        <f t="shared" si="8"/>
        <v>#NUM!</v>
      </c>
    </row>
    <row r="552" spans="1:127" x14ac:dyDescent="0.2">
      <c r="A552" s="6">
        <v>466</v>
      </c>
      <c r="DG552" s="9" t="e">
        <f t="shared" si="8"/>
        <v>#NUM!</v>
      </c>
    </row>
    <row r="553" spans="1:127" x14ac:dyDescent="0.2">
      <c r="A553" s="6">
        <v>467</v>
      </c>
      <c r="DG553" s="9" t="e">
        <f t="shared" si="8"/>
        <v>#NUM!</v>
      </c>
    </row>
    <row r="554" spans="1:127" x14ac:dyDescent="0.2">
      <c r="A554" s="6">
        <v>468</v>
      </c>
      <c r="DG554" s="9" t="e">
        <f t="shared" si="8"/>
        <v>#NUM!</v>
      </c>
    </row>
    <row r="555" spans="1:127" x14ac:dyDescent="0.2">
      <c r="A555" s="6">
        <v>469</v>
      </c>
      <c r="DG555" s="9" t="e">
        <f t="shared" si="8"/>
        <v>#NUM!</v>
      </c>
    </row>
    <row r="556" spans="1:127" x14ac:dyDescent="0.2">
      <c r="A556" s="16">
        <v>470</v>
      </c>
      <c r="B556" s="38">
        <v>42943</v>
      </c>
      <c r="C556" s="9" t="s">
        <v>196</v>
      </c>
      <c r="D556" s="9">
        <v>69</v>
      </c>
      <c r="E556" s="14" t="s">
        <v>2267</v>
      </c>
      <c r="F556" s="17">
        <v>17387</v>
      </c>
      <c r="G556" s="9" t="s">
        <v>234</v>
      </c>
      <c r="H556" s="9" t="s">
        <v>5396</v>
      </c>
      <c r="J556" s="9">
        <v>20</v>
      </c>
      <c r="K556" s="9">
        <v>40</v>
      </c>
      <c r="L556" s="9">
        <v>3</v>
      </c>
      <c r="M556" s="9" t="s">
        <v>5397</v>
      </c>
      <c r="N556" s="9" t="s">
        <v>5398</v>
      </c>
      <c r="P556" s="9" t="s">
        <v>99</v>
      </c>
      <c r="Q556" s="9" t="s">
        <v>99</v>
      </c>
      <c r="V556" s="9" t="s">
        <v>5399</v>
      </c>
      <c r="Y556" s="9" t="s">
        <v>5400</v>
      </c>
      <c r="AE556" s="9" t="s">
        <v>110</v>
      </c>
      <c r="AL556" s="9">
        <v>81.5</v>
      </c>
      <c r="AM556" s="9">
        <v>152</v>
      </c>
      <c r="AN556" s="9">
        <v>123</v>
      </c>
      <c r="AO556" s="9">
        <v>120</v>
      </c>
      <c r="AU556" s="9">
        <v>143</v>
      </c>
      <c r="AV556" s="9">
        <v>94</v>
      </c>
      <c r="AX556" s="9">
        <v>0</v>
      </c>
      <c r="BB556" s="9" t="s">
        <v>176</v>
      </c>
      <c r="BF556" s="9" t="s">
        <v>176</v>
      </c>
      <c r="BN556" s="9" t="s">
        <v>176</v>
      </c>
      <c r="BV556" s="9" t="s">
        <v>177</v>
      </c>
      <c r="BZ556" s="9" t="s">
        <v>350</v>
      </c>
      <c r="CL556" s="9" t="s">
        <v>5401</v>
      </c>
      <c r="CP556" s="9" t="s">
        <v>350</v>
      </c>
      <c r="DC556" s="9">
        <v>95.6</v>
      </c>
      <c r="DD556" s="9">
        <v>0.69</v>
      </c>
      <c r="DE556" s="10">
        <v>236</v>
      </c>
      <c r="DF556" s="10">
        <v>405</v>
      </c>
      <c r="DG556" s="9">
        <f t="shared" si="8"/>
        <v>5.2820299435819473</v>
      </c>
      <c r="DH556" s="9">
        <v>81</v>
      </c>
      <c r="DI556" s="9">
        <v>5.16</v>
      </c>
      <c r="DP556" s="11">
        <v>2</v>
      </c>
      <c r="DQ556" s="9" t="s">
        <v>111</v>
      </c>
      <c r="DR556" s="9">
        <v>2</v>
      </c>
      <c r="DT556" s="9">
        <v>5</v>
      </c>
      <c r="DU556" s="9">
        <v>4.7</v>
      </c>
    </row>
    <row r="557" spans="1:127" s="133" customFormat="1" x14ac:dyDescent="0.2">
      <c r="A557" s="133" t="s">
        <v>5402</v>
      </c>
      <c r="DC557" s="133">
        <v>93.7</v>
      </c>
      <c r="DD557" s="133">
        <v>0.57999999999999996</v>
      </c>
      <c r="DE557" s="133">
        <v>153</v>
      </c>
      <c r="DF557" s="133">
        <v>75</v>
      </c>
      <c r="DG557" s="9">
        <f t="shared" si="8"/>
        <v>4.4287931513903436</v>
      </c>
      <c r="DH557" s="133">
        <v>15</v>
      </c>
      <c r="DI557" s="133">
        <v>5.8</v>
      </c>
      <c r="DL557" s="133">
        <v>48.1</v>
      </c>
      <c r="DM557" s="133">
        <v>89.9</v>
      </c>
      <c r="DP557" s="134"/>
      <c r="DR557" s="133">
        <v>2</v>
      </c>
      <c r="DW557" s="101"/>
    </row>
    <row r="558" spans="1:127" customFormat="1" x14ac:dyDescent="0.2">
      <c r="A558" s="135" t="s">
        <v>5403</v>
      </c>
      <c r="B558" s="69">
        <v>43802</v>
      </c>
      <c r="C558" s="136" t="s">
        <v>675</v>
      </c>
      <c r="D558" s="136">
        <v>40</v>
      </c>
      <c r="E558" s="136" t="s">
        <v>100</v>
      </c>
      <c r="F558" s="69">
        <v>29108</v>
      </c>
      <c r="G558" s="136" t="s">
        <v>5301</v>
      </c>
      <c r="H558" s="136" t="s">
        <v>5404</v>
      </c>
      <c r="I558" s="136" t="s">
        <v>500</v>
      </c>
      <c r="J558" s="136" t="s">
        <v>500</v>
      </c>
      <c r="K558" s="137" t="s">
        <v>500</v>
      </c>
      <c r="L558" s="138" t="s">
        <v>500</v>
      </c>
      <c r="M558" s="136" t="s">
        <v>99</v>
      </c>
      <c r="N558" s="136" t="s">
        <v>99</v>
      </c>
      <c r="O558" s="136" t="s">
        <v>99</v>
      </c>
      <c r="P558" s="136" t="s">
        <v>5405</v>
      </c>
      <c r="Q558" s="136" t="s">
        <v>1571</v>
      </c>
      <c r="R558" s="136" t="s">
        <v>5406</v>
      </c>
      <c r="S558" s="136" t="s">
        <v>99</v>
      </c>
      <c r="T558" s="136" t="s">
        <v>99</v>
      </c>
      <c r="U558" s="136" t="s">
        <v>5407</v>
      </c>
      <c r="V558" s="136" t="s">
        <v>99</v>
      </c>
      <c r="W558" s="136" t="s">
        <v>99</v>
      </c>
      <c r="X558" s="136" t="s">
        <v>99</v>
      </c>
      <c r="Y558" s="136" t="s">
        <v>5408</v>
      </c>
      <c r="Z558" s="136" t="s">
        <v>99</v>
      </c>
      <c r="AA558" s="136" t="s">
        <v>100</v>
      </c>
      <c r="AB558" s="136" t="s">
        <v>100</v>
      </c>
      <c r="AC558" s="136" t="s">
        <v>5409</v>
      </c>
      <c r="AD558" s="136" t="s">
        <v>5409</v>
      </c>
      <c r="AE558" s="136" t="s">
        <v>1127</v>
      </c>
      <c r="AF558" s="136" t="s">
        <v>99</v>
      </c>
      <c r="AG558" s="136" t="s">
        <v>99</v>
      </c>
      <c r="AH558" s="137" t="s">
        <v>99</v>
      </c>
      <c r="AI558" s="136" t="s">
        <v>99</v>
      </c>
      <c r="AJ558" s="53" t="s">
        <v>99</v>
      </c>
      <c r="AK558" s="53" t="s">
        <v>99</v>
      </c>
      <c r="AL558" s="61">
        <v>83.2</v>
      </c>
      <c r="AM558" s="53">
        <v>172</v>
      </c>
      <c r="AN558" s="139">
        <v>97</v>
      </c>
      <c r="AO558" s="53">
        <v>106</v>
      </c>
      <c r="AP558" s="53">
        <v>27.7</v>
      </c>
      <c r="AQ558" s="53">
        <v>12</v>
      </c>
      <c r="AR558" s="53">
        <v>34.4</v>
      </c>
      <c r="AS558" s="53">
        <v>52</v>
      </c>
      <c r="AT558" s="53">
        <v>28.1</v>
      </c>
      <c r="AU558" s="53">
        <v>123</v>
      </c>
      <c r="AV558" s="53">
        <v>82</v>
      </c>
      <c r="AW558" s="53" t="s">
        <v>176</v>
      </c>
      <c r="AX558" s="53" t="s">
        <v>592</v>
      </c>
      <c r="AY558" s="53" t="s">
        <v>848</v>
      </c>
      <c r="AZ558" s="53" t="s">
        <v>573</v>
      </c>
      <c r="BA558" s="53" t="s">
        <v>351</v>
      </c>
      <c r="BB558" s="53" t="s">
        <v>750</v>
      </c>
      <c r="BC558" s="53" t="s">
        <v>5410</v>
      </c>
      <c r="BD558" s="53" t="s">
        <v>500</v>
      </c>
      <c r="BE558" s="53" t="s">
        <v>110</v>
      </c>
      <c r="BF558" s="53" t="s">
        <v>176</v>
      </c>
      <c r="BG558" s="53" t="s">
        <v>350</v>
      </c>
      <c r="BH558" s="53" t="s">
        <v>350</v>
      </c>
      <c r="BI558" s="53" t="s">
        <v>5411</v>
      </c>
      <c r="BJ558" s="53" t="s">
        <v>176</v>
      </c>
      <c r="BK558" s="53" t="s">
        <v>5412</v>
      </c>
      <c r="BL558" s="53" t="s">
        <v>110</v>
      </c>
      <c r="BM558" s="53" t="s">
        <v>350</v>
      </c>
      <c r="BN558" s="53" t="s">
        <v>179</v>
      </c>
      <c r="BO558" s="53" t="s">
        <v>180</v>
      </c>
      <c r="BP558" s="53" t="s">
        <v>219</v>
      </c>
      <c r="BQ558" s="53" t="s">
        <v>99</v>
      </c>
      <c r="BR558" s="53" t="s">
        <v>500</v>
      </c>
      <c r="BS558" s="53" t="s">
        <v>500</v>
      </c>
      <c r="BT558" s="53" t="s">
        <v>500</v>
      </c>
      <c r="BU558" s="53" t="s">
        <v>99</v>
      </c>
      <c r="BV558" s="53" t="s">
        <v>500</v>
      </c>
      <c r="BW558" s="53" t="s">
        <v>500</v>
      </c>
      <c r="BX558" s="53" t="s">
        <v>500</v>
      </c>
      <c r="BY558" s="53" t="s">
        <v>351</v>
      </c>
      <c r="BZ558" s="53" t="s">
        <v>182</v>
      </c>
      <c r="CA558" s="53" t="s">
        <v>183</v>
      </c>
      <c r="CB558" s="53" t="s">
        <v>709</v>
      </c>
      <c r="CC558" s="53" t="s">
        <v>99</v>
      </c>
      <c r="CD558" s="53" t="s">
        <v>500</v>
      </c>
      <c r="CE558" s="53" t="s">
        <v>500</v>
      </c>
      <c r="CF558" s="53" t="s">
        <v>500</v>
      </c>
      <c r="CG558" s="53" t="s">
        <v>99</v>
      </c>
      <c r="CH558" s="53" t="s">
        <v>500</v>
      </c>
      <c r="CI558" s="53" t="s">
        <v>500</v>
      </c>
      <c r="CJ558" s="53" t="s">
        <v>500</v>
      </c>
      <c r="CK558" s="53" t="s">
        <v>176</v>
      </c>
      <c r="CL558" s="53" t="s">
        <v>5413</v>
      </c>
      <c r="CM558" s="53" t="s">
        <v>1180</v>
      </c>
      <c r="CN558" s="53" t="s">
        <v>1181</v>
      </c>
      <c r="CO558" s="53" t="s">
        <v>176</v>
      </c>
      <c r="CP558" s="53" t="s">
        <v>362</v>
      </c>
      <c r="CQ558" s="53" t="s">
        <v>500</v>
      </c>
      <c r="CR558" s="53" t="s">
        <v>500</v>
      </c>
      <c r="CS558" s="53" t="s">
        <v>350</v>
      </c>
      <c r="CT558" s="53" t="s">
        <v>2615</v>
      </c>
      <c r="CU558" s="53" t="s">
        <v>5414</v>
      </c>
      <c r="CV558" s="53" t="s">
        <v>500</v>
      </c>
      <c r="CW558" s="53">
        <v>3</v>
      </c>
      <c r="CX558" s="53" t="s">
        <v>110</v>
      </c>
      <c r="CY558" s="53" t="s">
        <v>99</v>
      </c>
      <c r="CZ558" s="53" t="s">
        <v>500</v>
      </c>
      <c r="DA558" s="53" t="s">
        <v>500</v>
      </c>
      <c r="DB558" s="53" t="s">
        <v>500</v>
      </c>
      <c r="DC558" s="108">
        <v>108.9</v>
      </c>
      <c r="DD558">
        <v>0.97</v>
      </c>
      <c r="DE558" s="108">
        <v>259</v>
      </c>
      <c r="DF558" s="73">
        <v>552</v>
      </c>
      <c r="DG558" s="9">
        <f t="shared" si="8"/>
        <v>5.5019890381080048</v>
      </c>
      <c r="DH558" s="108">
        <v>110.4</v>
      </c>
      <c r="DI558" s="108">
        <v>14.97</v>
      </c>
      <c r="DL558" s="108">
        <v>37.299999999999997</v>
      </c>
      <c r="DM558" s="108">
        <v>111.3</v>
      </c>
    </row>
    <row r="559" spans="1:127" customFormat="1" x14ac:dyDescent="0.2">
      <c r="A559" s="127" t="s">
        <v>5415</v>
      </c>
      <c r="B559" s="128">
        <v>43802</v>
      </c>
      <c r="C559" s="127" t="s">
        <v>675</v>
      </c>
      <c r="D559" s="127">
        <v>42</v>
      </c>
      <c r="E559" s="127" t="s">
        <v>100</v>
      </c>
      <c r="F559" s="128">
        <v>28452</v>
      </c>
      <c r="G559" s="127" t="s">
        <v>500</v>
      </c>
      <c r="H559" s="127" t="s">
        <v>500</v>
      </c>
      <c r="I559" s="127" t="s">
        <v>500</v>
      </c>
      <c r="J559" s="127" t="s">
        <v>500</v>
      </c>
      <c r="K559" s="127" t="s">
        <v>500</v>
      </c>
      <c r="L559" s="127" t="s">
        <v>500</v>
      </c>
      <c r="M559" s="127" t="s">
        <v>99</v>
      </c>
      <c r="N559" s="127" t="s">
        <v>99</v>
      </c>
      <c r="O559" s="127" t="s">
        <v>99</v>
      </c>
      <c r="P559" s="127" t="s">
        <v>99</v>
      </c>
      <c r="Q559" s="127" t="s">
        <v>5416</v>
      </c>
      <c r="R559" s="127" t="s">
        <v>99</v>
      </c>
      <c r="S559" s="127" t="s">
        <v>110</v>
      </c>
      <c r="T559" s="127" t="s">
        <v>110</v>
      </c>
      <c r="U559" s="127" t="s">
        <v>500</v>
      </c>
      <c r="V559" s="127" t="s">
        <v>500</v>
      </c>
      <c r="W559" s="127" t="s">
        <v>99</v>
      </c>
      <c r="X559" s="127" t="s">
        <v>99</v>
      </c>
      <c r="Y559" s="127" t="s">
        <v>99</v>
      </c>
      <c r="Z559" s="127" t="s">
        <v>99</v>
      </c>
      <c r="AA559" s="127" t="s">
        <v>5417</v>
      </c>
      <c r="AB559" s="127" t="s">
        <v>500</v>
      </c>
      <c r="AC559" s="127" t="s">
        <v>500</v>
      </c>
      <c r="AD559" s="127" t="s">
        <v>500</v>
      </c>
      <c r="AE559" s="127" t="s">
        <v>99</v>
      </c>
      <c r="AF559" s="127" t="s">
        <v>99</v>
      </c>
      <c r="AG559" s="127" t="s">
        <v>1127</v>
      </c>
      <c r="AH559" s="129" t="s">
        <v>99</v>
      </c>
      <c r="AI559" s="127" t="s">
        <v>99</v>
      </c>
      <c r="AJ559" s="9" t="s">
        <v>99</v>
      </c>
      <c r="AK559" s="9" t="s">
        <v>99</v>
      </c>
      <c r="AL559" s="9">
        <v>77.7</v>
      </c>
      <c r="AM559" s="9">
        <v>174</v>
      </c>
      <c r="AN559" s="9">
        <v>91</v>
      </c>
      <c r="AO559" s="9">
        <v>107</v>
      </c>
      <c r="AP559" s="9">
        <v>21.4</v>
      </c>
      <c r="AQ559" s="9">
        <v>9</v>
      </c>
      <c r="AR559" s="9">
        <v>37.6</v>
      </c>
      <c r="AS559" s="9">
        <v>46</v>
      </c>
      <c r="AT559" s="9">
        <v>25.7</v>
      </c>
      <c r="AU559" s="9">
        <v>117</v>
      </c>
      <c r="AV559" s="9">
        <v>72</v>
      </c>
      <c r="AW559" s="9" t="s">
        <v>110</v>
      </c>
      <c r="AX559" s="9" t="s">
        <v>213</v>
      </c>
      <c r="AY559" s="9" t="s">
        <v>500</v>
      </c>
      <c r="AZ559" s="9" t="s">
        <v>500</v>
      </c>
      <c r="BA559" s="9" t="s">
        <v>351</v>
      </c>
      <c r="BB559" s="9" t="s">
        <v>500</v>
      </c>
      <c r="BC559" s="9" t="s">
        <v>500</v>
      </c>
      <c r="BD559" s="9" t="s">
        <v>500</v>
      </c>
      <c r="BE559" s="9" t="s">
        <v>110</v>
      </c>
      <c r="BF559" s="9" t="s">
        <v>707</v>
      </c>
      <c r="BG559" s="9" t="s">
        <v>707</v>
      </c>
      <c r="BH559" s="9" t="s">
        <v>212</v>
      </c>
      <c r="BI559" s="9" t="s">
        <v>212</v>
      </c>
      <c r="BJ559" s="9" t="s">
        <v>212</v>
      </c>
      <c r="BK559" s="9" t="s">
        <v>1469</v>
      </c>
      <c r="BL559" s="9" t="s">
        <v>110</v>
      </c>
      <c r="BM559" s="9" t="s">
        <v>350</v>
      </c>
      <c r="BN559" s="9" t="s">
        <v>500</v>
      </c>
      <c r="BO559" s="9" t="s">
        <v>5057</v>
      </c>
      <c r="BP559" s="9" t="s">
        <v>500</v>
      </c>
      <c r="BQ559" s="9" t="s">
        <v>99</v>
      </c>
      <c r="BR559" s="9" t="s">
        <v>500</v>
      </c>
      <c r="BS559" s="9" t="s">
        <v>500</v>
      </c>
      <c r="BT559" s="9" t="s">
        <v>500</v>
      </c>
      <c r="BU559" s="9" t="s">
        <v>99</v>
      </c>
      <c r="BV559" s="9" t="s">
        <v>500</v>
      </c>
      <c r="BW559" s="9" t="s">
        <v>500</v>
      </c>
      <c r="BX559" s="9" t="s">
        <v>500</v>
      </c>
      <c r="BY559" s="9" t="s">
        <v>350</v>
      </c>
      <c r="BZ559" s="9" t="s">
        <v>500</v>
      </c>
      <c r="CA559" s="9" t="s">
        <v>500</v>
      </c>
      <c r="CB559" s="9" t="s">
        <v>500</v>
      </c>
      <c r="CC559" s="9" t="s">
        <v>99</v>
      </c>
      <c r="CD559" s="9" t="s">
        <v>500</v>
      </c>
      <c r="CE559" s="9" t="s">
        <v>500</v>
      </c>
      <c r="CF559" s="9" t="s">
        <v>500</v>
      </c>
      <c r="CG559" s="9" t="s">
        <v>99</v>
      </c>
      <c r="CH559" s="9" t="s">
        <v>500</v>
      </c>
      <c r="CI559" s="9" t="s">
        <v>500</v>
      </c>
      <c r="CJ559" s="9" t="s">
        <v>500</v>
      </c>
      <c r="CK559" s="9" t="s">
        <v>176</v>
      </c>
      <c r="CL559" s="9" t="s">
        <v>579</v>
      </c>
      <c r="CM559" s="9" t="s">
        <v>500</v>
      </c>
      <c r="CN559" s="9" t="s">
        <v>500</v>
      </c>
      <c r="CO559" s="9" t="s">
        <v>110</v>
      </c>
      <c r="CP559" s="9" t="s">
        <v>5418</v>
      </c>
      <c r="CQ559" s="9" t="s">
        <v>500</v>
      </c>
      <c r="CR559" s="9" t="s">
        <v>500</v>
      </c>
      <c r="CS559" s="9" t="s">
        <v>176</v>
      </c>
      <c r="CT559" s="9" t="s">
        <v>500</v>
      </c>
      <c r="CU559" s="9" t="s">
        <v>500</v>
      </c>
      <c r="CV559" s="9" t="s">
        <v>500</v>
      </c>
      <c r="CW559" s="9" t="s">
        <v>5419</v>
      </c>
      <c r="CX559" s="9" t="s">
        <v>99</v>
      </c>
      <c r="CY559" s="9" t="s">
        <v>110</v>
      </c>
      <c r="CZ559" s="9">
        <v>30</v>
      </c>
      <c r="DA559" s="9">
        <v>20</v>
      </c>
      <c r="DB559" s="9">
        <v>50</v>
      </c>
      <c r="DC559">
        <v>71.8</v>
      </c>
      <c r="DD559">
        <v>1.06</v>
      </c>
      <c r="DE559">
        <v>189</v>
      </c>
      <c r="DF559">
        <v>134</v>
      </c>
      <c r="DG559" s="9">
        <f t="shared" si="8"/>
        <v>4.5858621380025451</v>
      </c>
      <c r="DH559">
        <v>26.8</v>
      </c>
      <c r="DI559">
        <v>5.34</v>
      </c>
      <c r="DL559">
        <v>40.1</v>
      </c>
      <c r="DM559">
        <v>122.1</v>
      </c>
      <c r="DN559" s="9"/>
      <c r="DO559" s="9"/>
      <c r="DR559">
        <v>3</v>
      </c>
    </row>
    <row r="560" spans="1:127" customFormat="1" x14ac:dyDescent="0.2">
      <c r="A560" s="127" t="s">
        <v>5420</v>
      </c>
      <c r="B560" s="128">
        <v>43802</v>
      </c>
      <c r="C560" s="127" t="s">
        <v>675</v>
      </c>
      <c r="D560" s="127">
        <v>22</v>
      </c>
      <c r="E560" s="127" t="s">
        <v>2234</v>
      </c>
      <c r="F560" s="128">
        <v>35657</v>
      </c>
      <c r="G560" s="127" t="s">
        <v>500</v>
      </c>
      <c r="H560" s="127" t="s">
        <v>500</v>
      </c>
      <c r="I560" s="127" t="s">
        <v>500</v>
      </c>
      <c r="J560" s="127" t="s">
        <v>500</v>
      </c>
      <c r="K560" s="127" t="s">
        <v>500</v>
      </c>
      <c r="L560" s="127" t="s">
        <v>500</v>
      </c>
      <c r="M560" s="127" t="s">
        <v>99</v>
      </c>
      <c r="N560" s="127" t="s">
        <v>99</v>
      </c>
      <c r="O560" s="127" t="s">
        <v>99</v>
      </c>
      <c r="P560" s="127" t="s">
        <v>5421</v>
      </c>
      <c r="Q560" s="127" t="s">
        <v>5422</v>
      </c>
      <c r="R560" s="127" t="s">
        <v>110</v>
      </c>
      <c r="S560" s="127" t="s">
        <v>99</v>
      </c>
      <c r="T560" s="127" t="s">
        <v>99</v>
      </c>
      <c r="U560" s="127" t="s">
        <v>99</v>
      </c>
      <c r="V560" s="127" t="s">
        <v>99</v>
      </c>
      <c r="W560" s="127" t="s">
        <v>99</v>
      </c>
      <c r="X560" s="127" t="s">
        <v>99</v>
      </c>
      <c r="Y560" s="127" t="s">
        <v>99</v>
      </c>
      <c r="Z560" s="127" t="s">
        <v>99</v>
      </c>
      <c r="AA560" s="127" t="s">
        <v>840</v>
      </c>
      <c r="AB560" s="127" t="s">
        <v>100</v>
      </c>
      <c r="AC560" s="127" t="s">
        <v>840</v>
      </c>
      <c r="AD560" s="127" t="s">
        <v>100</v>
      </c>
      <c r="AE560" s="127" t="s">
        <v>5423</v>
      </c>
      <c r="AF560" s="127" t="s">
        <v>246</v>
      </c>
      <c r="AG560" s="127" t="s">
        <v>99</v>
      </c>
      <c r="AH560" s="129" t="s">
        <v>246</v>
      </c>
      <c r="AI560" s="127" t="s">
        <v>99</v>
      </c>
      <c r="AJ560" s="9" t="s">
        <v>99</v>
      </c>
      <c r="AK560" s="9" t="s">
        <v>99</v>
      </c>
      <c r="AL560" s="9">
        <v>67.900000000000006</v>
      </c>
      <c r="AM560" s="9">
        <v>172</v>
      </c>
      <c r="AN560" s="9">
        <v>81</v>
      </c>
      <c r="AO560" s="9">
        <v>96</v>
      </c>
      <c r="AP560" s="9">
        <v>20.8</v>
      </c>
      <c r="AQ560" s="9">
        <v>5</v>
      </c>
      <c r="AR560" s="9">
        <v>39.799999999999997</v>
      </c>
      <c r="AS560" s="9">
        <v>26</v>
      </c>
      <c r="AT560" s="7">
        <v>23</v>
      </c>
      <c r="AU560" s="9">
        <v>103</v>
      </c>
      <c r="AV560" s="9">
        <v>60</v>
      </c>
      <c r="AW560" s="9" t="s">
        <v>110</v>
      </c>
      <c r="AX560" s="9" t="s">
        <v>5424</v>
      </c>
      <c r="AY560" s="9" t="s">
        <v>500</v>
      </c>
      <c r="AZ560" s="9" t="s">
        <v>500</v>
      </c>
      <c r="BA560" s="9" t="s">
        <v>351</v>
      </c>
      <c r="BB560" s="9" t="s">
        <v>500</v>
      </c>
      <c r="BC560" s="9" t="s">
        <v>500</v>
      </c>
      <c r="BD560" s="9" t="s">
        <v>500</v>
      </c>
      <c r="BE560" s="9" t="s">
        <v>110</v>
      </c>
      <c r="BF560" s="9" t="s">
        <v>212</v>
      </c>
      <c r="BG560" s="9" t="s">
        <v>213</v>
      </c>
      <c r="BH560" s="9" t="s">
        <v>213</v>
      </c>
      <c r="BI560" s="9" t="s">
        <v>176</v>
      </c>
      <c r="BJ560" s="9" t="s">
        <v>176</v>
      </c>
      <c r="BK560" s="9" t="s">
        <v>1469</v>
      </c>
      <c r="BL560" s="9" t="s">
        <v>110</v>
      </c>
      <c r="BM560" s="9" t="s">
        <v>350</v>
      </c>
      <c r="BN560" s="9" t="s">
        <v>500</v>
      </c>
      <c r="BO560" s="9" t="s">
        <v>500</v>
      </c>
      <c r="BP560" s="9" t="s">
        <v>500</v>
      </c>
      <c r="BQ560" s="9" t="s">
        <v>99</v>
      </c>
      <c r="BR560" s="9" t="s">
        <v>500</v>
      </c>
      <c r="BS560" s="9" t="s">
        <v>500</v>
      </c>
      <c r="BT560" s="9" t="s">
        <v>500</v>
      </c>
      <c r="BU560" s="9" t="s">
        <v>99</v>
      </c>
      <c r="BV560" s="9" t="s">
        <v>500</v>
      </c>
      <c r="BW560" s="9" t="s">
        <v>500</v>
      </c>
      <c r="BX560" s="9" t="s">
        <v>500</v>
      </c>
      <c r="BY560" s="9" t="s">
        <v>351</v>
      </c>
      <c r="BZ560" s="9" t="s">
        <v>500</v>
      </c>
      <c r="CA560" s="9" t="s">
        <v>500</v>
      </c>
      <c r="CB560" s="9" t="s">
        <v>500</v>
      </c>
      <c r="CC560" s="9" t="s">
        <v>99</v>
      </c>
      <c r="CD560" s="9" t="s">
        <v>500</v>
      </c>
      <c r="CE560" s="9" t="s">
        <v>500</v>
      </c>
      <c r="CF560" s="9" t="s">
        <v>500</v>
      </c>
      <c r="CG560" s="9" t="s">
        <v>99</v>
      </c>
      <c r="CH560" s="9" t="s">
        <v>500</v>
      </c>
      <c r="CI560" s="9" t="s">
        <v>500</v>
      </c>
      <c r="CJ560" s="9" t="s">
        <v>500</v>
      </c>
      <c r="CK560" s="9" t="s">
        <v>176</v>
      </c>
      <c r="CL560" s="9" t="s">
        <v>579</v>
      </c>
      <c r="CM560" s="9" t="s">
        <v>5425</v>
      </c>
      <c r="CN560" s="9" t="s">
        <v>500</v>
      </c>
      <c r="CO560" s="9" t="s">
        <v>110</v>
      </c>
      <c r="CP560" s="9" t="s">
        <v>5426</v>
      </c>
      <c r="CQ560" s="9" t="s">
        <v>500</v>
      </c>
      <c r="CR560" s="9" t="s">
        <v>500</v>
      </c>
      <c r="CS560" s="9" t="s">
        <v>350</v>
      </c>
      <c r="CT560" s="9" t="s">
        <v>500</v>
      </c>
      <c r="CU560" s="9" t="s">
        <v>500</v>
      </c>
      <c r="CV560" s="9" t="s">
        <v>500</v>
      </c>
      <c r="CW560" s="9">
        <v>4</v>
      </c>
      <c r="CX560" s="9" t="s">
        <v>110</v>
      </c>
      <c r="CY560" s="9" t="s">
        <v>110</v>
      </c>
      <c r="CZ560" s="9">
        <v>30</v>
      </c>
      <c r="DA560" s="9">
        <v>20</v>
      </c>
      <c r="DB560" s="9">
        <v>50</v>
      </c>
      <c r="DC560" s="9">
        <v>85.7</v>
      </c>
      <c r="DD560" s="10">
        <v>1.33</v>
      </c>
      <c r="DE560" s="10">
        <v>241</v>
      </c>
      <c r="DF560" s="9">
        <v>109</v>
      </c>
      <c r="DG560" s="9">
        <f t="shared" si="8"/>
        <v>4.5711003539164388</v>
      </c>
      <c r="DH560" s="9">
        <v>21.8</v>
      </c>
      <c r="DI560" s="10">
        <v>8.1199999999999992</v>
      </c>
      <c r="DJ560" s="9"/>
      <c r="DK560" s="9"/>
      <c r="DL560" s="7">
        <v>90.1</v>
      </c>
      <c r="DM560" s="9">
        <v>129.1</v>
      </c>
      <c r="DN560" s="9"/>
      <c r="DO560" s="9"/>
      <c r="DR560">
        <v>3</v>
      </c>
    </row>
    <row r="561" spans="1:125" customFormat="1" x14ac:dyDescent="0.2">
      <c r="A561" s="127" t="s">
        <v>5427</v>
      </c>
      <c r="B561" s="128">
        <v>43802</v>
      </c>
      <c r="C561" s="127" t="s">
        <v>675</v>
      </c>
      <c r="D561" s="127">
        <v>55</v>
      </c>
      <c r="E561" s="127" t="s">
        <v>500</v>
      </c>
      <c r="F561" s="128">
        <v>23656</v>
      </c>
      <c r="G561" s="127" t="s">
        <v>5428</v>
      </c>
      <c r="H561" s="127" t="s">
        <v>500</v>
      </c>
      <c r="I561" s="127" t="s">
        <v>500</v>
      </c>
      <c r="J561" s="127" t="s">
        <v>500</v>
      </c>
      <c r="K561" s="127" t="s">
        <v>500</v>
      </c>
      <c r="L561" s="127" t="s">
        <v>500</v>
      </c>
      <c r="M561" s="127" t="s">
        <v>99</v>
      </c>
      <c r="N561" s="127" t="s">
        <v>110</v>
      </c>
      <c r="O561" s="127" t="s">
        <v>99</v>
      </c>
      <c r="P561" s="127" t="s">
        <v>99</v>
      </c>
      <c r="Q561" s="127" t="s">
        <v>5429</v>
      </c>
      <c r="R561" s="127" t="s">
        <v>99</v>
      </c>
      <c r="S561" s="127" t="s">
        <v>99</v>
      </c>
      <c r="T561" s="127" t="s">
        <v>99</v>
      </c>
      <c r="U561" s="127" t="s">
        <v>99</v>
      </c>
      <c r="V561" s="127" t="s">
        <v>99</v>
      </c>
      <c r="W561" s="127" t="s">
        <v>99</v>
      </c>
      <c r="X561" s="127" t="s">
        <v>99</v>
      </c>
      <c r="Y561" s="127" t="s">
        <v>99</v>
      </c>
      <c r="Z561" s="127" t="s">
        <v>99</v>
      </c>
      <c r="AA561" s="127" t="s">
        <v>2267</v>
      </c>
      <c r="AB561" s="127" t="s">
        <v>2332</v>
      </c>
      <c r="AC561" s="127" t="s">
        <v>100</v>
      </c>
      <c r="AD561" s="127" t="s">
        <v>2332</v>
      </c>
      <c r="AE561" s="127" t="s">
        <v>1127</v>
      </c>
      <c r="AF561" s="127" t="s">
        <v>1127</v>
      </c>
      <c r="AG561" s="127" t="s">
        <v>99</v>
      </c>
      <c r="AH561" s="129" t="s">
        <v>99</v>
      </c>
      <c r="AI561" s="127" t="s">
        <v>99</v>
      </c>
      <c r="AJ561" s="9" t="s">
        <v>99</v>
      </c>
      <c r="AK561" s="9" t="s">
        <v>99</v>
      </c>
      <c r="AL561" s="9">
        <v>69</v>
      </c>
      <c r="AM561" s="9" t="s">
        <v>500</v>
      </c>
      <c r="AN561" s="10">
        <v>97</v>
      </c>
      <c r="AO561" s="9">
        <v>97</v>
      </c>
      <c r="AP561" s="9">
        <v>21.6</v>
      </c>
      <c r="AQ561" s="9">
        <v>9</v>
      </c>
      <c r="AR561" s="9">
        <v>35.6</v>
      </c>
      <c r="AS561" s="9">
        <v>44</v>
      </c>
      <c r="AT561" s="7">
        <v>23.9</v>
      </c>
      <c r="AU561" s="10">
        <v>132</v>
      </c>
      <c r="AV561" s="10">
        <v>97</v>
      </c>
      <c r="AW561" s="9" t="s">
        <v>110</v>
      </c>
      <c r="AX561" s="9" t="s">
        <v>5430</v>
      </c>
      <c r="AY561" s="9" t="s">
        <v>500</v>
      </c>
      <c r="AZ561" s="9" t="s">
        <v>500</v>
      </c>
      <c r="BA561" s="9" t="s">
        <v>350</v>
      </c>
      <c r="BB561" s="9" t="s">
        <v>500</v>
      </c>
      <c r="BC561" s="9" t="s">
        <v>500</v>
      </c>
      <c r="BD561" s="9" t="s">
        <v>500</v>
      </c>
      <c r="BE561" s="9" t="s">
        <v>110</v>
      </c>
      <c r="BF561" s="9" t="s">
        <v>707</v>
      </c>
      <c r="BG561" s="9" t="s">
        <v>213</v>
      </c>
      <c r="BH561" s="9" t="s">
        <v>707</v>
      </c>
      <c r="BI561" s="9" t="s">
        <v>176</v>
      </c>
      <c r="BJ561" s="9" t="s">
        <v>176</v>
      </c>
      <c r="BK561" s="9" t="s">
        <v>5431</v>
      </c>
      <c r="BL561" s="9" t="s">
        <v>110</v>
      </c>
      <c r="BM561" s="9" t="s">
        <v>176</v>
      </c>
      <c r="BN561" s="9" t="s">
        <v>500</v>
      </c>
      <c r="BO561" s="9" t="s">
        <v>500</v>
      </c>
      <c r="BP561" s="9" t="s">
        <v>500</v>
      </c>
      <c r="BQ561" s="9" t="s">
        <v>99</v>
      </c>
      <c r="BR561" s="9" t="s">
        <v>500</v>
      </c>
      <c r="BS561" s="9" t="s">
        <v>500</v>
      </c>
      <c r="BT561" s="9" t="s">
        <v>500</v>
      </c>
      <c r="BU561" s="9" t="s">
        <v>99</v>
      </c>
      <c r="BV561" s="9" t="s">
        <v>500</v>
      </c>
      <c r="BW561" s="9" t="s">
        <v>500</v>
      </c>
      <c r="BX561" s="9" t="s">
        <v>500</v>
      </c>
      <c r="BY561" s="9" t="s">
        <v>351</v>
      </c>
      <c r="BZ561" s="9" t="s">
        <v>500</v>
      </c>
      <c r="CA561" s="9" t="s">
        <v>500</v>
      </c>
      <c r="CB561" s="9" t="s">
        <v>500</v>
      </c>
      <c r="CC561" s="9" t="s">
        <v>99</v>
      </c>
      <c r="CD561" s="9" t="s">
        <v>500</v>
      </c>
      <c r="CE561" s="9" t="s">
        <v>500</v>
      </c>
      <c r="CF561" s="9" t="s">
        <v>500</v>
      </c>
      <c r="CG561" s="9" t="s">
        <v>99</v>
      </c>
      <c r="CH561" s="9" t="s">
        <v>500</v>
      </c>
      <c r="CI561" s="9" t="s">
        <v>500</v>
      </c>
      <c r="CJ561" s="9" t="s">
        <v>500</v>
      </c>
      <c r="CK561" s="9" t="s">
        <v>176</v>
      </c>
      <c r="CL561" s="9" t="s">
        <v>579</v>
      </c>
      <c r="CM561" s="9" t="s">
        <v>980</v>
      </c>
      <c r="CN561" s="9" t="s">
        <v>500</v>
      </c>
      <c r="CO561" s="9" t="s">
        <v>110</v>
      </c>
      <c r="CP561" s="9" t="s">
        <v>5426</v>
      </c>
      <c r="CQ561" s="9" t="s">
        <v>500</v>
      </c>
      <c r="CR561" s="9" t="s">
        <v>500</v>
      </c>
      <c r="CS561" s="9" t="s">
        <v>350</v>
      </c>
      <c r="CT561" s="9" t="s">
        <v>500</v>
      </c>
      <c r="CU561" s="9" t="s">
        <v>500</v>
      </c>
      <c r="CV561" s="9" t="s">
        <v>500</v>
      </c>
      <c r="CW561" s="9">
        <v>2</v>
      </c>
      <c r="CX561" s="9" t="s">
        <v>110</v>
      </c>
      <c r="CY561" s="9" t="s">
        <v>110</v>
      </c>
      <c r="CZ561" s="9">
        <v>30</v>
      </c>
      <c r="DA561" s="9">
        <v>30</v>
      </c>
      <c r="DB561" s="9">
        <v>40</v>
      </c>
      <c r="DC561" s="9">
        <v>84.6</v>
      </c>
      <c r="DD561" s="9">
        <v>0.75</v>
      </c>
      <c r="DE561" s="9">
        <v>163</v>
      </c>
      <c r="DF561" s="9">
        <v>69</v>
      </c>
      <c r="DG561" s="9">
        <f t="shared" si="8"/>
        <v>4.3360203856047184</v>
      </c>
      <c r="DH561" s="9">
        <v>13.8</v>
      </c>
      <c r="DI561" s="9">
        <v>8.35</v>
      </c>
      <c r="DJ561" s="9"/>
      <c r="DK561" s="9"/>
      <c r="DL561" s="9">
        <v>56.3</v>
      </c>
      <c r="DM561" s="9">
        <v>92.9</v>
      </c>
      <c r="DN561" s="9"/>
      <c r="DO561" s="9"/>
      <c r="DR561">
        <v>2</v>
      </c>
    </row>
    <row r="562" spans="1:125" customFormat="1" x14ac:dyDescent="0.2">
      <c r="A562" s="127" t="s">
        <v>5432</v>
      </c>
      <c r="B562" s="141">
        <v>43802</v>
      </c>
      <c r="C562" s="127" t="s">
        <v>196</v>
      </c>
      <c r="D562" s="127">
        <v>52</v>
      </c>
      <c r="E562" s="127" t="s">
        <v>100</v>
      </c>
      <c r="F562" s="128">
        <v>24796</v>
      </c>
      <c r="G562" s="127" t="s">
        <v>813</v>
      </c>
      <c r="H562" s="127" t="s">
        <v>500</v>
      </c>
      <c r="I562" s="127" t="s">
        <v>500</v>
      </c>
      <c r="J562" s="127" t="s">
        <v>500</v>
      </c>
      <c r="K562" s="128">
        <v>37709</v>
      </c>
      <c r="L562" s="127">
        <v>3</v>
      </c>
      <c r="M562" s="127" t="s">
        <v>99</v>
      </c>
      <c r="N562" s="127" t="s">
        <v>99</v>
      </c>
      <c r="O562" s="127" t="s">
        <v>99</v>
      </c>
      <c r="P562" s="127" t="s">
        <v>99</v>
      </c>
      <c r="Q562" s="127" t="s">
        <v>99</v>
      </c>
      <c r="R562" s="127" t="s">
        <v>99</v>
      </c>
      <c r="S562" s="127" t="s">
        <v>99</v>
      </c>
      <c r="T562" s="127" t="s">
        <v>99</v>
      </c>
      <c r="U562" s="127" t="s">
        <v>500</v>
      </c>
      <c r="V562" s="127" t="s">
        <v>500</v>
      </c>
      <c r="W562" s="127" t="s">
        <v>5433</v>
      </c>
      <c r="X562" s="127" t="s">
        <v>500</v>
      </c>
      <c r="Y562" s="127" t="s">
        <v>5434</v>
      </c>
      <c r="Z562" s="127" t="s">
        <v>99</v>
      </c>
      <c r="AA562" s="127" t="s">
        <v>1123</v>
      </c>
      <c r="AB562" s="127" t="s">
        <v>1123</v>
      </c>
      <c r="AC562" s="127" t="s">
        <v>1123</v>
      </c>
      <c r="AD562" s="127" t="s">
        <v>1123</v>
      </c>
      <c r="AE562" s="127" t="s">
        <v>5435</v>
      </c>
      <c r="AF562" s="127" t="s">
        <v>99</v>
      </c>
      <c r="AG562" s="127" t="s">
        <v>110</v>
      </c>
      <c r="AH562" s="129" t="s">
        <v>99</v>
      </c>
      <c r="AI562" s="127" t="s">
        <v>99</v>
      </c>
      <c r="AJ562" s="9" t="s">
        <v>99</v>
      </c>
      <c r="AK562" s="9" t="s">
        <v>5436</v>
      </c>
      <c r="AL562" s="9">
        <v>49.8</v>
      </c>
      <c r="AM562" s="9" t="s">
        <v>500</v>
      </c>
      <c r="AN562" s="7">
        <v>69</v>
      </c>
      <c r="AO562" s="9">
        <v>90</v>
      </c>
      <c r="AP562" s="9">
        <v>31.2</v>
      </c>
      <c r="AQ562" s="9">
        <v>5</v>
      </c>
      <c r="AR562" s="9">
        <v>25.3</v>
      </c>
      <c r="AS562" s="9">
        <v>30</v>
      </c>
      <c r="AT562" s="7">
        <v>20.5</v>
      </c>
      <c r="AU562" s="9">
        <v>99</v>
      </c>
      <c r="AV562" s="9">
        <v>67</v>
      </c>
      <c r="AW562" s="9" t="s">
        <v>110</v>
      </c>
      <c r="AX562" s="9" t="s">
        <v>5437</v>
      </c>
      <c r="AY562" s="9" t="s">
        <v>500</v>
      </c>
      <c r="AZ562" s="9" t="s">
        <v>500</v>
      </c>
      <c r="BA562" s="9" t="s">
        <v>99</v>
      </c>
      <c r="BB562" s="9" t="s">
        <v>500</v>
      </c>
      <c r="BC562" s="9" t="s">
        <v>500</v>
      </c>
      <c r="BD562" s="9" t="s">
        <v>500</v>
      </c>
      <c r="BE562" s="9" t="s">
        <v>110</v>
      </c>
      <c r="BF562" s="9" t="s">
        <v>500</v>
      </c>
      <c r="BG562" s="9" t="s">
        <v>213</v>
      </c>
      <c r="BH562" s="9" t="s">
        <v>216</v>
      </c>
      <c r="BI562" s="9" t="s">
        <v>216</v>
      </c>
      <c r="BJ562" s="9" t="s">
        <v>99</v>
      </c>
      <c r="BK562" s="9" t="s">
        <v>681</v>
      </c>
      <c r="BL562" s="9" t="s">
        <v>110</v>
      </c>
      <c r="BM562" s="9" t="s">
        <v>176</v>
      </c>
      <c r="BN562" s="9" t="s">
        <v>500</v>
      </c>
      <c r="BO562" s="9" t="s">
        <v>500</v>
      </c>
      <c r="BP562" s="9" t="s">
        <v>500</v>
      </c>
      <c r="BQ562" s="9" t="s">
        <v>99</v>
      </c>
      <c r="BR562" s="9" t="s">
        <v>500</v>
      </c>
      <c r="BS562" s="9" t="s">
        <v>500</v>
      </c>
      <c r="BT562" s="9" t="s">
        <v>500</v>
      </c>
      <c r="BU562" s="9" t="s">
        <v>99</v>
      </c>
      <c r="BV562" s="9" t="s">
        <v>500</v>
      </c>
      <c r="BW562" s="9" t="s">
        <v>500</v>
      </c>
      <c r="BX562" s="9" t="s">
        <v>500</v>
      </c>
      <c r="BY562" s="9" t="s">
        <v>351</v>
      </c>
      <c r="BZ562" s="9" t="s">
        <v>500</v>
      </c>
      <c r="CA562" s="9" t="s">
        <v>500</v>
      </c>
      <c r="CB562" s="9" t="s">
        <v>500</v>
      </c>
      <c r="CC562" s="9" t="s">
        <v>99</v>
      </c>
      <c r="CD562" s="9" t="s">
        <v>500</v>
      </c>
      <c r="CE562" s="9" t="s">
        <v>500</v>
      </c>
      <c r="CF562" s="9" t="s">
        <v>500</v>
      </c>
      <c r="CG562" s="9" t="s">
        <v>99</v>
      </c>
      <c r="CH562" s="9" t="s">
        <v>500</v>
      </c>
      <c r="CI562" s="9" t="s">
        <v>500</v>
      </c>
      <c r="CJ562" s="9" t="s">
        <v>500</v>
      </c>
      <c r="CK562" s="9" t="s">
        <v>176</v>
      </c>
      <c r="CL562" s="9" t="s">
        <v>579</v>
      </c>
      <c r="CM562" s="9" t="s">
        <v>5289</v>
      </c>
      <c r="CN562" s="9" t="s">
        <v>500</v>
      </c>
      <c r="CO562" s="9" t="s">
        <v>99</v>
      </c>
      <c r="CP562" s="9" t="s">
        <v>500</v>
      </c>
      <c r="CQ562" s="9" t="s">
        <v>500</v>
      </c>
      <c r="CR562" s="9" t="s">
        <v>500</v>
      </c>
      <c r="CS562" s="9" t="s">
        <v>216</v>
      </c>
      <c r="CT562" s="9" t="s">
        <v>500</v>
      </c>
      <c r="CU562" s="9" t="s">
        <v>500</v>
      </c>
      <c r="CV562" s="9" t="s">
        <v>500</v>
      </c>
      <c r="CW562" s="9">
        <v>4</v>
      </c>
      <c r="CX562" s="9" t="s">
        <v>99</v>
      </c>
      <c r="CY562" s="9" t="s">
        <v>110</v>
      </c>
      <c r="CZ562" s="9">
        <v>90</v>
      </c>
      <c r="DA562" s="9">
        <v>10</v>
      </c>
      <c r="DB562" s="9">
        <v>30</v>
      </c>
      <c r="DC562" s="9">
        <v>85.6</v>
      </c>
      <c r="DD562" s="9">
        <v>0.71</v>
      </c>
      <c r="DE562" s="10">
        <v>234</v>
      </c>
      <c r="DF562" s="9">
        <v>77</v>
      </c>
      <c r="DG562" s="9">
        <f t="shared" si="8"/>
        <v>4.3967453525006901</v>
      </c>
      <c r="DH562" s="9">
        <v>15.4</v>
      </c>
      <c r="DI562" s="9">
        <v>2.5099999999999998</v>
      </c>
      <c r="DJ562" s="9"/>
      <c r="DK562" s="9"/>
      <c r="DL562" s="9">
        <v>68.7</v>
      </c>
      <c r="DM562" s="9">
        <v>149.9</v>
      </c>
      <c r="DN562" s="9"/>
      <c r="DO562" s="9"/>
    </row>
    <row r="563" spans="1:125" customFormat="1" x14ac:dyDescent="0.2">
      <c r="A563" s="127" t="s">
        <v>5438</v>
      </c>
      <c r="B563" s="128">
        <v>43802</v>
      </c>
      <c r="C563" s="127" t="s">
        <v>675</v>
      </c>
      <c r="D563" s="127">
        <v>25</v>
      </c>
      <c r="E563" s="127" t="s">
        <v>1338</v>
      </c>
      <c r="F563" s="128">
        <v>34399</v>
      </c>
      <c r="G563" s="127" t="s">
        <v>837</v>
      </c>
      <c r="H563" s="127" t="s">
        <v>5439</v>
      </c>
      <c r="I563" s="127" t="s">
        <v>500</v>
      </c>
      <c r="J563" s="127" t="s">
        <v>500</v>
      </c>
      <c r="K563" s="127" t="s">
        <v>500</v>
      </c>
      <c r="L563" s="127" t="s">
        <v>500</v>
      </c>
      <c r="M563" s="127" t="s">
        <v>99</v>
      </c>
      <c r="N563" s="127" t="s">
        <v>99</v>
      </c>
      <c r="O563" s="127" t="s">
        <v>99</v>
      </c>
      <c r="P563" s="127" t="s">
        <v>99</v>
      </c>
      <c r="Q563" s="127" t="s">
        <v>5440</v>
      </c>
      <c r="R563" s="127" t="s">
        <v>110</v>
      </c>
      <c r="S563" s="127" t="s">
        <v>110</v>
      </c>
      <c r="T563" s="127" t="s">
        <v>110</v>
      </c>
      <c r="U563" s="127" t="s">
        <v>110</v>
      </c>
      <c r="V563" s="127" t="s">
        <v>99</v>
      </c>
      <c r="W563" s="127" t="s">
        <v>99</v>
      </c>
      <c r="X563" s="127" t="s">
        <v>99</v>
      </c>
      <c r="Y563" s="127" t="s">
        <v>99</v>
      </c>
      <c r="Z563" s="127" t="s">
        <v>99</v>
      </c>
      <c r="AA563" s="127" t="s">
        <v>1338</v>
      </c>
      <c r="AB563" s="127" t="s">
        <v>1338</v>
      </c>
      <c r="AC563" s="127" t="s">
        <v>1338</v>
      </c>
      <c r="AD563" s="127" t="s">
        <v>1338</v>
      </c>
      <c r="AE563" s="127" t="s">
        <v>4981</v>
      </c>
      <c r="AF563" s="127" t="s">
        <v>4981</v>
      </c>
      <c r="AG563" s="127" t="s">
        <v>99</v>
      </c>
      <c r="AH563" s="129" t="s">
        <v>246</v>
      </c>
      <c r="AI563" s="127" t="s">
        <v>246</v>
      </c>
      <c r="AJ563" s="9" t="s">
        <v>99</v>
      </c>
      <c r="AK563" s="9" t="s">
        <v>99</v>
      </c>
      <c r="AL563" s="9">
        <v>83.2</v>
      </c>
      <c r="AM563" s="9">
        <v>173</v>
      </c>
      <c r="AN563" s="9">
        <v>97</v>
      </c>
      <c r="AO563" s="9">
        <v>106</v>
      </c>
      <c r="AP563" s="9">
        <v>30.6</v>
      </c>
      <c r="AQ563" s="9">
        <v>10</v>
      </c>
      <c r="AR563" s="9">
        <v>33.9</v>
      </c>
      <c r="AS563" s="9">
        <v>48</v>
      </c>
      <c r="AT563" s="9">
        <v>27.8</v>
      </c>
      <c r="AU563" s="9">
        <v>122</v>
      </c>
      <c r="AV563" s="9">
        <v>79</v>
      </c>
      <c r="AW563" s="9" t="s">
        <v>110</v>
      </c>
      <c r="AX563" s="9" t="s">
        <v>5441</v>
      </c>
      <c r="AY563" s="9" t="s">
        <v>500</v>
      </c>
      <c r="AZ563" s="9" t="s">
        <v>500</v>
      </c>
      <c r="BA563" s="9" t="s">
        <v>351</v>
      </c>
      <c r="BB563" s="9" t="s">
        <v>500</v>
      </c>
      <c r="BC563" s="9" t="s">
        <v>500</v>
      </c>
      <c r="BD563" s="9" t="s">
        <v>500</v>
      </c>
      <c r="BE563" s="9" t="s">
        <v>110</v>
      </c>
      <c r="BF563" s="9" t="s">
        <v>176</v>
      </c>
      <c r="BG563" s="9" t="s">
        <v>5441</v>
      </c>
      <c r="BH563" s="9" t="s">
        <v>707</v>
      </c>
      <c r="BI563" s="9" t="s">
        <v>213</v>
      </c>
      <c r="BJ563" s="9" t="s">
        <v>5442</v>
      </c>
      <c r="BK563" s="9" t="s">
        <v>216</v>
      </c>
      <c r="BL563" s="9" t="s">
        <v>110</v>
      </c>
      <c r="BM563" s="9" t="s">
        <v>212</v>
      </c>
      <c r="BN563" s="9" t="s">
        <v>500</v>
      </c>
      <c r="BO563" s="9" t="s">
        <v>500</v>
      </c>
      <c r="BP563" s="9" t="s">
        <v>500</v>
      </c>
      <c r="BQ563" s="9" t="s">
        <v>110</v>
      </c>
      <c r="BR563" s="9" t="s">
        <v>213</v>
      </c>
      <c r="BS563" s="9" t="s">
        <v>500</v>
      </c>
      <c r="BT563" s="9" t="s">
        <v>500</v>
      </c>
      <c r="BU563" s="9" t="s">
        <v>110</v>
      </c>
      <c r="BV563" s="9" t="s">
        <v>5443</v>
      </c>
      <c r="BW563" s="9" t="s">
        <v>500</v>
      </c>
      <c r="BX563" s="9" t="s">
        <v>500</v>
      </c>
      <c r="BY563" s="9" t="s">
        <v>350</v>
      </c>
      <c r="BZ563" s="9" t="s">
        <v>212</v>
      </c>
      <c r="CA563" s="9" t="s">
        <v>500</v>
      </c>
      <c r="CB563" s="9" t="s">
        <v>500</v>
      </c>
      <c r="CC563" s="9" t="s">
        <v>110</v>
      </c>
      <c r="CD563" s="9" t="s">
        <v>5444</v>
      </c>
      <c r="CE563" s="9" t="s">
        <v>500</v>
      </c>
      <c r="CF563" s="9" t="s">
        <v>500</v>
      </c>
      <c r="CG563" s="9" t="s">
        <v>110</v>
      </c>
      <c r="CH563" s="9" t="s">
        <v>5445</v>
      </c>
      <c r="CI563" s="9" t="s">
        <v>500</v>
      </c>
      <c r="CJ563" s="9" t="s">
        <v>500</v>
      </c>
      <c r="CK563" s="9" t="s">
        <v>500</v>
      </c>
      <c r="CL563" s="9" t="s">
        <v>500</v>
      </c>
      <c r="CM563" s="9" t="s">
        <v>500</v>
      </c>
      <c r="CN563" s="9" t="s">
        <v>500</v>
      </c>
      <c r="CO563" s="9" t="s">
        <v>110</v>
      </c>
      <c r="CP563" s="9" t="s">
        <v>1468</v>
      </c>
      <c r="CQ563" s="9" t="s">
        <v>500</v>
      </c>
      <c r="CR563" s="9" t="s">
        <v>500</v>
      </c>
      <c r="CS563" s="9" t="s">
        <v>681</v>
      </c>
      <c r="CT563" s="9" t="s">
        <v>500</v>
      </c>
      <c r="CU563" s="9" t="s">
        <v>500</v>
      </c>
      <c r="CV563" s="9" t="s">
        <v>500</v>
      </c>
      <c r="CW563" s="9">
        <v>3</v>
      </c>
      <c r="CX563" s="9" t="s">
        <v>99</v>
      </c>
      <c r="CY563" s="9" t="s">
        <v>500</v>
      </c>
      <c r="CZ563" s="9" t="s">
        <v>500</v>
      </c>
      <c r="DA563" s="9" t="s">
        <v>500</v>
      </c>
      <c r="DB563" s="9" t="s">
        <v>500</v>
      </c>
      <c r="DC563" s="9">
        <v>96.8</v>
      </c>
      <c r="DD563" s="9">
        <v>1.1499999999999999</v>
      </c>
      <c r="DE563" s="10">
        <v>227</v>
      </c>
      <c r="DF563" s="9">
        <v>123</v>
      </c>
      <c r="DG563" s="9">
        <f t="shared" si="8"/>
        <v>4.6924156748274743</v>
      </c>
      <c r="DH563" s="9">
        <v>24.6</v>
      </c>
      <c r="DI563" s="9">
        <v>6.16</v>
      </c>
      <c r="DJ563" s="9"/>
      <c r="DK563" s="9"/>
      <c r="DL563" s="9">
        <v>52</v>
      </c>
      <c r="DM563" s="9">
        <v>150.4</v>
      </c>
      <c r="DN563" s="9"/>
      <c r="DO563" s="9"/>
    </row>
    <row r="564" spans="1:125" customFormat="1" x14ac:dyDescent="0.2">
      <c r="A564" s="127" t="s">
        <v>5446</v>
      </c>
      <c r="B564" s="128">
        <v>43804</v>
      </c>
      <c r="C564" s="127" t="s">
        <v>675</v>
      </c>
      <c r="D564" s="127">
        <v>42</v>
      </c>
      <c r="E564" s="127" t="s">
        <v>100</v>
      </c>
      <c r="F564" s="128">
        <v>28249</v>
      </c>
      <c r="G564" s="127" t="s">
        <v>837</v>
      </c>
      <c r="H564" s="127" t="s">
        <v>5447</v>
      </c>
      <c r="I564" s="127" t="s">
        <v>500</v>
      </c>
      <c r="J564" s="127" t="s">
        <v>500</v>
      </c>
      <c r="K564" s="127" t="s">
        <v>500</v>
      </c>
      <c r="L564" s="127" t="s">
        <v>500</v>
      </c>
      <c r="M564" s="127" t="s">
        <v>99</v>
      </c>
      <c r="N564" s="127" t="s">
        <v>99</v>
      </c>
      <c r="O564" s="127" t="s">
        <v>99</v>
      </c>
      <c r="P564" s="127" t="s">
        <v>5448</v>
      </c>
      <c r="Q564" s="127" t="s">
        <v>5449</v>
      </c>
      <c r="R564" s="127" t="s">
        <v>5450</v>
      </c>
      <c r="S564" s="127" t="s">
        <v>110</v>
      </c>
      <c r="T564" s="127" t="s">
        <v>5451</v>
      </c>
      <c r="U564" s="127" t="s">
        <v>99</v>
      </c>
      <c r="V564" s="127" t="s">
        <v>99</v>
      </c>
      <c r="W564" s="127" t="s">
        <v>99</v>
      </c>
      <c r="X564" s="127" t="s">
        <v>99</v>
      </c>
      <c r="Y564" s="127" t="s">
        <v>99</v>
      </c>
      <c r="Z564" s="127" t="s">
        <v>99</v>
      </c>
      <c r="AA564" s="127" t="s">
        <v>1123</v>
      </c>
      <c r="AB564" s="127" t="s">
        <v>1123</v>
      </c>
      <c r="AC564" s="127" t="s">
        <v>1123</v>
      </c>
      <c r="AD564" s="127" t="s">
        <v>1123</v>
      </c>
      <c r="AE564" s="127" t="s">
        <v>99</v>
      </c>
      <c r="AF564" s="127" t="s">
        <v>246</v>
      </c>
      <c r="AG564" s="127" t="s">
        <v>5423</v>
      </c>
      <c r="AH564" s="129" t="s">
        <v>99</v>
      </c>
      <c r="AI564" s="127" t="s">
        <v>5104</v>
      </c>
      <c r="AJ564" s="9" t="s">
        <v>99</v>
      </c>
      <c r="AK564" s="9" t="s">
        <v>99</v>
      </c>
      <c r="AL564" s="9">
        <v>77.599999999999994</v>
      </c>
      <c r="AM564" s="9">
        <v>164</v>
      </c>
      <c r="AN564" s="10">
        <v>94</v>
      </c>
      <c r="AO564" s="9">
        <v>97</v>
      </c>
      <c r="AP564" s="9">
        <v>32.9</v>
      </c>
      <c r="AQ564" s="9">
        <v>14</v>
      </c>
      <c r="AR564" s="9">
        <v>31.2</v>
      </c>
      <c r="AS564" s="9">
        <v>50</v>
      </c>
      <c r="AT564" s="9">
        <v>28.9</v>
      </c>
      <c r="AU564" s="9">
        <v>119</v>
      </c>
      <c r="AV564" s="9">
        <v>76</v>
      </c>
      <c r="AW564" s="9" t="s">
        <v>110</v>
      </c>
      <c r="AX564" s="9" t="s">
        <v>3299</v>
      </c>
      <c r="AY564" s="9" t="s">
        <v>2937</v>
      </c>
      <c r="AZ564" s="9" t="s">
        <v>1978</v>
      </c>
      <c r="BA564" s="9" t="s">
        <v>110</v>
      </c>
      <c r="BB564" s="9" t="s">
        <v>3300</v>
      </c>
      <c r="BC564" s="9" t="s">
        <v>5452</v>
      </c>
      <c r="BD564" s="9" t="s">
        <v>2053</v>
      </c>
      <c r="BE564" s="9" t="s">
        <v>110</v>
      </c>
      <c r="BF564" s="9" t="s">
        <v>176</v>
      </c>
      <c r="BG564" s="9" t="s">
        <v>176</v>
      </c>
      <c r="BH564" s="9" t="s">
        <v>350</v>
      </c>
      <c r="BI564" s="9" t="s">
        <v>350</v>
      </c>
      <c r="BJ564" s="9" t="s">
        <v>818</v>
      </c>
      <c r="BK564" s="9" t="s">
        <v>350</v>
      </c>
      <c r="BL564" s="9" t="s">
        <v>110</v>
      </c>
      <c r="BM564" s="9" t="s">
        <v>350</v>
      </c>
      <c r="BN564" s="9" t="s">
        <v>5453</v>
      </c>
      <c r="BO564" s="9" t="s">
        <v>5454</v>
      </c>
      <c r="BP564" s="9" t="s">
        <v>5455</v>
      </c>
      <c r="BQ564" s="9" t="s">
        <v>110</v>
      </c>
      <c r="BR564" s="9" t="s">
        <v>5456</v>
      </c>
      <c r="BS564" s="9" t="s">
        <v>5457</v>
      </c>
      <c r="BT564" s="9" t="s">
        <v>5458</v>
      </c>
      <c r="BU564" s="9" t="s">
        <v>350</v>
      </c>
      <c r="BV564" s="9" t="s">
        <v>5459</v>
      </c>
      <c r="BW564" s="9" t="s">
        <v>5460</v>
      </c>
      <c r="BX564" s="9" t="s">
        <v>179</v>
      </c>
      <c r="BY564" s="9" t="s">
        <v>350</v>
      </c>
      <c r="BZ564" s="9" t="s">
        <v>182</v>
      </c>
      <c r="CA564" s="9" t="s">
        <v>183</v>
      </c>
      <c r="CB564" s="9" t="s">
        <v>822</v>
      </c>
      <c r="CC564" s="9" t="s">
        <v>99</v>
      </c>
      <c r="CD564" s="9" t="s">
        <v>500</v>
      </c>
      <c r="CE564" s="9" t="s">
        <v>500</v>
      </c>
      <c r="CF564" s="9" t="s">
        <v>500</v>
      </c>
      <c r="CG564" s="9" t="s">
        <v>99</v>
      </c>
      <c r="CH564" s="9" t="s">
        <v>500</v>
      </c>
      <c r="CI564" s="9" t="s">
        <v>500</v>
      </c>
      <c r="CJ564" s="9" t="s">
        <v>500</v>
      </c>
      <c r="CK564" s="9" t="s">
        <v>176</v>
      </c>
      <c r="CL564" s="9" t="s">
        <v>5413</v>
      </c>
      <c r="CM564" s="9" t="s">
        <v>579</v>
      </c>
      <c r="CN564" s="9" t="s">
        <v>5461</v>
      </c>
      <c r="CO564" s="9" t="s">
        <v>176</v>
      </c>
      <c r="CP564" s="9" t="s">
        <v>362</v>
      </c>
      <c r="CQ564" s="9" t="s">
        <v>3144</v>
      </c>
      <c r="CR564" s="9" t="s">
        <v>500</v>
      </c>
      <c r="CS564" s="9" t="s">
        <v>350</v>
      </c>
      <c r="CT564" s="9" t="s">
        <v>983</v>
      </c>
      <c r="CU564" s="9" t="s">
        <v>5414</v>
      </c>
      <c r="CV564" s="9" t="s">
        <v>5462</v>
      </c>
      <c r="CW564" s="9" t="s">
        <v>5463</v>
      </c>
      <c r="CX564" s="9" t="s">
        <v>99</v>
      </c>
      <c r="CY564" s="9" t="s">
        <v>110</v>
      </c>
      <c r="CZ564" s="9">
        <v>20</v>
      </c>
      <c r="DA564" s="9">
        <v>10</v>
      </c>
      <c r="DB564" s="9" t="s">
        <v>500</v>
      </c>
      <c r="DC564" s="9">
        <v>82.2</v>
      </c>
      <c r="DD564" s="9">
        <v>1.4</v>
      </c>
      <c r="DE564" s="9">
        <v>154</v>
      </c>
      <c r="DF564" s="9">
        <v>125</v>
      </c>
      <c r="DG564" s="9">
        <f t="shared" si="8"/>
        <v>4.618734519682218</v>
      </c>
      <c r="DH564" s="9">
        <v>25</v>
      </c>
      <c r="DI564" s="9">
        <v>7.28</v>
      </c>
      <c r="DJ564" s="9"/>
      <c r="DK564" s="9"/>
      <c r="DL564" s="9">
        <v>40.700000000000003</v>
      </c>
      <c r="DM564" s="9">
        <v>88.3</v>
      </c>
      <c r="DN564" s="9"/>
      <c r="DO564" s="9"/>
      <c r="DR564">
        <v>2</v>
      </c>
    </row>
    <row r="565" spans="1:125" customFormat="1" x14ac:dyDescent="0.2">
      <c r="A565" s="127" t="s">
        <v>5464</v>
      </c>
      <c r="B565" s="128">
        <v>43802</v>
      </c>
      <c r="C565" s="127" t="s">
        <v>675</v>
      </c>
      <c r="D565" s="127">
        <v>34</v>
      </c>
      <c r="E565" s="127" t="s">
        <v>100</v>
      </c>
      <c r="F565" s="128">
        <v>31169</v>
      </c>
      <c r="G565" s="127" t="s">
        <v>5428</v>
      </c>
      <c r="H565" s="127" t="s">
        <v>1727</v>
      </c>
      <c r="I565" s="127" t="s">
        <v>500</v>
      </c>
      <c r="J565" s="127" t="s">
        <v>500</v>
      </c>
      <c r="K565" s="127" t="s">
        <v>500</v>
      </c>
      <c r="L565" s="127" t="s">
        <v>500</v>
      </c>
      <c r="M565" s="127" t="s">
        <v>99</v>
      </c>
      <c r="N565" s="127" t="s">
        <v>99</v>
      </c>
      <c r="O565" s="127" t="s">
        <v>5465</v>
      </c>
      <c r="P565" s="127" t="s">
        <v>99</v>
      </c>
      <c r="Q565" s="127" t="s">
        <v>99</v>
      </c>
      <c r="R565" s="127" t="s">
        <v>99</v>
      </c>
      <c r="S565" s="127" t="s">
        <v>99</v>
      </c>
      <c r="T565" s="127" t="s">
        <v>99</v>
      </c>
      <c r="U565" s="127" t="s">
        <v>99</v>
      </c>
      <c r="V565" s="127" t="s">
        <v>99</v>
      </c>
      <c r="W565" s="127" t="s">
        <v>99</v>
      </c>
      <c r="X565" s="127" t="s">
        <v>99</v>
      </c>
      <c r="Y565" s="127" t="s">
        <v>99</v>
      </c>
      <c r="Z565" s="127" t="s">
        <v>99</v>
      </c>
      <c r="AA565" s="127" t="s">
        <v>100</v>
      </c>
      <c r="AB565" s="127" t="s">
        <v>5409</v>
      </c>
      <c r="AC565" s="127" t="s">
        <v>5409</v>
      </c>
      <c r="AD565" s="127" t="s">
        <v>5409</v>
      </c>
      <c r="AE565" s="127" t="s">
        <v>5409</v>
      </c>
      <c r="AF565" s="127" t="s">
        <v>99</v>
      </c>
      <c r="AG565" s="127" t="s">
        <v>99</v>
      </c>
      <c r="AH565" s="129" t="s">
        <v>99</v>
      </c>
      <c r="AI565" s="127" t="s">
        <v>99</v>
      </c>
      <c r="AJ565" s="9" t="s">
        <v>99</v>
      </c>
      <c r="AK565" s="9" t="s">
        <v>99</v>
      </c>
      <c r="AL565" s="9">
        <v>80.900000000000006</v>
      </c>
      <c r="AM565" s="9">
        <v>172</v>
      </c>
      <c r="AN565" s="9">
        <v>98</v>
      </c>
      <c r="AO565" s="9">
        <v>107</v>
      </c>
      <c r="AP565" s="9">
        <v>32.799999999999997</v>
      </c>
      <c r="AQ565" s="9">
        <v>11</v>
      </c>
      <c r="AR565" s="9">
        <v>31.1</v>
      </c>
      <c r="AS565" s="9">
        <v>52</v>
      </c>
      <c r="AT565" s="9">
        <v>27.3</v>
      </c>
      <c r="AU565" s="9">
        <v>112</v>
      </c>
      <c r="AV565" s="9">
        <v>79</v>
      </c>
      <c r="AW565" s="9" t="s">
        <v>110</v>
      </c>
      <c r="AX565" s="9" t="s">
        <v>681</v>
      </c>
      <c r="AY565" s="9" t="s">
        <v>500</v>
      </c>
      <c r="AZ565" s="9" t="s">
        <v>500</v>
      </c>
      <c r="BA565" s="9" t="s">
        <v>110</v>
      </c>
      <c r="BB565" s="9" t="s">
        <v>5466</v>
      </c>
      <c r="BC565" s="9" t="s">
        <v>500</v>
      </c>
      <c r="BD565" s="9" t="s">
        <v>500</v>
      </c>
      <c r="BE565" s="9" t="s">
        <v>110</v>
      </c>
      <c r="BF565" s="9" t="s">
        <v>707</v>
      </c>
      <c r="BG565" s="9" t="s">
        <v>707</v>
      </c>
      <c r="BH565" s="9" t="s">
        <v>707</v>
      </c>
      <c r="BI565" s="9" t="s">
        <v>213</v>
      </c>
      <c r="BJ565" s="9" t="s">
        <v>213</v>
      </c>
      <c r="BK565" s="9" t="s">
        <v>1469</v>
      </c>
      <c r="BL565" s="9" t="s">
        <v>110</v>
      </c>
      <c r="BM565" s="9" t="s">
        <v>213</v>
      </c>
      <c r="BN565" s="9" t="s">
        <v>500</v>
      </c>
      <c r="BO565" s="9" t="s">
        <v>500</v>
      </c>
      <c r="BP565" s="9" t="s">
        <v>500</v>
      </c>
      <c r="BQ565" s="9" t="s">
        <v>99</v>
      </c>
      <c r="BR565" s="9" t="s">
        <v>500</v>
      </c>
      <c r="BS565" s="9" t="s">
        <v>500</v>
      </c>
      <c r="BT565" s="9" t="s">
        <v>500</v>
      </c>
      <c r="BU565" s="9" t="s">
        <v>99</v>
      </c>
      <c r="BV565" s="9" t="s">
        <v>500</v>
      </c>
      <c r="BW565" s="9" t="s">
        <v>500</v>
      </c>
      <c r="BX565" s="9" t="s">
        <v>500</v>
      </c>
      <c r="BY565" s="9" t="s">
        <v>350</v>
      </c>
      <c r="BZ565" s="9" t="s">
        <v>707</v>
      </c>
      <c r="CA565" s="9" t="s">
        <v>500</v>
      </c>
      <c r="CB565" s="9" t="s">
        <v>500</v>
      </c>
      <c r="CC565" s="9" t="s">
        <v>99</v>
      </c>
      <c r="CD565" s="9" t="s">
        <v>500</v>
      </c>
      <c r="CE565" s="9" t="s">
        <v>500</v>
      </c>
      <c r="CF565" s="9" t="s">
        <v>500</v>
      </c>
      <c r="CG565" s="9" t="s">
        <v>99</v>
      </c>
      <c r="CH565" s="9" t="s">
        <v>500</v>
      </c>
      <c r="CI565" s="9" t="s">
        <v>500</v>
      </c>
      <c r="CJ565" s="9" t="s">
        <v>500</v>
      </c>
      <c r="CK565" s="9" t="s">
        <v>176</v>
      </c>
      <c r="CL565" s="9" t="s">
        <v>579</v>
      </c>
      <c r="CM565" s="9" t="s">
        <v>980</v>
      </c>
      <c r="CN565" s="9" t="s">
        <v>500</v>
      </c>
      <c r="CO565" s="9" t="s">
        <v>110</v>
      </c>
      <c r="CP565" s="9" t="s">
        <v>5426</v>
      </c>
      <c r="CQ565" s="9" t="s">
        <v>500</v>
      </c>
      <c r="CR565" s="9" t="s">
        <v>500</v>
      </c>
      <c r="CS565" s="9" t="s">
        <v>1469</v>
      </c>
      <c r="CT565" s="9" t="s">
        <v>500</v>
      </c>
      <c r="CU565" s="9" t="s">
        <v>500</v>
      </c>
      <c r="CV565" s="9" t="s">
        <v>500</v>
      </c>
      <c r="CW565" s="9" t="s">
        <v>5467</v>
      </c>
      <c r="CX565" s="9" t="s">
        <v>110</v>
      </c>
      <c r="CY565" s="9" t="s">
        <v>110</v>
      </c>
      <c r="CZ565" s="9">
        <v>20</v>
      </c>
      <c r="DA565" s="9">
        <v>30</v>
      </c>
      <c r="DB565" s="9">
        <v>50</v>
      </c>
      <c r="DC565" s="9">
        <v>92</v>
      </c>
      <c r="DD565" s="9">
        <v>0.97</v>
      </c>
      <c r="DE565" s="9">
        <v>195</v>
      </c>
      <c r="DF565" s="9">
        <v>93</v>
      </c>
      <c r="DG565" s="9">
        <f t="shared" si="8"/>
        <v>4.5271940351011484</v>
      </c>
      <c r="DH565" s="9">
        <v>18.600000000000001</v>
      </c>
      <c r="DI565" s="10">
        <v>8</v>
      </c>
      <c r="DJ565" s="9"/>
      <c r="DK565" s="9"/>
      <c r="DL565" s="9">
        <v>55.5</v>
      </c>
      <c r="DM565" s="9">
        <v>120</v>
      </c>
      <c r="DN565" s="9"/>
      <c r="DO565" s="9"/>
      <c r="DR565">
        <v>3</v>
      </c>
    </row>
    <row r="566" spans="1:125" customFormat="1" x14ac:dyDescent="0.2">
      <c r="A566" s="138" t="s">
        <v>5468</v>
      </c>
      <c r="B566" s="69">
        <v>43802</v>
      </c>
      <c r="C566" s="136" t="s">
        <v>675</v>
      </c>
      <c r="D566" s="136">
        <v>22</v>
      </c>
      <c r="E566" s="136" t="s">
        <v>100</v>
      </c>
      <c r="F566" s="142" t="s">
        <v>500</v>
      </c>
      <c r="G566" s="136" t="s">
        <v>5469</v>
      </c>
      <c r="H566" s="136" t="s">
        <v>5470</v>
      </c>
      <c r="I566" s="136" t="s">
        <v>500</v>
      </c>
      <c r="J566" s="136" t="s">
        <v>500</v>
      </c>
      <c r="K566" s="137" t="s">
        <v>500</v>
      </c>
      <c r="L566" s="138" t="s">
        <v>500</v>
      </c>
      <c r="M566" s="136" t="s">
        <v>99</v>
      </c>
      <c r="N566" s="136" t="s">
        <v>99</v>
      </c>
      <c r="O566" s="136" t="s">
        <v>99</v>
      </c>
      <c r="P566" s="136" t="s">
        <v>99</v>
      </c>
      <c r="Q566" s="136" t="s">
        <v>5422</v>
      </c>
      <c r="R566" s="136" t="s">
        <v>110</v>
      </c>
      <c r="S566" s="136" t="s">
        <v>99</v>
      </c>
      <c r="T566" s="136" t="s">
        <v>99</v>
      </c>
      <c r="U566" s="136" t="s">
        <v>99</v>
      </c>
      <c r="V566" s="136" t="s">
        <v>99</v>
      </c>
      <c r="W566" s="136" t="s">
        <v>99</v>
      </c>
      <c r="X566" s="136" t="s">
        <v>99</v>
      </c>
      <c r="Y566" s="136" t="s">
        <v>5471</v>
      </c>
      <c r="Z566" s="136" t="s">
        <v>99</v>
      </c>
      <c r="AA566" s="136" t="s">
        <v>100</v>
      </c>
      <c r="AB566" s="136" t="s">
        <v>840</v>
      </c>
      <c r="AC566" s="136" t="s">
        <v>100</v>
      </c>
      <c r="AD566" s="136" t="s">
        <v>840</v>
      </c>
      <c r="AE566" s="136" t="s">
        <v>99</v>
      </c>
      <c r="AF566" s="136" t="s">
        <v>99</v>
      </c>
      <c r="AG566" s="136" t="s">
        <v>99</v>
      </c>
      <c r="AH566" s="137" t="s">
        <v>99</v>
      </c>
      <c r="AI566" s="136" t="s">
        <v>343</v>
      </c>
      <c r="AJ566" s="53" t="s">
        <v>99</v>
      </c>
      <c r="AK566" s="53" t="s">
        <v>99</v>
      </c>
      <c r="AL566" s="53">
        <v>78.8</v>
      </c>
      <c r="AM566" s="53">
        <v>170</v>
      </c>
      <c r="AN566" s="53">
        <v>80</v>
      </c>
      <c r="AO566" s="53">
        <v>106</v>
      </c>
      <c r="AP566" s="53">
        <v>26.6</v>
      </c>
      <c r="AQ566" s="53">
        <v>9</v>
      </c>
      <c r="AR566" s="53">
        <v>37.1</v>
      </c>
      <c r="AS566" s="53">
        <v>40</v>
      </c>
      <c r="AT566" s="53">
        <v>27.3</v>
      </c>
      <c r="AU566" s="53">
        <v>128</v>
      </c>
      <c r="AV566" s="53">
        <v>83</v>
      </c>
      <c r="AW566" s="53" t="s">
        <v>176</v>
      </c>
      <c r="AX566" s="53" t="s">
        <v>1128</v>
      </c>
      <c r="AY566" s="53" t="s">
        <v>5057</v>
      </c>
      <c r="AZ566" s="53" t="s">
        <v>500</v>
      </c>
      <c r="BA566" s="53" t="s">
        <v>351</v>
      </c>
      <c r="BB566" s="53" t="s">
        <v>5472</v>
      </c>
      <c r="BC566" s="53" t="s">
        <v>5473</v>
      </c>
      <c r="BD566" s="53" t="s">
        <v>500</v>
      </c>
      <c r="BE566" s="53" t="s">
        <v>110</v>
      </c>
      <c r="BF566" s="53" t="s">
        <v>176</v>
      </c>
      <c r="BG566" s="53" t="s">
        <v>99</v>
      </c>
      <c r="BH566" s="53" t="s">
        <v>350</v>
      </c>
      <c r="BI566" s="53" t="s">
        <v>350</v>
      </c>
      <c r="BJ566" s="53" t="s">
        <v>818</v>
      </c>
      <c r="BK566" s="53" t="s">
        <v>99</v>
      </c>
      <c r="BL566" s="53" t="s">
        <v>110</v>
      </c>
      <c r="BM566" s="53" t="s">
        <v>350</v>
      </c>
      <c r="BN566" s="53" t="s">
        <v>125</v>
      </c>
      <c r="BO566" s="53" t="s">
        <v>857</v>
      </c>
      <c r="BP566" s="53" t="s">
        <v>219</v>
      </c>
      <c r="BQ566" s="53" t="s">
        <v>99</v>
      </c>
      <c r="BR566" s="53" t="s">
        <v>500</v>
      </c>
      <c r="BS566" s="53" t="s">
        <v>500</v>
      </c>
      <c r="BT566" s="53" t="s">
        <v>500</v>
      </c>
      <c r="BU566" s="53" t="s">
        <v>350</v>
      </c>
      <c r="BV566" s="53" t="s">
        <v>500</v>
      </c>
      <c r="BW566" s="53" t="s">
        <v>500</v>
      </c>
      <c r="BX566" s="53" t="s">
        <v>500</v>
      </c>
      <c r="BY566" s="53" t="s">
        <v>350</v>
      </c>
      <c r="BZ566" s="53" t="s">
        <v>1100</v>
      </c>
      <c r="CA566" s="53" t="s">
        <v>578</v>
      </c>
      <c r="CB566" s="53" t="s">
        <v>1137</v>
      </c>
      <c r="CC566" s="53" t="s">
        <v>99</v>
      </c>
      <c r="CD566" s="53" t="s">
        <v>500</v>
      </c>
      <c r="CE566" s="53" t="s">
        <v>500</v>
      </c>
      <c r="CF566" s="53" t="s">
        <v>500</v>
      </c>
      <c r="CG566" s="53" t="s">
        <v>110</v>
      </c>
      <c r="CH566" s="53" t="s">
        <v>5474</v>
      </c>
      <c r="CI566" s="53" t="s">
        <v>5475</v>
      </c>
      <c r="CJ566" s="53" t="s">
        <v>500</v>
      </c>
      <c r="CK566" s="53" t="s">
        <v>176</v>
      </c>
      <c r="CL566" s="53" t="s">
        <v>5476</v>
      </c>
      <c r="CM566" s="53" t="s">
        <v>980</v>
      </c>
      <c r="CN566" s="53" t="s">
        <v>500</v>
      </c>
      <c r="CO566" s="53" t="s">
        <v>350</v>
      </c>
      <c r="CP566" s="53" t="s">
        <v>716</v>
      </c>
      <c r="CQ566" s="53" t="s">
        <v>500</v>
      </c>
      <c r="CR566" s="53" t="s">
        <v>500</v>
      </c>
      <c r="CS566" s="53" t="s">
        <v>350</v>
      </c>
      <c r="CT566" s="53" t="s">
        <v>2617</v>
      </c>
      <c r="CU566" s="53" t="s">
        <v>500</v>
      </c>
      <c r="CV566" s="53" t="s">
        <v>500</v>
      </c>
      <c r="CW566" s="53">
        <v>3</v>
      </c>
      <c r="CX566" s="53" t="s">
        <v>99</v>
      </c>
      <c r="CY566" s="53" t="s">
        <v>99</v>
      </c>
      <c r="CZ566" s="27">
        <v>70</v>
      </c>
      <c r="DA566" s="29">
        <v>40</v>
      </c>
      <c r="DB566" s="29">
        <v>100</v>
      </c>
      <c r="DC566">
        <v>85.7</v>
      </c>
      <c r="DD566">
        <v>1.22</v>
      </c>
      <c r="DE566">
        <v>208</v>
      </c>
      <c r="DF566">
        <v>330</v>
      </c>
      <c r="DG566" s="9">
        <f t="shared" si="8"/>
        <v>5.1249727400321303</v>
      </c>
      <c r="DH566">
        <v>66</v>
      </c>
      <c r="DI566">
        <v>8.73</v>
      </c>
      <c r="DL566">
        <v>51.1</v>
      </c>
      <c r="DM566">
        <v>90.9</v>
      </c>
    </row>
    <row r="567" spans="1:125" customFormat="1" x14ac:dyDescent="0.2">
      <c r="A567" s="9" t="s">
        <v>5477</v>
      </c>
      <c r="B567" s="8">
        <v>43801</v>
      </c>
      <c r="C567" s="9" t="s">
        <v>675</v>
      </c>
      <c r="D567" s="9">
        <v>28</v>
      </c>
      <c r="E567" s="9" t="s">
        <v>100</v>
      </c>
      <c r="F567" s="8">
        <v>33251</v>
      </c>
      <c r="G567" s="9" t="s">
        <v>837</v>
      </c>
      <c r="H567" s="9" t="s">
        <v>5478</v>
      </c>
      <c r="I567" s="9"/>
      <c r="J567" s="9"/>
      <c r="K567" s="9"/>
      <c r="L567" s="9"/>
      <c r="M567" s="9" t="s">
        <v>99</v>
      </c>
      <c r="N567" s="9" t="s">
        <v>99</v>
      </c>
      <c r="O567" s="9" t="s">
        <v>99</v>
      </c>
      <c r="P567" s="9" t="s">
        <v>99</v>
      </c>
      <c r="Q567" s="9" t="s">
        <v>99</v>
      </c>
      <c r="R567" s="9" t="s">
        <v>99</v>
      </c>
      <c r="S567" s="9" t="s">
        <v>99</v>
      </c>
      <c r="T567" s="9" t="s">
        <v>99</v>
      </c>
      <c r="U567" s="9" t="s">
        <v>5479</v>
      </c>
      <c r="V567" s="9" t="s">
        <v>99</v>
      </c>
      <c r="W567" s="9" t="s">
        <v>5480</v>
      </c>
      <c r="X567" s="9" t="s">
        <v>99</v>
      </c>
      <c r="Y567" s="9" t="s">
        <v>99</v>
      </c>
      <c r="Z567" s="9" t="s">
        <v>99</v>
      </c>
      <c r="AA567" s="9" t="s">
        <v>5481</v>
      </c>
      <c r="AB567" s="9" t="s">
        <v>5481</v>
      </c>
      <c r="AC567" s="9" t="s">
        <v>100</v>
      </c>
      <c r="AD567" s="9" t="s">
        <v>5481</v>
      </c>
      <c r="AE567" s="9" t="s">
        <v>99</v>
      </c>
      <c r="AF567" s="9" t="s">
        <v>5482</v>
      </c>
      <c r="AG567" s="9" t="s">
        <v>5483</v>
      </c>
      <c r="AH567" s="9" t="s">
        <v>99</v>
      </c>
      <c r="AI567" s="9" t="s">
        <v>99</v>
      </c>
      <c r="AJ567" s="9" t="s">
        <v>99</v>
      </c>
      <c r="AK567" s="9" t="s">
        <v>99</v>
      </c>
      <c r="AL567" s="9">
        <v>71.8</v>
      </c>
      <c r="AM567" s="9">
        <v>176</v>
      </c>
      <c r="AN567" s="7">
        <v>81</v>
      </c>
      <c r="AO567" s="9">
        <v>96</v>
      </c>
      <c r="AP567" s="9">
        <v>21</v>
      </c>
      <c r="AQ567" s="9">
        <v>6</v>
      </c>
      <c r="AR567" s="9">
        <v>38.799999999999997</v>
      </c>
      <c r="AS567" s="9">
        <v>33</v>
      </c>
      <c r="AT567" s="7">
        <v>23.2</v>
      </c>
      <c r="AU567" s="9"/>
      <c r="AV567" s="9"/>
      <c r="AW567" s="9"/>
      <c r="AX567" s="9" t="s">
        <v>3283</v>
      </c>
      <c r="AY567" s="9" t="s">
        <v>5484</v>
      </c>
      <c r="AZ567" s="9"/>
      <c r="BA567" s="9"/>
      <c r="BB567" s="9" t="s">
        <v>346</v>
      </c>
      <c r="BC567" s="9" t="s">
        <v>2052</v>
      </c>
      <c r="BD567" s="9"/>
      <c r="BE567" s="9"/>
      <c r="BF567" s="9" t="s">
        <v>176</v>
      </c>
      <c r="BG567" s="9" t="s">
        <v>350</v>
      </c>
      <c r="BH567" s="9" t="s">
        <v>350</v>
      </c>
      <c r="BI567" s="9" t="s">
        <v>176</v>
      </c>
      <c r="BJ567" s="9" t="s">
        <v>176</v>
      </c>
      <c r="BK567" s="9" t="s">
        <v>350</v>
      </c>
      <c r="BL567" s="9"/>
      <c r="BM567" s="9"/>
      <c r="BN567" s="9" t="s">
        <v>3262</v>
      </c>
      <c r="BO567" s="9" t="s">
        <v>179</v>
      </c>
      <c r="BP567" s="9" t="s">
        <v>5485</v>
      </c>
      <c r="BQ567" s="9"/>
      <c r="BR567" s="9"/>
      <c r="BS567" s="9"/>
      <c r="BT567" s="9"/>
      <c r="BU567" s="9"/>
      <c r="BV567" s="9"/>
      <c r="BW567" s="9"/>
      <c r="BX567" s="9"/>
      <c r="BY567" s="9"/>
      <c r="BZ567" s="9" t="s">
        <v>5486</v>
      </c>
      <c r="CA567" s="9" t="s">
        <v>5487</v>
      </c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 t="s">
        <v>823</v>
      </c>
      <c r="CM567" s="9" t="s">
        <v>2448</v>
      </c>
      <c r="CN567" s="9" t="s">
        <v>5488</v>
      </c>
      <c r="CO567" s="9"/>
      <c r="CP567" s="9" t="s">
        <v>362</v>
      </c>
      <c r="CQ567" s="9"/>
      <c r="CR567" s="9"/>
      <c r="CS567" s="9"/>
      <c r="CT567" s="9" t="s">
        <v>5322</v>
      </c>
      <c r="CU567" s="9" t="s">
        <v>5489</v>
      </c>
      <c r="CV567" s="9"/>
      <c r="CW567" s="9">
        <v>2</v>
      </c>
      <c r="CX567" s="9" t="s">
        <v>5490</v>
      </c>
      <c r="CY567" s="9" t="s">
        <v>5490</v>
      </c>
      <c r="CZ567" s="9">
        <v>20</v>
      </c>
      <c r="DA567" s="9">
        <v>30</v>
      </c>
      <c r="DB567" s="9">
        <v>50</v>
      </c>
      <c r="DC567" s="9">
        <v>85.6</v>
      </c>
      <c r="DD567" s="9">
        <v>0.93</v>
      </c>
      <c r="DE567" s="10">
        <v>227</v>
      </c>
      <c r="DF567" s="9">
        <v>83</v>
      </c>
      <c r="DG567" s="9">
        <f t="shared" si="8"/>
        <v>4.4342629454721472</v>
      </c>
      <c r="DH567" s="9">
        <v>16.600000000000001</v>
      </c>
      <c r="DI567" s="9">
        <v>6.81</v>
      </c>
      <c r="DJ567" s="9"/>
      <c r="DK567" s="9"/>
      <c r="DL567" s="9">
        <v>60.5</v>
      </c>
      <c r="DM567" s="9">
        <v>149.9</v>
      </c>
      <c r="DN567" s="9"/>
      <c r="DO567" s="9"/>
      <c r="DR567">
        <v>2</v>
      </c>
    </row>
    <row r="568" spans="1:125" customFormat="1" x14ac:dyDescent="0.2">
      <c r="A568" s="127" t="s">
        <v>5491</v>
      </c>
      <c r="B568" s="128">
        <v>43802</v>
      </c>
      <c r="C568" s="127" t="s">
        <v>675</v>
      </c>
      <c r="D568" s="127">
        <v>52</v>
      </c>
      <c r="E568" s="127" t="s">
        <v>100</v>
      </c>
      <c r="F568" s="128">
        <v>24521</v>
      </c>
      <c r="G568" s="127" t="s">
        <v>481</v>
      </c>
      <c r="H568" s="127" t="s">
        <v>5492</v>
      </c>
      <c r="I568" s="127" t="s">
        <v>500</v>
      </c>
      <c r="J568" s="127" t="s">
        <v>500</v>
      </c>
      <c r="K568" s="127" t="s">
        <v>500</v>
      </c>
      <c r="L568" s="127" t="s">
        <v>500</v>
      </c>
      <c r="M568" s="127" t="s">
        <v>99</v>
      </c>
      <c r="N568" s="127" t="s">
        <v>99</v>
      </c>
      <c r="O568" s="127" t="s">
        <v>99</v>
      </c>
      <c r="P568" s="127" t="s">
        <v>99</v>
      </c>
      <c r="Q568" s="127" t="s">
        <v>500</v>
      </c>
      <c r="R568" s="127" t="s">
        <v>99</v>
      </c>
      <c r="S568" s="127" t="s">
        <v>110</v>
      </c>
      <c r="T568" s="127" t="s">
        <v>99</v>
      </c>
      <c r="U568" s="127" t="s">
        <v>5493</v>
      </c>
      <c r="V568" s="127" t="s">
        <v>99</v>
      </c>
      <c r="W568" s="127" t="s">
        <v>99</v>
      </c>
      <c r="X568" s="127" t="s">
        <v>99</v>
      </c>
      <c r="Y568" s="127" t="s">
        <v>99</v>
      </c>
      <c r="Z568" s="127" t="s">
        <v>99</v>
      </c>
      <c r="AA568" s="127" t="s">
        <v>500</v>
      </c>
      <c r="AB568" s="127" t="s">
        <v>500</v>
      </c>
      <c r="AC568" s="127" t="s">
        <v>500</v>
      </c>
      <c r="AD568" s="127" t="s">
        <v>500</v>
      </c>
      <c r="AE568" s="127" t="s">
        <v>99</v>
      </c>
      <c r="AF568" s="127" t="s">
        <v>99</v>
      </c>
      <c r="AG568" s="127" t="s">
        <v>99</v>
      </c>
      <c r="AH568" s="129" t="s">
        <v>246</v>
      </c>
      <c r="AI568" s="127" t="s">
        <v>99</v>
      </c>
      <c r="AJ568" s="9" t="s">
        <v>99</v>
      </c>
      <c r="AK568" s="9" t="s">
        <v>99</v>
      </c>
      <c r="AL568" s="9">
        <v>86.7</v>
      </c>
      <c r="AM568" s="9">
        <v>178</v>
      </c>
      <c r="AN568" s="9">
        <v>99</v>
      </c>
      <c r="AO568" s="9">
        <v>104</v>
      </c>
      <c r="AP568" s="9">
        <v>28.9</v>
      </c>
      <c r="AQ568" s="9">
        <v>12</v>
      </c>
      <c r="AR568" s="9">
        <v>31.9</v>
      </c>
      <c r="AS568" s="9">
        <v>62</v>
      </c>
      <c r="AT568" s="9">
        <v>27.4</v>
      </c>
      <c r="AU568" s="9">
        <v>104</v>
      </c>
      <c r="AV568" s="9">
        <v>69</v>
      </c>
      <c r="AW568" s="9" t="s">
        <v>500</v>
      </c>
      <c r="AX568" s="9" t="s">
        <v>500</v>
      </c>
      <c r="AY568" s="9" t="s">
        <v>500</v>
      </c>
      <c r="AZ568" s="9" t="s">
        <v>500</v>
      </c>
      <c r="BA568" s="9" t="s">
        <v>500</v>
      </c>
      <c r="BB568" s="9" t="s">
        <v>500</v>
      </c>
      <c r="BC568" s="9" t="s">
        <v>500</v>
      </c>
      <c r="BD568" s="9" t="s">
        <v>500</v>
      </c>
      <c r="BE568" s="9" t="s">
        <v>500</v>
      </c>
      <c r="BF568" s="9" t="s">
        <v>500</v>
      </c>
      <c r="BG568" s="9" t="s">
        <v>500</v>
      </c>
      <c r="BH568" s="9" t="s">
        <v>500</v>
      </c>
      <c r="BI568" s="9" t="s">
        <v>500</v>
      </c>
      <c r="BJ568" s="9" t="s">
        <v>500</v>
      </c>
      <c r="BK568" s="9" t="s">
        <v>500</v>
      </c>
      <c r="BL568" s="9" t="s">
        <v>500</v>
      </c>
      <c r="BM568" s="9" t="s">
        <v>500</v>
      </c>
      <c r="BN568" s="9" t="s">
        <v>500</v>
      </c>
      <c r="BO568" s="9" t="s">
        <v>500</v>
      </c>
      <c r="BP568" s="9" t="s">
        <v>500</v>
      </c>
      <c r="BQ568" s="9" t="s">
        <v>500</v>
      </c>
      <c r="BR568" s="9" t="s">
        <v>500</v>
      </c>
      <c r="BS568" s="9" t="s">
        <v>500</v>
      </c>
      <c r="BT568" s="9" t="s">
        <v>500</v>
      </c>
      <c r="BU568" s="9" t="s">
        <v>500</v>
      </c>
      <c r="BV568" s="9" t="s">
        <v>500</v>
      </c>
      <c r="BW568" s="9" t="s">
        <v>500</v>
      </c>
      <c r="BX568" s="9" t="s">
        <v>500</v>
      </c>
      <c r="BY568" s="9" t="s">
        <v>500</v>
      </c>
      <c r="BZ568" s="9" t="s">
        <v>500</v>
      </c>
      <c r="CA568" s="9" t="s">
        <v>500</v>
      </c>
      <c r="CB568" s="9" t="s">
        <v>500</v>
      </c>
      <c r="CC568" s="9" t="s">
        <v>500</v>
      </c>
      <c r="CD568" s="9" t="s">
        <v>500</v>
      </c>
      <c r="CE568" s="9" t="s">
        <v>500</v>
      </c>
      <c r="CF568" s="9" t="s">
        <v>500</v>
      </c>
      <c r="CG568" s="9" t="s">
        <v>500</v>
      </c>
      <c r="CH568" s="9" t="s">
        <v>500</v>
      </c>
      <c r="CI568" s="9" t="s">
        <v>500</v>
      </c>
      <c r="CJ568" s="9" t="s">
        <v>500</v>
      </c>
      <c r="CK568" s="9" t="s">
        <v>500</v>
      </c>
      <c r="CL568" s="9" t="s">
        <v>500</v>
      </c>
      <c r="CM568" s="9" t="s">
        <v>500</v>
      </c>
      <c r="CN568" s="9" t="s">
        <v>500</v>
      </c>
      <c r="CO568" s="9" t="s">
        <v>500</v>
      </c>
      <c r="CP568" s="9" t="s">
        <v>500</v>
      </c>
      <c r="CQ568" s="9" t="s">
        <v>500</v>
      </c>
      <c r="CR568" s="9" t="s">
        <v>500</v>
      </c>
      <c r="CS568" s="9" t="s">
        <v>500</v>
      </c>
      <c r="CT568" s="9" t="s">
        <v>500</v>
      </c>
      <c r="CU568" s="9" t="s">
        <v>500</v>
      </c>
      <c r="CV568" s="9" t="s">
        <v>500</v>
      </c>
      <c r="CW568" s="9" t="s">
        <v>500</v>
      </c>
      <c r="CX568" s="9" t="s">
        <v>500</v>
      </c>
      <c r="CY568" s="9" t="s">
        <v>500</v>
      </c>
      <c r="CZ568" s="9" t="s">
        <v>500</v>
      </c>
      <c r="DA568" s="9" t="s">
        <v>500</v>
      </c>
      <c r="DB568" s="9" t="s">
        <v>500</v>
      </c>
      <c r="DC568" s="9">
        <v>89.7</v>
      </c>
      <c r="DD568" s="29">
        <v>1.25</v>
      </c>
      <c r="DE568" s="108">
        <v>245</v>
      </c>
      <c r="DF568" s="29">
        <v>113</v>
      </c>
      <c r="DG568" s="9">
        <f t="shared" si="8"/>
        <v>4.6119292938885454</v>
      </c>
      <c r="DH568" s="29">
        <v>22.6</v>
      </c>
      <c r="DI568" s="10">
        <v>7.78</v>
      </c>
      <c r="DJ568" s="9"/>
      <c r="DK568" s="9"/>
      <c r="DL568" s="9">
        <v>43.4</v>
      </c>
      <c r="DM568" s="9">
        <v>179</v>
      </c>
      <c r="DN568" s="9"/>
      <c r="DO568" s="9"/>
      <c r="DR568">
        <v>2</v>
      </c>
    </row>
    <row r="569" spans="1:125" customFormat="1" x14ac:dyDescent="0.2">
      <c r="A569" s="127" t="s">
        <v>5494</v>
      </c>
      <c r="B569" s="128">
        <v>43802</v>
      </c>
      <c r="C569" s="127" t="s">
        <v>675</v>
      </c>
      <c r="D569" s="127">
        <v>28</v>
      </c>
      <c r="E569" s="127" t="s">
        <v>100</v>
      </c>
      <c r="F569" s="128">
        <v>33421</v>
      </c>
      <c r="G569" s="127" t="s">
        <v>1509</v>
      </c>
      <c r="H569" s="127" t="s">
        <v>5495</v>
      </c>
      <c r="I569" s="127" t="s">
        <v>500</v>
      </c>
      <c r="J569" s="127" t="s">
        <v>500</v>
      </c>
      <c r="K569" s="127" t="s">
        <v>500</v>
      </c>
      <c r="L569" s="127" t="s">
        <v>500</v>
      </c>
      <c r="M569" s="127" t="s">
        <v>99</v>
      </c>
      <c r="N569" s="127" t="s">
        <v>99</v>
      </c>
      <c r="O569" s="127" t="s">
        <v>99</v>
      </c>
      <c r="P569" s="127" t="s">
        <v>99</v>
      </c>
      <c r="Q569" s="127" t="s">
        <v>5496</v>
      </c>
      <c r="R569" s="127" t="s">
        <v>99</v>
      </c>
      <c r="S569" s="127" t="s">
        <v>99</v>
      </c>
      <c r="T569" s="127" t="s">
        <v>110</v>
      </c>
      <c r="U569" s="127" t="s">
        <v>5493</v>
      </c>
      <c r="V569" s="127" t="s">
        <v>99</v>
      </c>
      <c r="W569" s="127" t="s">
        <v>99</v>
      </c>
      <c r="X569" s="127" t="s">
        <v>99</v>
      </c>
      <c r="Y569" s="127" t="s">
        <v>5497</v>
      </c>
      <c r="Z569" s="127" t="s">
        <v>99</v>
      </c>
      <c r="AA569" s="127" t="s">
        <v>2234</v>
      </c>
      <c r="AB569" s="127" t="s">
        <v>100</v>
      </c>
      <c r="AC569" s="127" t="s">
        <v>500</v>
      </c>
      <c r="AD569" s="127" t="s">
        <v>500</v>
      </c>
      <c r="AE569" s="127" t="s">
        <v>99</v>
      </c>
      <c r="AF569" s="127" t="s">
        <v>99</v>
      </c>
      <c r="AG569" s="127" t="s">
        <v>4981</v>
      </c>
      <c r="AH569" s="129" t="s">
        <v>99</v>
      </c>
      <c r="AI569" s="127" t="s">
        <v>99</v>
      </c>
      <c r="AJ569" s="9" t="s">
        <v>99</v>
      </c>
      <c r="AK569" s="9" t="s">
        <v>99</v>
      </c>
      <c r="AL569" s="9">
        <v>65.099999999999994</v>
      </c>
      <c r="AM569" s="9">
        <v>170</v>
      </c>
      <c r="AN569" s="7">
        <v>87</v>
      </c>
      <c r="AO569" s="9">
        <v>90</v>
      </c>
      <c r="AP569" s="9">
        <v>24.2</v>
      </c>
      <c r="AQ569" s="9">
        <v>6</v>
      </c>
      <c r="AR569" s="9">
        <v>35.299999999999997</v>
      </c>
      <c r="AS569" s="9">
        <v>32</v>
      </c>
      <c r="AT569" s="7">
        <v>22.5</v>
      </c>
      <c r="AU569" s="9">
        <v>110</v>
      </c>
      <c r="AV569" s="9">
        <v>83</v>
      </c>
      <c r="AW569" s="9" t="s">
        <v>110</v>
      </c>
      <c r="AX569" s="9" t="s">
        <v>1469</v>
      </c>
      <c r="AY569" s="9" t="s">
        <v>500</v>
      </c>
      <c r="AZ569" s="9" t="s">
        <v>500</v>
      </c>
      <c r="BA569" s="9" t="s">
        <v>110</v>
      </c>
      <c r="BB569" s="9" t="s">
        <v>212</v>
      </c>
      <c r="BC569" s="9" t="s">
        <v>500</v>
      </c>
      <c r="BD569" s="9" t="s">
        <v>500</v>
      </c>
      <c r="BE569" s="9" t="s">
        <v>110</v>
      </c>
      <c r="BF569" s="9" t="s">
        <v>707</v>
      </c>
      <c r="BG569" s="9" t="s">
        <v>213</v>
      </c>
      <c r="BH569" s="9" t="s">
        <v>213</v>
      </c>
      <c r="BI569" s="9" t="s">
        <v>213</v>
      </c>
      <c r="BJ569" s="9" t="s">
        <v>500</v>
      </c>
      <c r="BK569" s="9" t="s">
        <v>500</v>
      </c>
      <c r="BL569" s="9" t="s">
        <v>110</v>
      </c>
      <c r="BM569" s="9" t="s">
        <v>707</v>
      </c>
      <c r="BN569" s="9" t="s">
        <v>500</v>
      </c>
      <c r="BO569" s="9" t="s">
        <v>500</v>
      </c>
      <c r="BP569" s="9" t="s">
        <v>500</v>
      </c>
      <c r="BQ569" s="9" t="s">
        <v>99</v>
      </c>
      <c r="BR569" s="9" t="s">
        <v>500</v>
      </c>
      <c r="BS569" s="9" t="s">
        <v>500</v>
      </c>
      <c r="BT569" s="9" t="s">
        <v>500</v>
      </c>
      <c r="BU569" s="9" t="s">
        <v>99</v>
      </c>
      <c r="BV569" s="9" t="s">
        <v>500</v>
      </c>
      <c r="BW569" s="9" t="s">
        <v>500</v>
      </c>
      <c r="BX569" s="9" t="s">
        <v>500</v>
      </c>
      <c r="BY569" s="9" t="s">
        <v>110</v>
      </c>
      <c r="BZ569" s="9" t="s">
        <v>213</v>
      </c>
      <c r="CA569" s="9" t="s">
        <v>500</v>
      </c>
      <c r="CB569" s="9" t="s">
        <v>500</v>
      </c>
      <c r="CC569" s="9" t="s">
        <v>99</v>
      </c>
      <c r="CD569" s="9" t="s">
        <v>500</v>
      </c>
      <c r="CE569" s="9" t="s">
        <v>500</v>
      </c>
      <c r="CF569" s="9" t="s">
        <v>500</v>
      </c>
      <c r="CG569" s="9" t="s">
        <v>99</v>
      </c>
      <c r="CH569" s="9" t="s">
        <v>500</v>
      </c>
      <c r="CI569" s="9" t="s">
        <v>500</v>
      </c>
      <c r="CJ569" s="9" t="s">
        <v>500</v>
      </c>
      <c r="CK569" s="9" t="s">
        <v>176</v>
      </c>
      <c r="CL569" s="9" t="s">
        <v>579</v>
      </c>
      <c r="CM569" s="9" t="s">
        <v>500</v>
      </c>
      <c r="CN569" s="9" t="s">
        <v>500</v>
      </c>
      <c r="CO569" s="9" t="s">
        <v>110</v>
      </c>
      <c r="CP569" s="9" t="s">
        <v>5498</v>
      </c>
      <c r="CQ569" s="9" t="s">
        <v>500</v>
      </c>
      <c r="CR569" s="9" t="s">
        <v>500</v>
      </c>
      <c r="CS569" s="9" t="s">
        <v>213</v>
      </c>
      <c r="CT569" s="9" t="s">
        <v>500</v>
      </c>
      <c r="CU569" s="9" t="s">
        <v>500</v>
      </c>
      <c r="CV569" s="9" t="s">
        <v>500</v>
      </c>
      <c r="CW569" s="9">
        <v>3</v>
      </c>
      <c r="CX569" s="9" t="s">
        <v>99</v>
      </c>
      <c r="CY569" s="9" t="s">
        <v>110</v>
      </c>
      <c r="CZ569" s="9">
        <v>30</v>
      </c>
      <c r="DA569" s="9">
        <v>40</v>
      </c>
      <c r="DB569" s="9">
        <v>30</v>
      </c>
      <c r="DC569" s="9">
        <v>89</v>
      </c>
      <c r="DD569" s="9">
        <v>0.75</v>
      </c>
      <c r="DE569" s="10">
        <v>220</v>
      </c>
      <c r="DF569" s="9">
        <v>95</v>
      </c>
      <c r="DG569" s="9">
        <f t="shared" si="8"/>
        <v>4.5212566306663406</v>
      </c>
      <c r="DH569" s="9">
        <v>19</v>
      </c>
      <c r="DI569" s="9">
        <v>6.32</v>
      </c>
      <c r="DJ569" s="9"/>
      <c r="DK569" s="9"/>
      <c r="DL569" s="9">
        <v>56</v>
      </c>
      <c r="DM569" s="9">
        <v>145</v>
      </c>
      <c r="DN569" s="9"/>
      <c r="DO569" s="9"/>
      <c r="DR569">
        <v>2</v>
      </c>
    </row>
    <row r="570" spans="1:125" customFormat="1" x14ac:dyDescent="0.2">
      <c r="A570" s="127" t="s">
        <v>5499</v>
      </c>
      <c r="B570" s="128">
        <v>43802</v>
      </c>
      <c r="C570" s="127" t="s">
        <v>196</v>
      </c>
      <c r="D570" s="127">
        <v>51</v>
      </c>
      <c r="E570" s="127" t="s">
        <v>100</v>
      </c>
      <c r="F570" s="128">
        <v>24872</v>
      </c>
      <c r="G570" s="127" t="s">
        <v>2495</v>
      </c>
      <c r="H570" s="127" t="s">
        <v>5492</v>
      </c>
      <c r="I570" s="127" t="s">
        <v>500</v>
      </c>
      <c r="J570" s="127" t="s">
        <v>500</v>
      </c>
      <c r="K570" s="127">
        <v>2006</v>
      </c>
      <c r="L570" s="127">
        <v>3</v>
      </c>
      <c r="M570" s="127" t="s">
        <v>99</v>
      </c>
      <c r="N570" s="127" t="s">
        <v>99</v>
      </c>
      <c r="O570" s="127" t="s">
        <v>99</v>
      </c>
      <c r="P570" s="127" t="s">
        <v>99</v>
      </c>
      <c r="Q570" s="127" t="s">
        <v>500</v>
      </c>
      <c r="R570" s="127" t="s">
        <v>99</v>
      </c>
      <c r="S570" s="127" t="s">
        <v>99</v>
      </c>
      <c r="T570" s="127" t="s">
        <v>99</v>
      </c>
      <c r="U570" s="127" t="s">
        <v>5500</v>
      </c>
      <c r="V570" s="127" t="s">
        <v>99</v>
      </c>
      <c r="W570" s="127" t="s">
        <v>5501</v>
      </c>
      <c r="X570" s="127" t="s">
        <v>99</v>
      </c>
      <c r="Y570" s="127" t="s">
        <v>5502</v>
      </c>
      <c r="Z570" s="127" t="s">
        <v>99</v>
      </c>
      <c r="AA570" s="127" t="s">
        <v>100</v>
      </c>
      <c r="AB570" s="127" t="s">
        <v>100</v>
      </c>
      <c r="AC570" s="127" t="s">
        <v>500</v>
      </c>
      <c r="AD570" s="127" t="s">
        <v>500</v>
      </c>
      <c r="AE570" s="127" t="s">
        <v>99</v>
      </c>
      <c r="AF570" s="127" t="s">
        <v>1127</v>
      </c>
      <c r="AG570" s="127" t="s">
        <v>99</v>
      </c>
      <c r="AH570" s="129" t="s">
        <v>1127</v>
      </c>
      <c r="AI570" s="127" t="s">
        <v>99</v>
      </c>
      <c r="AJ570" s="9" t="s">
        <v>99</v>
      </c>
      <c r="AK570" s="9" t="s">
        <v>99</v>
      </c>
      <c r="AL570" s="9">
        <v>63.5</v>
      </c>
      <c r="AM570" s="9">
        <v>163</v>
      </c>
      <c r="AN570" s="9">
        <v>82</v>
      </c>
      <c r="AO570" s="9">
        <v>99</v>
      </c>
      <c r="AP570" s="9">
        <v>38.6</v>
      </c>
      <c r="AQ570" s="9">
        <v>7</v>
      </c>
      <c r="AR570" s="9">
        <v>24.3</v>
      </c>
      <c r="AS570" s="9">
        <v>47</v>
      </c>
      <c r="AT570" s="7">
        <v>23.9</v>
      </c>
      <c r="AU570" s="9">
        <v>129</v>
      </c>
      <c r="AV570" s="9">
        <v>71</v>
      </c>
      <c r="AW570" s="9" t="s">
        <v>176</v>
      </c>
      <c r="AX570" s="9" t="s">
        <v>3352</v>
      </c>
      <c r="AY570" s="9" t="s">
        <v>3351</v>
      </c>
      <c r="AZ570" s="9" t="s">
        <v>5503</v>
      </c>
      <c r="BA570" s="9" t="s">
        <v>500</v>
      </c>
      <c r="BB570" s="9" t="s">
        <v>500</v>
      </c>
      <c r="BC570" s="9" t="s">
        <v>500</v>
      </c>
      <c r="BD570" s="9" t="s">
        <v>500</v>
      </c>
      <c r="BE570" s="9" t="s">
        <v>110</v>
      </c>
      <c r="BF570" s="9" t="s">
        <v>213</v>
      </c>
      <c r="BG570" s="9" t="s">
        <v>500</v>
      </c>
      <c r="BH570" s="9" t="s">
        <v>99</v>
      </c>
      <c r="BI570" s="9" t="s">
        <v>500</v>
      </c>
      <c r="BJ570" s="9" t="s">
        <v>99</v>
      </c>
      <c r="BK570" s="9" t="s">
        <v>213</v>
      </c>
      <c r="BL570" s="9" t="s">
        <v>110</v>
      </c>
      <c r="BM570" s="9" t="s">
        <v>176</v>
      </c>
      <c r="BN570" s="9" t="s">
        <v>500</v>
      </c>
      <c r="BO570" s="9" t="s">
        <v>500</v>
      </c>
      <c r="BP570" s="9" t="s">
        <v>500</v>
      </c>
      <c r="BQ570" s="9" t="s">
        <v>99</v>
      </c>
      <c r="BR570" s="9" t="s">
        <v>500</v>
      </c>
      <c r="BS570" s="9" t="s">
        <v>500</v>
      </c>
      <c r="BT570" s="9" t="s">
        <v>500</v>
      </c>
      <c r="BU570" s="9" t="s">
        <v>176</v>
      </c>
      <c r="BV570" s="9" t="s">
        <v>500</v>
      </c>
      <c r="BW570" s="9" t="s">
        <v>500</v>
      </c>
      <c r="BX570" s="9" t="s">
        <v>500</v>
      </c>
      <c r="BY570" s="9" t="s">
        <v>500</v>
      </c>
      <c r="BZ570" s="9" t="s">
        <v>500</v>
      </c>
      <c r="CA570" s="9" t="s">
        <v>500</v>
      </c>
      <c r="CB570" s="9" t="s">
        <v>500</v>
      </c>
      <c r="CC570" s="9" t="s">
        <v>500</v>
      </c>
      <c r="CD570" s="9" t="s">
        <v>500</v>
      </c>
      <c r="CE570" s="9" t="s">
        <v>500</v>
      </c>
      <c r="CF570" s="9" t="s">
        <v>500</v>
      </c>
      <c r="CG570" s="9" t="s">
        <v>500</v>
      </c>
      <c r="CH570" s="9" t="s">
        <v>500</v>
      </c>
      <c r="CI570" s="9" t="s">
        <v>500</v>
      </c>
      <c r="CJ570" s="9" t="s">
        <v>500</v>
      </c>
      <c r="CK570" s="9" t="s">
        <v>500</v>
      </c>
      <c r="CL570" s="9" t="s">
        <v>500</v>
      </c>
      <c r="CM570" s="9" t="s">
        <v>500</v>
      </c>
      <c r="CN570" s="9" t="s">
        <v>500</v>
      </c>
      <c r="CO570" s="9" t="s">
        <v>500</v>
      </c>
      <c r="CP570" s="9" t="s">
        <v>500</v>
      </c>
      <c r="CQ570" s="9" t="s">
        <v>500</v>
      </c>
      <c r="CR570" s="9" t="s">
        <v>500</v>
      </c>
      <c r="CS570" s="9" t="s">
        <v>500</v>
      </c>
      <c r="CT570" s="9" t="s">
        <v>500</v>
      </c>
      <c r="CU570" s="9" t="s">
        <v>500</v>
      </c>
      <c r="CV570" s="9" t="s">
        <v>500</v>
      </c>
      <c r="CW570" s="9" t="s">
        <v>500</v>
      </c>
      <c r="CX570" s="9" t="s">
        <v>500</v>
      </c>
      <c r="CY570" s="9" t="s">
        <v>500</v>
      </c>
      <c r="CZ570" s="9" t="s">
        <v>500</v>
      </c>
      <c r="DA570" s="9" t="s">
        <v>500</v>
      </c>
      <c r="DB570" s="9" t="s">
        <v>500</v>
      </c>
      <c r="DC570" s="9">
        <v>93.4</v>
      </c>
      <c r="DD570" s="9">
        <v>0.75</v>
      </c>
      <c r="DE570" s="10">
        <v>213</v>
      </c>
      <c r="DF570" s="9">
        <v>113</v>
      </c>
      <c r="DG570" s="9">
        <f t="shared" si="8"/>
        <v>4.6321395819735685</v>
      </c>
      <c r="DH570" s="9">
        <v>22.6</v>
      </c>
      <c r="DI570" s="9">
        <v>5.07</v>
      </c>
      <c r="DJ570" s="9"/>
      <c r="DK570" s="9"/>
      <c r="DL570" s="9">
        <v>54.2</v>
      </c>
      <c r="DM570" s="9">
        <v>136.19999999999999</v>
      </c>
      <c r="DN570" s="9"/>
      <c r="DO570" s="9"/>
      <c r="DR570">
        <v>2</v>
      </c>
    </row>
    <row r="571" spans="1:125" customFormat="1" x14ac:dyDescent="0.2">
      <c r="A571" s="127" t="s">
        <v>5504</v>
      </c>
      <c r="B571" s="128">
        <v>43802</v>
      </c>
      <c r="C571" s="127" t="s">
        <v>196</v>
      </c>
      <c r="D571" s="127">
        <v>40</v>
      </c>
      <c r="E571" s="127" t="s">
        <v>100</v>
      </c>
      <c r="F571" s="128">
        <v>29088</v>
      </c>
      <c r="G571" s="127" t="s">
        <v>813</v>
      </c>
      <c r="H571" s="127" t="s">
        <v>500</v>
      </c>
      <c r="I571" s="127" t="s">
        <v>2789</v>
      </c>
      <c r="J571" s="127" t="s">
        <v>1299</v>
      </c>
      <c r="K571" s="128">
        <v>40060</v>
      </c>
      <c r="L571" s="127">
        <v>2</v>
      </c>
      <c r="M571" s="127" t="s">
        <v>99</v>
      </c>
      <c r="N571" s="127" t="s">
        <v>99</v>
      </c>
      <c r="O571" s="127" t="s">
        <v>500</v>
      </c>
      <c r="P571" s="127" t="s">
        <v>99</v>
      </c>
      <c r="Q571" s="127" t="s">
        <v>99</v>
      </c>
      <c r="R571" s="127" t="s">
        <v>5505</v>
      </c>
      <c r="S571" s="127" t="s">
        <v>5506</v>
      </c>
      <c r="T571" s="127" t="s">
        <v>5451</v>
      </c>
      <c r="U571" s="127" t="s">
        <v>5507</v>
      </c>
      <c r="V571" s="127" t="s">
        <v>5508</v>
      </c>
      <c r="W571" s="127" t="s">
        <v>99</v>
      </c>
      <c r="X571" s="127" t="s">
        <v>99</v>
      </c>
      <c r="Y571" s="127" t="s">
        <v>99</v>
      </c>
      <c r="Z571" s="127" t="s">
        <v>99</v>
      </c>
      <c r="AA571" s="127" t="s">
        <v>100</v>
      </c>
      <c r="AB571" s="127" t="s">
        <v>100</v>
      </c>
      <c r="AC571" s="127" t="s">
        <v>100</v>
      </c>
      <c r="AD571" s="127" t="s">
        <v>100</v>
      </c>
      <c r="AE571" s="127" t="s">
        <v>5509</v>
      </c>
      <c r="AF571" s="127" t="s">
        <v>99</v>
      </c>
      <c r="AG571" s="127" t="s">
        <v>99</v>
      </c>
      <c r="AH571" s="129" t="s">
        <v>99</v>
      </c>
      <c r="AI571" s="127" t="s">
        <v>99</v>
      </c>
      <c r="AJ571" s="9" t="s">
        <v>99</v>
      </c>
      <c r="AK571" s="9" t="s">
        <v>99</v>
      </c>
      <c r="AL571" s="9">
        <v>81.3</v>
      </c>
      <c r="AM571" s="9">
        <v>152</v>
      </c>
      <c r="AN571" s="9">
        <v>107</v>
      </c>
      <c r="AO571" s="9">
        <v>116</v>
      </c>
      <c r="AP571" s="9">
        <v>53.5</v>
      </c>
      <c r="AQ571" s="9">
        <v>10</v>
      </c>
      <c r="AR571" s="9">
        <v>19.5</v>
      </c>
      <c r="AS571" s="9">
        <v>67</v>
      </c>
      <c r="AT571" s="9">
        <v>35.200000000000003</v>
      </c>
      <c r="AU571" s="10">
        <v>150</v>
      </c>
      <c r="AV571" s="10">
        <v>93</v>
      </c>
      <c r="AW571" s="9" t="s">
        <v>176</v>
      </c>
      <c r="AX571" s="9" t="s">
        <v>1128</v>
      </c>
      <c r="AY571" s="9" t="s">
        <v>2692</v>
      </c>
      <c r="AZ571" s="9" t="s">
        <v>3351</v>
      </c>
      <c r="BA571" s="9" t="s">
        <v>351</v>
      </c>
      <c r="BB571" s="9" t="s">
        <v>500</v>
      </c>
      <c r="BC571" s="9" t="s">
        <v>500</v>
      </c>
      <c r="BD571" s="9" t="s">
        <v>500</v>
      </c>
      <c r="BE571" s="9" t="s">
        <v>110</v>
      </c>
      <c r="BF571" s="9" t="s">
        <v>213</v>
      </c>
      <c r="BG571" s="9" t="s">
        <v>213</v>
      </c>
      <c r="BH571" s="9" t="s">
        <v>216</v>
      </c>
      <c r="BI571" s="9" t="s">
        <v>1134</v>
      </c>
      <c r="BJ571" s="9" t="s">
        <v>1134</v>
      </c>
      <c r="BK571" s="9" t="s">
        <v>5510</v>
      </c>
      <c r="BL571" s="9" t="s">
        <v>110</v>
      </c>
      <c r="BM571" s="9" t="s">
        <v>176</v>
      </c>
      <c r="BN571" s="9" t="s">
        <v>500</v>
      </c>
      <c r="BO571" s="9" t="s">
        <v>500</v>
      </c>
      <c r="BP571" s="9" t="s">
        <v>500</v>
      </c>
      <c r="BQ571" s="9" t="s">
        <v>99</v>
      </c>
      <c r="BR571" s="9" t="s">
        <v>500</v>
      </c>
      <c r="BS571" s="9" t="s">
        <v>500</v>
      </c>
      <c r="BT571" s="9" t="s">
        <v>500</v>
      </c>
      <c r="BU571" s="9" t="s">
        <v>99</v>
      </c>
      <c r="BV571" s="9" t="s">
        <v>500</v>
      </c>
      <c r="BW571" s="9" t="s">
        <v>500</v>
      </c>
      <c r="BX571" s="9" t="s">
        <v>500</v>
      </c>
      <c r="BY571" s="9" t="s">
        <v>110</v>
      </c>
      <c r="BZ571" s="9" t="s">
        <v>5511</v>
      </c>
      <c r="CA571" s="9" t="s">
        <v>500</v>
      </c>
      <c r="CB571" s="9" t="s">
        <v>500</v>
      </c>
      <c r="CC571" s="9" t="s">
        <v>99</v>
      </c>
      <c r="CD571" s="9" t="s">
        <v>500</v>
      </c>
      <c r="CE571" s="9" t="s">
        <v>500</v>
      </c>
      <c r="CF571" s="9" t="s">
        <v>500</v>
      </c>
      <c r="CG571" s="9" t="s">
        <v>99</v>
      </c>
      <c r="CH571" s="9" t="s">
        <v>500</v>
      </c>
      <c r="CI571" s="9" t="s">
        <v>500</v>
      </c>
      <c r="CJ571" s="9" t="s">
        <v>500</v>
      </c>
      <c r="CK571" s="9" t="s">
        <v>176</v>
      </c>
      <c r="CL571" s="9" t="s">
        <v>581</v>
      </c>
      <c r="CM571" s="9" t="s">
        <v>579</v>
      </c>
      <c r="CN571" s="9" t="s">
        <v>5512</v>
      </c>
      <c r="CO571" s="9" t="s">
        <v>110</v>
      </c>
      <c r="CP571" s="9" t="s">
        <v>350</v>
      </c>
      <c r="CQ571" s="9" t="s">
        <v>500</v>
      </c>
      <c r="CR571" s="9" t="s">
        <v>500</v>
      </c>
      <c r="CS571" s="9" t="s">
        <v>5513</v>
      </c>
      <c r="CT571" s="9" t="s">
        <v>500</v>
      </c>
      <c r="CU571" s="9" t="s">
        <v>500</v>
      </c>
      <c r="CV571" s="9" t="s">
        <v>500</v>
      </c>
      <c r="CW571" s="9">
        <v>3</v>
      </c>
      <c r="CX571" s="9" t="s">
        <v>99</v>
      </c>
      <c r="CY571" s="9" t="s">
        <v>110</v>
      </c>
      <c r="CZ571" s="9">
        <v>40</v>
      </c>
      <c r="DA571" s="9">
        <v>50</v>
      </c>
      <c r="DB571" s="9">
        <v>20</v>
      </c>
      <c r="DC571">
        <v>87.5</v>
      </c>
      <c r="DD571">
        <v>0.71</v>
      </c>
      <c r="DE571">
        <v>188</v>
      </c>
      <c r="DF571">
        <v>74</v>
      </c>
      <c r="DG571" s="9">
        <f t="shared" si="8"/>
        <v>4.3878519432838692</v>
      </c>
      <c r="DH571">
        <v>14.8</v>
      </c>
      <c r="DI571">
        <v>5.95</v>
      </c>
      <c r="DL571">
        <v>63.3</v>
      </c>
      <c r="DM571">
        <v>109.9</v>
      </c>
      <c r="DN571" s="9"/>
      <c r="DO571" s="9"/>
      <c r="DR571">
        <v>2</v>
      </c>
    </row>
    <row r="572" spans="1:125" customFormat="1" x14ac:dyDescent="0.2">
      <c r="A572" s="143" t="s">
        <v>5514</v>
      </c>
      <c r="B572" s="128">
        <v>43802</v>
      </c>
      <c r="C572" s="127" t="s">
        <v>196</v>
      </c>
      <c r="D572" s="127">
        <v>40</v>
      </c>
      <c r="E572" s="127" t="s">
        <v>100</v>
      </c>
      <c r="F572" s="128">
        <v>29038</v>
      </c>
      <c r="G572" s="127" t="s">
        <v>2495</v>
      </c>
      <c r="H572" s="127" t="s">
        <v>5515</v>
      </c>
      <c r="I572" s="127" t="s">
        <v>500</v>
      </c>
      <c r="J572" s="127" t="s">
        <v>500</v>
      </c>
      <c r="K572" s="128">
        <v>38972</v>
      </c>
      <c r="L572" s="127">
        <v>2</v>
      </c>
      <c r="M572" s="127" t="s">
        <v>99</v>
      </c>
      <c r="N572" s="127" t="s">
        <v>500</v>
      </c>
      <c r="O572" s="127" t="s">
        <v>99</v>
      </c>
      <c r="P572" s="127" t="s">
        <v>99</v>
      </c>
      <c r="Q572" s="127" t="s">
        <v>99</v>
      </c>
      <c r="R572" s="127" t="s">
        <v>99</v>
      </c>
      <c r="S572" s="127" t="s">
        <v>99</v>
      </c>
      <c r="T572" s="127" t="s">
        <v>5493</v>
      </c>
      <c r="U572" s="127" t="s">
        <v>99</v>
      </c>
      <c r="V572" s="127" t="s">
        <v>99</v>
      </c>
      <c r="W572" s="127" t="s">
        <v>5516</v>
      </c>
      <c r="X572" s="127" t="s">
        <v>99</v>
      </c>
      <c r="Y572" s="127" t="s">
        <v>99</v>
      </c>
      <c r="Z572" s="127" t="s">
        <v>99</v>
      </c>
      <c r="AA572" s="127" t="s">
        <v>2777</v>
      </c>
      <c r="AB572" s="127" t="s">
        <v>1123</v>
      </c>
      <c r="AC572" s="127" t="s">
        <v>100</v>
      </c>
      <c r="AD572" s="127" t="s">
        <v>100</v>
      </c>
      <c r="AE572" s="127" t="s">
        <v>110</v>
      </c>
      <c r="AF572" s="127" t="s">
        <v>110</v>
      </c>
      <c r="AG572" s="127" t="s">
        <v>99</v>
      </c>
      <c r="AH572" s="129" t="s">
        <v>99</v>
      </c>
      <c r="AI572" s="127" t="s">
        <v>5517</v>
      </c>
      <c r="AJ572" s="9" t="s">
        <v>99</v>
      </c>
      <c r="AK572" s="9" t="s">
        <v>99</v>
      </c>
      <c r="AL572" s="9">
        <v>53.3</v>
      </c>
      <c r="AM572" s="9">
        <v>154</v>
      </c>
      <c r="AN572" s="7">
        <v>70</v>
      </c>
      <c r="AO572" s="9">
        <v>90</v>
      </c>
      <c r="AP572" s="9">
        <v>33.4</v>
      </c>
      <c r="AQ572" s="9">
        <v>5</v>
      </c>
      <c r="AR572" s="9">
        <v>27</v>
      </c>
      <c r="AS572" s="9">
        <v>40</v>
      </c>
      <c r="AT572" s="7">
        <v>22.5</v>
      </c>
      <c r="AU572" s="9">
        <v>112</v>
      </c>
      <c r="AV572" s="9">
        <v>80</v>
      </c>
      <c r="AW572" s="9" t="s">
        <v>110</v>
      </c>
      <c r="AX572" s="9" t="s">
        <v>5518</v>
      </c>
      <c r="AY572" s="9" t="s">
        <v>500</v>
      </c>
      <c r="AZ572" s="9" t="s">
        <v>500</v>
      </c>
      <c r="BA572" s="9" t="s">
        <v>351</v>
      </c>
      <c r="BB572" s="9" t="s">
        <v>500</v>
      </c>
      <c r="BC572" s="9" t="s">
        <v>500</v>
      </c>
      <c r="BD572" s="9" t="s">
        <v>500</v>
      </c>
      <c r="BE572" s="9" t="s">
        <v>110</v>
      </c>
      <c r="BF572" s="9" t="s">
        <v>176</v>
      </c>
      <c r="BG572" s="9" t="s">
        <v>99</v>
      </c>
      <c r="BH572" s="9" t="s">
        <v>99</v>
      </c>
      <c r="BI572" s="9" t="s">
        <v>707</v>
      </c>
      <c r="BJ572" s="9" t="s">
        <v>707</v>
      </c>
      <c r="BK572" s="9" t="s">
        <v>1469</v>
      </c>
      <c r="BL572" s="9" t="s">
        <v>110</v>
      </c>
      <c r="BM572" s="9" t="s">
        <v>1469</v>
      </c>
      <c r="BN572" s="9" t="s">
        <v>500</v>
      </c>
      <c r="BO572" s="9" t="s">
        <v>500</v>
      </c>
      <c r="BP572" s="9" t="s">
        <v>500</v>
      </c>
      <c r="BQ572" s="9" t="s">
        <v>99</v>
      </c>
      <c r="BR572" s="9" t="s">
        <v>500</v>
      </c>
      <c r="BS572" s="9" t="s">
        <v>500</v>
      </c>
      <c r="BT572" s="9" t="s">
        <v>500</v>
      </c>
      <c r="BU572" s="9" t="s">
        <v>99</v>
      </c>
      <c r="BV572" s="9" t="s">
        <v>500</v>
      </c>
      <c r="BW572" s="9" t="s">
        <v>500</v>
      </c>
      <c r="BX572" s="9" t="s">
        <v>500</v>
      </c>
      <c r="BY572" s="9" t="s">
        <v>110</v>
      </c>
      <c r="BZ572" s="9" t="s">
        <v>213</v>
      </c>
      <c r="CA572" s="9" t="s">
        <v>500</v>
      </c>
      <c r="CB572" s="9" t="s">
        <v>500</v>
      </c>
      <c r="CC572" s="9" t="s">
        <v>99</v>
      </c>
      <c r="CD572" s="9" t="s">
        <v>500</v>
      </c>
      <c r="CE572" s="9" t="s">
        <v>500</v>
      </c>
      <c r="CF572" s="9" t="s">
        <v>500</v>
      </c>
      <c r="CG572" s="9" t="s">
        <v>99</v>
      </c>
      <c r="CH572" s="9" t="s">
        <v>500</v>
      </c>
      <c r="CI572" s="9" t="s">
        <v>500</v>
      </c>
      <c r="CJ572" s="9" t="s">
        <v>500</v>
      </c>
      <c r="CK572" s="9" t="s">
        <v>176</v>
      </c>
      <c r="CL572" s="9" t="s">
        <v>579</v>
      </c>
      <c r="CM572" s="9" t="s">
        <v>500</v>
      </c>
      <c r="CN572" s="9" t="s">
        <v>500</v>
      </c>
      <c r="CO572" s="9" t="s">
        <v>110</v>
      </c>
      <c r="CP572" s="9" t="s">
        <v>5498</v>
      </c>
      <c r="CQ572" s="9" t="s">
        <v>500</v>
      </c>
      <c r="CR572" s="9" t="s">
        <v>500</v>
      </c>
      <c r="CS572" s="9" t="s">
        <v>99</v>
      </c>
      <c r="CT572" s="9" t="s">
        <v>500</v>
      </c>
      <c r="CU572" s="9" t="s">
        <v>500</v>
      </c>
      <c r="CV572" s="9" t="s">
        <v>500</v>
      </c>
      <c r="CW572" s="9">
        <v>3</v>
      </c>
      <c r="CX572" s="9" t="s">
        <v>99</v>
      </c>
      <c r="CY572" s="9" t="s">
        <v>110</v>
      </c>
      <c r="CZ572" s="9">
        <v>30</v>
      </c>
      <c r="DA572" s="9">
        <v>30</v>
      </c>
      <c r="DB572" s="9">
        <v>40</v>
      </c>
      <c r="DC572" s="9">
        <v>83.2</v>
      </c>
      <c r="DD572" s="9">
        <v>0.76</v>
      </c>
      <c r="DE572" s="9">
        <v>198</v>
      </c>
      <c r="DF572" s="9">
        <v>80</v>
      </c>
      <c r="DG572" s="9">
        <f t="shared" si="8"/>
        <v>4.4016369912505224</v>
      </c>
      <c r="DH572" s="9">
        <v>16</v>
      </c>
      <c r="DI572" s="9">
        <v>4.3600000000000003</v>
      </c>
      <c r="DJ572" s="9"/>
      <c r="DK572" s="9"/>
      <c r="DL572" s="9">
        <v>60.4</v>
      </c>
      <c r="DM572" s="9">
        <v>121.6</v>
      </c>
      <c r="DN572" s="9"/>
      <c r="DO572" s="9"/>
      <c r="DP572" s="53">
        <v>3</v>
      </c>
      <c r="DR572">
        <v>3</v>
      </c>
      <c r="DU572">
        <v>4.5</v>
      </c>
    </row>
    <row r="573" spans="1:125" customFormat="1" x14ac:dyDescent="0.2">
      <c r="A573" s="127" t="s">
        <v>5519</v>
      </c>
      <c r="B573" s="128">
        <v>43802</v>
      </c>
      <c r="C573" s="127" t="s">
        <v>196</v>
      </c>
      <c r="D573" s="127">
        <v>18</v>
      </c>
      <c r="E573" s="127" t="s">
        <v>100</v>
      </c>
      <c r="F573" s="128">
        <v>37068</v>
      </c>
      <c r="G573" s="127" t="s">
        <v>1509</v>
      </c>
      <c r="H573" s="127" t="s">
        <v>5520</v>
      </c>
      <c r="I573" s="127" t="s">
        <v>2020</v>
      </c>
      <c r="J573" s="127" t="s">
        <v>500</v>
      </c>
      <c r="K573" s="127" t="s">
        <v>500</v>
      </c>
      <c r="L573" s="127" t="s">
        <v>500</v>
      </c>
      <c r="M573" s="127" t="s">
        <v>99</v>
      </c>
      <c r="N573" s="127" t="s">
        <v>99</v>
      </c>
      <c r="O573" s="127" t="s">
        <v>99</v>
      </c>
      <c r="P573" s="127" t="s">
        <v>99</v>
      </c>
      <c r="Q573" s="127" t="s">
        <v>99</v>
      </c>
      <c r="R573" s="127" t="s">
        <v>99</v>
      </c>
      <c r="S573" s="127" t="s">
        <v>99</v>
      </c>
      <c r="T573" s="127" t="s">
        <v>99</v>
      </c>
      <c r="U573" s="127" t="s">
        <v>99</v>
      </c>
      <c r="V573" s="127" t="s">
        <v>99</v>
      </c>
      <c r="W573" s="127" t="s">
        <v>2630</v>
      </c>
      <c r="X573" s="127" t="s">
        <v>99</v>
      </c>
      <c r="Y573" s="127" t="s">
        <v>5521</v>
      </c>
      <c r="Z573" s="127" t="s">
        <v>99</v>
      </c>
      <c r="AA573" s="127" t="s">
        <v>100</v>
      </c>
      <c r="AB573" s="127" t="s">
        <v>5522</v>
      </c>
      <c r="AC573" s="127" t="s">
        <v>1123</v>
      </c>
      <c r="AD573" s="127" t="s">
        <v>5417</v>
      </c>
      <c r="AE573" s="127" t="s">
        <v>1728</v>
      </c>
      <c r="AF573" s="127" t="s">
        <v>1728</v>
      </c>
      <c r="AG573" s="127" t="s">
        <v>1126</v>
      </c>
      <c r="AH573" s="129" t="s">
        <v>99</v>
      </c>
      <c r="AI573" s="127" t="s">
        <v>5523</v>
      </c>
      <c r="AJ573" s="9" t="s">
        <v>99</v>
      </c>
      <c r="AK573" s="9" t="s">
        <v>99</v>
      </c>
      <c r="AL573" s="9">
        <v>54</v>
      </c>
      <c r="AM573" s="9">
        <v>155</v>
      </c>
      <c r="AN573" s="7">
        <v>65</v>
      </c>
      <c r="AO573" s="9">
        <v>96</v>
      </c>
      <c r="AP573" s="9">
        <v>20.399999999999999</v>
      </c>
      <c r="AQ573" s="9">
        <v>5</v>
      </c>
      <c r="AR573" s="9">
        <v>40.700000000000003</v>
      </c>
      <c r="AS573" s="9">
        <v>18</v>
      </c>
      <c r="AT573" s="7">
        <v>22.5</v>
      </c>
      <c r="AU573" s="9">
        <v>115</v>
      </c>
      <c r="AV573" s="9">
        <v>67</v>
      </c>
      <c r="AW573" s="9" t="s">
        <v>5524</v>
      </c>
      <c r="AX573" s="9" t="s">
        <v>5518</v>
      </c>
      <c r="AY573" s="9" t="s">
        <v>500</v>
      </c>
      <c r="AZ573" s="9" t="s">
        <v>500</v>
      </c>
      <c r="BA573" s="9" t="s">
        <v>351</v>
      </c>
      <c r="BB573" s="9" t="s">
        <v>500</v>
      </c>
      <c r="BC573" s="9" t="s">
        <v>500</v>
      </c>
      <c r="BD573" s="9" t="s">
        <v>500</v>
      </c>
      <c r="BE573" s="9" t="s">
        <v>110</v>
      </c>
      <c r="BF573" s="9" t="s">
        <v>176</v>
      </c>
      <c r="BG573" s="9" t="s">
        <v>99</v>
      </c>
      <c r="BH573" s="9" t="s">
        <v>212</v>
      </c>
      <c r="BI573" s="9" t="s">
        <v>176</v>
      </c>
      <c r="BJ573" s="9" t="s">
        <v>176</v>
      </c>
      <c r="BK573" s="9" t="s">
        <v>1469</v>
      </c>
      <c r="BL573" s="9" t="s">
        <v>110</v>
      </c>
      <c r="BM573" s="9" t="s">
        <v>707</v>
      </c>
      <c r="BN573" s="9" t="s">
        <v>500</v>
      </c>
      <c r="BO573" s="9" t="s">
        <v>500</v>
      </c>
      <c r="BP573" s="9" t="s">
        <v>500</v>
      </c>
      <c r="BQ573" s="9" t="s">
        <v>99</v>
      </c>
      <c r="BR573" s="9" t="s">
        <v>500</v>
      </c>
      <c r="BS573" s="9" t="s">
        <v>500</v>
      </c>
      <c r="BT573" s="9" t="s">
        <v>500</v>
      </c>
      <c r="BU573" s="9" t="s">
        <v>99</v>
      </c>
      <c r="BV573" s="9" t="s">
        <v>500</v>
      </c>
      <c r="BW573" s="9" t="s">
        <v>500</v>
      </c>
      <c r="BX573" s="9" t="s">
        <v>500</v>
      </c>
      <c r="BY573" s="9" t="s">
        <v>350</v>
      </c>
      <c r="BZ573" s="9" t="s">
        <v>500</v>
      </c>
      <c r="CA573" s="9" t="s">
        <v>500</v>
      </c>
      <c r="CB573" s="9" t="s">
        <v>500</v>
      </c>
      <c r="CC573" s="9" t="s">
        <v>99</v>
      </c>
      <c r="CD573" s="9" t="s">
        <v>500</v>
      </c>
      <c r="CE573" s="9" t="s">
        <v>500</v>
      </c>
      <c r="CF573" s="9" t="s">
        <v>500</v>
      </c>
      <c r="CG573" s="9" t="s">
        <v>99</v>
      </c>
      <c r="CH573" s="9" t="s">
        <v>500</v>
      </c>
      <c r="CI573" s="9" t="s">
        <v>500</v>
      </c>
      <c r="CJ573" s="9" t="s">
        <v>500</v>
      </c>
      <c r="CK573" s="9" t="s">
        <v>176</v>
      </c>
      <c r="CL573" s="9" t="s">
        <v>579</v>
      </c>
      <c r="CM573" s="9" t="s">
        <v>500</v>
      </c>
      <c r="CN573" s="9" t="s">
        <v>500</v>
      </c>
      <c r="CO573" s="9" t="s">
        <v>176</v>
      </c>
      <c r="CP573" s="9" t="s">
        <v>5525</v>
      </c>
      <c r="CQ573" s="9" t="s">
        <v>500</v>
      </c>
      <c r="CR573" s="9" t="s">
        <v>500</v>
      </c>
      <c r="CS573" s="9" t="s">
        <v>176</v>
      </c>
      <c r="CT573" s="9" t="s">
        <v>500</v>
      </c>
      <c r="CU573" s="9" t="s">
        <v>500</v>
      </c>
      <c r="CV573" s="9" t="s">
        <v>500</v>
      </c>
      <c r="CW573" s="9" t="s">
        <v>188</v>
      </c>
      <c r="CX573" s="9" t="s">
        <v>99</v>
      </c>
      <c r="CY573" s="9" t="s">
        <v>110</v>
      </c>
      <c r="CZ573" s="9">
        <v>30</v>
      </c>
      <c r="DA573" s="9">
        <v>20</v>
      </c>
      <c r="DB573" s="9">
        <v>50</v>
      </c>
      <c r="DC573" s="9">
        <v>84.2</v>
      </c>
      <c r="DD573" s="9">
        <v>0</v>
      </c>
      <c r="DE573" s="9">
        <v>228</v>
      </c>
      <c r="DF573" s="9">
        <v>146</v>
      </c>
      <c r="DG573" s="9">
        <f t="shared" si="8"/>
        <v>4.7084007714783089</v>
      </c>
      <c r="DH573" s="9">
        <v>29.2</v>
      </c>
      <c r="DI573" s="9">
        <v>3.64</v>
      </c>
      <c r="DJ573" s="9"/>
      <c r="DK573" s="9"/>
      <c r="DL573" s="9">
        <v>71.7</v>
      </c>
      <c r="DM573" s="9">
        <v>127.1</v>
      </c>
      <c r="DN573" s="9"/>
      <c r="DO573" s="9"/>
      <c r="DR573">
        <v>3</v>
      </c>
    </row>
    <row r="574" spans="1:125" customFormat="1" x14ac:dyDescent="0.2">
      <c r="A574" s="127" t="s">
        <v>5526</v>
      </c>
      <c r="B574" s="128">
        <v>43802</v>
      </c>
      <c r="C574" s="127" t="s">
        <v>196</v>
      </c>
      <c r="D574" s="127">
        <v>53</v>
      </c>
      <c r="E574" s="127" t="s">
        <v>100</v>
      </c>
      <c r="F574" s="128">
        <v>24414</v>
      </c>
      <c r="G574" s="127" t="s">
        <v>5527</v>
      </c>
      <c r="H574" s="127" t="s">
        <v>5528</v>
      </c>
      <c r="I574" s="127" t="s">
        <v>4856</v>
      </c>
      <c r="J574" s="127" t="s">
        <v>3633</v>
      </c>
      <c r="K574" s="127" t="s">
        <v>500</v>
      </c>
      <c r="L574" s="127">
        <v>0</v>
      </c>
      <c r="M574" s="127" t="s">
        <v>99</v>
      </c>
      <c r="N574" s="127" t="s">
        <v>99</v>
      </c>
      <c r="O574" s="127" t="s">
        <v>99</v>
      </c>
      <c r="P574" s="127" t="s">
        <v>99</v>
      </c>
      <c r="Q574" s="127" t="s">
        <v>99</v>
      </c>
      <c r="R574" s="127" t="s">
        <v>99</v>
      </c>
      <c r="S574" s="127" t="s">
        <v>5529</v>
      </c>
      <c r="T574" s="127" t="s">
        <v>5530</v>
      </c>
      <c r="U574" s="127" t="s">
        <v>99</v>
      </c>
      <c r="V574" s="127" t="s">
        <v>99</v>
      </c>
      <c r="W574" s="127" t="s">
        <v>99</v>
      </c>
      <c r="X574" s="127" t="s">
        <v>99</v>
      </c>
      <c r="Y574" s="127" t="s">
        <v>5531</v>
      </c>
      <c r="Z574" s="127" t="s">
        <v>1903</v>
      </c>
      <c r="AA574" s="127" t="s">
        <v>100</v>
      </c>
      <c r="AB574" s="127" t="s">
        <v>1338</v>
      </c>
      <c r="AC574" s="127" t="s">
        <v>100</v>
      </c>
      <c r="AD574" s="127" t="s">
        <v>1338</v>
      </c>
      <c r="AE574" s="127" t="s">
        <v>99</v>
      </c>
      <c r="AF574" s="127" t="s">
        <v>5532</v>
      </c>
      <c r="AG574" s="127" t="s">
        <v>246</v>
      </c>
      <c r="AH574" s="129" t="s">
        <v>99</v>
      </c>
      <c r="AI574" s="127" t="s">
        <v>99</v>
      </c>
      <c r="AJ574" s="9" t="s">
        <v>99</v>
      </c>
      <c r="AK574" s="9" t="s">
        <v>1127</v>
      </c>
      <c r="AL574" s="9">
        <v>57.1</v>
      </c>
      <c r="AM574" s="9">
        <v>164</v>
      </c>
      <c r="AN574" s="9">
        <v>75</v>
      </c>
      <c r="AO574" s="9">
        <v>96</v>
      </c>
      <c r="AP574" s="9" t="s">
        <v>500</v>
      </c>
      <c r="AQ574" s="9" t="s">
        <v>500</v>
      </c>
      <c r="AR574" s="9" t="s">
        <v>500</v>
      </c>
      <c r="AS574" s="9" t="s">
        <v>500</v>
      </c>
      <c r="AT574" s="9" t="s">
        <v>500</v>
      </c>
      <c r="AU574" s="9">
        <v>128</v>
      </c>
      <c r="AV574" s="9">
        <v>75</v>
      </c>
      <c r="AW574" s="9" t="s">
        <v>110</v>
      </c>
      <c r="AX574" s="9" t="s">
        <v>5533</v>
      </c>
      <c r="AY574" s="9" t="s">
        <v>5534</v>
      </c>
      <c r="AZ574" s="9" t="s">
        <v>5535</v>
      </c>
      <c r="BA574" s="9" t="s">
        <v>110</v>
      </c>
      <c r="BB574" s="9" t="s">
        <v>1080</v>
      </c>
      <c r="BC574" s="9" t="s">
        <v>346</v>
      </c>
      <c r="BD574" s="9" t="s">
        <v>500</v>
      </c>
      <c r="BE574" s="9" t="s">
        <v>110</v>
      </c>
      <c r="BF574" s="9" t="s">
        <v>5536</v>
      </c>
      <c r="BG574" s="9" t="s">
        <v>707</v>
      </c>
      <c r="BH574" s="9" t="s">
        <v>216</v>
      </c>
      <c r="BI574" s="9" t="s">
        <v>176</v>
      </c>
      <c r="BJ574" s="9" t="s">
        <v>99</v>
      </c>
      <c r="BK574" s="9" t="s">
        <v>5537</v>
      </c>
      <c r="BL574" s="9" t="s">
        <v>110</v>
      </c>
      <c r="BM574" s="9" t="s">
        <v>350</v>
      </c>
      <c r="BN574" s="9" t="s">
        <v>179</v>
      </c>
      <c r="BO574" s="9" t="s">
        <v>125</v>
      </c>
      <c r="BP574" s="9" t="s">
        <v>180</v>
      </c>
      <c r="BQ574" s="9" t="s">
        <v>99</v>
      </c>
      <c r="BR574" s="9" t="s">
        <v>500</v>
      </c>
      <c r="BS574" s="9" t="s">
        <v>500</v>
      </c>
      <c r="BT574" s="9" t="s">
        <v>500</v>
      </c>
      <c r="BU574" s="9" t="s">
        <v>99</v>
      </c>
      <c r="BV574" s="9" t="s">
        <v>500</v>
      </c>
      <c r="BW574" s="9" t="s">
        <v>500</v>
      </c>
      <c r="BX574" s="9" t="s">
        <v>500</v>
      </c>
      <c r="BY574" s="9" t="s">
        <v>351</v>
      </c>
      <c r="BZ574" s="9" t="s">
        <v>182</v>
      </c>
      <c r="CA574" s="9" t="s">
        <v>577</v>
      </c>
      <c r="CB574" s="9" t="s">
        <v>183</v>
      </c>
      <c r="CC574" s="9" t="s">
        <v>99</v>
      </c>
      <c r="CD574" s="9" t="s">
        <v>500</v>
      </c>
      <c r="CE574" s="9" t="s">
        <v>500</v>
      </c>
      <c r="CF574" s="9" t="s">
        <v>500</v>
      </c>
      <c r="CG574" s="9" t="s">
        <v>99</v>
      </c>
      <c r="CH574" s="9" t="s">
        <v>500</v>
      </c>
      <c r="CI574" s="9" t="s">
        <v>500</v>
      </c>
      <c r="CJ574" s="9" t="s">
        <v>500</v>
      </c>
      <c r="CK574" s="9" t="s">
        <v>176</v>
      </c>
      <c r="CL574" s="9" t="s">
        <v>579</v>
      </c>
      <c r="CM574" s="9" t="s">
        <v>5538</v>
      </c>
      <c r="CN574" s="9" t="s">
        <v>5539</v>
      </c>
      <c r="CO574" s="9" t="s">
        <v>176</v>
      </c>
      <c r="CP574" s="9" t="s">
        <v>716</v>
      </c>
      <c r="CQ574" s="9" t="s">
        <v>361</v>
      </c>
      <c r="CR574" s="9" t="s">
        <v>5540</v>
      </c>
      <c r="CS574" s="9" t="s">
        <v>176</v>
      </c>
      <c r="CT574" s="9" t="s">
        <v>187</v>
      </c>
      <c r="CU574" s="9" t="s">
        <v>500</v>
      </c>
      <c r="CV574" s="9" t="s">
        <v>500</v>
      </c>
      <c r="CW574" s="9" t="s">
        <v>5541</v>
      </c>
      <c r="CX574" s="9" t="s">
        <v>110</v>
      </c>
      <c r="CY574" s="9" t="s">
        <v>110</v>
      </c>
      <c r="CZ574" s="9">
        <v>25</v>
      </c>
      <c r="DA574" s="9">
        <v>25</v>
      </c>
      <c r="DB574" s="9">
        <v>50</v>
      </c>
      <c r="DC574" s="9">
        <v>82.2</v>
      </c>
      <c r="DD574" s="9">
        <v>0.8</v>
      </c>
      <c r="DE574" s="10">
        <v>242</v>
      </c>
      <c r="DF574" s="9">
        <v>88</v>
      </c>
      <c r="DG574" s="9">
        <f t="shared" si="8"/>
        <v>4.4432460582701703</v>
      </c>
      <c r="DH574" s="9">
        <v>17.600000000000001</v>
      </c>
      <c r="DI574" s="9">
        <v>4.53</v>
      </c>
      <c r="DJ574" s="9"/>
      <c r="DK574" s="9"/>
      <c r="DL574" s="7">
        <v>87.2</v>
      </c>
      <c r="DM574" s="9">
        <v>137</v>
      </c>
      <c r="DN574" s="9"/>
      <c r="DO574" s="9"/>
    </row>
    <row r="575" spans="1:125" customFormat="1" x14ac:dyDescent="0.2">
      <c r="A575" s="127" t="s">
        <v>5542</v>
      </c>
      <c r="B575" s="128">
        <v>43802</v>
      </c>
      <c r="C575" s="128" t="s">
        <v>675</v>
      </c>
      <c r="D575" s="127">
        <v>22</v>
      </c>
      <c r="E575" s="127" t="s">
        <v>100</v>
      </c>
      <c r="F575" s="128">
        <v>35499</v>
      </c>
      <c r="G575" s="127" t="s">
        <v>500</v>
      </c>
      <c r="H575" s="127" t="s">
        <v>500</v>
      </c>
      <c r="I575" s="127" t="s">
        <v>500</v>
      </c>
      <c r="J575" s="127" t="s">
        <v>500</v>
      </c>
      <c r="K575" s="127" t="s">
        <v>500</v>
      </c>
      <c r="L575" s="127" t="s">
        <v>500</v>
      </c>
      <c r="M575" s="127" t="s">
        <v>99</v>
      </c>
      <c r="N575" s="127" t="s">
        <v>99</v>
      </c>
      <c r="O575" s="127" t="s">
        <v>99</v>
      </c>
      <c r="P575" s="127" t="s">
        <v>99</v>
      </c>
      <c r="Q575" s="127" t="s">
        <v>5543</v>
      </c>
      <c r="R575" s="127" t="s">
        <v>99</v>
      </c>
      <c r="S575" s="127" t="s">
        <v>99</v>
      </c>
      <c r="T575" s="127" t="s">
        <v>99</v>
      </c>
      <c r="U575" s="127" t="s">
        <v>5544</v>
      </c>
      <c r="V575" s="127" t="s">
        <v>99</v>
      </c>
      <c r="W575" s="127" t="s">
        <v>99</v>
      </c>
      <c r="X575" s="127" t="s">
        <v>99</v>
      </c>
      <c r="Y575" s="127" t="s">
        <v>99</v>
      </c>
      <c r="Z575" s="127" t="s">
        <v>99</v>
      </c>
      <c r="AA575" s="127" t="s">
        <v>2234</v>
      </c>
      <c r="AB575" s="127" t="s">
        <v>5522</v>
      </c>
      <c r="AC575" s="127" t="s">
        <v>2234</v>
      </c>
      <c r="AD575" s="127" t="s">
        <v>2234</v>
      </c>
      <c r="AE575" s="127" t="s">
        <v>5545</v>
      </c>
      <c r="AF575" s="127" t="s">
        <v>99</v>
      </c>
      <c r="AG575" s="127" t="s">
        <v>5546</v>
      </c>
      <c r="AH575" s="129" t="s">
        <v>99</v>
      </c>
      <c r="AI575" s="127" t="s">
        <v>99</v>
      </c>
      <c r="AJ575" s="9" t="s">
        <v>99</v>
      </c>
      <c r="AK575" s="9" t="s">
        <v>99</v>
      </c>
      <c r="AL575" s="9">
        <v>76.599999999999994</v>
      </c>
      <c r="AM575" s="9">
        <v>170</v>
      </c>
      <c r="AN575" s="9">
        <v>90</v>
      </c>
      <c r="AO575" s="9">
        <v>105</v>
      </c>
      <c r="AP575" s="9">
        <v>30.1</v>
      </c>
      <c r="AQ575" s="9">
        <v>9</v>
      </c>
      <c r="AR575" s="9">
        <v>34.299999999999997</v>
      </c>
      <c r="AS575" s="9">
        <v>41</v>
      </c>
      <c r="AT575" s="9">
        <v>26.5</v>
      </c>
      <c r="AU575" s="10">
        <v>160</v>
      </c>
      <c r="AV575" s="10">
        <v>96</v>
      </c>
      <c r="AW575" s="9" t="s">
        <v>176</v>
      </c>
      <c r="AX575" s="9" t="s">
        <v>500</v>
      </c>
      <c r="AY575" s="9" t="s">
        <v>500</v>
      </c>
      <c r="AZ575" s="9" t="s">
        <v>500</v>
      </c>
      <c r="BA575" s="9" t="s">
        <v>110</v>
      </c>
      <c r="BB575" s="9" t="s">
        <v>176</v>
      </c>
      <c r="BC575" s="9" t="s">
        <v>500</v>
      </c>
      <c r="BD575" s="9" t="s">
        <v>500</v>
      </c>
      <c r="BE575" s="9" t="s">
        <v>110</v>
      </c>
      <c r="BF575" s="9" t="s">
        <v>350</v>
      </c>
      <c r="BG575" s="9" t="s">
        <v>350</v>
      </c>
      <c r="BH575" s="9" t="s">
        <v>350</v>
      </c>
      <c r="BI575" s="9" t="s">
        <v>350</v>
      </c>
      <c r="BJ575" s="9" t="s">
        <v>818</v>
      </c>
      <c r="BK575" s="9" t="s">
        <v>350</v>
      </c>
      <c r="BL575" s="9" t="s">
        <v>110</v>
      </c>
      <c r="BM575" s="9" t="s">
        <v>176</v>
      </c>
      <c r="BN575" s="9" t="s">
        <v>500</v>
      </c>
      <c r="BO575" s="9" t="s">
        <v>500</v>
      </c>
      <c r="BP575" s="9" t="s">
        <v>500</v>
      </c>
      <c r="BQ575" s="9" t="s">
        <v>350</v>
      </c>
      <c r="BR575" s="9" t="s">
        <v>500</v>
      </c>
      <c r="BS575" s="9" t="s">
        <v>500</v>
      </c>
      <c r="BT575" s="9" t="s">
        <v>500</v>
      </c>
      <c r="BU575" s="9" t="s">
        <v>350</v>
      </c>
      <c r="BV575" s="9" t="s">
        <v>500</v>
      </c>
      <c r="BW575" s="9" t="s">
        <v>500</v>
      </c>
      <c r="BX575" s="9" t="s">
        <v>500</v>
      </c>
      <c r="BY575" s="9" t="s">
        <v>351</v>
      </c>
      <c r="BZ575" s="9" t="s">
        <v>500</v>
      </c>
      <c r="CA575" s="9" t="s">
        <v>500</v>
      </c>
      <c r="CB575" s="9" t="s">
        <v>500</v>
      </c>
      <c r="CC575" s="9" t="s">
        <v>350</v>
      </c>
      <c r="CD575" s="9" t="s">
        <v>500</v>
      </c>
      <c r="CE575" s="9" t="s">
        <v>500</v>
      </c>
      <c r="CF575" s="9" t="s">
        <v>500</v>
      </c>
      <c r="CG575" s="9" t="s">
        <v>350</v>
      </c>
      <c r="CH575" s="9" t="s">
        <v>500</v>
      </c>
      <c r="CI575" s="9" t="s">
        <v>500</v>
      </c>
      <c r="CJ575" s="9" t="s">
        <v>500</v>
      </c>
      <c r="CK575" s="9" t="s">
        <v>176</v>
      </c>
      <c r="CL575" s="9" t="s">
        <v>579</v>
      </c>
      <c r="CM575" s="9" t="s">
        <v>500</v>
      </c>
      <c r="CN575" s="9" t="s">
        <v>500</v>
      </c>
      <c r="CO575" s="9" t="s">
        <v>176</v>
      </c>
      <c r="CP575" s="9" t="s">
        <v>5547</v>
      </c>
      <c r="CQ575" s="9" t="s">
        <v>500</v>
      </c>
      <c r="CR575" s="9" t="s">
        <v>500</v>
      </c>
      <c r="CS575" s="9" t="s">
        <v>350</v>
      </c>
      <c r="CT575" s="9" t="s">
        <v>500</v>
      </c>
      <c r="CU575" s="9" t="s">
        <v>500</v>
      </c>
      <c r="CV575" s="9" t="s">
        <v>500</v>
      </c>
      <c r="CW575" s="9">
        <v>5</v>
      </c>
      <c r="CX575" s="9" t="s">
        <v>110</v>
      </c>
      <c r="CY575" s="9" t="s">
        <v>110</v>
      </c>
      <c r="CZ575" s="9">
        <v>40</v>
      </c>
      <c r="DA575" s="9">
        <v>20</v>
      </c>
      <c r="DB575" s="9">
        <v>40</v>
      </c>
      <c r="DC575">
        <v>88</v>
      </c>
      <c r="DD575">
        <v>1.2</v>
      </c>
      <c r="DE575">
        <v>229</v>
      </c>
      <c r="DF575">
        <v>112</v>
      </c>
      <c r="DG575" s="9">
        <f t="shared" si="8"/>
        <v>4.5979178428866501</v>
      </c>
      <c r="DH575">
        <v>22.4</v>
      </c>
      <c r="DI575">
        <v>10.71</v>
      </c>
      <c r="DL575">
        <v>45.1</v>
      </c>
      <c r="DM575">
        <v>161.5</v>
      </c>
      <c r="DN575" s="9"/>
      <c r="DO575" s="9"/>
      <c r="DR575">
        <v>3</v>
      </c>
    </row>
    <row r="576" spans="1:125" customFormat="1" x14ac:dyDescent="0.2">
      <c r="A576" s="144" t="s">
        <v>5548</v>
      </c>
      <c r="B576" s="128">
        <v>43802</v>
      </c>
      <c r="C576" s="127" t="s">
        <v>675</v>
      </c>
      <c r="D576" s="127">
        <v>42</v>
      </c>
      <c r="E576" s="127" t="s">
        <v>100</v>
      </c>
      <c r="F576" s="128">
        <v>28101</v>
      </c>
      <c r="G576" s="127" t="s">
        <v>5428</v>
      </c>
      <c r="H576" s="127" t="s">
        <v>1727</v>
      </c>
      <c r="I576" s="127" t="s">
        <v>99</v>
      </c>
      <c r="J576" s="127" t="s">
        <v>99</v>
      </c>
      <c r="K576" s="127" t="s">
        <v>99</v>
      </c>
      <c r="L576" s="127" t="s">
        <v>99</v>
      </c>
      <c r="M576" s="127" t="s">
        <v>99</v>
      </c>
      <c r="N576" s="127" t="s">
        <v>99</v>
      </c>
      <c r="O576" s="127" t="s">
        <v>5549</v>
      </c>
      <c r="P576" s="127" t="s">
        <v>99</v>
      </c>
      <c r="Q576" s="127" t="s">
        <v>99</v>
      </c>
      <c r="R576" s="127" t="s">
        <v>110</v>
      </c>
      <c r="S576" s="127" t="s">
        <v>99</v>
      </c>
      <c r="T576" s="127" t="s">
        <v>110</v>
      </c>
      <c r="U576" s="127" t="s">
        <v>99</v>
      </c>
      <c r="V576" s="127" t="s">
        <v>99</v>
      </c>
      <c r="W576" s="127" t="s">
        <v>99</v>
      </c>
      <c r="X576" s="127" t="s">
        <v>99</v>
      </c>
      <c r="Y576" s="127" t="s">
        <v>99</v>
      </c>
      <c r="Z576" s="127" t="s">
        <v>99</v>
      </c>
      <c r="AA576" s="127" t="s">
        <v>500</v>
      </c>
      <c r="AB576" s="127" t="s">
        <v>500</v>
      </c>
      <c r="AC576" s="127" t="s">
        <v>500</v>
      </c>
      <c r="AD576" s="127" t="s">
        <v>500</v>
      </c>
      <c r="AE576" s="127" t="s">
        <v>99</v>
      </c>
      <c r="AF576" s="127" t="s">
        <v>1127</v>
      </c>
      <c r="AG576" s="127" t="s">
        <v>246</v>
      </c>
      <c r="AH576" s="129" t="s">
        <v>99</v>
      </c>
      <c r="AI576" s="127" t="s">
        <v>99</v>
      </c>
      <c r="AJ576" s="9" t="s">
        <v>99</v>
      </c>
      <c r="AK576" s="9" t="s">
        <v>99</v>
      </c>
      <c r="AL576" s="9">
        <v>94.2</v>
      </c>
      <c r="AM576" s="9">
        <v>175</v>
      </c>
      <c r="AN576" s="9">
        <v>100</v>
      </c>
      <c r="AO576" s="9">
        <v>110</v>
      </c>
      <c r="AP576" s="9">
        <v>41</v>
      </c>
      <c r="AQ576" s="9">
        <v>17</v>
      </c>
      <c r="AR576" s="9">
        <v>24.1</v>
      </c>
      <c r="AS576" s="9">
        <v>75</v>
      </c>
      <c r="AT576" s="9">
        <v>30.8</v>
      </c>
      <c r="AU576" s="9">
        <v>120</v>
      </c>
      <c r="AV576" s="9">
        <v>74</v>
      </c>
      <c r="AW576" s="9" t="s">
        <v>110</v>
      </c>
      <c r="AX576" s="9" t="s">
        <v>3514</v>
      </c>
      <c r="AY576" s="9" t="s">
        <v>5550</v>
      </c>
      <c r="AZ576" s="9" t="s">
        <v>500</v>
      </c>
      <c r="BA576" s="9" t="s">
        <v>110</v>
      </c>
      <c r="BB576" s="9" t="s">
        <v>5551</v>
      </c>
      <c r="BC576" s="9" t="s">
        <v>346</v>
      </c>
      <c r="BD576" s="9" t="s">
        <v>500</v>
      </c>
      <c r="BE576" s="9" t="s">
        <v>110</v>
      </c>
      <c r="BF576" s="9" t="s">
        <v>707</v>
      </c>
      <c r="BG576" s="9" t="s">
        <v>707</v>
      </c>
      <c r="BH576" s="9" t="s">
        <v>1469</v>
      </c>
      <c r="BI576" s="9" t="s">
        <v>707</v>
      </c>
      <c r="BJ576" s="9" t="s">
        <v>5552</v>
      </c>
      <c r="BK576" s="9" t="s">
        <v>5445</v>
      </c>
      <c r="BL576" s="9" t="s">
        <v>110</v>
      </c>
      <c r="BM576" s="9" t="s">
        <v>5553</v>
      </c>
      <c r="BN576" s="9" t="s">
        <v>178</v>
      </c>
      <c r="BO576" s="9" t="s">
        <v>2573</v>
      </c>
      <c r="BP576" s="9" t="s">
        <v>125</v>
      </c>
      <c r="BQ576" s="9" t="s">
        <v>99</v>
      </c>
      <c r="BR576" s="9" t="s">
        <v>500</v>
      </c>
      <c r="BS576" s="9" t="s">
        <v>500</v>
      </c>
      <c r="BT576" s="9" t="s">
        <v>500</v>
      </c>
      <c r="BU576" s="9" t="s">
        <v>99</v>
      </c>
      <c r="BV576" s="9" t="s">
        <v>500</v>
      </c>
      <c r="BW576" s="9" t="s">
        <v>500</v>
      </c>
      <c r="BX576" s="9" t="s">
        <v>500</v>
      </c>
      <c r="BY576" s="9" t="s">
        <v>350</v>
      </c>
      <c r="BZ576" s="9" t="s">
        <v>5554</v>
      </c>
      <c r="CA576" s="9" t="s">
        <v>5555</v>
      </c>
      <c r="CB576" s="9" t="s">
        <v>5556</v>
      </c>
      <c r="CC576" s="9" t="s">
        <v>99</v>
      </c>
      <c r="CD576" s="9" t="s">
        <v>500</v>
      </c>
      <c r="CE576" s="9" t="s">
        <v>500</v>
      </c>
      <c r="CF576" s="9" t="s">
        <v>500</v>
      </c>
      <c r="CG576" s="9" t="s">
        <v>99</v>
      </c>
      <c r="CH576" s="9" t="s">
        <v>500</v>
      </c>
      <c r="CI576" s="9" t="s">
        <v>500</v>
      </c>
      <c r="CJ576" s="9" t="s">
        <v>500</v>
      </c>
      <c r="CK576" s="9" t="s">
        <v>176</v>
      </c>
      <c r="CL576" s="9" t="s">
        <v>579</v>
      </c>
      <c r="CM576" s="9" t="s">
        <v>5557</v>
      </c>
      <c r="CN576" s="9" t="s">
        <v>5558</v>
      </c>
      <c r="CO576" s="9" t="s">
        <v>99</v>
      </c>
      <c r="CP576" s="9" t="s">
        <v>500</v>
      </c>
      <c r="CQ576" s="9" t="s">
        <v>500</v>
      </c>
      <c r="CR576" s="9" t="s">
        <v>500</v>
      </c>
      <c r="CS576" s="9" t="s">
        <v>110</v>
      </c>
      <c r="CT576" s="9" t="s">
        <v>5559</v>
      </c>
      <c r="CU576" s="9" t="s">
        <v>5560</v>
      </c>
      <c r="CV576" s="9" t="s">
        <v>500</v>
      </c>
      <c r="CW576" s="9">
        <v>3</v>
      </c>
      <c r="CX576" s="9" t="s">
        <v>110</v>
      </c>
      <c r="CY576" s="9" t="s">
        <v>110</v>
      </c>
      <c r="CZ576" s="9">
        <v>10</v>
      </c>
      <c r="DA576" s="9">
        <v>70</v>
      </c>
      <c r="DB576" s="9">
        <v>20</v>
      </c>
      <c r="DC576" s="10">
        <v>112.8</v>
      </c>
      <c r="DD576" s="9">
        <v>0.91</v>
      </c>
      <c r="DE576" s="10">
        <v>209</v>
      </c>
      <c r="DF576" s="10">
        <v>385</v>
      </c>
      <c r="DG576" s="9">
        <f t="shared" si="8"/>
        <v>5.3394298366758717</v>
      </c>
      <c r="DH576" s="9">
        <v>77</v>
      </c>
      <c r="DI576" s="10">
        <v>8.49</v>
      </c>
      <c r="DJ576" s="9"/>
      <c r="DK576" s="9"/>
      <c r="DL576" s="10">
        <v>36.6</v>
      </c>
      <c r="DM576" s="9">
        <v>95.4</v>
      </c>
      <c r="DN576" s="9"/>
      <c r="DO576" s="9"/>
      <c r="DU576">
        <v>4.7</v>
      </c>
    </row>
    <row r="577" spans="1:124" customFormat="1" x14ac:dyDescent="0.2">
      <c r="A577" s="14" t="s">
        <v>5561</v>
      </c>
      <c r="B577" s="8">
        <v>43801</v>
      </c>
      <c r="C577" s="9" t="s">
        <v>675</v>
      </c>
      <c r="D577" s="9">
        <v>50</v>
      </c>
      <c r="E577" s="9" t="s">
        <v>5481</v>
      </c>
      <c r="F577" s="8">
        <v>25219</v>
      </c>
      <c r="G577" s="9" t="s">
        <v>5562</v>
      </c>
      <c r="H577" s="9"/>
      <c r="I577" s="9"/>
      <c r="J577" s="9"/>
      <c r="K577" s="9"/>
      <c r="L577" s="9"/>
      <c r="M577" s="9" t="s">
        <v>5563</v>
      </c>
      <c r="N577" s="9" t="s">
        <v>5564</v>
      </c>
      <c r="O577" s="9" t="s">
        <v>5565</v>
      </c>
      <c r="P577" s="9" t="s">
        <v>99</v>
      </c>
      <c r="Q577" s="9" t="s">
        <v>5566</v>
      </c>
      <c r="R577" s="9"/>
      <c r="S577" s="9" t="s">
        <v>5490</v>
      </c>
      <c r="T577" s="9" t="s">
        <v>5490</v>
      </c>
      <c r="U577" s="9" t="s">
        <v>99</v>
      </c>
      <c r="V577" s="9"/>
      <c r="W577" s="9" t="s">
        <v>5567</v>
      </c>
      <c r="X577" s="9"/>
      <c r="Y577" s="9"/>
      <c r="Z577" s="9"/>
      <c r="AA577" s="9" t="s">
        <v>5481</v>
      </c>
      <c r="AB577" s="9" t="s">
        <v>5568</v>
      </c>
      <c r="AC577" s="9" t="s">
        <v>109</v>
      </c>
      <c r="AD577" s="9" t="s">
        <v>5569</v>
      </c>
      <c r="AE577" s="9" t="s">
        <v>5570</v>
      </c>
      <c r="AF577" s="9" t="s">
        <v>5570</v>
      </c>
      <c r="AG577" s="9" t="s">
        <v>99</v>
      </c>
      <c r="AH577" s="9" t="s">
        <v>99</v>
      </c>
      <c r="AI577" s="9" t="s">
        <v>99</v>
      </c>
      <c r="AJ577" s="9" t="s">
        <v>99</v>
      </c>
      <c r="AK577" s="9" t="s">
        <v>99</v>
      </c>
      <c r="AL577" s="9">
        <v>95</v>
      </c>
      <c r="AM577" s="9">
        <v>181</v>
      </c>
      <c r="AN577" s="10">
        <v>112</v>
      </c>
      <c r="AO577" s="9">
        <v>114</v>
      </c>
      <c r="AP577" s="9">
        <v>26.2</v>
      </c>
      <c r="AQ577" s="9">
        <v>12</v>
      </c>
      <c r="AR577" s="9">
        <v>33.799999999999997</v>
      </c>
      <c r="AS577" s="9">
        <v>67</v>
      </c>
      <c r="AT577" s="9">
        <v>29.9</v>
      </c>
      <c r="AU577" s="9">
        <v>129</v>
      </c>
      <c r="AV577" s="9">
        <v>89</v>
      </c>
      <c r="AW577" s="9"/>
      <c r="AX577" s="9" t="s">
        <v>5571</v>
      </c>
      <c r="AY577" s="9" t="s">
        <v>5572</v>
      </c>
      <c r="AZ577" s="9" t="s">
        <v>5573</v>
      </c>
      <c r="BA577" s="9"/>
      <c r="BB577" s="9" t="s">
        <v>5574</v>
      </c>
      <c r="BC577" s="9" t="s">
        <v>5575</v>
      </c>
      <c r="BD577" s="9" t="s">
        <v>749</v>
      </c>
      <c r="BE577" s="9"/>
      <c r="BF577" s="9" t="s">
        <v>5576</v>
      </c>
      <c r="BG577" s="9" t="s">
        <v>176</v>
      </c>
      <c r="BH577" s="9" t="s">
        <v>350</v>
      </c>
      <c r="BI577" s="9" t="s">
        <v>176</v>
      </c>
      <c r="BJ577" s="9" t="s">
        <v>350</v>
      </c>
      <c r="BK577" s="9" t="s">
        <v>5412</v>
      </c>
      <c r="BL577" s="9"/>
      <c r="BM577" s="9"/>
      <c r="BN577" s="9" t="s">
        <v>5577</v>
      </c>
      <c r="BO577" s="9" t="s">
        <v>352</v>
      </c>
      <c r="BP577" s="9" t="s">
        <v>5578</v>
      </c>
      <c r="BQ577" s="9"/>
      <c r="BR577" s="9"/>
      <c r="BS577" s="9"/>
      <c r="BT577" s="9"/>
      <c r="BU577" s="9"/>
      <c r="BV577" s="9" t="s">
        <v>857</v>
      </c>
      <c r="BW577" s="9" t="s">
        <v>1664</v>
      </c>
      <c r="BX577" s="9"/>
      <c r="BY577" s="9" t="s">
        <v>351</v>
      </c>
      <c r="BZ577" s="9" t="s">
        <v>183</v>
      </c>
      <c r="CA577" s="9" t="s">
        <v>182</v>
      </c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 t="s">
        <v>5579</v>
      </c>
      <c r="CM577" s="9" t="s">
        <v>579</v>
      </c>
      <c r="CN577" s="9"/>
      <c r="CO577" s="9"/>
      <c r="CP577" s="9" t="s">
        <v>362</v>
      </c>
      <c r="CQ577" s="9" t="s">
        <v>716</v>
      </c>
      <c r="CR577" s="9" t="s">
        <v>361</v>
      </c>
      <c r="CS577" s="9"/>
      <c r="CT577" s="9" t="s">
        <v>2617</v>
      </c>
      <c r="CU577" s="9"/>
      <c r="CV577" s="9"/>
      <c r="CW577" s="9">
        <v>3</v>
      </c>
      <c r="CX577" s="9" t="s">
        <v>5490</v>
      </c>
      <c r="CY577" s="9" t="s">
        <v>5490</v>
      </c>
      <c r="CZ577" s="9">
        <v>30</v>
      </c>
      <c r="DA577" s="9">
        <v>30</v>
      </c>
      <c r="DB577" s="9">
        <v>40</v>
      </c>
      <c r="DC577" s="10">
        <v>121.5</v>
      </c>
      <c r="DD577" s="9">
        <v>0.68</v>
      </c>
      <c r="DE577" s="10">
        <v>241</v>
      </c>
      <c r="DF577" s="10">
        <v>384</v>
      </c>
      <c r="DG577" s="9">
        <f t="shared" si="8"/>
        <v>5.3752784076841653</v>
      </c>
      <c r="DH577" s="9">
        <v>76.8</v>
      </c>
      <c r="DI577" s="10">
        <v>16.329999999999998</v>
      </c>
      <c r="DJ577" s="9"/>
      <c r="DK577" s="9"/>
      <c r="DL577" s="9">
        <v>41</v>
      </c>
      <c r="DM577" s="9">
        <v>123.2</v>
      </c>
      <c r="DN577" s="9"/>
      <c r="DO577" s="9"/>
      <c r="DP577" s="53">
        <v>3</v>
      </c>
      <c r="DR577">
        <v>2</v>
      </c>
    </row>
    <row r="578" spans="1:124" customFormat="1" x14ac:dyDescent="0.2">
      <c r="A578" s="136" t="s">
        <v>5580</v>
      </c>
      <c r="B578" s="69">
        <v>43802</v>
      </c>
      <c r="C578" s="136" t="s">
        <v>196</v>
      </c>
      <c r="D578" s="136">
        <v>27</v>
      </c>
      <c r="E578" s="136" t="s">
        <v>100</v>
      </c>
      <c r="F578" s="69">
        <v>33882</v>
      </c>
      <c r="G578" s="136" t="s">
        <v>837</v>
      </c>
      <c r="H578" s="136" t="s">
        <v>5581</v>
      </c>
      <c r="I578" s="136" t="s">
        <v>5582</v>
      </c>
      <c r="J578" s="136" t="s">
        <v>500</v>
      </c>
      <c r="K578" s="136" t="s">
        <v>99</v>
      </c>
      <c r="L578" s="136" t="s">
        <v>99</v>
      </c>
      <c r="M578" s="136" t="s">
        <v>99</v>
      </c>
      <c r="N578" s="136" t="s">
        <v>99</v>
      </c>
      <c r="O578" s="136" t="s">
        <v>99</v>
      </c>
      <c r="P578" s="136" t="s">
        <v>99</v>
      </c>
      <c r="Q578" s="136" t="s">
        <v>99</v>
      </c>
      <c r="R578" s="136" t="s">
        <v>110</v>
      </c>
      <c r="S578" s="136" t="s">
        <v>110</v>
      </c>
      <c r="T578" s="136" t="s">
        <v>99</v>
      </c>
      <c r="U578" s="136" t="s">
        <v>99</v>
      </c>
      <c r="V578" s="136" t="s">
        <v>99</v>
      </c>
      <c r="W578" s="136" t="s">
        <v>99</v>
      </c>
      <c r="X578" s="136" t="s">
        <v>99</v>
      </c>
      <c r="Y578" s="136" t="s">
        <v>99</v>
      </c>
      <c r="Z578" s="136" t="s">
        <v>99</v>
      </c>
      <c r="AA578" s="136" t="s">
        <v>100</v>
      </c>
      <c r="AB578" s="136" t="s">
        <v>100</v>
      </c>
      <c r="AC578" s="136" t="s">
        <v>100</v>
      </c>
      <c r="AD578" s="136" t="s">
        <v>100</v>
      </c>
      <c r="AE578" s="136" t="s">
        <v>5583</v>
      </c>
      <c r="AF578" s="136" t="s">
        <v>5584</v>
      </c>
      <c r="AG578" s="136" t="s">
        <v>99</v>
      </c>
      <c r="AH578" s="137" t="s">
        <v>99</v>
      </c>
      <c r="AI578" s="9" t="s">
        <v>5585</v>
      </c>
      <c r="AJ578" s="9" t="s">
        <v>99</v>
      </c>
      <c r="AK578" s="9" t="s">
        <v>99</v>
      </c>
      <c r="AL578" s="9">
        <v>67</v>
      </c>
      <c r="AM578" s="9">
        <v>155</v>
      </c>
      <c r="AN578" s="9">
        <v>85</v>
      </c>
      <c r="AO578" s="9">
        <v>105</v>
      </c>
      <c r="AP578" s="9">
        <v>40.1</v>
      </c>
      <c r="AQ578" s="9">
        <v>6</v>
      </c>
      <c r="AR578" s="9">
        <v>26.3</v>
      </c>
      <c r="AS578" s="9">
        <v>47</v>
      </c>
      <c r="AT578" s="9">
        <v>27.9</v>
      </c>
      <c r="AU578" s="9">
        <v>130</v>
      </c>
      <c r="AV578" s="9">
        <v>83</v>
      </c>
      <c r="AW578" s="9" t="s">
        <v>176</v>
      </c>
      <c r="AX578" s="9" t="s">
        <v>729</v>
      </c>
      <c r="AY578" s="9" t="s">
        <v>1729</v>
      </c>
      <c r="AZ578" s="9" t="s">
        <v>5586</v>
      </c>
      <c r="BA578" s="9" t="s">
        <v>351</v>
      </c>
      <c r="BB578" s="9" t="s">
        <v>500</v>
      </c>
      <c r="BC578" s="9" t="s">
        <v>750</v>
      </c>
      <c r="BD578" s="9" t="s">
        <v>2052</v>
      </c>
      <c r="BE578" s="9" t="s">
        <v>110</v>
      </c>
      <c r="BF578" s="9" t="s">
        <v>176</v>
      </c>
      <c r="BG578" s="9" t="s">
        <v>99</v>
      </c>
      <c r="BH578" s="9" t="s">
        <v>350</v>
      </c>
      <c r="BI578" s="9" t="s">
        <v>99</v>
      </c>
      <c r="BJ578" s="9" t="s">
        <v>818</v>
      </c>
      <c r="BK578" s="9" t="s">
        <v>1740</v>
      </c>
      <c r="BL578" s="9" t="s">
        <v>110</v>
      </c>
      <c r="BM578" s="9" t="s">
        <v>176</v>
      </c>
      <c r="BN578" s="9" t="s">
        <v>2573</v>
      </c>
      <c r="BO578" s="9" t="s">
        <v>178</v>
      </c>
      <c r="BP578" s="9" t="s">
        <v>219</v>
      </c>
      <c r="BQ578" s="9" t="s">
        <v>99</v>
      </c>
      <c r="BR578" s="9" t="s">
        <v>500</v>
      </c>
      <c r="BS578" s="9" t="s">
        <v>500</v>
      </c>
      <c r="BT578" s="9" t="s">
        <v>500</v>
      </c>
      <c r="BU578" s="9" t="s">
        <v>1979</v>
      </c>
      <c r="BV578" s="9" t="s">
        <v>5587</v>
      </c>
      <c r="BW578" s="9" t="s">
        <v>500</v>
      </c>
      <c r="BX578" s="9" t="s">
        <v>500</v>
      </c>
      <c r="BY578" s="9" t="s">
        <v>351</v>
      </c>
      <c r="BZ578" s="9" t="s">
        <v>1730</v>
      </c>
      <c r="CA578" s="9" t="s">
        <v>357</v>
      </c>
      <c r="CB578" s="9" t="s">
        <v>709</v>
      </c>
      <c r="CC578" s="9" t="s">
        <v>99</v>
      </c>
      <c r="CD578" s="9" t="s">
        <v>500</v>
      </c>
      <c r="CE578" s="9" t="s">
        <v>500</v>
      </c>
      <c r="CF578" s="9" t="s">
        <v>500</v>
      </c>
      <c r="CG578" s="9" t="s">
        <v>99</v>
      </c>
      <c r="CH578" s="9" t="s">
        <v>500</v>
      </c>
      <c r="CI578" s="9" t="s">
        <v>500</v>
      </c>
      <c r="CJ578" s="9" t="s">
        <v>500</v>
      </c>
      <c r="CK578" s="9" t="s">
        <v>176</v>
      </c>
      <c r="CL578" s="9" t="s">
        <v>579</v>
      </c>
      <c r="CM578" s="9" t="s">
        <v>5588</v>
      </c>
      <c r="CN578" s="9" t="s">
        <v>5589</v>
      </c>
      <c r="CO578" s="9" t="s">
        <v>176</v>
      </c>
      <c r="CP578" s="9" t="s">
        <v>362</v>
      </c>
      <c r="CQ578" s="9" t="s">
        <v>716</v>
      </c>
      <c r="CR578" s="9" t="s">
        <v>361</v>
      </c>
      <c r="CS578" s="9" t="s">
        <v>350</v>
      </c>
      <c r="CT578" s="9" t="s">
        <v>2615</v>
      </c>
      <c r="CU578" s="9" t="s">
        <v>5414</v>
      </c>
      <c r="CV578" s="9" t="s">
        <v>363</v>
      </c>
      <c r="CW578" s="9">
        <v>3</v>
      </c>
      <c r="CX578" s="9" t="s">
        <v>110</v>
      </c>
      <c r="CY578" s="9" t="s">
        <v>110</v>
      </c>
      <c r="CZ578" s="9" t="s">
        <v>500</v>
      </c>
      <c r="DA578" s="9" t="s">
        <v>500</v>
      </c>
      <c r="DB578" s="9" t="s">
        <v>500</v>
      </c>
      <c r="DC578" s="9">
        <v>93.8</v>
      </c>
      <c r="DD578" s="9">
        <v>0.85</v>
      </c>
      <c r="DE578" s="10">
        <v>211</v>
      </c>
      <c r="DF578" s="9">
        <v>83</v>
      </c>
      <c r="DG578" s="9">
        <f t="shared" si="8"/>
        <v>4.4800027319043885</v>
      </c>
      <c r="DH578" s="9">
        <v>16.600000000000001</v>
      </c>
      <c r="DI578" s="9">
        <v>3.6</v>
      </c>
      <c r="DJ578" s="9"/>
      <c r="DK578" s="9"/>
      <c r="DL578" s="10">
        <v>49</v>
      </c>
      <c r="DM578" s="9">
        <v>145</v>
      </c>
      <c r="DN578" s="9"/>
      <c r="DO578" s="9"/>
      <c r="DR578">
        <v>2</v>
      </c>
    </row>
    <row r="579" spans="1:124" customFormat="1" x14ac:dyDescent="0.2">
      <c r="A579" s="138" t="s">
        <v>5590</v>
      </c>
      <c r="B579" s="69">
        <v>43802</v>
      </c>
      <c r="C579" s="136" t="s">
        <v>675</v>
      </c>
      <c r="D579" s="136">
        <v>46</v>
      </c>
      <c r="E579" s="136" t="s">
        <v>100</v>
      </c>
      <c r="F579" s="69">
        <v>26707</v>
      </c>
      <c r="G579" s="136" t="s">
        <v>500</v>
      </c>
      <c r="H579" s="136" t="s">
        <v>500</v>
      </c>
      <c r="I579" s="136" t="s">
        <v>500</v>
      </c>
      <c r="J579" s="136" t="s">
        <v>500</v>
      </c>
      <c r="K579" s="137" t="s">
        <v>500</v>
      </c>
      <c r="L579" s="138" t="s">
        <v>500</v>
      </c>
      <c r="M579" s="136" t="s">
        <v>99</v>
      </c>
      <c r="N579" s="136" t="s">
        <v>99</v>
      </c>
      <c r="O579" s="136" t="s">
        <v>99</v>
      </c>
      <c r="P579" s="136" t="s">
        <v>99</v>
      </c>
      <c r="Q579" s="136" t="s">
        <v>5440</v>
      </c>
      <c r="R579" s="136" t="s">
        <v>5591</v>
      </c>
      <c r="S579" s="136" t="s">
        <v>110</v>
      </c>
      <c r="T579" s="136" t="s">
        <v>99</v>
      </c>
      <c r="U579" s="136" t="s">
        <v>5592</v>
      </c>
      <c r="V579" s="136" t="s">
        <v>5493</v>
      </c>
      <c r="W579" s="136" t="s">
        <v>5593</v>
      </c>
      <c r="X579" s="136" t="s">
        <v>99</v>
      </c>
      <c r="Y579" s="136" t="s">
        <v>99</v>
      </c>
      <c r="Z579" s="136" t="s">
        <v>5594</v>
      </c>
      <c r="AA579" s="136" t="s">
        <v>100</v>
      </c>
      <c r="AB579" s="136" t="s">
        <v>1015</v>
      </c>
      <c r="AC579" s="136" t="s">
        <v>100</v>
      </c>
      <c r="AD579" s="136" t="s">
        <v>1015</v>
      </c>
      <c r="AE579" s="136" t="s">
        <v>5104</v>
      </c>
      <c r="AF579" s="136" t="s">
        <v>5104</v>
      </c>
      <c r="AG579" s="136" t="s">
        <v>99</v>
      </c>
      <c r="AH579" s="137" t="s">
        <v>99</v>
      </c>
      <c r="AI579" s="136" t="s">
        <v>99</v>
      </c>
      <c r="AJ579" s="53" t="s">
        <v>99</v>
      </c>
      <c r="AK579" s="53" t="s">
        <v>99</v>
      </c>
      <c r="AL579" s="53">
        <v>111.5</v>
      </c>
      <c r="AM579" s="53">
        <v>173</v>
      </c>
      <c r="AN579" s="53">
        <v>110</v>
      </c>
      <c r="AO579" s="53">
        <v>121</v>
      </c>
      <c r="AP579" s="53">
        <v>36.299999999999997</v>
      </c>
      <c r="AQ579" s="53">
        <v>21</v>
      </c>
      <c r="AR579" s="53">
        <v>24.1</v>
      </c>
      <c r="AS579" s="53">
        <v>77</v>
      </c>
      <c r="AT579" s="53">
        <v>37.299999999999997</v>
      </c>
      <c r="AU579" s="139">
        <v>150</v>
      </c>
      <c r="AV579" s="139">
        <v>94</v>
      </c>
      <c r="AW579" s="53" t="s">
        <v>176</v>
      </c>
      <c r="AX579" s="53" t="s">
        <v>729</v>
      </c>
      <c r="AY579" s="53" t="s">
        <v>573</v>
      </c>
      <c r="AZ579" s="53" t="s">
        <v>500</v>
      </c>
      <c r="BA579" s="53" t="s">
        <v>351</v>
      </c>
      <c r="BB579" s="53" t="s">
        <v>5595</v>
      </c>
      <c r="BC579" s="53" t="s">
        <v>749</v>
      </c>
      <c r="BD579" s="53" t="s">
        <v>500</v>
      </c>
      <c r="BE579" s="53" t="s">
        <v>110</v>
      </c>
      <c r="BF579" s="53" t="s">
        <v>176</v>
      </c>
      <c r="BG579" s="53" t="s">
        <v>2769</v>
      </c>
      <c r="BH579" s="53" t="s">
        <v>707</v>
      </c>
      <c r="BI579" s="53" t="s">
        <v>176</v>
      </c>
      <c r="BJ579" s="53" t="s">
        <v>176</v>
      </c>
      <c r="BK579" s="53" t="s">
        <v>1469</v>
      </c>
      <c r="BL579" s="53" t="s">
        <v>110</v>
      </c>
      <c r="BM579" s="53" t="s">
        <v>176</v>
      </c>
      <c r="BN579" s="53" t="s">
        <v>179</v>
      </c>
      <c r="BO579" s="53" t="s">
        <v>180</v>
      </c>
      <c r="BP579" s="53" t="s">
        <v>1080</v>
      </c>
      <c r="BQ579" s="53" t="s">
        <v>99</v>
      </c>
      <c r="BR579" s="53" t="s">
        <v>500</v>
      </c>
      <c r="BS579" s="53" t="s">
        <v>500</v>
      </c>
      <c r="BT579" s="53" t="s">
        <v>500</v>
      </c>
      <c r="BU579" s="53" t="s">
        <v>99</v>
      </c>
      <c r="BV579" s="53" t="s">
        <v>500</v>
      </c>
      <c r="BW579" s="53" t="s">
        <v>500</v>
      </c>
      <c r="BX579" s="53" t="s">
        <v>500</v>
      </c>
      <c r="BY579" s="53" t="s">
        <v>350</v>
      </c>
      <c r="BZ579" s="53" t="s">
        <v>752</v>
      </c>
      <c r="CA579" s="53" t="s">
        <v>577</v>
      </c>
      <c r="CB579" s="53" t="s">
        <v>500</v>
      </c>
      <c r="CC579" s="53" t="s">
        <v>99</v>
      </c>
      <c r="CD579" s="53" t="s">
        <v>500</v>
      </c>
      <c r="CE579" s="53" t="s">
        <v>500</v>
      </c>
      <c r="CF579" s="53" t="s">
        <v>500</v>
      </c>
      <c r="CG579" s="53" t="s">
        <v>99</v>
      </c>
      <c r="CH579" s="53" t="s">
        <v>500</v>
      </c>
      <c r="CI579" s="53" t="s">
        <v>500</v>
      </c>
      <c r="CJ579" s="53" t="s">
        <v>500</v>
      </c>
      <c r="CK579" s="53" t="s">
        <v>176</v>
      </c>
      <c r="CL579" s="53" t="s">
        <v>1181</v>
      </c>
      <c r="CM579" s="53" t="s">
        <v>1180</v>
      </c>
      <c r="CN579" s="53" t="s">
        <v>500</v>
      </c>
      <c r="CO579" s="53" t="s">
        <v>176</v>
      </c>
      <c r="CP579" s="53" t="s">
        <v>362</v>
      </c>
      <c r="CQ579" s="53" t="s">
        <v>5596</v>
      </c>
      <c r="CR579" s="53" t="s">
        <v>500</v>
      </c>
      <c r="CS579" s="53" t="s">
        <v>350</v>
      </c>
      <c r="CT579" s="53" t="s">
        <v>830</v>
      </c>
      <c r="CU579" s="53" t="s">
        <v>187</v>
      </c>
      <c r="CV579" s="53" t="s">
        <v>5597</v>
      </c>
      <c r="CW579" s="53">
        <v>2</v>
      </c>
      <c r="CX579" s="53" t="s">
        <v>99</v>
      </c>
      <c r="CY579" s="53" t="s">
        <v>99</v>
      </c>
      <c r="CZ579" s="27">
        <v>20</v>
      </c>
      <c r="DA579" s="29">
        <v>40</v>
      </c>
      <c r="DB579" s="29">
        <v>40</v>
      </c>
      <c r="DC579">
        <v>87.1</v>
      </c>
      <c r="DD579">
        <v>0.73</v>
      </c>
      <c r="DE579">
        <v>166</v>
      </c>
      <c r="DF579">
        <v>99</v>
      </c>
      <c r="DG579" s="9">
        <f t="shared" ref="DG579:DG642" si="9">LN(DF579*DC579)/2</f>
        <v>4.5310883669965234</v>
      </c>
      <c r="DH579">
        <v>19.8</v>
      </c>
      <c r="DI579">
        <v>7.17</v>
      </c>
      <c r="DL579">
        <v>52.5</v>
      </c>
      <c r="DM579">
        <v>93.7</v>
      </c>
    </row>
    <row r="580" spans="1:124" customFormat="1" x14ac:dyDescent="0.2">
      <c r="A580" s="138" t="s">
        <v>5598</v>
      </c>
      <c r="B580" s="69">
        <v>43801</v>
      </c>
      <c r="C580" s="136" t="s">
        <v>675</v>
      </c>
      <c r="D580" s="136">
        <v>30</v>
      </c>
      <c r="E580" s="136" t="s">
        <v>100</v>
      </c>
      <c r="F580" s="69">
        <v>43489</v>
      </c>
      <c r="G580" s="136" t="s">
        <v>837</v>
      </c>
      <c r="H580" s="136" t="s">
        <v>5599</v>
      </c>
      <c r="I580" s="136" t="s">
        <v>500</v>
      </c>
      <c r="J580" s="136" t="s">
        <v>500</v>
      </c>
      <c r="K580" s="137" t="s">
        <v>500</v>
      </c>
      <c r="L580" s="138" t="s">
        <v>500</v>
      </c>
      <c r="M580" s="136" t="s">
        <v>99</v>
      </c>
      <c r="N580" s="136" t="s">
        <v>99</v>
      </c>
      <c r="O580" s="136" t="s">
        <v>99</v>
      </c>
      <c r="P580" s="136" t="s">
        <v>5600</v>
      </c>
      <c r="Q580" s="136" t="s">
        <v>5601</v>
      </c>
      <c r="R580" s="136" t="s">
        <v>110</v>
      </c>
      <c r="S580" s="136" t="s">
        <v>110</v>
      </c>
      <c r="T580" s="136" t="s">
        <v>99</v>
      </c>
      <c r="U580" s="136" t="s">
        <v>5602</v>
      </c>
      <c r="V580" s="136" t="s">
        <v>99</v>
      </c>
      <c r="W580" s="136" t="s">
        <v>5603</v>
      </c>
      <c r="X580" s="136" t="s">
        <v>99</v>
      </c>
      <c r="Y580" s="136" t="s">
        <v>99</v>
      </c>
      <c r="Z580" s="136" t="s">
        <v>99</v>
      </c>
      <c r="AA580" s="136" t="s">
        <v>100</v>
      </c>
      <c r="AB580" s="136" t="s">
        <v>100</v>
      </c>
      <c r="AC580" s="136" t="s">
        <v>100</v>
      </c>
      <c r="AD580" s="136" t="s">
        <v>100</v>
      </c>
      <c r="AE580" s="136" t="s">
        <v>4981</v>
      </c>
      <c r="AF580" s="136" t="s">
        <v>1127</v>
      </c>
      <c r="AG580" s="136" t="s">
        <v>99</v>
      </c>
      <c r="AH580" s="137" t="s">
        <v>4981</v>
      </c>
      <c r="AI580" s="136" t="s">
        <v>1127</v>
      </c>
      <c r="AJ580" s="53" t="s">
        <v>99</v>
      </c>
      <c r="AK580" s="53" t="s">
        <v>5604</v>
      </c>
      <c r="AL580" s="53">
        <v>80</v>
      </c>
      <c r="AM580" s="53">
        <v>175</v>
      </c>
      <c r="AN580" s="53">
        <v>84</v>
      </c>
      <c r="AO580" s="53">
        <v>104</v>
      </c>
      <c r="AP580" s="53">
        <v>24.1</v>
      </c>
      <c r="AQ580" s="53">
        <v>9</v>
      </c>
      <c r="AR580" s="53">
        <v>37.200000000000003</v>
      </c>
      <c r="AS580" s="53">
        <v>44</v>
      </c>
      <c r="AT580" s="53">
        <v>26.1</v>
      </c>
      <c r="AU580" s="53">
        <v>112</v>
      </c>
      <c r="AV580" s="53">
        <v>69</v>
      </c>
      <c r="AW580" s="53" t="s">
        <v>350</v>
      </c>
      <c r="AX580" s="53" t="s">
        <v>213</v>
      </c>
      <c r="AY580" s="53" t="s">
        <v>500</v>
      </c>
      <c r="AZ580" s="53" t="s">
        <v>500</v>
      </c>
      <c r="BA580" s="53" t="s">
        <v>350</v>
      </c>
      <c r="BB580" s="53" t="s">
        <v>707</v>
      </c>
      <c r="BC580" s="53" t="s">
        <v>500</v>
      </c>
      <c r="BD580" s="53" t="s">
        <v>500</v>
      </c>
      <c r="BE580" s="53" t="s">
        <v>110</v>
      </c>
      <c r="BF580" s="53" t="s">
        <v>212</v>
      </c>
      <c r="BG580" s="53" t="s">
        <v>212</v>
      </c>
      <c r="BH580" s="53" t="s">
        <v>1469</v>
      </c>
      <c r="BI580" s="53" t="s">
        <v>213</v>
      </c>
      <c r="BJ580" s="53" t="s">
        <v>213</v>
      </c>
      <c r="BK580" s="53" t="s">
        <v>2769</v>
      </c>
      <c r="BL580" s="53" t="s">
        <v>110</v>
      </c>
      <c r="BM580" s="53" t="s">
        <v>212</v>
      </c>
      <c r="BN580" s="53" t="s">
        <v>500</v>
      </c>
      <c r="BO580" s="53" t="s">
        <v>500</v>
      </c>
      <c r="BP580" s="53" t="s">
        <v>500</v>
      </c>
      <c r="BQ580" s="53" t="s">
        <v>212</v>
      </c>
      <c r="BR580" s="53" t="s">
        <v>500</v>
      </c>
      <c r="BS580" s="53" t="s">
        <v>500</v>
      </c>
      <c r="BT580" s="53" t="s">
        <v>500</v>
      </c>
      <c r="BU580" s="53" t="s">
        <v>99</v>
      </c>
      <c r="BV580" s="53" t="s">
        <v>500</v>
      </c>
      <c r="BW580" s="53" t="s">
        <v>500</v>
      </c>
      <c r="BX580" s="53" t="s">
        <v>500</v>
      </c>
      <c r="BY580" s="53" t="s">
        <v>350</v>
      </c>
      <c r="BZ580" s="53" t="s">
        <v>5441</v>
      </c>
      <c r="CA580" s="53" t="s">
        <v>500</v>
      </c>
      <c r="CB580" s="53" t="s">
        <v>500</v>
      </c>
      <c r="CC580" s="53" t="s">
        <v>500</v>
      </c>
      <c r="CD580" s="53" t="s">
        <v>500</v>
      </c>
      <c r="CE580" s="53" t="s">
        <v>500</v>
      </c>
      <c r="CF580" s="53" t="s">
        <v>500</v>
      </c>
      <c r="CG580" s="53" t="s">
        <v>500</v>
      </c>
      <c r="CH580" s="53" t="s">
        <v>500</v>
      </c>
      <c r="CI580" s="53" t="s">
        <v>500</v>
      </c>
      <c r="CJ580" s="53" t="s">
        <v>500</v>
      </c>
      <c r="CK580" s="53" t="s">
        <v>500</v>
      </c>
      <c r="CL580" s="53" t="s">
        <v>500</v>
      </c>
      <c r="CM580" s="53" t="s">
        <v>500</v>
      </c>
      <c r="CN580" s="53" t="s">
        <v>500</v>
      </c>
      <c r="CO580" s="53" t="s">
        <v>500</v>
      </c>
      <c r="CP580" s="53" t="s">
        <v>500</v>
      </c>
      <c r="CQ580" s="53" t="s">
        <v>500</v>
      </c>
      <c r="CR580" s="53" t="s">
        <v>500</v>
      </c>
      <c r="CS580" s="53" t="s">
        <v>500</v>
      </c>
      <c r="CT580" s="53" t="s">
        <v>500</v>
      </c>
      <c r="CU580" s="53" t="s">
        <v>500</v>
      </c>
      <c r="CV580" s="53" t="s">
        <v>500</v>
      </c>
      <c r="CW580" s="53" t="s">
        <v>500</v>
      </c>
      <c r="CX580" s="53" t="s">
        <v>500</v>
      </c>
      <c r="CY580" s="53" t="s">
        <v>500</v>
      </c>
      <c r="CZ580" s="53" t="s">
        <v>500</v>
      </c>
      <c r="DA580" s="53" t="s">
        <v>500</v>
      </c>
      <c r="DB580" s="53" t="s">
        <v>500</v>
      </c>
      <c r="DC580">
        <v>90.2</v>
      </c>
      <c r="DD580">
        <v>0.91</v>
      </c>
      <c r="DE580">
        <v>132</v>
      </c>
      <c r="DF580">
        <v>65</v>
      </c>
      <c r="DG580" s="9">
        <f t="shared" si="9"/>
        <v>4.3382083484821079</v>
      </c>
      <c r="DH580">
        <v>13</v>
      </c>
      <c r="DI580">
        <v>5.61</v>
      </c>
      <c r="DL580">
        <v>63.2</v>
      </c>
      <c r="DM580">
        <v>5.8</v>
      </c>
      <c r="DR580">
        <v>2</v>
      </c>
    </row>
    <row r="581" spans="1:124" customFormat="1" x14ac:dyDescent="0.2">
      <c r="A581" s="138" t="s">
        <v>5605</v>
      </c>
      <c r="B581" s="69">
        <v>43498</v>
      </c>
      <c r="C581" s="136" t="s">
        <v>675</v>
      </c>
      <c r="D581" s="136">
        <v>38</v>
      </c>
      <c r="E581" s="136" t="s">
        <v>2267</v>
      </c>
      <c r="F581" s="69">
        <v>29765</v>
      </c>
      <c r="G581" s="136" t="s">
        <v>5606</v>
      </c>
      <c r="H581" s="136" t="s">
        <v>500</v>
      </c>
      <c r="I581" s="136" t="s">
        <v>500</v>
      </c>
      <c r="J581" s="136" t="s">
        <v>500</v>
      </c>
      <c r="K581" s="137" t="s">
        <v>500</v>
      </c>
      <c r="L581" s="138" t="s">
        <v>500</v>
      </c>
      <c r="M581" s="136" t="s">
        <v>99</v>
      </c>
      <c r="N581" s="136" t="s">
        <v>99</v>
      </c>
      <c r="O581" s="136" t="s">
        <v>99</v>
      </c>
      <c r="P581" s="136" t="s">
        <v>99</v>
      </c>
      <c r="Q581" s="136" t="s">
        <v>5607</v>
      </c>
      <c r="R581" s="136" t="s">
        <v>99</v>
      </c>
      <c r="S581" s="136" t="s">
        <v>110</v>
      </c>
      <c r="T581" s="136" t="s">
        <v>110</v>
      </c>
      <c r="U581" s="136" t="s">
        <v>99</v>
      </c>
      <c r="V581" s="136" t="s">
        <v>99</v>
      </c>
      <c r="W581" s="136" t="s">
        <v>99</v>
      </c>
      <c r="X581" s="136" t="s">
        <v>99</v>
      </c>
      <c r="Y581" s="136" t="s">
        <v>5608</v>
      </c>
      <c r="Z581" s="136" t="s">
        <v>99</v>
      </c>
      <c r="AA581" s="136" t="s">
        <v>3488</v>
      </c>
      <c r="AB581" s="136" t="s">
        <v>2267</v>
      </c>
      <c r="AC581" s="136" t="s">
        <v>3488</v>
      </c>
      <c r="AD581" s="136" t="s">
        <v>2267</v>
      </c>
      <c r="AE581" s="136" t="s">
        <v>5609</v>
      </c>
      <c r="AF581" s="136" t="s">
        <v>99</v>
      </c>
      <c r="AG581" s="136" t="s">
        <v>99</v>
      </c>
      <c r="AH581" s="137" t="s">
        <v>99</v>
      </c>
      <c r="AI581" s="136" t="s">
        <v>99</v>
      </c>
      <c r="AJ581" s="53" t="s">
        <v>99</v>
      </c>
      <c r="AK581" s="53" t="s">
        <v>99</v>
      </c>
      <c r="AL581" s="53">
        <v>66.7</v>
      </c>
      <c r="AM581" s="53">
        <v>176</v>
      </c>
      <c r="AN581" s="146">
        <v>80</v>
      </c>
      <c r="AO581" s="53">
        <v>100</v>
      </c>
      <c r="AP581" s="53">
        <v>19.8</v>
      </c>
      <c r="AQ581" s="53">
        <v>5</v>
      </c>
      <c r="AR581" s="53">
        <v>37.299999999999997</v>
      </c>
      <c r="AS581" s="53">
        <v>34</v>
      </c>
      <c r="AT581" s="146">
        <v>21.5</v>
      </c>
      <c r="AU581" s="53">
        <v>114</v>
      </c>
      <c r="AV581" s="53">
        <v>73</v>
      </c>
      <c r="AW581" s="53" t="s">
        <v>350</v>
      </c>
      <c r="AX581" s="53" t="s">
        <v>682</v>
      </c>
      <c r="AY581" s="53" t="s">
        <v>500</v>
      </c>
      <c r="AZ581" s="53" t="s">
        <v>500</v>
      </c>
      <c r="BA581" s="53" t="s">
        <v>350</v>
      </c>
      <c r="BB581" s="53" t="s">
        <v>707</v>
      </c>
      <c r="BC581" s="53" t="s">
        <v>500</v>
      </c>
      <c r="BD581" s="53" t="s">
        <v>500</v>
      </c>
      <c r="BE581" s="53" t="s">
        <v>110</v>
      </c>
      <c r="BF581" s="53" t="s">
        <v>212</v>
      </c>
      <c r="BG581" s="53" t="s">
        <v>707</v>
      </c>
      <c r="BH581" s="53" t="s">
        <v>4984</v>
      </c>
      <c r="BI581" s="53" t="s">
        <v>1643</v>
      </c>
      <c r="BJ581" s="53" t="s">
        <v>176</v>
      </c>
      <c r="BK581" s="53" t="s">
        <v>682</v>
      </c>
      <c r="BL581" s="53" t="s">
        <v>110</v>
      </c>
      <c r="BM581" s="53" t="s">
        <v>681</v>
      </c>
      <c r="BN581" s="53" t="s">
        <v>363</v>
      </c>
      <c r="BO581" s="53" t="s">
        <v>179</v>
      </c>
      <c r="BP581" s="53" t="s">
        <v>219</v>
      </c>
      <c r="BQ581" s="53" t="s">
        <v>99</v>
      </c>
      <c r="BR581" s="53" t="s">
        <v>500</v>
      </c>
      <c r="BS581" s="53" t="s">
        <v>500</v>
      </c>
      <c r="BT581" s="53" t="s">
        <v>500</v>
      </c>
      <c r="BU581" s="53" t="s">
        <v>99</v>
      </c>
      <c r="BV581" s="53" t="s">
        <v>500</v>
      </c>
      <c r="BW581" s="53" t="s">
        <v>500</v>
      </c>
      <c r="BX581" s="53" t="s">
        <v>500</v>
      </c>
      <c r="BY581" s="53" t="s">
        <v>350</v>
      </c>
      <c r="BZ581" s="53" t="s">
        <v>182</v>
      </c>
      <c r="CA581" s="53" t="s">
        <v>577</v>
      </c>
      <c r="CB581" s="53" t="s">
        <v>822</v>
      </c>
      <c r="CC581" s="53" t="s">
        <v>99</v>
      </c>
      <c r="CD581" s="53" t="s">
        <v>500</v>
      </c>
      <c r="CE581" s="53" t="s">
        <v>500</v>
      </c>
      <c r="CF581" s="53" t="s">
        <v>500</v>
      </c>
      <c r="CG581" s="53" t="s">
        <v>99</v>
      </c>
      <c r="CH581" s="53" t="s">
        <v>500</v>
      </c>
      <c r="CI581" s="53" t="s">
        <v>500</v>
      </c>
      <c r="CJ581" s="53" t="s">
        <v>500</v>
      </c>
      <c r="CK581" s="53" t="s">
        <v>176</v>
      </c>
      <c r="CL581" s="53" t="s">
        <v>579</v>
      </c>
      <c r="CM581" s="53" t="s">
        <v>980</v>
      </c>
      <c r="CN581" s="53" t="s">
        <v>500</v>
      </c>
      <c r="CO581" s="53" t="s">
        <v>176</v>
      </c>
      <c r="CP581" s="53" t="s">
        <v>362</v>
      </c>
      <c r="CQ581" s="53" t="s">
        <v>500</v>
      </c>
      <c r="CR581" s="53" t="s">
        <v>500</v>
      </c>
      <c r="CS581" s="53" t="s">
        <v>350</v>
      </c>
      <c r="CT581" s="53" t="s">
        <v>363</v>
      </c>
      <c r="CU581" s="53" t="s">
        <v>5610</v>
      </c>
      <c r="CV581" s="53" t="s">
        <v>500</v>
      </c>
      <c r="CW581" s="53">
        <v>3</v>
      </c>
      <c r="CX581" s="53" t="s">
        <v>110</v>
      </c>
      <c r="CY581" s="53" t="s">
        <v>4824</v>
      </c>
      <c r="CZ581" s="53" t="s">
        <v>500</v>
      </c>
      <c r="DA581" s="53" t="s">
        <v>500</v>
      </c>
      <c r="DB581" s="53" t="s">
        <v>500</v>
      </c>
      <c r="DC581">
        <v>90.7</v>
      </c>
      <c r="DD581" s="48">
        <v>1.36</v>
      </c>
      <c r="DE581" s="48">
        <v>227</v>
      </c>
      <c r="DF581" s="29">
        <v>83</v>
      </c>
      <c r="DG581" s="9">
        <f t="shared" si="9"/>
        <v>4.4631989824588443</v>
      </c>
      <c r="DH581" s="29">
        <v>16.600000000000001</v>
      </c>
      <c r="DI581" s="29">
        <v>5.81</v>
      </c>
      <c r="DJ581" s="29"/>
      <c r="DL581" s="29">
        <v>45.1</v>
      </c>
      <c r="DM581" s="29">
        <v>165.3</v>
      </c>
      <c r="DP581" s="29">
        <v>1</v>
      </c>
    </row>
    <row r="582" spans="1:124" customFormat="1" x14ac:dyDescent="0.2">
      <c r="A582" s="138" t="s">
        <v>5611</v>
      </c>
      <c r="B582" s="69">
        <v>43801</v>
      </c>
      <c r="C582" s="136" t="s">
        <v>675</v>
      </c>
      <c r="D582" s="136">
        <v>33</v>
      </c>
      <c r="E582" s="136" t="s">
        <v>100</v>
      </c>
      <c r="F582" s="69">
        <v>31467</v>
      </c>
      <c r="G582" s="136" t="s">
        <v>500</v>
      </c>
      <c r="H582" s="136" t="s">
        <v>500</v>
      </c>
      <c r="I582" s="136" t="s">
        <v>500</v>
      </c>
      <c r="J582" s="136" t="s">
        <v>500</v>
      </c>
      <c r="K582" s="137" t="s">
        <v>500</v>
      </c>
      <c r="L582" s="138" t="s">
        <v>500</v>
      </c>
      <c r="M582" s="136" t="s">
        <v>99</v>
      </c>
      <c r="N582" s="136" t="s">
        <v>99</v>
      </c>
      <c r="O582" s="136" t="s">
        <v>99</v>
      </c>
      <c r="P582" s="136" t="s">
        <v>99</v>
      </c>
      <c r="Q582" s="136" t="s">
        <v>99</v>
      </c>
      <c r="R582" s="136" t="s">
        <v>99</v>
      </c>
      <c r="S582" s="136" t="s">
        <v>99</v>
      </c>
      <c r="T582" s="136" t="s">
        <v>99</v>
      </c>
      <c r="U582" s="136" t="s">
        <v>5612</v>
      </c>
      <c r="V582" s="136" t="s">
        <v>99</v>
      </c>
      <c r="W582" s="136" t="s">
        <v>99</v>
      </c>
      <c r="X582" s="136" t="s">
        <v>99</v>
      </c>
      <c r="Y582" s="136" t="s">
        <v>99</v>
      </c>
      <c r="Z582" s="136" t="s">
        <v>99</v>
      </c>
      <c r="AA582" s="136" t="s">
        <v>100</v>
      </c>
      <c r="AB582" s="136" t="s">
        <v>100</v>
      </c>
      <c r="AC582" s="136" t="s">
        <v>100</v>
      </c>
      <c r="AD582" s="136" t="s">
        <v>100</v>
      </c>
      <c r="AE582" s="136" t="s">
        <v>99</v>
      </c>
      <c r="AF582" s="136" t="s">
        <v>1127</v>
      </c>
      <c r="AG582" s="136" t="s">
        <v>343</v>
      </c>
      <c r="AH582" s="137" t="s">
        <v>99</v>
      </c>
      <c r="AI582" s="136" t="s">
        <v>99</v>
      </c>
      <c r="AJ582" s="53" t="s">
        <v>99</v>
      </c>
      <c r="AK582" s="53" t="s">
        <v>99</v>
      </c>
      <c r="AL582" s="53">
        <v>84.1</v>
      </c>
      <c r="AM582" s="53">
        <v>170</v>
      </c>
      <c r="AN582" s="53">
        <v>98</v>
      </c>
      <c r="AO582" s="53">
        <v>104</v>
      </c>
      <c r="AP582" s="53">
        <v>31.8</v>
      </c>
      <c r="AQ582" s="53">
        <v>13</v>
      </c>
      <c r="AR582" s="53">
        <v>32.700000000000003</v>
      </c>
      <c r="AS582" s="53">
        <v>52</v>
      </c>
      <c r="AT582" s="53">
        <v>29.1</v>
      </c>
      <c r="AU582" s="53">
        <v>128</v>
      </c>
      <c r="AV582" s="53">
        <v>89</v>
      </c>
      <c r="AW582" s="53" t="s">
        <v>176</v>
      </c>
      <c r="AX582" s="53" t="s">
        <v>3352</v>
      </c>
      <c r="AY582" s="53" t="s">
        <v>3351</v>
      </c>
      <c r="AZ582" s="53" t="s">
        <v>5613</v>
      </c>
      <c r="BA582" s="53" t="s">
        <v>351</v>
      </c>
      <c r="BB582" s="53" t="s">
        <v>500</v>
      </c>
      <c r="BC582" s="53" t="s">
        <v>500</v>
      </c>
      <c r="BD582" s="53" t="s">
        <v>500</v>
      </c>
      <c r="BE582" s="53" t="s">
        <v>110</v>
      </c>
      <c r="BF582" s="53" t="s">
        <v>176</v>
      </c>
      <c r="BG582" s="53" t="s">
        <v>176</v>
      </c>
      <c r="BH582" s="53" t="s">
        <v>176</v>
      </c>
      <c r="BI582" s="53" t="s">
        <v>176</v>
      </c>
      <c r="BJ582" s="53" t="s">
        <v>176</v>
      </c>
      <c r="BK582" s="53" t="s">
        <v>176</v>
      </c>
      <c r="BL582" s="53" t="s">
        <v>110</v>
      </c>
      <c r="BM582" s="53" t="s">
        <v>350</v>
      </c>
      <c r="BN582" s="53" t="s">
        <v>352</v>
      </c>
      <c r="BO582" s="53" t="s">
        <v>179</v>
      </c>
      <c r="BP582" s="53" t="s">
        <v>125</v>
      </c>
      <c r="BQ582" s="53" t="s">
        <v>99</v>
      </c>
      <c r="BR582" s="53" t="s">
        <v>500</v>
      </c>
      <c r="BS582" s="53" t="s">
        <v>500</v>
      </c>
      <c r="BT582" s="53" t="s">
        <v>500</v>
      </c>
      <c r="BU582" s="53" t="s">
        <v>99</v>
      </c>
      <c r="BV582" s="53" t="s">
        <v>500</v>
      </c>
      <c r="BW582" s="53" t="s">
        <v>500</v>
      </c>
      <c r="BX582" s="53" t="s">
        <v>500</v>
      </c>
      <c r="BY582" s="53" t="s">
        <v>351</v>
      </c>
      <c r="BZ582" s="53" t="s">
        <v>182</v>
      </c>
      <c r="CA582" s="53" t="s">
        <v>3744</v>
      </c>
      <c r="CB582" s="53" t="s">
        <v>183</v>
      </c>
      <c r="CC582" s="53" t="s">
        <v>99</v>
      </c>
      <c r="CD582" s="53" t="s">
        <v>500</v>
      </c>
      <c r="CE582" s="53" t="s">
        <v>500</v>
      </c>
      <c r="CF582" s="29" t="s">
        <v>500</v>
      </c>
      <c r="CG582" s="53" t="s">
        <v>99</v>
      </c>
      <c r="CH582" s="53" t="s">
        <v>500</v>
      </c>
      <c r="CI582" s="53" t="s">
        <v>500</v>
      </c>
      <c r="CJ582" s="53" t="s">
        <v>500</v>
      </c>
      <c r="CK582" s="53" t="s">
        <v>500</v>
      </c>
      <c r="CL582" s="53" t="s">
        <v>500</v>
      </c>
      <c r="CM582" s="53" t="s">
        <v>500</v>
      </c>
      <c r="CN582" s="53" t="s">
        <v>500</v>
      </c>
      <c r="CO582" s="53" t="s">
        <v>176</v>
      </c>
      <c r="CP582" s="53" t="s">
        <v>362</v>
      </c>
      <c r="CQ582" s="53" t="s">
        <v>500</v>
      </c>
      <c r="CR582" s="53" t="s">
        <v>500</v>
      </c>
      <c r="CS582" s="53" t="s">
        <v>176</v>
      </c>
      <c r="CT582" s="53" t="s">
        <v>980</v>
      </c>
      <c r="CU582" s="53" t="s">
        <v>363</v>
      </c>
      <c r="CV582" s="53" t="s">
        <v>5200</v>
      </c>
      <c r="CW582" s="53">
        <v>3</v>
      </c>
      <c r="CX582" s="53" t="s">
        <v>99</v>
      </c>
      <c r="CY582" s="53" t="s">
        <v>99</v>
      </c>
      <c r="CZ582" s="29">
        <v>30</v>
      </c>
      <c r="DA582" s="29">
        <v>10</v>
      </c>
      <c r="DB582" s="29">
        <v>60</v>
      </c>
      <c r="DC582">
        <v>91.5</v>
      </c>
      <c r="DD582">
        <v>0.45</v>
      </c>
      <c r="DE582" s="108">
        <v>227</v>
      </c>
      <c r="DF582" s="108">
        <v>184</v>
      </c>
      <c r="DG582" s="9">
        <f t="shared" si="9"/>
        <v>4.8656373649452309</v>
      </c>
      <c r="DH582">
        <v>36.799999999999997</v>
      </c>
      <c r="DI582" s="108">
        <v>9.25</v>
      </c>
      <c r="DL582">
        <v>48.9</v>
      </c>
      <c r="DM582">
        <v>141.30000000000001</v>
      </c>
      <c r="DR582">
        <v>3</v>
      </c>
    </row>
    <row r="583" spans="1:124" customFormat="1" x14ac:dyDescent="0.2">
      <c r="A583" s="138" t="s">
        <v>5614</v>
      </c>
      <c r="B583" s="69">
        <v>43801</v>
      </c>
      <c r="C583" s="136" t="s">
        <v>196</v>
      </c>
      <c r="D583" s="136">
        <v>44</v>
      </c>
      <c r="E583" s="136" t="s">
        <v>100</v>
      </c>
      <c r="F583" s="69">
        <v>27589</v>
      </c>
      <c r="G583" s="136" t="s">
        <v>339</v>
      </c>
      <c r="H583" s="136" t="s">
        <v>500</v>
      </c>
      <c r="I583" s="136" t="s">
        <v>198</v>
      </c>
      <c r="J583" s="136" t="s">
        <v>500</v>
      </c>
      <c r="K583" s="114">
        <v>42826</v>
      </c>
      <c r="L583" s="29">
        <v>3</v>
      </c>
      <c r="M583" s="136" t="s">
        <v>99</v>
      </c>
      <c r="N583" s="136" t="s">
        <v>5615</v>
      </c>
      <c r="O583" s="136" t="s">
        <v>99</v>
      </c>
      <c r="P583" s="136" t="s">
        <v>99</v>
      </c>
      <c r="Q583" s="136" t="s">
        <v>500</v>
      </c>
      <c r="R583" s="136" t="s">
        <v>110</v>
      </c>
      <c r="S583" s="136" t="s">
        <v>99</v>
      </c>
      <c r="T583" s="136" t="s">
        <v>99</v>
      </c>
      <c r="U583" s="136" t="s">
        <v>99</v>
      </c>
      <c r="V583" s="136" t="s">
        <v>99</v>
      </c>
      <c r="W583" s="136" t="s">
        <v>99</v>
      </c>
      <c r="X583" s="136" t="s">
        <v>99</v>
      </c>
      <c r="Y583" s="136" t="s">
        <v>99</v>
      </c>
      <c r="Z583" s="136" t="s">
        <v>99</v>
      </c>
      <c r="AA583" s="136" t="s">
        <v>1338</v>
      </c>
      <c r="AB583" s="136" t="s">
        <v>1338</v>
      </c>
      <c r="AC583" s="136" t="s">
        <v>204</v>
      </c>
      <c r="AD583" s="136" t="s">
        <v>1338</v>
      </c>
      <c r="AE583" s="136" t="s">
        <v>5616</v>
      </c>
      <c r="AF583" s="136" t="s">
        <v>5617</v>
      </c>
      <c r="AG583" s="136" t="s">
        <v>99</v>
      </c>
      <c r="AH583" s="137" t="s">
        <v>1511</v>
      </c>
      <c r="AI583" s="136" t="s">
        <v>99</v>
      </c>
      <c r="AJ583" s="53" t="s">
        <v>99</v>
      </c>
      <c r="AK583" s="53" t="s">
        <v>99</v>
      </c>
      <c r="AL583" s="53">
        <v>83.4</v>
      </c>
      <c r="AM583" s="53">
        <v>163</v>
      </c>
      <c r="AN583" s="53">
        <v>98</v>
      </c>
      <c r="AO583" s="53">
        <v>115</v>
      </c>
      <c r="AP583" s="53">
        <v>46.2</v>
      </c>
      <c r="AQ583" s="53">
        <v>10</v>
      </c>
      <c r="AR583" s="53">
        <v>23.2</v>
      </c>
      <c r="AS583" s="53">
        <v>60</v>
      </c>
      <c r="AT583" s="53">
        <v>31.4</v>
      </c>
      <c r="AU583" s="53">
        <v>125</v>
      </c>
      <c r="AV583" s="53">
        <v>75</v>
      </c>
      <c r="AW583" s="53" t="s">
        <v>176</v>
      </c>
      <c r="AX583" s="53" t="s">
        <v>729</v>
      </c>
      <c r="AY583" s="53" t="s">
        <v>5618</v>
      </c>
      <c r="AZ583" s="53" t="s">
        <v>1128</v>
      </c>
      <c r="BA583" s="53" t="s">
        <v>351</v>
      </c>
      <c r="BB583" s="53" t="s">
        <v>750</v>
      </c>
      <c r="BC583" s="53" t="s">
        <v>2652</v>
      </c>
      <c r="BD583" s="53" t="s">
        <v>1080</v>
      </c>
      <c r="BE583" s="53" t="s">
        <v>110</v>
      </c>
      <c r="BF583" s="53" t="s">
        <v>176</v>
      </c>
      <c r="BG583" s="53" t="s">
        <v>213</v>
      </c>
      <c r="BH583" s="53" t="s">
        <v>1469</v>
      </c>
      <c r="BI583" s="53" t="s">
        <v>213</v>
      </c>
      <c r="BJ583" s="53" t="s">
        <v>176</v>
      </c>
      <c r="BK583" s="53" t="s">
        <v>1469</v>
      </c>
      <c r="BL583" s="53" t="s">
        <v>110</v>
      </c>
      <c r="BM583" s="53" t="s">
        <v>176</v>
      </c>
      <c r="BN583" s="53" t="s">
        <v>178</v>
      </c>
      <c r="BO583" s="53" t="s">
        <v>219</v>
      </c>
      <c r="BP583" s="53" t="s">
        <v>179</v>
      </c>
      <c r="BQ583" s="53" t="s">
        <v>99</v>
      </c>
      <c r="BR583" s="53" t="s">
        <v>500</v>
      </c>
      <c r="BS583" s="53" t="s">
        <v>500</v>
      </c>
      <c r="BT583" s="53" t="s">
        <v>500</v>
      </c>
      <c r="BU583" s="53" t="s">
        <v>350</v>
      </c>
      <c r="BV583" s="53" t="s">
        <v>179</v>
      </c>
      <c r="BW583" s="53" t="s">
        <v>5619</v>
      </c>
      <c r="BX583" s="53" t="s">
        <v>500</v>
      </c>
      <c r="BY583" s="53" t="s">
        <v>351</v>
      </c>
      <c r="BZ583" s="53" t="s">
        <v>183</v>
      </c>
      <c r="CA583" s="53" t="s">
        <v>182</v>
      </c>
      <c r="CB583" s="53" t="s">
        <v>822</v>
      </c>
      <c r="CC583" s="53" t="s">
        <v>99</v>
      </c>
      <c r="CD583" s="53" t="s">
        <v>500</v>
      </c>
      <c r="CE583" s="53" t="s">
        <v>500</v>
      </c>
      <c r="CF583" s="29" t="s">
        <v>500</v>
      </c>
      <c r="CG583" s="53" t="s">
        <v>99</v>
      </c>
      <c r="CH583" s="53" t="s">
        <v>500</v>
      </c>
      <c r="CI583" s="53" t="s">
        <v>500</v>
      </c>
      <c r="CJ583" s="53" t="s">
        <v>500</v>
      </c>
      <c r="CK583" s="53" t="s">
        <v>176</v>
      </c>
      <c r="CL583" s="53" t="s">
        <v>579</v>
      </c>
      <c r="CM583" s="53" t="s">
        <v>980</v>
      </c>
      <c r="CN583" s="53" t="s">
        <v>5620</v>
      </c>
      <c r="CO583" s="53" t="s">
        <v>176</v>
      </c>
      <c r="CP583" s="53" t="s">
        <v>716</v>
      </c>
      <c r="CQ583" s="53" t="s">
        <v>1518</v>
      </c>
      <c r="CR583" s="53" t="s">
        <v>500</v>
      </c>
      <c r="CS583" s="53" t="s">
        <v>1979</v>
      </c>
      <c r="CT583" s="53" t="s">
        <v>5305</v>
      </c>
      <c r="CU583" s="53" t="s">
        <v>500</v>
      </c>
      <c r="CV583" s="53" t="s">
        <v>500</v>
      </c>
      <c r="CW583" s="53">
        <v>3</v>
      </c>
      <c r="CX583" s="53" t="s">
        <v>99</v>
      </c>
      <c r="CY583" s="53" t="s">
        <v>99</v>
      </c>
      <c r="CZ583" s="29">
        <v>30</v>
      </c>
      <c r="DA583" s="29">
        <v>20</v>
      </c>
      <c r="DB583" s="29">
        <v>50</v>
      </c>
      <c r="DC583">
        <v>70.900000000000006</v>
      </c>
      <c r="DD583">
        <v>0.81</v>
      </c>
      <c r="DE583">
        <v>164</v>
      </c>
      <c r="DF583">
        <v>49</v>
      </c>
      <c r="DG583" s="9">
        <f t="shared" si="9"/>
        <v>4.0765453658243542</v>
      </c>
      <c r="DH583">
        <v>9.8000000000000007</v>
      </c>
      <c r="DI583">
        <v>3.6</v>
      </c>
      <c r="DL583">
        <v>63.5</v>
      </c>
      <c r="DM583">
        <v>90.7</v>
      </c>
      <c r="DR583">
        <v>3</v>
      </c>
    </row>
    <row r="584" spans="1:124" x14ac:dyDescent="0.2">
      <c r="A584" s="9" t="s">
        <v>5621</v>
      </c>
      <c r="DG584" s="9" t="e">
        <f t="shared" si="9"/>
        <v>#NUM!</v>
      </c>
      <c r="DP584" s="11">
        <v>3</v>
      </c>
      <c r="DR584" s="9">
        <v>1</v>
      </c>
    </row>
    <row r="585" spans="1:124" x14ac:dyDescent="0.2">
      <c r="A585" s="9" t="s">
        <v>5622</v>
      </c>
      <c r="DC585">
        <v>76.5</v>
      </c>
      <c r="DD585">
        <v>1.56</v>
      </c>
      <c r="DE585">
        <v>221</v>
      </c>
      <c r="DF585">
        <v>175</v>
      </c>
      <c r="DG585" s="9">
        <f t="shared" si="9"/>
        <v>4.7510383573780022</v>
      </c>
      <c r="DH585">
        <v>28.2</v>
      </c>
      <c r="DI585">
        <v>9.9499999999999993</v>
      </c>
      <c r="DJ585"/>
      <c r="DK585"/>
      <c r="DL585">
        <v>57.4</v>
      </c>
      <c r="DM585">
        <v>135.4</v>
      </c>
      <c r="DR585" s="9">
        <v>2</v>
      </c>
    </row>
    <row r="586" spans="1:124" x14ac:dyDescent="0.2">
      <c r="A586" s="6">
        <v>500</v>
      </c>
      <c r="B586" s="17">
        <v>42979</v>
      </c>
      <c r="C586" s="6" t="s">
        <v>196</v>
      </c>
      <c r="D586" s="6">
        <v>41</v>
      </c>
      <c r="E586" s="9" t="s">
        <v>100</v>
      </c>
      <c r="F586" s="9" t="s">
        <v>5623</v>
      </c>
      <c r="G586" s="9" t="s">
        <v>5624</v>
      </c>
      <c r="H586" s="9" t="s">
        <v>5625</v>
      </c>
      <c r="I586" s="9">
        <v>13</v>
      </c>
      <c r="J586" s="9" t="s">
        <v>99</v>
      </c>
      <c r="K586" s="9">
        <v>2010</v>
      </c>
      <c r="L586" s="9">
        <v>3</v>
      </c>
      <c r="M586" s="9" t="s">
        <v>99</v>
      </c>
      <c r="N586" s="9" t="s">
        <v>99</v>
      </c>
      <c r="O586" s="9" t="s">
        <v>99</v>
      </c>
      <c r="P586" s="9" t="s">
        <v>99</v>
      </c>
      <c r="Q586" s="9" t="s">
        <v>99</v>
      </c>
      <c r="R586" s="9" t="s">
        <v>110</v>
      </c>
      <c r="S586" s="9" t="s">
        <v>110</v>
      </c>
      <c r="T586" s="9" t="s">
        <v>110</v>
      </c>
      <c r="U586" s="9" t="s">
        <v>2439</v>
      </c>
      <c r="W586" s="9" t="s">
        <v>5626</v>
      </c>
      <c r="X586" s="9" t="s">
        <v>99</v>
      </c>
      <c r="Y586" s="9" t="s">
        <v>1903</v>
      </c>
      <c r="AA586" s="9" t="s">
        <v>204</v>
      </c>
      <c r="AB586" s="9" t="s">
        <v>204</v>
      </c>
      <c r="AC586" s="9" t="s">
        <v>204</v>
      </c>
      <c r="AE586" s="9" t="s">
        <v>125</v>
      </c>
      <c r="AF586" s="9" t="s">
        <v>3223</v>
      </c>
      <c r="AG586" s="9" t="s">
        <v>99</v>
      </c>
      <c r="AH586" s="9" t="s">
        <v>99</v>
      </c>
      <c r="AI586" s="9" t="s">
        <v>99</v>
      </c>
      <c r="AJ586" s="9" t="s">
        <v>99</v>
      </c>
      <c r="AK586" s="9" t="s">
        <v>5627</v>
      </c>
      <c r="AL586">
        <v>56.8</v>
      </c>
      <c r="AM586">
        <v>150</v>
      </c>
      <c r="AN586">
        <v>83</v>
      </c>
      <c r="AO586">
        <v>107.5</v>
      </c>
      <c r="AP586">
        <v>39.5</v>
      </c>
      <c r="AQ586">
        <v>7</v>
      </c>
      <c r="AR586">
        <v>24.6</v>
      </c>
      <c r="AS586">
        <v>50</v>
      </c>
      <c r="AT586">
        <v>25.2</v>
      </c>
      <c r="AU586">
        <v>99</v>
      </c>
      <c r="AV586">
        <v>68</v>
      </c>
      <c r="DC586" s="9">
        <v>101.5</v>
      </c>
      <c r="DD586" s="9">
        <v>0.61</v>
      </c>
      <c r="DE586" s="9">
        <v>163</v>
      </c>
      <c r="DF586" s="9">
        <v>70</v>
      </c>
      <c r="DG586" s="9">
        <f t="shared" si="9"/>
        <v>4.4342770202656006</v>
      </c>
      <c r="DH586" s="9">
        <v>14</v>
      </c>
      <c r="DI586" s="9">
        <v>4.67</v>
      </c>
      <c r="DP586" s="11">
        <v>2</v>
      </c>
      <c r="DQ586" s="6" t="s">
        <v>111</v>
      </c>
      <c r="DR586" s="30">
        <v>1</v>
      </c>
      <c r="DT586" s="9">
        <v>14.8</v>
      </c>
    </row>
    <row r="587" spans="1:124" x14ac:dyDescent="0.2">
      <c r="A587" s="6">
        <v>501</v>
      </c>
      <c r="C587" s="6" t="s">
        <v>196</v>
      </c>
      <c r="D587" s="6"/>
      <c r="AM587"/>
      <c r="AN587"/>
      <c r="AO587"/>
      <c r="AP587"/>
      <c r="AQ587"/>
      <c r="AR587"/>
      <c r="AS587"/>
      <c r="AT587"/>
      <c r="AU587"/>
      <c r="AV587"/>
      <c r="DG587" s="9" t="e">
        <f t="shared" si="9"/>
        <v>#NUM!</v>
      </c>
      <c r="DP587" s="11">
        <v>2</v>
      </c>
      <c r="DQ587" s="6" t="s">
        <v>111</v>
      </c>
      <c r="DR587" s="9">
        <v>2</v>
      </c>
    </row>
    <row r="588" spans="1:124" x14ac:dyDescent="0.2">
      <c r="A588" s="6">
        <v>502</v>
      </c>
      <c r="C588" s="6" t="s">
        <v>675</v>
      </c>
      <c r="D588" s="6"/>
      <c r="DG588" s="9" t="e">
        <f t="shared" si="9"/>
        <v>#NUM!</v>
      </c>
      <c r="DP588" s="11">
        <v>2</v>
      </c>
      <c r="DQ588" s="6" t="s">
        <v>111</v>
      </c>
      <c r="DR588" s="9">
        <v>3</v>
      </c>
    </row>
    <row r="589" spans="1:124" x14ac:dyDescent="0.2">
      <c r="A589" s="6">
        <v>503</v>
      </c>
      <c r="C589" s="6" t="s">
        <v>675</v>
      </c>
      <c r="D589" s="6">
        <v>39</v>
      </c>
      <c r="DG589" s="9" t="e">
        <f t="shared" si="9"/>
        <v>#NUM!</v>
      </c>
      <c r="DP589" s="11">
        <v>3</v>
      </c>
      <c r="DQ589" s="6" t="s">
        <v>111</v>
      </c>
      <c r="DR589" s="9">
        <v>2</v>
      </c>
    </row>
    <row r="590" spans="1:124" x14ac:dyDescent="0.2">
      <c r="A590" s="6">
        <v>504</v>
      </c>
      <c r="C590" s="6" t="s">
        <v>196</v>
      </c>
      <c r="D590" s="6">
        <v>52</v>
      </c>
      <c r="DG590" s="9" t="e">
        <f t="shared" si="9"/>
        <v>#NUM!</v>
      </c>
      <c r="DQ590" s="6" t="s">
        <v>111</v>
      </c>
    </row>
    <row r="591" spans="1:124" x14ac:dyDescent="0.2">
      <c r="A591" s="6">
        <v>505</v>
      </c>
      <c r="C591" s="6" t="s">
        <v>675</v>
      </c>
      <c r="D591" s="6">
        <v>35</v>
      </c>
      <c r="DG591" s="9" t="e">
        <f t="shared" si="9"/>
        <v>#NUM!</v>
      </c>
      <c r="DP591" s="11">
        <v>2</v>
      </c>
      <c r="DQ591" s="6" t="s">
        <v>111</v>
      </c>
      <c r="DR591" s="9">
        <v>2</v>
      </c>
    </row>
    <row r="592" spans="1:124" x14ac:dyDescent="0.2">
      <c r="A592" s="9" t="s">
        <v>5628</v>
      </c>
      <c r="DG592" s="9" t="e">
        <f t="shared" si="9"/>
        <v>#NUM!</v>
      </c>
    </row>
    <row r="593" spans="1:125" x14ac:dyDescent="0.2">
      <c r="A593" s="79">
        <v>507</v>
      </c>
      <c r="B593" s="17">
        <v>43035</v>
      </c>
      <c r="C593" s="9" t="s">
        <v>95</v>
      </c>
      <c r="D593" s="9">
        <v>27</v>
      </c>
      <c r="E593" s="9" t="s">
        <v>2234</v>
      </c>
      <c r="F593" s="17">
        <v>32906</v>
      </c>
      <c r="G593" s="9" t="s">
        <v>1509</v>
      </c>
      <c r="I593" s="9">
        <v>13</v>
      </c>
      <c r="M593" s="9" t="s">
        <v>99</v>
      </c>
      <c r="N593" s="9" t="s">
        <v>99</v>
      </c>
      <c r="O593" s="9" t="s">
        <v>99</v>
      </c>
      <c r="P593" s="9" t="s">
        <v>5435</v>
      </c>
      <c r="Q593" s="9" t="s">
        <v>5629</v>
      </c>
      <c r="R593" s="9" t="s">
        <v>110</v>
      </c>
      <c r="S593" s="9" t="s">
        <v>110</v>
      </c>
      <c r="T593" s="9" t="s">
        <v>99</v>
      </c>
      <c r="U593" s="9" t="s">
        <v>99</v>
      </c>
      <c r="V593" s="9" t="s">
        <v>99</v>
      </c>
      <c r="W593" s="9" t="s">
        <v>99</v>
      </c>
      <c r="Z593" s="9" t="s">
        <v>5630</v>
      </c>
      <c r="AA593" s="9" t="s">
        <v>2234</v>
      </c>
      <c r="AB593" s="9" t="s">
        <v>2234</v>
      </c>
      <c r="AC593" s="9" t="s">
        <v>100</v>
      </c>
      <c r="AD593" s="9" t="s">
        <v>2234</v>
      </c>
      <c r="AE593" s="9" t="s">
        <v>5631</v>
      </c>
      <c r="AF593" s="9" t="s">
        <v>99</v>
      </c>
      <c r="AG593" s="9" t="s">
        <v>5632</v>
      </c>
      <c r="AH593" s="9" t="s">
        <v>5633</v>
      </c>
      <c r="AI593" s="9" t="s">
        <v>99</v>
      </c>
      <c r="AJ593" s="9" t="s">
        <v>99</v>
      </c>
      <c r="AK593" s="9" t="s">
        <v>99</v>
      </c>
      <c r="AL593" s="9">
        <v>50.6</v>
      </c>
      <c r="AM593" s="9">
        <v>156</v>
      </c>
      <c r="AN593" s="9">
        <v>70</v>
      </c>
      <c r="AO593" s="9">
        <v>91</v>
      </c>
      <c r="AP593" s="9">
        <v>32.700000000000003</v>
      </c>
      <c r="AQ593" s="9">
        <v>4</v>
      </c>
      <c r="AR593" s="9">
        <v>24.5</v>
      </c>
      <c r="AS593" s="9">
        <v>24</v>
      </c>
      <c r="AT593" s="9">
        <v>20.8</v>
      </c>
      <c r="AU593" s="9">
        <v>96</v>
      </c>
      <c r="AV593" s="9">
        <v>71</v>
      </c>
      <c r="AX593" s="9" t="s">
        <v>5634</v>
      </c>
      <c r="AY593" s="9" t="s">
        <v>5635</v>
      </c>
      <c r="AZ593" s="9" t="s">
        <v>5636</v>
      </c>
      <c r="BB593" s="9" t="s">
        <v>3556</v>
      </c>
      <c r="BC593" s="9" t="s">
        <v>5637</v>
      </c>
      <c r="BD593" s="9" t="s">
        <v>5638</v>
      </c>
      <c r="BF593" s="9" t="s">
        <v>5639</v>
      </c>
      <c r="BG593" s="9" t="s">
        <v>5640</v>
      </c>
      <c r="BH593" s="9" t="s">
        <v>5641</v>
      </c>
      <c r="BI593" s="9" t="s">
        <v>5642</v>
      </c>
      <c r="BJ593" s="9" t="s">
        <v>5643</v>
      </c>
      <c r="BK593" s="9" t="s">
        <v>646</v>
      </c>
      <c r="BL593" s="9" t="s">
        <v>635</v>
      </c>
      <c r="BM593" s="9" t="s">
        <v>5644</v>
      </c>
      <c r="BN593" s="9" t="s">
        <v>5645</v>
      </c>
      <c r="BO593" s="9" t="s">
        <v>5646</v>
      </c>
      <c r="BY593" s="9" t="s">
        <v>635</v>
      </c>
      <c r="BZ593" s="9" t="s">
        <v>2434</v>
      </c>
      <c r="CA593" s="9" t="s">
        <v>2721</v>
      </c>
      <c r="CB593" s="9" t="s">
        <v>2466</v>
      </c>
      <c r="CL593" s="9" t="s">
        <v>5647</v>
      </c>
      <c r="CM593" s="9" t="s">
        <v>5648</v>
      </c>
      <c r="CN593" s="9" t="s">
        <v>5649</v>
      </c>
      <c r="CO593" s="9" t="s">
        <v>635</v>
      </c>
      <c r="CP593" s="9" t="s">
        <v>637</v>
      </c>
      <c r="CQ593" s="9" t="s">
        <v>636</v>
      </c>
      <c r="CR593" s="9" t="s">
        <v>5650</v>
      </c>
      <c r="CS593" s="9" t="s">
        <v>323</v>
      </c>
      <c r="CT593" s="9" t="s">
        <v>5651</v>
      </c>
      <c r="CU593" s="9" t="s">
        <v>2727</v>
      </c>
      <c r="CV593" s="9" t="s">
        <v>5652</v>
      </c>
      <c r="CW593" s="9">
        <v>5</v>
      </c>
      <c r="CX593" s="9" t="s">
        <v>483</v>
      </c>
      <c r="CY593" s="9" t="s">
        <v>5653</v>
      </c>
      <c r="DC593" s="9">
        <v>82.9</v>
      </c>
      <c r="DD593" s="9">
        <v>0.77</v>
      </c>
      <c r="DE593" s="9">
        <v>185</v>
      </c>
      <c r="DF593" s="9">
        <v>44</v>
      </c>
      <c r="DG593" s="9">
        <f t="shared" si="9"/>
        <v>4.1009123480297553</v>
      </c>
      <c r="DH593" s="9">
        <v>8.8000000000000007</v>
      </c>
      <c r="DI593" s="9">
        <v>3.98</v>
      </c>
      <c r="DJ593" s="9">
        <v>17.899999999999999</v>
      </c>
      <c r="DL593" s="9">
        <v>86.3</v>
      </c>
      <c r="DM593" s="9">
        <v>89.9</v>
      </c>
      <c r="DP593" s="11">
        <v>2</v>
      </c>
      <c r="DT593" s="9">
        <v>7</v>
      </c>
      <c r="DU593" s="9">
        <v>4.8499999999999996</v>
      </c>
    </row>
    <row r="594" spans="1:125" x14ac:dyDescent="0.2">
      <c r="A594" s="6">
        <v>508</v>
      </c>
      <c r="B594" s="17">
        <v>43035</v>
      </c>
      <c r="C594" s="9" t="s">
        <v>3955</v>
      </c>
      <c r="D594" s="9">
        <v>34</v>
      </c>
      <c r="E594" s="35" t="s">
        <v>155</v>
      </c>
      <c r="F594" s="17">
        <v>30625</v>
      </c>
      <c r="G594" s="9" t="s">
        <v>1509</v>
      </c>
      <c r="M594" s="9" t="s">
        <v>99</v>
      </c>
      <c r="N594" s="9" t="s">
        <v>99</v>
      </c>
      <c r="O594" s="9" t="s">
        <v>99</v>
      </c>
      <c r="P594" s="9" t="s">
        <v>5654</v>
      </c>
      <c r="Q594" s="9" t="s">
        <v>5655</v>
      </c>
      <c r="R594" s="9" t="s">
        <v>99</v>
      </c>
      <c r="S594" s="9" t="s">
        <v>110</v>
      </c>
      <c r="T594" s="9" t="s">
        <v>99</v>
      </c>
      <c r="U594" s="9" t="s">
        <v>99</v>
      </c>
      <c r="V594" s="9" t="s">
        <v>99</v>
      </c>
      <c r="W594" s="9" t="s">
        <v>99</v>
      </c>
      <c r="X594" s="9" t="s">
        <v>110</v>
      </c>
      <c r="Y594" s="9" t="s">
        <v>99</v>
      </c>
      <c r="Z594" s="9" t="s">
        <v>99</v>
      </c>
      <c r="AA594" s="35" t="s">
        <v>155</v>
      </c>
      <c r="AB594" s="35" t="s">
        <v>155</v>
      </c>
      <c r="AC594" s="35" t="s">
        <v>155</v>
      </c>
      <c r="AD594" s="35" t="s">
        <v>155</v>
      </c>
      <c r="AE594" s="9" t="s">
        <v>5656</v>
      </c>
      <c r="AF594" s="9" t="s">
        <v>99</v>
      </c>
      <c r="AG594" s="9" t="s">
        <v>118</v>
      </c>
      <c r="AH594" s="9" t="s">
        <v>99</v>
      </c>
      <c r="AI594" s="9" t="s">
        <v>99</v>
      </c>
      <c r="AJ594" s="9" t="s">
        <v>99</v>
      </c>
      <c r="AK594" s="9" t="s">
        <v>99</v>
      </c>
      <c r="AL594" s="9">
        <v>69.599999999999994</v>
      </c>
      <c r="AM594" s="9">
        <v>1.68</v>
      </c>
      <c r="AN594" s="9">
        <v>87</v>
      </c>
      <c r="AO594" s="9">
        <v>90</v>
      </c>
      <c r="AP594" s="9">
        <v>27.2</v>
      </c>
      <c r="AQ594" s="9">
        <v>9</v>
      </c>
      <c r="AR594" s="9">
        <v>34.4</v>
      </c>
      <c r="AT594" s="9">
        <v>24.8</v>
      </c>
      <c r="AU594" s="9">
        <v>101</v>
      </c>
      <c r="AV594" s="9">
        <v>76</v>
      </c>
      <c r="AX594" s="9" t="s">
        <v>679</v>
      </c>
      <c r="AY594" s="9" t="s">
        <v>5657</v>
      </c>
      <c r="AZ594" s="9" t="s">
        <v>125</v>
      </c>
      <c r="BB594" s="9" t="s">
        <v>3724</v>
      </c>
      <c r="BC594" s="9" t="s">
        <v>5658</v>
      </c>
      <c r="BF594" s="9" t="s">
        <v>635</v>
      </c>
      <c r="BG594" s="9" t="s">
        <v>5659</v>
      </c>
      <c r="BH594" s="9" t="s">
        <v>483</v>
      </c>
      <c r="BI594" s="9" t="s">
        <v>624</v>
      </c>
      <c r="BJ594" s="9" t="s">
        <v>5660</v>
      </c>
      <c r="BK594" s="9" t="s">
        <v>5661</v>
      </c>
      <c r="BN594" s="9" t="s">
        <v>625</v>
      </c>
      <c r="BO594" s="9" t="s">
        <v>1021</v>
      </c>
      <c r="BZ594" s="9" t="s">
        <v>2721</v>
      </c>
      <c r="CA594" s="9" t="s">
        <v>2434</v>
      </c>
      <c r="CL594" s="9" t="s">
        <v>1198</v>
      </c>
      <c r="CM594" s="9" t="s">
        <v>5662</v>
      </c>
      <c r="CN594" s="9" t="s">
        <v>5663</v>
      </c>
      <c r="CP594" s="9" t="s">
        <v>637</v>
      </c>
      <c r="CT594" s="9" t="s">
        <v>5664</v>
      </c>
      <c r="CW594" s="9">
        <v>2</v>
      </c>
      <c r="CX594" s="9" t="s">
        <v>483</v>
      </c>
      <c r="CZ594" s="9">
        <v>30</v>
      </c>
      <c r="DA594" s="9">
        <v>10</v>
      </c>
      <c r="DB594" s="9">
        <v>60</v>
      </c>
      <c r="DC594" s="9">
        <v>91.1</v>
      </c>
      <c r="DD594" s="9">
        <v>0.65</v>
      </c>
      <c r="DE594" s="10">
        <v>245</v>
      </c>
      <c r="DF594" s="9">
        <v>134</v>
      </c>
      <c r="DG594" s="9">
        <f t="shared" si="9"/>
        <v>4.7048988021084117</v>
      </c>
      <c r="DH594" s="9">
        <v>26.8</v>
      </c>
      <c r="DI594" s="9">
        <v>6.6</v>
      </c>
      <c r="DJ594" s="10">
        <v>50</v>
      </c>
      <c r="DL594" s="9">
        <v>89.5</v>
      </c>
      <c r="DM594" s="9">
        <v>128.69999999999999</v>
      </c>
      <c r="DT594" s="9">
        <v>4.2</v>
      </c>
      <c r="DU594" s="9">
        <v>2.33</v>
      </c>
    </row>
    <row r="595" spans="1:125" x14ac:dyDescent="0.2">
      <c r="A595" s="9" t="s">
        <v>5665</v>
      </c>
      <c r="DG595" s="9" t="e">
        <f t="shared" si="9"/>
        <v>#NUM!</v>
      </c>
    </row>
    <row r="596" spans="1:125" x14ac:dyDescent="0.2">
      <c r="A596" s="9" t="s">
        <v>5666</v>
      </c>
      <c r="DG596" s="9" t="e">
        <f t="shared" si="9"/>
        <v>#NUM!</v>
      </c>
    </row>
    <row r="597" spans="1:125" x14ac:dyDescent="0.2">
      <c r="A597" s="9" t="s">
        <v>5667</v>
      </c>
      <c r="DG597" s="9" t="e">
        <f t="shared" si="9"/>
        <v>#NUM!</v>
      </c>
    </row>
    <row r="598" spans="1:125" x14ac:dyDescent="0.2">
      <c r="A598" s="9" t="s">
        <v>5668</v>
      </c>
      <c r="DG598" s="9" t="e">
        <f t="shared" si="9"/>
        <v>#NUM!</v>
      </c>
    </row>
    <row r="599" spans="1:125" x14ac:dyDescent="0.2">
      <c r="A599" s="9" t="s">
        <v>5669</v>
      </c>
      <c r="DC599" s="9">
        <v>77.599999999999994</v>
      </c>
      <c r="DD599" s="9">
        <v>0.41</v>
      </c>
      <c r="DE599" s="9">
        <v>208</v>
      </c>
      <c r="DF599" s="9">
        <v>83</v>
      </c>
      <c r="DG599" s="9">
        <f t="shared" si="9"/>
        <v>4.3852040174928852</v>
      </c>
      <c r="DH599" s="9">
        <v>16.600000000000001</v>
      </c>
      <c r="DI599" s="9">
        <v>3.03</v>
      </c>
    </row>
    <row r="600" spans="1:125" x14ac:dyDescent="0.2">
      <c r="A600" s="9" t="s">
        <v>5670</v>
      </c>
      <c r="DC600" s="9">
        <v>93</v>
      </c>
      <c r="DD600" s="9">
        <v>0.79</v>
      </c>
      <c r="DE600" s="110" t="s">
        <v>5671</v>
      </c>
      <c r="DF600" s="9">
        <v>145</v>
      </c>
      <c r="DG600" s="9">
        <f t="shared" si="9"/>
        <v>4.7546666177869152</v>
      </c>
      <c r="DH600" s="9">
        <v>29</v>
      </c>
      <c r="DI600" s="9">
        <v>5.58</v>
      </c>
    </row>
    <row r="601" spans="1:125" x14ac:dyDescent="0.2">
      <c r="A601" s="9" t="s">
        <v>5672</v>
      </c>
      <c r="DC601" s="9">
        <v>77</v>
      </c>
      <c r="DD601" s="9">
        <v>0.65</v>
      </c>
      <c r="DE601" s="9">
        <v>145</v>
      </c>
      <c r="DF601" s="9">
        <v>51</v>
      </c>
      <c r="DG601" s="9">
        <f t="shared" si="9"/>
        <v>4.1378155272890051</v>
      </c>
      <c r="DH601" s="9">
        <v>10.199999999999999</v>
      </c>
      <c r="DI601" s="9">
        <v>3</v>
      </c>
    </row>
    <row r="602" spans="1:125" x14ac:dyDescent="0.2">
      <c r="A602" s="9" t="s">
        <v>5673</v>
      </c>
      <c r="DG602" s="9" t="e">
        <f t="shared" si="9"/>
        <v>#NUM!</v>
      </c>
    </row>
    <row r="603" spans="1:125" x14ac:dyDescent="0.2">
      <c r="A603" s="9" t="s">
        <v>5674</v>
      </c>
      <c r="DG603" s="9" t="e">
        <f t="shared" si="9"/>
        <v>#NUM!</v>
      </c>
    </row>
    <row r="604" spans="1:125" x14ac:dyDescent="0.2">
      <c r="A604" s="9" t="s">
        <v>5675</v>
      </c>
      <c r="DG604" s="9" t="e">
        <f t="shared" si="9"/>
        <v>#NUM!</v>
      </c>
    </row>
    <row r="605" spans="1:125" x14ac:dyDescent="0.2">
      <c r="A605" s="9" t="s">
        <v>5676</v>
      </c>
      <c r="DG605" s="9" t="e">
        <f t="shared" si="9"/>
        <v>#NUM!</v>
      </c>
    </row>
    <row r="606" spans="1:125" x14ac:dyDescent="0.2">
      <c r="A606" s="39">
        <v>520</v>
      </c>
      <c r="B606" s="17">
        <v>43165</v>
      </c>
      <c r="C606" s="9" t="s">
        <v>3955</v>
      </c>
      <c r="D606" s="9">
        <v>47</v>
      </c>
      <c r="E606" s="9" t="s">
        <v>313</v>
      </c>
      <c r="F606" s="17">
        <v>25914</v>
      </c>
      <c r="G606" s="9" t="s">
        <v>5677</v>
      </c>
      <c r="H606" s="9" t="s">
        <v>5678</v>
      </c>
      <c r="M606" s="10" t="s">
        <v>588</v>
      </c>
      <c r="N606" s="9" t="s">
        <v>263</v>
      </c>
      <c r="O606" s="10" t="s">
        <v>588</v>
      </c>
      <c r="P606" s="10" t="s">
        <v>368</v>
      </c>
      <c r="Q606" s="10" t="s">
        <v>369</v>
      </c>
      <c r="R606" s="9" t="s">
        <v>588</v>
      </c>
      <c r="S606" s="9" t="s">
        <v>5679</v>
      </c>
      <c r="T606" s="9" t="s">
        <v>588</v>
      </c>
      <c r="U606" s="10" t="s">
        <v>5680</v>
      </c>
      <c r="V606" s="10" t="s">
        <v>588</v>
      </c>
      <c r="W606" s="9" t="s">
        <v>483</v>
      </c>
      <c r="X606" s="10" t="s">
        <v>5681</v>
      </c>
      <c r="Y606" s="10" t="s">
        <v>5682</v>
      </c>
      <c r="Z606" s="9" t="s">
        <v>263</v>
      </c>
      <c r="AA606" s="9" t="s">
        <v>5683</v>
      </c>
      <c r="AB606" s="50" t="s">
        <v>150</v>
      </c>
      <c r="AC606" s="9" t="s">
        <v>5684</v>
      </c>
      <c r="AD606" s="50" t="s">
        <v>150</v>
      </c>
      <c r="AE606" s="10" t="s">
        <v>5685</v>
      </c>
      <c r="AF606" s="10" t="s">
        <v>1232</v>
      </c>
      <c r="AG606" s="10" t="s">
        <v>919</v>
      </c>
      <c r="AH606" s="9" t="s">
        <v>263</v>
      </c>
      <c r="AI606" s="10" t="s">
        <v>1232</v>
      </c>
      <c r="AJ606" s="9" t="s">
        <v>483</v>
      </c>
      <c r="AK606" s="9" t="s">
        <v>263</v>
      </c>
      <c r="AL606" s="9">
        <v>96.6</v>
      </c>
      <c r="AM606" s="9">
        <v>1.75</v>
      </c>
      <c r="AN606" s="10">
        <v>108</v>
      </c>
      <c r="AO606" s="9">
        <v>114</v>
      </c>
      <c r="AP606" s="9">
        <v>30.5</v>
      </c>
      <c r="AQ606" s="9">
        <v>16</v>
      </c>
      <c r="AR606" s="9">
        <v>32.1</v>
      </c>
      <c r="AS606" s="9">
        <v>67</v>
      </c>
      <c r="AT606" s="9">
        <v>31.5</v>
      </c>
      <c r="AU606" s="10">
        <v>134</v>
      </c>
      <c r="AV606" s="10">
        <v>93</v>
      </c>
      <c r="DC606" s="9">
        <v>98.1</v>
      </c>
      <c r="DD606" s="9">
        <v>1.26</v>
      </c>
      <c r="DE606" s="9">
        <v>178</v>
      </c>
      <c r="DF606" s="9">
        <v>112</v>
      </c>
      <c r="DG606" s="9">
        <f t="shared" si="9"/>
        <v>4.6522431189332059</v>
      </c>
      <c r="DH606" s="9">
        <v>22.4</v>
      </c>
      <c r="DI606" s="9">
        <v>5.03</v>
      </c>
      <c r="DP606" s="11">
        <v>3</v>
      </c>
      <c r="DR606" s="9">
        <v>2</v>
      </c>
      <c r="DU606" s="9">
        <v>4.5999999999999996</v>
      </c>
    </row>
    <row r="607" spans="1:125" x14ac:dyDescent="0.2">
      <c r="A607" s="29" t="s">
        <v>5686</v>
      </c>
      <c r="B607" s="69">
        <v>43266</v>
      </c>
      <c r="C607" s="29" t="s">
        <v>3955</v>
      </c>
      <c r="D607" s="29">
        <v>40</v>
      </c>
      <c r="E607" s="29" t="s">
        <v>313</v>
      </c>
      <c r="F607" s="69">
        <v>28522</v>
      </c>
      <c r="G607" s="29" t="s">
        <v>5687</v>
      </c>
      <c r="H607" s="29" t="s">
        <v>1544</v>
      </c>
      <c r="I607"/>
      <c r="J607"/>
      <c r="K607"/>
      <c r="L607"/>
      <c r="M607" s="29" t="s">
        <v>483</v>
      </c>
      <c r="N607" s="29" t="s">
        <v>483</v>
      </c>
      <c r="O607" s="29" t="s">
        <v>483</v>
      </c>
      <c r="P607" s="29" t="s">
        <v>588</v>
      </c>
      <c r="Q607" s="29" t="s">
        <v>483</v>
      </c>
      <c r="R607" s="29" t="s">
        <v>588</v>
      </c>
      <c r="S607" s="29" t="s">
        <v>588</v>
      </c>
      <c r="T607" s="29" t="s">
        <v>4097</v>
      </c>
      <c r="U607" s="29" t="s">
        <v>483</v>
      </c>
      <c r="V607" s="29" t="s">
        <v>483</v>
      </c>
      <c r="W607" s="48" t="s">
        <v>5688</v>
      </c>
      <c r="X607" s="29" t="s">
        <v>5689</v>
      </c>
      <c r="Y607" s="29" t="s">
        <v>5690</v>
      </c>
      <c r="Z607"/>
      <c r="AA607" s="29" t="s">
        <v>5691</v>
      </c>
      <c r="AB607" s="29" t="s">
        <v>5692</v>
      </c>
      <c r="AC607" s="29" t="s">
        <v>5691</v>
      </c>
      <c r="AD607" s="29" t="s">
        <v>313</v>
      </c>
      <c r="AE607" s="29" t="s">
        <v>483</v>
      </c>
      <c r="AF607" s="29" t="s">
        <v>5693</v>
      </c>
      <c r="AG607" s="29" t="s">
        <v>5694</v>
      </c>
      <c r="AH607" s="29" t="s">
        <v>406</v>
      </c>
      <c r="AI607" s="29" t="s">
        <v>5695</v>
      </c>
      <c r="AJ607" s="29" t="s">
        <v>5694</v>
      </c>
      <c r="AK607" s="29" t="s">
        <v>483</v>
      </c>
      <c r="AL607" s="29">
        <v>73.099999999999994</v>
      </c>
      <c r="AM607" s="29">
        <v>1.68</v>
      </c>
      <c r="AN607" s="29">
        <v>97</v>
      </c>
      <c r="AO607" s="29">
        <v>105</v>
      </c>
      <c r="AP607" s="29">
        <v>10.1</v>
      </c>
      <c r="AQ607" s="29">
        <v>8</v>
      </c>
      <c r="AR607" s="29">
        <v>44.5</v>
      </c>
      <c r="AS607" s="29">
        <v>39</v>
      </c>
      <c r="AT607" s="29">
        <v>25.9</v>
      </c>
      <c r="AU607" s="29">
        <v>126</v>
      </c>
      <c r="AV607" s="29">
        <v>68</v>
      </c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 s="29">
        <v>75.900000000000006</v>
      </c>
      <c r="DD607" s="29">
        <v>0.78</v>
      </c>
      <c r="DE607" s="48">
        <v>239</v>
      </c>
      <c r="DF607" s="29">
        <v>143</v>
      </c>
      <c r="DG607" s="9">
        <f t="shared" si="9"/>
        <v>4.6461306573307457</v>
      </c>
      <c r="DH607" s="29">
        <v>28.6</v>
      </c>
      <c r="DI607" s="29">
        <v>5.68</v>
      </c>
      <c r="DJ607" s="29">
        <v>25</v>
      </c>
      <c r="DK607" s="29">
        <v>15.7</v>
      </c>
      <c r="DL607"/>
      <c r="DM607"/>
      <c r="DN607"/>
      <c r="DO607"/>
      <c r="DP607"/>
      <c r="DQ607" s="29">
        <v>2</v>
      </c>
      <c r="DR607" s="9">
        <v>2</v>
      </c>
    </row>
    <row r="608" spans="1:125" x14ac:dyDescent="0.2">
      <c r="A608" s="147" t="s">
        <v>5696</v>
      </c>
      <c r="B608" s="69">
        <v>43266</v>
      </c>
      <c r="C608" s="29" t="s">
        <v>95</v>
      </c>
      <c r="D608" s="29">
        <v>57</v>
      </c>
      <c r="E608" s="29" t="s">
        <v>313</v>
      </c>
      <c r="F608" s="69">
        <v>22183</v>
      </c>
      <c r="G608" s="29" t="s">
        <v>1320</v>
      </c>
      <c r="H608" s="29" t="s">
        <v>1544</v>
      </c>
      <c r="I608" s="29">
        <v>1973</v>
      </c>
      <c r="J608" s="29">
        <v>2002</v>
      </c>
      <c r="K608" s="29">
        <v>1995</v>
      </c>
      <c r="L608" s="29">
        <v>2</v>
      </c>
      <c r="M608" s="29" t="s">
        <v>483</v>
      </c>
      <c r="N608" s="29" t="s">
        <v>483</v>
      </c>
      <c r="O608" s="29" t="s">
        <v>483</v>
      </c>
      <c r="P608" s="29" t="s">
        <v>588</v>
      </c>
      <c r="Q608" s="29" t="s">
        <v>588</v>
      </c>
      <c r="R608" s="29" t="s">
        <v>483</v>
      </c>
      <c r="S608" s="29" t="s">
        <v>5697</v>
      </c>
      <c r="T608" s="29" t="s">
        <v>5698</v>
      </c>
      <c r="U608" s="29" t="s">
        <v>4078</v>
      </c>
      <c r="V608" s="29" t="s">
        <v>483</v>
      </c>
      <c r="W608" s="29" t="s">
        <v>5699</v>
      </c>
      <c r="X608" s="29" t="s">
        <v>483</v>
      </c>
      <c r="Y608"/>
      <c r="Z608"/>
      <c r="AA608" s="74" t="s">
        <v>914</v>
      </c>
      <c r="AB608" s="74" t="s">
        <v>1697</v>
      </c>
      <c r="AC608" s="74" t="s">
        <v>914</v>
      </c>
      <c r="AD608" s="74" t="s">
        <v>1697</v>
      </c>
      <c r="AE608" s="29" t="s">
        <v>483</v>
      </c>
      <c r="AF608" s="29" t="s">
        <v>5700</v>
      </c>
      <c r="AG608" s="29" t="s">
        <v>5701</v>
      </c>
      <c r="AH608" s="29" t="s">
        <v>5702</v>
      </c>
      <c r="AI608" s="29" t="s">
        <v>423</v>
      </c>
      <c r="AJ608" s="29" t="s">
        <v>483</v>
      </c>
      <c r="AK608" s="29" t="s">
        <v>483</v>
      </c>
      <c r="AL608" s="29">
        <v>60.2</v>
      </c>
      <c r="AM608" s="29">
        <v>1.65</v>
      </c>
      <c r="AN608" s="29">
        <v>85</v>
      </c>
      <c r="AO608" s="29">
        <v>98</v>
      </c>
      <c r="AP608" s="29">
        <v>32.4</v>
      </c>
      <c r="AQ608" s="29">
        <v>6</v>
      </c>
      <c r="AR608" s="29">
        <v>27.6</v>
      </c>
      <c r="AS608" s="29">
        <v>43</v>
      </c>
      <c r="AT608" s="70">
        <v>22.1</v>
      </c>
      <c r="AU608" s="29">
        <v>117</v>
      </c>
      <c r="AV608" s="29">
        <v>85</v>
      </c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 s="29">
        <v>97.4</v>
      </c>
      <c r="DD608" s="29">
        <v>0.98</v>
      </c>
      <c r="DE608" s="29">
        <v>164</v>
      </c>
      <c r="DF608" s="48" t="s">
        <v>5703</v>
      </c>
      <c r="DG608" s="9" t="e">
        <f t="shared" si="9"/>
        <v>#VALUE!</v>
      </c>
      <c r="DH608" s="29">
        <v>21.6</v>
      </c>
      <c r="DI608" s="48">
        <v>7.87</v>
      </c>
      <c r="DJ608" s="29">
        <v>20.7</v>
      </c>
      <c r="DK608" s="29">
        <v>18.7</v>
      </c>
      <c r="DL608"/>
      <c r="DM608"/>
      <c r="DN608"/>
      <c r="DO608"/>
      <c r="DP608">
        <v>2</v>
      </c>
      <c r="DQ608" s="29">
        <v>2</v>
      </c>
      <c r="DR608" s="9">
        <v>2</v>
      </c>
      <c r="DU608" s="9">
        <v>2.77</v>
      </c>
    </row>
    <row r="609" spans="1:126" x14ac:dyDescent="0.2">
      <c r="A609" s="9">
        <v>523</v>
      </c>
      <c r="B609" s="106">
        <v>43241</v>
      </c>
      <c r="C609" s="9" t="s">
        <v>95</v>
      </c>
      <c r="D609" s="9">
        <v>33</v>
      </c>
      <c r="E609" s="35" t="s">
        <v>155</v>
      </c>
      <c r="F609" s="17">
        <v>30965</v>
      </c>
      <c r="G609" s="9" t="s">
        <v>1320</v>
      </c>
      <c r="H609" s="9" t="s">
        <v>5704</v>
      </c>
      <c r="I609" s="9">
        <v>1998</v>
      </c>
      <c r="J609" s="104">
        <v>43224</v>
      </c>
      <c r="K609" s="9">
        <v>2011</v>
      </c>
      <c r="L609" s="9">
        <v>2</v>
      </c>
      <c r="M609" s="9" t="s">
        <v>263</v>
      </c>
      <c r="N609" s="9" t="s">
        <v>263</v>
      </c>
      <c r="O609" s="9" t="s">
        <v>263</v>
      </c>
      <c r="P609" s="9" t="s">
        <v>263</v>
      </c>
      <c r="Q609" s="10" t="s">
        <v>3960</v>
      </c>
      <c r="R609" s="9" t="s">
        <v>5705</v>
      </c>
      <c r="S609" s="9" t="s">
        <v>263</v>
      </c>
      <c r="T609" s="9" t="s">
        <v>263</v>
      </c>
      <c r="U609" s="10" t="s">
        <v>5706</v>
      </c>
      <c r="V609" s="9" t="s">
        <v>483</v>
      </c>
      <c r="W609" s="9" t="s">
        <v>483</v>
      </c>
      <c r="X609" s="9" t="s">
        <v>263</v>
      </c>
      <c r="Y609" s="9" t="s">
        <v>483</v>
      </c>
      <c r="Z609" s="9" t="s">
        <v>483</v>
      </c>
      <c r="AA609" s="37" t="s">
        <v>5707</v>
      </c>
      <c r="AB609" s="35" t="s">
        <v>5708</v>
      </c>
      <c r="AC609" s="37" t="s">
        <v>5707</v>
      </c>
      <c r="AD609" s="35" t="s">
        <v>5708</v>
      </c>
      <c r="AE609" s="10" t="s">
        <v>5709</v>
      </c>
      <c r="AF609" s="9" t="s">
        <v>483</v>
      </c>
      <c r="AG609" s="10" t="s">
        <v>5710</v>
      </c>
      <c r="AH609" s="9" t="s">
        <v>483</v>
      </c>
      <c r="AI609" s="9" t="s">
        <v>263</v>
      </c>
      <c r="AJ609" s="9" t="s">
        <v>263</v>
      </c>
      <c r="AK609" s="9" t="s">
        <v>263</v>
      </c>
      <c r="AL609" s="9">
        <v>119</v>
      </c>
      <c r="AM609" s="9">
        <v>1.64</v>
      </c>
      <c r="AN609" s="10">
        <v>131</v>
      </c>
      <c r="AO609" s="9">
        <v>126</v>
      </c>
      <c r="AP609" s="9">
        <v>57.4</v>
      </c>
      <c r="AQ609" s="9">
        <v>10</v>
      </c>
      <c r="AR609" s="9">
        <v>18.399999999999999</v>
      </c>
      <c r="AS609" s="9">
        <v>76</v>
      </c>
      <c r="AT609" s="14">
        <v>43.7</v>
      </c>
      <c r="AU609" s="9">
        <v>117</v>
      </c>
      <c r="AV609" s="9">
        <v>83</v>
      </c>
      <c r="AX609" s="9" t="s">
        <v>535</v>
      </c>
      <c r="AY609" s="9" t="s">
        <v>5711</v>
      </c>
      <c r="AZ609" s="9" t="s">
        <v>5712</v>
      </c>
      <c r="BB609" s="9" t="s">
        <v>5713</v>
      </c>
      <c r="BC609" s="9" t="s">
        <v>5714</v>
      </c>
      <c r="BF609" s="9" t="s">
        <v>323</v>
      </c>
      <c r="BG609" s="9" t="s">
        <v>375</v>
      </c>
      <c r="BH609" s="9" t="s">
        <v>375</v>
      </c>
      <c r="BI609" s="9" t="s">
        <v>375</v>
      </c>
      <c r="BJ609" s="9" t="s">
        <v>375</v>
      </c>
      <c r="BK609" s="9" t="s">
        <v>483</v>
      </c>
      <c r="BN609" s="9" t="s">
        <v>5715</v>
      </c>
      <c r="BR609" s="9" t="s">
        <v>1022</v>
      </c>
      <c r="BU609" s="9" t="s">
        <v>263</v>
      </c>
      <c r="BZ609" s="9" t="s">
        <v>3732</v>
      </c>
      <c r="CA609" s="9" t="s">
        <v>5716</v>
      </c>
      <c r="CB609" s="9" t="s">
        <v>558</v>
      </c>
      <c r="CC609" s="9" t="s">
        <v>483</v>
      </c>
      <c r="CG609" s="9" t="s">
        <v>483</v>
      </c>
      <c r="CL609" s="9" t="s">
        <v>1373</v>
      </c>
      <c r="CM609" s="9" t="s">
        <v>5717</v>
      </c>
      <c r="CN609" s="9" t="s">
        <v>560</v>
      </c>
      <c r="CP609" s="9" t="s">
        <v>791</v>
      </c>
      <c r="CQ609" s="9" t="s">
        <v>5718</v>
      </c>
      <c r="CT609" s="9" t="s">
        <v>1278</v>
      </c>
      <c r="CW609" s="9">
        <v>3</v>
      </c>
      <c r="CX609" s="9" t="s">
        <v>483</v>
      </c>
      <c r="CY609" s="9" t="s">
        <v>483</v>
      </c>
      <c r="CZ609" s="9">
        <v>50</v>
      </c>
      <c r="DA609" s="9">
        <v>10</v>
      </c>
      <c r="DB609" s="9">
        <v>40</v>
      </c>
      <c r="DC609" s="9">
        <v>82</v>
      </c>
      <c r="DD609" s="9">
        <v>0.87</v>
      </c>
      <c r="DE609" s="9">
        <v>171</v>
      </c>
      <c r="DF609" s="9">
        <v>126</v>
      </c>
      <c r="DG609" s="9">
        <f t="shared" si="9"/>
        <v>4.6215005771078657</v>
      </c>
      <c r="DI609" s="9">
        <v>4.3499999999999996</v>
      </c>
    </row>
    <row r="610" spans="1:126" x14ac:dyDescent="0.2">
      <c r="A610" s="9">
        <v>524</v>
      </c>
      <c r="B610" s="106">
        <v>43241</v>
      </c>
      <c r="C610" s="9" t="s">
        <v>3955</v>
      </c>
      <c r="D610" s="9">
        <v>33</v>
      </c>
      <c r="E610" s="35" t="s">
        <v>4017</v>
      </c>
      <c r="F610" s="17">
        <v>30906</v>
      </c>
      <c r="G610" s="9" t="s">
        <v>2313</v>
      </c>
      <c r="M610" s="9" t="s">
        <v>263</v>
      </c>
      <c r="N610" s="9" t="s">
        <v>483</v>
      </c>
      <c r="O610" s="9" t="s">
        <v>263</v>
      </c>
      <c r="P610" s="9" t="s">
        <v>263</v>
      </c>
      <c r="Q610" s="10" t="s">
        <v>369</v>
      </c>
      <c r="R610" s="9" t="s">
        <v>5719</v>
      </c>
      <c r="S610" s="9" t="s">
        <v>483</v>
      </c>
      <c r="T610" s="9" t="s">
        <v>263</v>
      </c>
      <c r="U610" s="9" t="s">
        <v>263</v>
      </c>
      <c r="V610" s="9" t="s">
        <v>263</v>
      </c>
      <c r="W610" s="9" t="s">
        <v>5720</v>
      </c>
      <c r="X610" s="9" t="s">
        <v>263</v>
      </c>
      <c r="Y610" s="10" t="s">
        <v>5721</v>
      </c>
      <c r="Z610" s="9" t="s">
        <v>263</v>
      </c>
      <c r="AA610" s="41" t="s">
        <v>914</v>
      </c>
      <c r="AB610" s="35" t="s">
        <v>992</v>
      </c>
      <c r="AC610" s="41" t="s">
        <v>914</v>
      </c>
      <c r="AD610" s="35" t="s">
        <v>4023</v>
      </c>
      <c r="AE610" s="10" t="s">
        <v>5722</v>
      </c>
      <c r="AF610" s="9" t="s">
        <v>263</v>
      </c>
      <c r="AG610" s="9" t="s">
        <v>263</v>
      </c>
      <c r="AH610" s="10" t="s">
        <v>5723</v>
      </c>
      <c r="AI610" s="9" t="s">
        <v>263</v>
      </c>
      <c r="AJ610" s="9" t="s">
        <v>263</v>
      </c>
      <c r="AK610" s="9" t="s">
        <v>263</v>
      </c>
      <c r="AL610" s="9">
        <v>105.4</v>
      </c>
      <c r="AM610" s="9">
        <v>1.63</v>
      </c>
      <c r="AN610" s="10">
        <v>123</v>
      </c>
      <c r="AO610" s="9">
        <v>116</v>
      </c>
      <c r="AP610" s="9">
        <v>40.5</v>
      </c>
      <c r="AQ610" s="9">
        <v>21</v>
      </c>
      <c r="AR610" s="9">
        <v>28.4</v>
      </c>
      <c r="AS610" s="9">
        <v>68</v>
      </c>
      <c r="AT610" s="9">
        <v>39.700000000000003</v>
      </c>
      <c r="AU610" s="9">
        <v>118</v>
      </c>
      <c r="AV610" s="9">
        <v>93</v>
      </c>
      <c r="AX610" s="9" t="s">
        <v>535</v>
      </c>
      <c r="AY610" s="9" t="s">
        <v>5724</v>
      </c>
      <c r="AZ610" s="9" t="s">
        <v>389</v>
      </c>
      <c r="BB610" s="9" t="s">
        <v>5713</v>
      </c>
      <c r="BF610" s="9" t="s">
        <v>5725</v>
      </c>
      <c r="BG610" s="9" t="s">
        <v>325</v>
      </c>
      <c r="BH610" s="9" t="s">
        <v>375</v>
      </c>
      <c r="BI610" s="9" t="s">
        <v>375</v>
      </c>
      <c r="BJ610" s="9" t="s">
        <v>483</v>
      </c>
      <c r="BK610" s="9" t="s">
        <v>1778</v>
      </c>
      <c r="BN610" s="9" t="s">
        <v>323</v>
      </c>
      <c r="BR610" s="9" t="s">
        <v>323</v>
      </c>
      <c r="BV610" s="9" t="s">
        <v>323</v>
      </c>
      <c r="BZ610" s="9" t="s">
        <v>1197</v>
      </c>
      <c r="CA610" s="9" t="s">
        <v>1246</v>
      </c>
      <c r="CC610" s="9" t="s">
        <v>263</v>
      </c>
      <c r="CG610" s="9" t="s">
        <v>263</v>
      </c>
      <c r="CL610" s="9" t="s">
        <v>1373</v>
      </c>
      <c r="CM610" s="9" t="s">
        <v>383</v>
      </c>
      <c r="CP610" s="9" t="s">
        <v>5096</v>
      </c>
      <c r="CT610" s="9" t="s">
        <v>635</v>
      </c>
      <c r="CW610" s="9">
        <v>3</v>
      </c>
      <c r="CX610" s="9" t="s">
        <v>368</v>
      </c>
      <c r="CY610" s="9" t="s">
        <v>263</v>
      </c>
      <c r="CZ610" s="9">
        <v>20</v>
      </c>
      <c r="DA610" s="9">
        <v>30</v>
      </c>
      <c r="DB610" s="9">
        <v>50</v>
      </c>
      <c r="DC610" s="9">
        <v>80</v>
      </c>
      <c r="DD610" s="9">
        <v>0.62</v>
      </c>
      <c r="DE610" s="9">
        <v>172</v>
      </c>
      <c r="DF610" s="10">
        <v>186</v>
      </c>
      <c r="DG610" s="9">
        <f t="shared" si="9"/>
        <v>4.8038866541935414</v>
      </c>
      <c r="DH610" s="9">
        <v>6.13</v>
      </c>
      <c r="DU610" s="9">
        <v>8.6999999999999993</v>
      </c>
    </row>
    <row r="611" spans="1:126" x14ac:dyDescent="0.2">
      <c r="A611" s="74" t="s">
        <v>5726</v>
      </c>
      <c r="B611" s="148">
        <v>43266</v>
      </c>
      <c r="C611" s="29" t="s">
        <v>3955</v>
      </c>
      <c r="D611" s="29">
        <v>48</v>
      </c>
      <c r="E611" s="149" t="s">
        <v>155</v>
      </c>
      <c r="F611" s="69">
        <v>25732</v>
      </c>
      <c r="G611" s="29" t="s">
        <v>5727</v>
      </c>
      <c r="H611" s="29" t="s">
        <v>1544</v>
      </c>
      <c r="I611"/>
      <c r="J611"/>
      <c r="K611"/>
      <c r="L611"/>
      <c r="M611" s="29" t="s">
        <v>483</v>
      </c>
      <c r="N611" s="29" t="s">
        <v>483</v>
      </c>
      <c r="O611" s="29" t="s">
        <v>483</v>
      </c>
      <c r="P611" s="29" t="s">
        <v>483</v>
      </c>
      <c r="Q611" s="29" t="s">
        <v>483</v>
      </c>
      <c r="R611" s="29" t="s">
        <v>588</v>
      </c>
      <c r="S611" s="29" t="s">
        <v>588</v>
      </c>
      <c r="T611" s="29" t="s">
        <v>483</v>
      </c>
      <c r="U611" s="29" t="s">
        <v>483</v>
      </c>
      <c r="V611" s="29" t="s">
        <v>483</v>
      </c>
      <c r="W611" s="29" t="s">
        <v>5728</v>
      </c>
      <c r="X611"/>
      <c r="Y611"/>
      <c r="Z611" s="29" t="s">
        <v>5729</v>
      </c>
      <c r="AA611" s="74" t="s">
        <v>150</v>
      </c>
      <c r="AB611" s="74" t="s">
        <v>5730</v>
      </c>
      <c r="AC611" s="74" t="s">
        <v>150</v>
      </c>
      <c r="AD611" s="149" t="s">
        <v>1338</v>
      </c>
      <c r="AE611" s="29" t="s">
        <v>406</v>
      </c>
      <c r="AF611" s="29" t="s">
        <v>406</v>
      </c>
      <c r="AG611" s="29" t="s">
        <v>483</v>
      </c>
      <c r="AH611" s="29" t="s">
        <v>483</v>
      </c>
      <c r="AI611" s="29" t="s">
        <v>483</v>
      </c>
      <c r="AJ611" s="29" t="s">
        <v>483</v>
      </c>
      <c r="AK611" s="29" t="s">
        <v>483</v>
      </c>
      <c r="AL611" s="29">
        <v>109.9</v>
      </c>
      <c r="AM611" s="29">
        <v>1.65</v>
      </c>
      <c r="AN611" s="29">
        <v>115</v>
      </c>
      <c r="AO611" s="29">
        <v>117</v>
      </c>
      <c r="AP611" s="29">
        <v>28</v>
      </c>
      <c r="AQ611" s="29">
        <v>20</v>
      </c>
      <c r="AR611" s="29">
        <v>33.4</v>
      </c>
      <c r="AS611" s="29">
        <v>75</v>
      </c>
      <c r="AT611" s="74">
        <v>40.4</v>
      </c>
      <c r="AU611" s="74">
        <v>195</v>
      </c>
      <c r="AV611" s="74">
        <v>141</v>
      </c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 s="48">
        <v>101.8</v>
      </c>
      <c r="DD611" s="29">
        <v>1.1399999999999999</v>
      </c>
      <c r="DE611" s="29">
        <v>172</v>
      </c>
      <c r="DF611" s="29">
        <v>103</v>
      </c>
      <c r="DG611" s="9">
        <f t="shared" si="9"/>
        <v>4.6288695461730294</v>
      </c>
      <c r="DH611" s="29">
        <v>20.6</v>
      </c>
      <c r="DI611" s="48">
        <v>8.86</v>
      </c>
      <c r="DJ611" s="29">
        <v>19.3</v>
      </c>
      <c r="DK611" s="29">
        <v>26.3</v>
      </c>
      <c r="DL611"/>
      <c r="DM611"/>
      <c r="DN611"/>
      <c r="DO611"/>
      <c r="DP611">
        <v>2</v>
      </c>
      <c r="DQ611" s="29">
        <v>2</v>
      </c>
      <c r="DR611" s="53">
        <v>2</v>
      </c>
      <c r="DS611"/>
      <c r="DT611"/>
      <c r="DU611">
        <v>6</v>
      </c>
      <c r="DV611"/>
    </row>
    <row r="612" spans="1:126" x14ac:dyDescent="0.2">
      <c r="A612" s="14">
        <v>526</v>
      </c>
      <c r="B612" s="8">
        <v>43221</v>
      </c>
      <c r="C612" s="9" t="s">
        <v>3645</v>
      </c>
      <c r="D612" s="9">
        <v>35</v>
      </c>
      <c r="E612" s="9" t="s">
        <v>313</v>
      </c>
      <c r="F612" s="17">
        <v>30386</v>
      </c>
      <c r="G612" s="9" t="s">
        <v>5731</v>
      </c>
      <c r="H612" s="9" t="s">
        <v>5732</v>
      </c>
      <c r="I612" s="9" t="s">
        <v>1610</v>
      </c>
      <c r="K612" s="9" t="s">
        <v>5733</v>
      </c>
      <c r="L612" s="9">
        <v>3</v>
      </c>
      <c r="M612" s="9" t="s">
        <v>263</v>
      </c>
      <c r="N612" s="9" t="s">
        <v>263</v>
      </c>
      <c r="O612" s="9" t="s">
        <v>263</v>
      </c>
      <c r="P612" s="9" t="s">
        <v>263</v>
      </c>
      <c r="Q612" s="9" t="s">
        <v>263</v>
      </c>
      <c r="R612" s="9" t="s">
        <v>588</v>
      </c>
      <c r="S612" s="9" t="s">
        <v>263</v>
      </c>
      <c r="T612" s="9" t="s">
        <v>368</v>
      </c>
      <c r="U612" s="10" t="s">
        <v>5734</v>
      </c>
      <c r="V612" s="9" t="s">
        <v>588</v>
      </c>
      <c r="W612" s="9" t="s">
        <v>263</v>
      </c>
      <c r="X612" s="9" t="s">
        <v>263</v>
      </c>
      <c r="Y612" s="9" t="s">
        <v>483</v>
      </c>
      <c r="Z612" s="9" t="s">
        <v>483</v>
      </c>
      <c r="AA612" s="50" t="s">
        <v>150</v>
      </c>
      <c r="AB612" s="9" t="s">
        <v>313</v>
      </c>
      <c r="AC612" s="50" t="s">
        <v>461</v>
      </c>
      <c r="AD612" s="9" t="s">
        <v>313</v>
      </c>
      <c r="AE612" s="10" t="s">
        <v>5685</v>
      </c>
      <c r="AF612" s="10" t="s">
        <v>5685</v>
      </c>
      <c r="AG612" s="10" t="s">
        <v>5735</v>
      </c>
      <c r="AH612" s="10" t="s">
        <v>5736</v>
      </c>
      <c r="AI612" s="10" t="s">
        <v>5737</v>
      </c>
      <c r="AJ612" s="9" t="s">
        <v>263</v>
      </c>
      <c r="AK612" s="9" t="s">
        <v>263</v>
      </c>
      <c r="AL612" s="9">
        <v>74.3</v>
      </c>
      <c r="AM612" s="9">
        <v>1.59</v>
      </c>
      <c r="AP612" s="9">
        <v>43.2</v>
      </c>
      <c r="AQ612" s="9">
        <v>8</v>
      </c>
      <c r="AR612" s="9">
        <v>24.8</v>
      </c>
      <c r="AS612" s="9">
        <v>53</v>
      </c>
      <c r="AT612" s="9">
        <v>29.3</v>
      </c>
      <c r="AU612" s="9">
        <v>115</v>
      </c>
      <c r="AV612" s="9">
        <v>82</v>
      </c>
      <c r="AX612" s="9" t="s">
        <v>1107</v>
      </c>
      <c r="AY612" s="9" t="s">
        <v>5738</v>
      </c>
      <c r="AZ612" s="9" t="s">
        <v>389</v>
      </c>
      <c r="BB612" s="9" t="s">
        <v>409</v>
      </c>
      <c r="BC612" s="9" t="s">
        <v>4481</v>
      </c>
      <c r="BF612" s="9" t="s">
        <v>375</v>
      </c>
      <c r="BG612" s="9" t="s">
        <v>322</v>
      </c>
      <c r="BH612" s="9" t="s">
        <v>322</v>
      </c>
      <c r="BI612" s="9" t="s">
        <v>322</v>
      </c>
      <c r="BJ612" s="9" t="s">
        <v>322</v>
      </c>
      <c r="BK612" s="9" t="s">
        <v>276</v>
      </c>
      <c r="BN612" s="9" t="s">
        <v>411</v>
      </c>
      <c r="BO612" s="9" t="s">
        <v>5739</v>
      </c>
      <c r="BP612" s="9" t="s">
        <v>410</v>
      </c>
      <c r="BQ612" s="9" t="s">
        <v>263</v>
      </c>
      <c r="BU612" s="9" t="s">
        <v>263</v>
      </c>
      <c r="BZ612" s="9" t="s">
        <v>330</v>
      </c>
      <c r="CA612" s="9" t="s">
        <v>5740</v>
      </c>
      <c r="CB612" s="9" t="s">
        <v>3642</v>
      </c>
      <c r="CC612" s="9" t="s">
        <v>263</v>
      </c>
      <c r="CG612" s="9" t="s">
        <v>263</v>
      </c>
      <c r="CL612" s="9" t="s">
        <v>450</v>
      </c>
      <c r="CM612" s="9" t="s">
        <v>434</v>
      </c>
      <c r="CN612" s="9" t="s">
        <v>5741</v>
      </c>
      <c r="CP612" s="9" t="s">
        <v>384</v>
      </c>
      <c r="CQ612" s="9" t="s">
        <v>791</v>
      </c>
      <c r="CR612" s="9" t="s">
        <v>5742</v>
      </c>
      <c r="CT612" s="9" t="s">
        <v>539</v>
      </c>
      <c r="CU612" s="9" t="s">
        <v>453</v>
      </c>
      <c r="CV612" s="9" t="s">
        <v>950</v>
      </c>
      <c r="CW612" s="9" t="s">
        <v>5743</v>
      </c>
      <c r="CX612" s="9" t="s">
        <v>263</v>
      </c>
      <c r="CY612" s="9" t="s">
        <v>5744</v>
      </c>
      <c r="CZ612" s="9">
        <v>10</v>
      </c>
      <c r="DA612" s="9">
        <v>10</v>
      </c>
      <c r="DB612" s="9">
        <v>40</v>
      </c>
      <c r="DC612" s="14">
        <v>317</v>
      </c>
      <c r="DD612" s="9">
        <v>0.59</v>
      </c>
      <c r="DE612" s="10">
        <v>224</v>
      </c>
      <c r="DF612" s="10">
        <v>239</v>
      </c>
      <c r="DG612" s="9">
        <f t="shared" si="9"/>
        <v>5.6176826629043957</v>
      </c>
      <c r="DH612" s="9">
        <v>47.8</v>
      </c>
      <c r="DI612" s="9">
        <v>3.56</v>
      </c>
      <c r="DP612" s="11">
        <v>2</v>
      </c>
      <c r="DR612" s="9">
        <v>2</v>
      </c>
      <c r="DU612" s="9">
        <v>2.52</v>
      </c>
    </row>
    <row r="613" spans="1:126" x14ac:dyDescent="0.2">
      <c r="A613" s="147" t="s">
        <v>5745</v>
      </c>
      <c r="B613" s="29" t="s">
        <v>5746</v>
      </c>
      <c r="C613" s="29" t="s">
        <v>95</v>
      </c>
      <c r="D613" s="29">
        <v>49</v>
      </c>
      <c r="E613" s="29" t="s">
        <v>313</v>
      </c>
      <c r="F613" s="69">
        <v>25249</v>
      </c>
      <c r="G613" s="29" t="s">
        <v>1320</v>
      </c>
      <c r="H613" s="29" t="s">
        <v>1544</v>
      </c>
      <c r="I613"/>
      <c r="J613" s="29">
        <v>2014</v>
      </c>
      <c r="K613" s="29">
        <v>1997</v>
      </c>
      <c r="L613" s="29">
        <v>3</v>
      </c>
      <c r="M613" s="29" t="s">
        <v>588</v>
      </c>
      <c r="N613" s="29" t="s">
        <v>588</v>
      </c>
      <c r="O613"/>
      <c r="P613" s="29" t="s">
        <v>588</v>
      </c>
      <c r="Q613" s="29" t="s">
        <v>588</v>
      </c>
      <c r="R613" s="29" t="s">
        <v>588</v>
      </c>
      <c r="S613" s="29" t="s">
        <v>5697</v>
      </c>
      <c r="T613" s="29" t="s">
        <v>5747</v>
      </c>
      <c r="U613" s="29" t="s">
        <v>5748</v>
      </c>
      <c r="V613" s="29" t="s">
        <v>483</v>
      </c>
      <c r="W613"/>
      <c r="X613" s="29" t="s">
        <v>483</v>
      </c>
      <c r="Y613"/>
      <c r="Z613"/>
      <c r="AA613" s="29" t="s">
        <v>5749</v>
      </c>
      <c r="AB613" s="29" t="s">
        <v>5692</v>
      </c>
      <c r="AC613" s="29" t="s">
        <v>5750</v>
      </c>
      <c r="AD613" s="29" t="s">
        <v>150</v>
      </c>
      <c r="AE613" s="29" t="s">
        <v>483</v>
      </c>
      <c r="AF613" s="29" t="s">
        <v>1105</v>
      </c>
      <c r="AG613" s="29" t="s">
        <v>483</v>
      </c>
      <c r="AH613" s="29" t="s">
        <v>483</v>
      </c>
      <c r="AI613" s="29" t="s">
        <v>1105</v>
      </c>
      <c r="AJ613"/>
      <c r="AK613" s="29" t="s">
        <v>5751</v>
      </c>
      <c r="AL613" s="29">
        <v>96.8</v>
      </c>
      <c r="AM613" s="29">
        <v>1.73</v>
      </c>
      <c r="AN613" s="29">
        <v>113</v>
      </c>
      <c r="AO613" s="29">
        <v>125</v>
      </c>
      <c r="AP613" s="29">
        <v>42.9</v>
      </c>
      <c r="AQ613" s="29">
        <v>10</v>
      </c>
      <c r="AR613" s="29">
        <v>25.6</v>
      </c>
      <c r="AS613" s="29">
        <v>59</v>
      </c>
      <c r="AT613" s="29">
        <v>32.299999999999997</v>
      </c>
      <c r="AU613" s="29">
        <v>204</v>
      </c>
      <c r="AV613" s="29">
        <v>168</v>
      </c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 s="29">
        <v>90.9</v>
      </c>
      <c r="DD613" s="48">
        <v>4.0999999999999996</v>
      </c>
      <c r="DE613" s="29">
        <v>175</v>
      </c>
      <c r="DF613" s="48">
        <v>258</v>
      </c>
      <c r="DG613" s="9">
        <f t="shared" si="9"/>
        <v>5.0313597930525251</v>
      </c>
      <c r="DH613" s="29">
        <v>51.6</v>
      </c>
      <c r="DI613" s="48">
        <v>8.77</v>
      </c>
      <c r="DJ613" s="29">
        <v>12.3</v>
      </c>
      <c r="DK613" s="29">
        <v>16.7</v>
      </c>
      <c r="DL613"/>
      <c r="DM613"/>
      <c r="DN613"/>
      <c r="DO613"/>
      <c r="DP613" s="29">
        <v>2</v>
      </c>
      <c r="DQ613"/>
      <c r="DR613" s="53">
        <v>3</v>
      </c>
      <c r="DS613"/>
      <c r="DT613"/>
      <c r="DU613"/>
      <c r="DV613"/>
    </row>
    <row r="614" spans="1:126" x14ac:dyDescent="0.2">
      <c r="A614" s="9">
        <v>528</v>
      </c>
      <c r="B614" s="17">
        <v>43277</v>
      </c>
      <c r="C614" s="9" t="s">
        <v>3955</v>
      </c>
      <c r="D614" s="9">
        <v>38</v>
      </c>
      <c r="E614" s="9" t="s">
        <v>96</v>
      </c>
      <c r="F614" s="17">
        <v>29257</v>
      </c>
      <c r="M614" s="9" t="s">
        <v>99</v>
      </c>
      <c r="N614" s="9" t="s">
        <v>5752</v>
      </c>
      <c r="O614" s="9" t="s">
        <v>3146</v>
      </c>
      <c r="P614" s="9" t="s">
        <v>99</v>
      </c>
      <c r="R614" s="9" t="s">
        <v>110</v>
      </c>
      <c r="U614" s="9" t="s">
        <v>5753</v>
      </c>
      <c r="V614" s="9" t="s">
        <v>5754</v>
      </c>
      <c r="W614" s="9" t="s">
        <v>5754</v>
      </c>
      <c r="Y614" s="9" t="s">
        <v>5755</v>
      </c>
      <c r="AA614" s="9" t="s">
        <v>1123</v>
      </c>
      <c r="AB614" s="35" t="s">
        <v>155</v>
      </c>
      <c r="AC614" s="9" t="s">
        <v>1419</v>
      </c>
      <c r="AD614" s="35" t="s">
        <v>155</v>
      </c>
      <c r="AE614" s="9" t="s">
        <v>5756</v>
      </c>
      <c r="AF614" s="9" t="s">
        <v>263</v>
      </c>
      <c r="AG614" s="9" t="s">
        <v>5757</v>
      </c>
      <c r="AH614" s="9" t="s">
        <v>263</v>
      </c>
      <c r="AI614" s="9" t="s">
        <v>99</v>
      </c>
      <c r="AJ614" s="9" t="s">
        <v>99</v>
      </c>
      <c r="AK614" s="9" t="s">
        <v>99</v>
      </c>
      <c r="AL614" s="9">
        <v>90.1</v>
      </c>
      <c r="AN614" s="9">
        <v>107</v>
      </c>
      <c r="AO614" s="9">
        <v>110</v>
      </c>
      <c r="AP614" s="9">
        <v>31.8</v>
      </c>
      <c r="AQ614" s="9">
        <v>32</v>
      </c>
      <c r="AR614" s="9">
        <v>13</v>
      </c>
      <c r="AS614" s="9">
        <v>59</v>
      </c>
      <c r="AT614" s="9">
        <v>29.4</v>
      </c>
      <c r="AU614" s="14">
        <v>170</v>
      </c>
      <c r="AV614" s="14">
        <v>134</v>
      </c>
      <c r="AX614" s="9" t="s">
        <v>5758</v>
      </c>
      <c r="AY614" s="9" t="s">
        <v>5759</v>
      </c>
      <c r="BB614" s="9" t="s">
        <v>5760</v>
      </c>
      <c r="BC614" s="9" t="s">
        <v>515</v>
      </c>
      <c r="BF614" s="9" t="s">
        <v>495</v>
      </c>
      <c r="BG614" s="9" t="s">
        <v>322</v>
      </c>
      <c r="BH614" s="9" t="s">
        <v>375</v>
      </c>
      <c r="BI614" s="9" t="s">
        <v>375</v>
      </c>
      <c r="BJ614" s="9" t="s">
        <v>322</v>
      </c>
      <c r="BK614" s="9" t="s">
        <v>375</v>
      </c>
      <c r="BM614" s="9" t="s">
        <v>703</v>
      </c>
      <c r="BN614" s="9" t="s">
        <v>5761</v>
      </c>
      <c r="BO614" s="9" t="s">
        <v>5762</v>
      </c>
      <c r="BV614" s="9" t="s">
        <v>524</v>
      </c>
      <c r="BW614" s="9" t="s">
        <v>5763</v>
      </c>
      <c r="BX614" s="9" t="s">
        <v>918</v>
      </c>
      <c r="BZ614" s="9" t="s">
        <v>1865</v>
      </c>
      <c r="CA614" s="9" t="s">
        <v>277</v>
      </c>
      <c r="CL614" s="9" t="s">
        <v>504</v>
      </c>
      <c r="CM614" s="9" t="s">
        <v>5764</v>
      </c>
      <c r="CT614" s="9" t="s">
        <v>5765</v>
      </c>
      <c r="CU614" s="9" t="s">
        <v>5160</v>
      </c>
      <c r="CW614" s="9">
        <v>3</v>
      </c>
      <c r="CX614" s="9" t="s">
        <v>110</v>
      </c>
      <c r="CY614" s="9" t="s">
        <v>368</v>
      </c>
      <c r="CZ614" s="9">
        <v>10</v>
      </c>
      <c r="DA614" s="9">
        <v>30</v>
      </c>
      <c r="DB614" s="9">
        <v>60</v>
      </c>
      <c r="DC614" s="9">
        <v>80.599999999999994</v>
      </c>
      <c r="DD614" s="9">
        <v>1.3</v>
      </c>
      <c r="DE614" s="9">
        <v>216</v>
      </c>
      <c r="DG614" s="9" t="e">
        <f t="shared" si="9"/>
        <v>#NUM!</v>
      </c>
      <c r="DI614" s="9">
        <v>7.2110000000000003</v>
      </c>
      <c r="DJ614" s="9">
        <v>20</v>
      </c>
      <c r="DK614" s="9">
        <v>21</v>
      </c>
      <c r="DL614" s="9">
        <v>48.3</v>
      </c>
      <c r="DP614" s="11">
        <v>2</v>
      </c>
      <c r="DR614" s="9">
        <v>2</v>
      </c>
      <c r="DT614" s="9">
        <v>13.4</v>
      </c>
      <c r="DU614" s="9">
        <v>2.88</v>
      </c>
    </row>
    <row r="615" spans="1:126" x14ac:dyDescent="0.2">
      <c r="A615" s="9">
        <v>529</v>
      </c>
      <c r="B615" s="8">
        <v>43277</v>
      </c>
      <c r="C615" s="9" t="s">
        <v>95</v>
      </c>
      <c r="D615" s="9">
        <v>23</v>
      </c>
      <c r="E615" s="9" t="s">
        <v>96</v>
      </c>
      <c r="F615" s="8">
        <v>34782</v>
      </c>
      <c r="G615" s="9" t="s">
        <v>314</v>
      </c>
      <c r="H615" s="9" t="s">
        <v>5766</v>
      </c>
      <c r="I615" s="9">
        <v>2007</v>
      </c>
      <c r="J615" s="9" t="s">
        <v>162</v>
      </c>
      <c r="K615" s="9" t="s">
        <v>263</v>
      </c>
      <c r="L615" s="9" t="s">
        <v>263</v>
      </c>
      <c r="M615" s="9" t="s">
        <v>263</v>
      </c>
      <c r="N615" s="9" t="s">
        <v>263</v>
      </c>
      <c r="O615" s="9" t="s">
        <v>263</v>
      </c>
      <c r="P615" s="9" t="s">
        <v>263</v>
      </c>
      <c r="Q615" s="10" t="s">
        <v>3960</v>
      </c>
      <c r="R615" s="9" t="s">
        <v>368</v>
      </c>
      <c r="S615" s="9" t="s">
        <v>162</v>
      </c>
      <c r="T615" s="9" t="s">
        <v>162</v>
      </c>
      <c r="U615" s="9" t="s">
        <v>263</v>
      </c>
      <c r="V615" s="9" t="s">
        <v>263</v>
      </c>
      <c r="W615" s="9" t="s">
        <v>2010</v>
      </c>
      <c r="X615" s="9" t="s">
        <v>263</v>
      </c>
      <c r="Y615" s="9" t="s">
        <v>5767</v>
      </c>
      <c r="Z615" s="9" t="s">
        <v>162</v>
      </c>
      <c r="AA615" s="9" t="s">
        <v>96</v>
      </c>
      <c r="AB615" s="9" t="s">
        <v>96</v>
      </c>
      <c r="AC615" s="9" t="s">
        <v>96</v>
      </c>
      <c r="AD615" s="9" t="s">
        <v>96</v>
      </c>
      <c r="AE615" s="10" t="s">
        <v>5768</v>
      </c>
      <c r="AF615" s="10" t="s">
        <v>35</v>
      </c>
      <c r="AG615" s="10" t="s">
        <v>5769</v>
      </c>
      <c r="AH615" s="10" t="s">
        <v>5770</v>
      </c>
      <c r="AI615" s="10" t="s">
        <v>5771</v>
      </c>
      <c r="AJ615" s="9" t="s">
        <v>263</v>
      </c>
      <c r="AK615" s="10" t="s">
        <v>5772</v>
      </c>
      <c r="AL615" s="9">
        <v>75</v>
      </c>
      <c r="AM615" s="9" t="s">
        <v>162</v>
      </c>
      <c r="AN615" s="46">
        <v>89</v>
      </c>
      <c r="AO615" s="9">
        <v>97</v>
      </c>
      <c r="AP615" s="9">
        <v>45.3</v>
      </c>
      <c r="AQ615" s="9">
        <v>6</v>
      </c>
      <c r="AR615" s="9">
        <v>22.9</v>
      </c>
      <c r="AS615" s="9">
        <v>44</v>
      </c>
      <c r="AT615" s="9">
        <v>28.2</v>
      </c>
      <c r="AU615" s="9">
        <v>98</v>
      </c>
      <c r="AV615" s="9">
        <v>65</v>
      </c>
      <c r="AX615" s="9" t="s">
        <v>5773</v>
      </c>
      <c r="AY615" s="9" t="s">
        <v>5774</v>
      </c>
      <c r="BB615" s="9" t="s">
        <v>492</v>
      </c>
      <c r="BC615" s="9" t="s">
        <v>409</v>
      </c>
      <c r="BF615" s="9" t="s">
        <v>493</v>
      </c>
      <c r="BG615" s="9" t="s">
        <v>493</v>
      </c>
      <c r="BH615" s="9" t="s">
        <v>375</v>
      </c>
      <c r="BI615" s="9" t="s">
        <v>322</v>
      </c>
      <c r="BJ615" s="9" t="s">
        <v>322</v>
      </c>
      <c r="BK615" s="9" t="s">
        <v>276</v>
      </c>
      <c r="BN615" s="9" t="s">
        <v>5775</v>
      </c>
      <c r="BO615" s="9" t="s">
        <v>625</v>
      </c>
      <c r="BP615" s="9" t="s">
        <v>2038</v>
      </c>
      <c r="BR615" s="9" t="s">
        <v>162</v>
      </c>
      <c r="BS615" s="9" t="s">
        <v>162</v>
      </c>
      <c r="BT615" s="9" t="s">
        <v>162</v>
      </c>
      <c r="BV615" s="9" t="s">
        <v>162</v>
      </c>
      <c r="BW615" s="9" t="s">
        <v>162</v>
      </c>
      <c r="BX615" s="9" t="s">
        <v>162</v>
      </c>
      <c r="BZ615" s="9" t="s">
        <v>1865</v>
      </c>
      <c r="CA615" s="9" t="s">
        <v>4417</v>
      </c>
      <c r="CB615" s="9" t="s">
        <v>4607</v>
      </c>
      <c r="CD615" s="9" t="s">
        <v>162</v>
      </c>
      <c r="CE615" s="9" t="s">
        <v>162</v>
      </c>
      <c r="CF615" s="9" t="s">
        <v>162</v>
      </c>
      <c r="CH615" s="9" t="s">
        <v>162</v>
      </c>
      <c r="CI615" s="9" t="s">
        <v>162</v>
      </c>
      <c r="CJ615" s="9" t="s">
        <v>162</v>
      </c>
      <c r="CL615" s="9" t="s">
        <v>3912</v>
      </c>
      <c r="CM615" s="9" t="s">
        <v>383</v>
      </c>
      <c r="CP615" s="9" t="s">
        <v>162</v>
      </c>
      <c r="CQ615" s="9" t="s">
        <v>162</v>
      </c>
      <c r="CR615" s="9" t="s">
        <v>162</v>
      </c>
      <c r="CT615" s="9" t="s">
        <v>336</v>
      </c>
      <c r="CU615" s="9" t="s">
        <v>5776</v>
      </c>
      <c r="CV615" s="9" t="s">
        <v>5777</v>
      </c>
      <c r="CW615" s="9">
        <v>3</v>
      </c>
      <c r="CX615" s="9" t="s">
        <v>368</v>
      </c>
      <c r="CY615" s="9" t="s">
        <v>263</v>
      </c>
      <c r="CZ615" s="9">
        <v>30</v>
      </c>
      <c r="DA615" s="9">
        <v>40</v>
      </c>
      <c r="DB615" s="9">
        <v>25</v>
      </c>
      <c r="DC615" s="9">
        <v>90.7</v>
      </c>
      <c r="DD615" s="9">
        <v>0.53</v>
      </c>
      <c r="DE615" s="9">
        <v>129</v>
      </c>
      <c r="DF615" s="9">
        <v>77</v>
      </c>
      <c r="DG615" s="9">
        <f t="shared" si="9"/>
        <v>4.4256813894873872</v>
      </c>
      <c r="DH615" s="9">
        <v>15.4</v>
      </c>
      <c r="DI615" s="9">
        <v>5.22</v>
      </c>
      <c r="DJ615" s="9">
        <v>14</v>
      </c>
      <c r="DK615" s="9">
        <v>15.7</v>
      </c>
      <c r="DL615" s="9">
        <v>38.9</v>
      </c>
      <c r="DM615" s="9">
        <v>74.7</v>
      </c>
      <c r="DP615" s="11">
        <v>3</v>
      </c>
      <c r="DR615" s="9">
        <v>2</v>
      </c>
    </row>
    <row r="616" spans="1:126" x14ac:dyDescent="0.2">
      <c r="A616" s="9">
        <v>530</v>
      </c>
      <c r="B616" s="8">
        <v>43277</v>
      </c>
      <c r="C616" s="9" t="s">
        <v>95</v>
      </c>
      <c r="D616" s="9">
        <v>25</v>
      </c>
      <c r="E616" s="9" t="s">
        <v>96</v>
      </c>
      <c r="F616" s="8">
        <v>33989</v>
      </c>
      <c r="G616" s="9" t="s">
        <v>97</v>
      </c>
      <c r="H616" s="9" t="s">
        <v>5778</v>
      </c>
      <c r="I616" s="9" t="s">
        <v>162</v>
      </c>
      <c r="J616" s="9" t="s">
        <v>162</v>
      </c>
      <c r="K616" s="9">
        <v>2016</v>
      </c>
      <c r="L616" s="9">
        <v>2</v>
      </c>
      <c r="M616" s="9" t="s">
        <v>263</v>
      </c>
      <c r="N616" s="9" t="s">
        <v>263</v>
      </c>
      <c r="O616" s="9" t="s">
        <v>263</v>
      </c>
      <c r="P616" s="9" t="s">
        <v>263</v>
      </c>
      <c r="Q616" s="9" t="s">
        <v>263</v>
      </c>
      <c r="R616" s="9" t="s">
        <v>162</v>
      </c>
      <c r="S616" s="9" t="s">
        <v>162</v>
      </c>
      <c r="T616" s="10" t="s">
        <v>4007</v>
      </c>
      <c r="U616" s="9" t="s">
        <v>162</v>
      </c>
      <c r="V616" s="9" t="s">
        <v>162</v>
      </c>
      <c r="W616" s="9" t="s">
        <v>162</v>
      </c>
      <c r="X616" s="9" t="s">
        <v>162</v>
      </c>
      <c r="Y616" s="9" t="s">
        <v>162</v>
      </c>
      <c r="Z616" s="9" t="s">
        <v>162</v>
      </c>
      <c r="AA616" s="9" t="s">
        <v>96</v>
      </c>
      <c r="AB616" s="9" t="s">
        <v>96</v>
      </c>
      <c r="AC616" s="9" t="s">
        <v>96</v>
      </c>
      <c r="AD616" s="9" t="s">
        <v>96</v>
      </c>
      <c r="AE616" s="9" t="s">
        <v>263</v>
      </c>
      <c r="AF616" s="9" t="s">
        <v>263</v>
      </c>
      <c r="AG616" s="9" t="s">
        <v>263</v>
      </c>
      <c r="AH616" s="9" t="s">
        <v>263</v>
      </c>
      <c r="AI616" s="9" t="s">
        <v>263</v>
      </c>
      <c r="AJ616" s="9" t="s">
        <v>263</v>
      </c>
      <c r="AK616" s="9" t="s">
        <v>162</v>
      </c>
      <c r="AL616" s="9">
        <v>75.2</v>
      </c>
      <c r="AM616" s="9" t="s">
        <v>162</v>
      </c>
      <c r="AN616" s="46">
        <v>89</v>
      </c>
      <c r="AO616" s="9">
        <v>108</v>
      </c>
      <c r="AP616" s="9">
        <v>40.200000000000003</v>
      </c>
      <c r="AQ616" s="9">
        <v>6</v>
      </c>
      <c r="AR616" s="9">
        <v>26.3</v>
      </c>
      <c r="AS616" s="9">
        <v>42</v>
      </c>
      <c r="AT616" s="9">
        <v>27.6</v>
      </c>
      <c r="AU616" s="9">
        <v>114</v>
      </c>
      <c r="AV616" s="9">
        <v>80</v>
      </c>
      <c r="AX616" s="9" t="s">
        <v>4026</v>
      </c>
      <c r="AY616" s="9" t="s">
        <v>427</v>
      </c>
      <c r="BB616" s="9" t="s">
        <v>409</v>
      </c>
      <c r="BC616" s="9" t="s">
        <v>5779</v>
      </c>
      <c r="BF616" s="9" t="s">
        <v>322</v>
      </c>
      <c r="BG616" s="9" t="s">
        <v>375</v>
      </c>
      <c r="BH616" s="9" t="s">
        <v>375</v>
      </c>
      <c r="BI616" s="9" t="s">
        <v>375</v>
      </c>
      <c r="BJ616" s="9" t="s">
        <v>322</v>
      </c>
      <c r="BK616" s="9" t="s">
        <v>375</v>
      </c>
      <c r="BN616" s="9" t="s">
        <v>524</v>
      </c>
      <c r="BO616" s="9" t="s">
        <v>376</v>
      </c>
      <c r="BP616" s="9" t="s">
        <v>5780</v>
      </c>
      <c r="BQ616" s="9" t="s">
        <v>263</v>
      </c>
      <c r="BR616" s="9" t="s">
        <v>162</v>
      </c>
      <c r="BS616" s="9" t="s">
        <v>162</v>
      </c>
      <c r="BT616" s="9" t="s">
        <v>162</v>
      </c>
      <c r="BV616" s="9" t="s">
        <v>5781</v>
      </c>
      <c r="BW616" s="9" t="s">
        <v>1257</v>
      </c>
      <c r="BZ616" s="9" t="s">
        <v>5782</v>
      </c>
      <c r="CA616" s="9" t="s">
        <v>4010</v>
      </c>
      <c r="CB616" s="9" t="s">
        <v>5783</v>
      </c>
      <c r="CD616" s="9" t="s">
        <v>5784</v>
      </c>
      <c r="CH616" s="9" t="s">
        <v>162</v>
      </c>
      <c r="CI616" s="9" t="s">
        <v>162</v>
      </c>
      <c r="CJ616" s="9" t="s">
        <v>162</v>
      </c>
      <c r="CL616" s="9" t="s">
        <v>3912</v>
      </c>
      <c r="CM616" s="9" t="s">
        <v>383</v>
      </c>
      <c r="CP616" s="9" t="s">
        <v>384</v>
      </c>
      <c r="CT616" s="9" t="s">
        <v>336</v>
      </c>
      <c r="CU616" s="9" t="s">
        <v>5785</v>
      </c>
      <c r="CW616" s="9">
        <v>3</v>
      </c>
      <c r="CX616" s="9" t="s">
        <v>263</v>
      </c>
      <c r="CY616" s="9" t="s">
        <v>2032</v>
      </c>
      <c r="CZ616" s="9">
        <v>30</v>
      </c>
      <c r="DA616" s="9">
        <v>30</v>
      </c>
      <c r="DB616" s="9">
        <v>30</v>
      </c>
      <c r="DC616" s="9">
        <v>77.400000000000006</v>
      </c>
      <c r="DD616" s="9">
        <v>0.48</v>
      </c>
      <c r="DE616" s="9">
        <v>159</v>
      </c>
      <c r="DF616" s="9">
        <v>127</v>
      </c>
      <c r="DG616" s="9">
        <f t="shared" si="9"/>
        <v>4.5965869335271368</v>
      </c>
      <c r="DH616" s="9">
        <v>35.4</v>
      </c>
      <c r="DI616" s="9">
        <v>6.21</v>
      </c>
      <c r="DJ616" s="9">
        <v>12</v>
      </c>
      <c r="DK616" s="9">
        <v>17.3</v>
      </c>
      <c r="DL616" s="9">
        <v>49.5</v>
      </c>
      <c r="DM616" s="9">
        <v>84.1</v>
      </c>
    </row>
    <row r="617" spans="1:126" x14ac:dyDescent="0.2">
      <c r="A617" s="70" t="s">
        <v>5786</v>
      </c>
      <c r="B617" s="69">
        <v>43266</v>
      </c>
      <c r="C617" s="29" t="s">
        <v>95</v>
      </c>
      <c r="D617" s="29">
        <v>33</v>
      </c>
      <c r="E617" s="29" t="s">
        <v>96</v>
      </c>
      <c r="F617" s="69">
        <v>30993</v>
      </c>
      <c r="G617" s="29" t="s">
        <v>5787</v>
      </c>
      <c r="H617"/>
      <c r="I617" s="29">
        <v>13</v>
      </c>
      <c r="J617"/>
      <c r="K617" s="29">
        <v>2010</v>
      </c>
      <c r="L617" s="29">
        <v>1</v>
      </c>
      <c r="M617" s="29" t="s">
        <v>483</v>
      </c>
      <c r="N617" s="29" t="s">
        <v>588</v>
      </c>
      <c r="O617" s="29" t="s">
        <v>483</v>
      </c>
      <c r="P617" s="29" t="s">
        <v>483</v>
      </c>
      <c r="Q617" s="29" t="s">
        <v>588</v>
      </c>
      <c r="R617" s="29" t="s">
        <v>588</v>
      </c>
      <c r="S617" s="29" t="s">
        <v>588</v>
      </c>
      <c r="T617" s="29" t="s">
        <v>5788</v>
      </c>
      <c r="U617" s="29" t="s">
        <v>4078</v>
      </c>
      <c r="V617" s="29" t="s">
        <v>483</v>
      </c>
      <c r="W617" s="29" t="s">
        <v>5789</v>
      </c>
      <c r="X617"/>
      <c r="Y617" s="29" t="s">
        <v>5790</v>
      </c>
      <c r="Z617"/>
      <c r="AA617" s="29" t="s">
        <v>150</v>
      </c>
      <c r="AB617" s="29" t="s">
        <v>313</v>
      </c>
      <c r="AC617" s="29" t="s">
        <v>150</v>
      </c>
      <c r="AD617" s="29" t="s">
        <v>313</v>
      </c>
      <c r="AE617" s="29" t="s">
        <v>1242</v>
      </c>
      <c r="AF617" s="29" t="s">
        <v>5791</v>
      </c>
      <c r="AG617" s="29" t="s">
        <v>483</v>
      </c>
      <c r="AH617" s="29" t="s">
        <v>5792</v>
      </c>
      <c r="AI617" s="29" t="s">
        <v>919</v>
      </c>
      <c r="AJ617" s="29" t="s">
        <v>483</v>
      </c>
      <c r="AK617"/>
      <c r="AL617" s="29">
        <v>58.4</v>
      </c>
      <c r="AM617" s="29">
        <v>1.63</v>
      </c>
      <c r="AN617" s="29">
        <v>92</v>
      </c>
      <c r="AO617" s="29">
        <v>95</v>
      </c>
      <c r="AP617" s="29">
        <v>33.299999999999997</v>
      </c>
      <c r="AQ617" s="29">
        <v>5</v>
      </c>
      <c r="AR617" s="29">
        <v>27</v>
      </c>
      <c r="AS617" s="29">
        <v>32</v>
      </c>
      <c r="AT617" s="70">
        <v>22</v>
      </c>
      <c r="AU617" s="29">
        <v>113</v>
      </c>
      <c r="AV617" s="29">
        <v>84</v>
      </c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 s="29">
        <v>86</v>
      </c>
      <c r="DD617" s="29">
        <v>0.83</v>
      </c>
      <c r="DE617" s="29">
        <v>146</v>
      </c>
      <c r="DF617" s="29">
        <v>55</v>
      </c>
      <c r="DG617" s="9">
        <f t="shared" si="9"/>
        <v>4.2308402407429897</v>
      </c>
      <c r="DH617" s="29">
        <v>11</v>
      </c>
      <c r="DI617" s="29">
        <v>4.55</v>
      </c>
      <c r="DJ617" s="29">
        <v>19</v>
      </c>
      <c r="DK617" s="29">
        <v>19.7</v>
      </c>
      <c r="DL617"/>
      <c r="DM617"/>
      <c r="DN617"/>
      <c r="DO617"/>
      <c r="DP617" s="29">
        <v>2</v>
      </c>
      <c r="DQ617" s="29">
        <v>2</v>
      </c>
      <c r="DR617">
        <v>2</v>
      </c>
      <c r="DS617"/>
      <c r="DT617">
        <v>13</v>
      </c>
      <c r="DU617">
        <v>5.08</v>
      </c>
      <c r="DV617"/>
    </row>
    <row r="618" spans="1:126" x14ac:dyDescent="0.2">
      <c r="A618" s="147">
        <v>532</v>
      </c>
      <c r="B618" s="38">
        <v>43265</v>
      </c>
      <c r="C618" s="29" t="s">
        <v>675</v>
      </c>
      <c r="D618" s="29">
        <v>71</v>
      </c>
      <c r="E618" s="29" t="s">
        <v>1123</v>
      </c>
      <c r="F618" s="69" t="s">
        <v>5793</v>
      </c>
      <c r="G618" s="29" t="s">
        <v>5794</v>
      </c>
      <c r="H618" s="29" t="s">
        <v>1544</v>
      </c>
      <c r="I618" s="29"/>
      <c r="J618"/>
      <c r="K618" s="29"/>
      <c r="L618" s="29"/>
      <c r="M618" s="29" t="s">
        <v>99</v>
      </c>
      <c r="N618" s="29" t="s">
        <v>99</v>
      </c>
      <c r="O618" s="29" t="s">
        <v>99</v>
      </c>
      <c r="P618" s="29"/>
      <c r="Q618" s="29"/>
      <c r="R618" s="29"/>
      <c r="S618" s="29"/>
      <c r="T618" s="29"/>
      <c r="U618" s="29" t="s">
        <v>5795</v>
      </c>
      <c r="V618" s="29" t="s">
        <v>99</v>
      </c>
      <c r="W618" s="29"/>
      <c r="X618"/>
      <c r="Y618" s="29"/>
      <c r="Z618"/>
      <c r="AA618" s="29" t="s">
        <v>203</v>
      </c>
      <c r="AB618" s="29" t="s">
        <v>203</v>
      </c>
      <c r="AC618" s="29"/>
      <c r="AD618" s="29"/>
      <c r="AE618" s="29" t="s">
        <v>99</v>
      </c>
      <c r="AF618" s="29" t="s">
        <v>99</v>
      </c>
      <c r="AG618" s="29" t="s">
        <v>99</v>
      </c>
      <c r="AH618" s="29" t="s">
        <v>99</v>
      </c>
      <c r="AI618" s="29" t="s">
        <v>110</v>
      </c>
      <c r="AJ618" s="29" t="s">
        <v>99</v>
      </c>
      <c r="AK618"/>
      <c r="AL618" s="29">
        <v>78.599999999999994</v>
      </c>
      <c r="AM618" s="29">
        <v>155</v>
      </c>
      <c r="AN618" s="29">
        <v>116</v>
      </c>
      <c r="AO618" s="29">
        <v>105</v>
      </c>
      <c r="AP618" s="29">
        <v>36.200000000000003</v>
      </c>
      <c r="AQ618" s="29">
        <v>25</v>
      </c>
      <c r="AR618" s="29">
        <v>17.100000000000001</v>
      </c>
      <c r="AS618" s="29">
        <v>80</v>
      </c>
      <c r="AT618" s="70">
        <v>32.700000000000003</v>
      </c>
      <c r="AU618" s="29">
        <v>115</v>
      </c>
      <c r="AV618" s="29">
        <v>82</v>
      </c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 s="48">
        <v>108.1</v>
      </c>
      <c r="DD618" s="29">
        <v>1.1299999999999999</v>
      </c>
      <c r="DE618" s="48">
        <v>201</v>
      </c>
      <c r="DF618" s="29">
        <v>103</v>
      </c>
      <c r="DG618" s="9">
        <f t="shared" si="9"/>
        <v>4.658892856437399</v>
      </c>
      <c r="DH618" s="29">
        <v>20.6</v>
      </c>
      <c r="DI618" s="29">
        <v>5.56</v>
      </c>
      <c r="DJ618" s="29"/>
      <c r="DK618" s="29"/>
      <c r="DL618"/>
      <c r="DM618"/>
      <c r="DN618"/>
      <c r="DO618"/>
      <c r="DP618"/>
      <c r="DQ618" s="29"/>
      <c r="DR618"/>
      <c r="DS618"/>
      <c r="DT618"/>
      <c r="DU618"/>
      <c r="DV618"/>
    </row>
    <row r="619" spans="1:126" x14ac:dyDescent="0.2">
      <c r="A619" s="9" t="s">
        <v>5796</v>
      </c>
      <c r="DC619" s="10">
        <v>187</v>
      </c>
      <c r="DD619" s="9">
        <v>1.1499999999999999</v>
      </c>
      <c r="DE619" s="9">
        <v>191</v>
      </c>
      <c r="DF619" s="9">
        <v>119</v>
      </c>
      <c r="DG619" s="9">
        <f t="shared" si="9"/>
        <v>5.0051160549830582</v>
      </c>
      <c r="DH619" s="9">
        <v>23.8</v>
      </c>
      <c r="DI619" s="10">
        <v>7.69</v>
      </c>
      <c r="DU619" s="9">
        <v>6</v>
      </c>
    </row>
    <row r="620" spans="1:126" x14ac:dyDescent="0.2">
      <c r="A620" s="110" t="s">
        <v>5797</v>
      </c>
      <c r="DC620" s="10">
        <v>108.9</v>
      </c>
      <c r="DD620" s="9">
        <v>0.89</v>
      </c>
      <c r="DE620" s="10">
        <v>201</v>
      </c>
      <c r="DF620" s="9">
        <v>74</v>
      </c>
      <c r="DG620" s="9">
        <f t="shared" si="9"/>
        <v>4.4972475615715419</v>
      </c>
      <c r="DH620" s="9">
        <v>14.8</v>
      </c>
      <c r="DI620" s="9">
        <v>5.4</v>
      </c>
    </row>
    <row r="621" spans="1:126" x14ac:dyDescent="0.2">
      <c r="A621" s="9" t="s">
        <v>5798</v>
      </c>
      <c r="DG621" s="9" t="e">
        <f t="shared" si="9"/>
        <v>#NUM!</v>
      </c>
    </row>
    <row r="622" spans="1:126" x14ac:dyDescent="0.2">
      <c r="A622" s="110" t="s">
        <v>5799</v>
      </c>
      <c r="B622" s="38">
        <v>43265</v>
      </c>
      <c r="C622" s="9" t="s">
        <v>196</v>
      </c>
      <c r="D622" s="9">
        <v>51</v>
      </c>
      <c r="E622" s="9" t="s">
        <v>96</v>
      </c>
      <c r="F622" s="17">
        <v>24322</v>
      </c>
      <c r="J622" s="9">
        <v>49</v>
      </c>
      <c r="K622" s="9">
        <v>2001</v>
      </c>
      <c r="L622" s="9">
        <v>4</v>
      </c>
      <c r="M622" s="9" t="s">
        <v>99</v>
      </c>
      <c r="N622" s="9" t="s">
        <v>99</v>
      </c>
      <c r="O622" s="9" t="s">
        <v>5800</v>
      </c>
      <c r="Q622" s="9" t="s">
        <v>110</v>
      </c>
      <c r="R622" s="9" t="s">
        <v>110</v>
      </c>
      <c r="S622" s="9" t="s">
        <v>110</v>
      </c>
      <c r="T622" s="9" t="s">
        <v>110</v>
      </c>
      <c r="U622" s="9" t="s">
        <v>5801</v>
      </c>
      <c r="V622" s="9" t="s">
        <v>99</v>
      </c>
      <c r="W622" s="9" t="s">
        <v>5802</v>
      </c>
      <c r="X622" s="9" t="s">
        <v>99</v>
      </c>
      <c r="Y622" s="9" t="s">
        <v>5803</v>
      </c>
      <c r="AA622" s="9" t="s">
        <v>100</v>
      </c>
      <c r="AB622" s="9" t="s">
        <v>100</v>
      </c>
      <c r="AC622" s="9" t="s">
        <v>100</v>
      </c>
      <c r="AD622" s="9" t="s">
        <v>100</v>
      </c>
      <c r="AE622" s="9" t="s">
        <v>5804</v>
      </c>
      <c r="AF622" s="9" t="s">
        <v>5805</v>
      </c>
      <c r="AG622" s="9" t="s">
        <v>2333</v>
      </c>
      <c r="AH622" s="9" t="s">
        <v>5633</v>
      </c>
      <c r="AI622" s="9" t="s">
        <v>99</v>
      </c>
      <c r="AK622" s="9" t="s">
        <v>4723</v>
      </c>
      <c r="AL622" s="9">
        <v>71.8</v>
      </c>
      <c r="AM622" s="9">
        <v>161</v>
      </c>
      <c r="AN622" s="9">
        <v>94</v>
      </c>
      <c r="AO622" s="9">
        <v>105</v>
      </c>
      <c r="AP622" s="9">
        <v>32.4</v>
      </c>
      <c r="AR622" s="9">
        <v>30.4</v>
      </c>
      <c r="AS622" s="9">
        <v>51</v>
      </c>
      <c r="AT622" s="9">
        <v>27</v>
      </c>
      <c r="DC622" s="10">
        <v>114.1</v>
      </c>
      <c r="DD622" s="9">
        <v>0.75</v>
      </c>
      <c r="DE622" s="9">
        <v>196</v>
      </c>
      <c r="DF622" s="9">
        <v>98</v>
      </c>
      <c r="DG622" s="9">
        <f t="shared" si="9"/>
        <v>4.6610213677693011</v>
      </c>
      <c r="DH622" s="9">
        <v>19.600000000000001</v>
      </c>
      <c r="DI622" s="9">
        <v>4.03</v>
      </c>
      <c r="DP622" s="11">
        <v>2</v>
      </c>
      <c r="DR622" s="9">
        <v>2</v>
      </c>
      <c r="DU622" s="9">
        <v>7</v>
      </c>
    </row>
    <row r="623" spans="1:126" x14ac:dyDescent="0.2">
      <c r="A623" s="150" t="s">
        <v>5806</v>
      </c>
      <c r="B623" s="151">
        <v>43265</v>
      </c>
      <c r="C623" s="28" t="s">
        <v>3955</v>
      </c>
      <c r="D623" s="28">
        <v>68</v>
      </c>
      <c r="E623" s="28" t="s">
        <v>96</v>
      </c>
      <c r="F623" s="152">
        <v>18378</v>
      </c>
      <c r="G623" s="28"/>
      <c r="H623" s="28"/>
      <c r="I623" s="28"/>
      <c r="J623" s="28"/>
      <c r="K623" s="28"/>
      <c r="L623" s="28"/>
      <c r="M623" s="28" t="s">
        <v>483</v>
      </c>
      <c r="N623" s="28" t="s">
        <v>483</v>
      </c>
      <c r="O623" s="28" t="s">
        <v>483</v>
      </c>
      <c r="P623" s="28" t="s">
        <v>483</v>
      </c>
      <c r="Q623" s="28" t="s">
        <v>588</v>
      </c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949</v>
      </c>
      <c r="AB623" s="28" t="s">
        <v>949</v>
      </c>
      <c r="AC623" s="28" t="s">
        <v>949</v>
      </c>
      <c r="AD623" s="28" t="s">
        <v>949</v>
      </c>
      <c r="AE623" s="28" t="s">
        <v>483</v>
      </c>
      <c r="AF623" s="28" t="s">
        <v>483</v>
      </c>
      <c r="AG623" s="28" t="s">
        <v>483</v>
      </c>
      <c r="AH623" s="28" t="s">
        <v>483</v>
      </c>
      <c r="AI623" s="28" t="s">
        <v>483</v>
      </c>
      <c r="AJ623" s="28" t="s">
        <v>483</v>
      </c>
      <c r="AK623" s="28" t="s">
        <v>483</v>
      </c>
      <c r="AL623" s="28">
        <v>57</v>
      </c>
      <c r="AM623" s="28">
        <v>1.58</v>
      </c>
      <c r="AN623" s="28">
        <v>86</v>
      </c>
      <c r="AO623" s="28">
        <v>90</v>
      </c>
      <c r="AP623" s="28">
        <v>20.5</v>
      </c>
      <c r="AQ623" s="28">
        <v>8</v>
      </c>
      <c r="AR623" s="28">
        <v>33.9</v>
      </c>
      <c r="AS623" s="28">
        <v>37</v>
      </c>
      <c r="AT623" s="153">
        <v>22.8</v>
      </c>
      <c r="AU623" s="28">
        <v>104</v>
      </c>
      <c r="AV623" s="28">
        <v>79</v>
      </c>
      <c r="AW623" s="28"/>
      <c r="AX623" s="28" t="s">
        <v>323</v>
      </c>
      <c r="AY623" s="28"/>
      <c r="AZ623" s="28"/>
      <c r="BA623" s="28"/>
      <c r="BB623" s="28" t="s">
        <v>635</v>
      </c>
      <c r="BC623" s="28"/>
      <c r="BD623" s="28"/>
      <c r="BE623" s="28"/>
      <c r="BF623" s="28" t="s">
        <v>635</v>
      </c>
      <c r="BG623" s="28" t="s">
        <v>323</v>
      </c>
      <c r="BH623" s="28"/>
      <c r="BI623" s="28"/>
      <c r="BJ623" s="28" t="s">
        <v>635</v>
      </c>
      <c r="BK623" s="28" t="s">
        <v>323</v>
      </c>
      <c r="BL623" s="28"/>
      <c r="BM623" s="28"/>
      <c r="BN623" s="28" t="s">
        <v>635</v>
      </c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 t="s">
        <v>635</v>
      </c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 t="s">
        <v>323</v>
      </c>
      <c r="CU623" s="28"/>
      <c r="CV623" s="28"/>
      <c r="CW623" s="28">
        <v>3</v>
      </c>
      <c r="CX623" s="28" t="s">
        <v>483</v>
      </c>
      <c r="CY623" s="28" t="s">
        <v>588</v>
      </c>
      <c r="CZ623" s="28"/>
      <c r="DA623" s="28"/>
      <c r="DB623" s="28"/>
      <c r="DC623" s="154">
        <v>140.6</v>
      </c>
      <c r="DD623" s="28">
        <v>0.76</v>
      </c>
      <c r="DE623" s="28">
        <v>147</v>
      </c>
      <c r="DF623" s="28">
        <v>128</v>
      </c>
      <c r="DG623" s="9">
        <f t="shared" si="9"/>
        <v>4.8989746216480912</v>
      </c>
      <c r="DH623" s="28">
        <v>25.6</v>
      </c>
      <c r="DI623" s="28">
        <v>1.56</v>
      </c>
      <c r="DJ623" s="28">
        <v>17</v>
      </c>
      <c r="DK623" s="28">
        <v>25.3</v>
      </c>
      <c r="DL623" s="28">
        <v>58.4</v>
      </c>
      <c r="DM623" s="28">
        <v>63</v>
      </c>
      <c r="DN623" s="28"/>
      <c r="DO623" s="28"/>
      <c r="DP623" s="28">
        <v>2</v>
      </c>
      <c r="DQ623" s="28">
        <v>2</v>
      </c>
      <c r="DR623" s="28"/>
      <c r="DS623" s="28"/>
      <c r="DT623" s="28">
        <v>12</v>
      </c>
      <c r="DU623" s="28">
        <v>4</v>
      </c>
      <c r="DV623" s="28"/>
    </row>
    <row r="624" spans="1:126" x14ac:dyDescent="0.2">
      <c r="A624" s="155" t="s">
        <v>5806</v>
      </c>
      <c r="B624" s="151">
        <v>43265</v>
      </c>
      <c r="C624" s="28" t="s">
        <v>95</v>
      </c>
      <c r="D624" s="28">
        <v>68</v>
      </c>
      <c r="E624" s="28"/>
      <c r="F624" s="152">
        <v>18119</v>
      </c>
      <c r="G624" s="28" t="s">
        <v>5807</v>
      </c>
      <c r="H624" s="28" t="s">
        <v>5808</v>
      </c>
      <c r="I624" s="28">
        <v>14</v>
      </c>
      <c r="J624" s="28">
        <v>51</v>
      </c>
      <c r="K624" s="28">
        <v>1985</v>
      </c>
      <c r="L624" s="28">
        <v>6</v>
      </c>
      <c r="M624" s="28" t="s">
        <v>483</v>
      </c>
      <c r="N624" s="28" t="s">
        <v>588</v>
      </c>
      <c r="O624" s="28" t="s">
        <v>483</v>
      </c>
      <c r="P624" s="28" t="s">
        <v>483</v>
      </c>
      <c r="Q624" s="28" t="s">
        <v>483</v>
      </c>
      <c r="R624" s="28"/>
      <c r="S624" s="28" t="s">
        <v>5809</v>
      </c>
      <c r="T624" s="28" t="s">
        <v>5810</v>
      </c>
      <c r="U624" s="28"/>
      <c r="V624" s="28"/>
      <c r="W624" s="28"/>
      <c r="X624" s="28"/>
      <c r="Y624" s="28" t="s">
        <v>5811</v>
      </c>
      <c r="Z624" s="28" t="s">
        <v>5812</v>
      </c>
      <c r="AA624" s="28" t="s">
        <v>5813</v>
      </c>
      <c r="AB624" s="28" t="s">
        <v>5813</v>
      </c>
      <c r="AC624" s="28"/>
      <c r="AD624" s="28"/>
      <c r="AE624" s="28" t="s">
        <v>483</v>
      </c>
      <c r="AF624" s="28" t="s">
        <v>588</v>
      </c>
      <c r="AG624" s="28" t="s">
        <v>483</v>
      </c>
      <c r="AH624" s="28" t="s">
        <v>483</v>
      </c>
      <c r="AI624" s="28" t="s">
        <v>483</v>
      </c>
      <c r="AJ624" s="28" t="s">
        <v>483</v>
      </c>
      <c r="AK624" s="28" t="s">
        <v>483</v>
      </c>
      <c r="AL624" s="28">
        <v>80.099999999999994</v>
      </c>
      <c r="AM624" s="28">
        <v>1.55</v>
      </c>
      <c r="AN624" s="28">
        <v>111</v>
      </c>
      <c r="AO624" s="28">
        <v>120</v>
      </c>
      <c r="AP624" s="28">
        <v>48.3</v>
      </c>
      <c r="AQ624" s="28">
        <v>14</v>
      </c>
      <c r="AR624" s="28">
        <v>22.3</v>
      </c>
      <c r="AS624" s="28">
        <v>78</v>
      </c>
      <c r="AT624" s="28">
        <v>33.299999999999997</v>
      </c>
      <c r="AU624" s="28">
        <v>116</v>
      </c>
      <c r="AV624" s="28">
        <v>88</v>
      </c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154">
        <v>141.4</v>
      </c>
      <c r="DD624" s="28">
        <v>0.67</v>
      </c>
      <c r="DE624" s="28">
        <v>167</v>
      </c>
      <c r="DF624" s="154">
        <v>206</v>
      </c>
      <c r="DG624" s="9">
        <f t="shared" si="9"/>
        <v>5.1397344611260269</v>
      </c>
      <c r="DH624" s="28">
        <v>41.2</v>
      </c>
      <c r="DI624" s="28">
        <v>4.03</v>
      </c>
      <c r="DJ624" s="28">
        <v>15</v>
      </c>
      <c r="DK624" s="28">
        <v>23.7</v>
      </c>
      <c r="DL624" s="28"/>
      <c r="DM624" s="28"/>
      <c r="DN624" s="28"/>
      <c r="DO624" s="28"/>
      <c r="DP624" s="28">
        <v>3</v>
      </c>
      <c r="DQ624" s="28"/>
      <c r="DR624" s="28"/>
      <c r="DS624" s="28"/>
      <c r="DT624" s="28"/>
      <c r="DU624" s="28"/>
      <c r="DV624" s="28"/>
    </row>
    <row r="625" spans="1:126" x14ac:dyDescent="0.2">
      <c r="A625" s="29" t="s">
        <v>5814</v>
      </c>
      <c r="B625" s="69">
        <v>43265</v>
      </c>
      <c r="C625" s="29" t="s">
        <v>95</v>
      </c>
      <c r="D625" s="29">
        <v>65</v>
      </c>
      <c r="E625" s="29" t="s">
        <v>96</v>
      </c>
      <c r="F625" s="69">
        <v>19359</v>
      </c>
      <c r="G625"/>
      <c r="H625"/>
      <c r="I625"/>
      <c r="J625" s="29">
        <v>50</v>
      </c>
      <c r="K625" s="29">
        <v>1980</v>
      </c>
      <c r="L625" s="29">
        <v>3</v>
      </c>
      <c r="M625"/>
      <c r="N625"/>
      <c r="O625"/>
      <c r="P625"/>
      <c r="Q625" s="29" t="s">
        <v>588</v>
      </c>
      <c r="R625"/>
      <c r="S625"/>
      <c r="T625"/>
      <c r="U625"/>
      <c r="V625"/>
      <c r="W625"/>
      <c r="X625"/>
      <c r="Y625"/>
      <c r="Z625"/>
      <c r="AA625" s="29" t="s">
        <v>949</v>
      </c>
      <c r="AB625" s="29" t="s">
        <v>949</v>
      </c>
      <c r="AC625" s="29" t="s">
        <v>949</v>
      </c>
      <c r="AD625" s="29" t="s">
        <v>949</v>
      </c>
      <c r="AE625" s="29" t="s">
        <v>1017</v>
      </c>
      <c r="AF625" s="29" t="s">
        <v>423</v>
      </c>
      <c r="AG625"/>
      <c r="AH625" s="29" t="s">
        <v>5791</v>
      </c>
      <c r="AI625"/>
      <c r="AJ625"/>
      <c r="AK625"/>
      <c r="AL625" s="29">
        <v>55.8</v>
      </c>
      <c r="AM625" s="29">
        <v>1.5</v>
      </c>
      <c r="AN625" s="29">
        <v>86</v>
      </c>
      <c r="AO625" s="29">
        <v>97</v>
      </c>
      <c r="AP625" s="29">
        <v>36.9</v>
      </c>
      <c r="AQ625" s="29">
        <v>8</v>
      </c>
      <c r="AR625" s="29">
        <v>26</v>
      </c>
      <c r="AS625" s="29">
        <v>62</v>
      </c>
      <c r="AT625" s="70">
        <v>24.8</v>
      </c>
      <c r="AU625" s="48">
        <v>146</v>
      </c>
      <c r="AV625" s="48">
        <v>90</v>
      </c>
      <c r="AW625"/>
      <c r="AX625" s="29" t="s">
        <v>2421</v>
      </c>
      <c r="AY625" s="29" t="s">
        <v>372</v>
      </c>
      <c r="AZ625"/>
      <c r="BA625"/>
      <c r="BB625" s="29" t="s">
        <v>635</v>
      </c>
      <c r="BC625"/>
      <c r="BD625"/>
      <c r="BE625"/>
      <c r="BF625" s="29" t="s">
        <v>323</v>
      </c>
      <c r="BG625" s="29" t="s">
        <v>323</v>
      </c>
      <c r="BH625"/>
      <c r="BI625" s="29" t="s">
        <v>635</v>
      </c>
      <c r="BJ625" s="29" t="s">
        <v>635</v>
      </c>
      <c r="BK625" s="29" t="s">
        <v>635</v>
      </c>
      <c r="BL625"/>
      <c r="BM625"/>
      <c r="BN625" s="29" t="s">
        <v>635</v>
      </c>
      <c r="BO625"/>
      <c r="BP625"/>
      <c r="BQ625"/>
      <c r="BR625" s="29" t="s">
        <v>325</v>
      </c>
      <c r="BS625"/>
      <c r="BT625"/>
      <c r="BU625"/>
      <c r="BV625" s="29" t="s">
        <v>323</v>
      </c>
      <c r="BW625"/>
      <c r="BX625"/>
      <c r="BY625"/>
      <c r="BZ625" s="29" t="s">
        <v>635</v>
      </c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 s="29" t="s">
        <v>635</v>
      </c>
      <c r="CQ625"/>
      <c r="CR625"/>
      <c r="CS625"/>
      <c r="CT625" s="29" t="s">
        <v>635</v>
      </c>
      <c r="CU625"/>
      <c r="CV625"/>
      <c r="CW625" s="29">
        <v>3</v>
      </c>
      <c r="CX625" s="29" t="s">
        <v>5815</v>
      </c>
      <c r="CY625" s="29" t="s">
        <v>588</v>
      </c>
      <c r="CZ625"/>
      <c r="DA625"/>
      <c r="DB625"/>
      <c r="DC625" s="29">
        <v>80.7</v>
      </c>
      <c r="DD625" s="29">
        <v>0.61</v>
      </c>
      <c r="DE625" s="48">
        <v>221</v>
      </c>
      <c r="DF625" s="29">
        <v>98</v>
      </c>
      <c r="DG625" s="9">
        <f t="shared" si="9"/>
        <v>4.4878530269732373</v>
      </c>
      <c r="DH625" s="29">
        <v>19.600000000000001</v>
      </c>
      <c r="DI625" s="29">
        <v>5.38</v>
      </c>
      <c r="DJ625" s="29">
        <v>20.7</v>
      </c>
      <c r="DK625" s="29">
        <v>17.7</v>
      </c>
      <c r="DL625"/>
      <c r="DM625"/>
      <c r="DN625"/>
      <c r="DO625"/>
      <c r="DP625">
        <v>2</v>
      </c>
      <c r="DQ625" s="29">
        <v>2</v>
      </c>
      <c r="DR625">
        <v>2</v>
      </c>
      <c r="DS625"/>
      <c r="DT625"/>
      <c r="DU625"/>
      <c r="DV625"/>
    </row>
    <row r="626" spans="1:126" x14ac:dyDescent="0.2">
      <c r="A626" s="29">
        <v>539</v>
      </c>
      <c r="B626" s="69"/>
      <c r="C626" s="29"/>
      <c r="D626" s="29"/>
      <c r="E626" s="29"/>
      <c r="F626" s="69"/>
      <c r="G626"/>
      <c r="H626"/>
      <c r="I626"/>
      <c r="J626" s="29"/>
      <c r="K626" s="29"/>
      <c r="L626" s="29"/>
      <c r="M626"/>
      <c r="N626"/>
      <c r="O626"/>
      <c r="P626"/>
      <c r="Q626" s="29"/>
      <c r="R626"/>
      <c r="S626"/>
      <c r="T626"/>
      <c r="U626"/>
      <c r="V626"/>
      <c r="W626"/>
      <c r="X626"/>
      <c r="Y626"/>
      <c r="Z626"/>
      <c r="AA626" s="29"/>
      <c r="AB626" s="29"/>
      <c r="AC626" s="29"/>
      <c r="AD626" s="29"/>
      <c r="AE626" s="29"/>
      <c r="AF626" s="29"/>
      <c r="AG626"/>
      <c r="AH626" s="29"/>
      <c r="AI626"/>
      <c r="AJ626"/>
      <c r="AK626"/>
      <c r="AL626" s="29"/>
      <c r="AM626" s="29"/>
      <c r="AN626" s="29"/>
      <c r="AO626" s="29"/>
      <c r="AP626" s="29"/>
      <c r="AQ626" s="29"/>
      <c r="AR626" s="29"/>
      <c r="AS626" s="29"/>
      <c r="AT626" s="70"/>
      <c r="AU626" s="48"/>
      <c r="AV626" s="48"/>
      <c r="AW626"/>
      <c r="AX626" s="29"/>
      <c r="AY626" s="29"/>
      <c r="AZ626"/>
      <c r="BA626"/>
      <c r="BB626" s="29"/>
      <c r="BC626"/>
      <c r="BD626"/>
      <c r="BE626"/>
      <c r="BF626" s="29"/>
      <c r="BG626" s="29"/>
      <c r="BH626"/>
      <c r="BI626" s="29"/>
      <c r="BJ626" s="29"/>
      <c r="BK626" s="29"/>
      <c r="BL626"/>
      <c r="BM626"/>
      <c r="BN626" s="29"/>
      <c r="BO626"/>
      <c r="BP626"/>
      <c r="BQ626"/>
      <c r="BR626" s="29"/>
      <c r="BS626"/>
      <c r="BT626"/>
      <c r="BU626"/>
      <c r="BV626" s="29"/>
      <c r="BW626"/>
      <c r="BX626"/>
      <c r="BY626"/>
      <c r="BZ626" s="29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 s="29"/>
      <c r="CQ626"/>
      <c r="CR626"/>
      <c r="CS626"/>
      <c r="CT626" s="29"/>
      <c r="CU626"/>
      <c r="CV626"/>
      <c r="CW626" s="29"/>
      <c r="CX626" s="29"/>
      <c r="CY626" s="29"/>
      <c r="CZ626"/>
      <c r="DA626"/>
      <c r="DB626"/>
      <c r="DC626" s="29"/>
      <c r="DD626" s="29"/>
      <c r="DE626" s="48"/>
      <c r="DF626" s="29"/>
      <c r="DG626" s="9" t="e">
        <f t="shared" si="9"/>
        <v>#NUM!</v>
      </c>
      <c r="DH626" s="29"/>
      <c r="DI626" s="29"/>
      <c r="DJ626" s="29"/>
      <c r="DK626" s="29"/>
      <c r="DL626"/>
      <c r="DM626"/>
      <c r="DN626"/>
      <c r="DO626"/>
      <c r="DP626">
        <v>2</v>
      </c>
      <c r="DQ626" s="29"/>
      <c r="DR626"/>
      <c r="DS626"/>
      <c r="DT626"/>
      <c r="DU626"/>
      <c r="DV626"/>
    </row>
    <row r="627" spans="1:126" x14ac:dyDescent="0.2">
      <c r="A627" s="9" t="s">
        <v>5816</v>
      </c>
      <c r="B627" s="38">
        <v>43175</v>
      </c>
      <c r="C627" s="9" t="s">
        <v>95</v>
      </c>
      <c r="D627" s="9">
        <v>21</v>
      </c>
      <c r="E627" s="9" t="s">
        <v>96</v>
      </c>
      <c r="F627" s="17">
        <v>35250</v>
      </c>
      <c r="G627" s="9" t="s">
        <v>1509</v>
      </c>
      <c r="H627" s="9" t="s">
        <v>5817</v>
      </c>
      <c r="M627" s="9" t="s">
        <v>99</v>
      </c>
      <c r="N627" s="9" t="s">
        <v>99</v>
      </c>
      <c r="O627" s="9" t="s">
        <v>99</v>
      </c>
      <c r="P627" s="9" t="s">
        <v>99</v>
      </c>
      <c r="Q627" s="9" t="s">
        <v>99</v>
      </c>
      <c r="S627" s="9" t="s">
        <v>110</v>
      </c>
      <c r="T627" s="9" t="s">
        <v>110</v>
      </c>
      <c r="U627" s="9" t="s">
        <v>5818</v>
      </c>
      <c r="Y627" s="9" t="s">
        <v>5819</v>
      </c>
      <c r="AA627" s="9" t="s">
        <v>100</v>
      </c>
      <c r="AB627" s="9" t="s">
        <v>100</v>
      </c>
      <c r="AC627" s="9" t="s">
        <v>100</v>
      </c>
      <c r="AD627" s="9" t="s">
        <v>100</v>
      </c>
      <c r="AE627" s="9" t="s">
        <v>99</v>
      </c>
      <c r="AF627" s="9" t="s">
        <v>5820</v>
      </c>
      <c r="AG627" s="9" t="s">
        <v>99</v>
      </c>
      <c r="AH627" s="9" t="s">
        <v>99</v>
      </c>
      <c r="AI627" s="9" t="s">
        <v>5633</v>
      </c>
      <c r="AJ627" s="9" t="s">
        <v>99</v>
      </c>
      <c r="AK627" s="9" t="s">
        <v>5821</v>
      </c>
      <c r="AL627" s="9">
        <v>45.6</v>
      </c>
      <c r="AM627" s="9">
        <v>168</v>
      </c>
      <c r="AN627" s="9">
        <v>66</v>
      </c>
      <c r="AO627" s="9">
        <v>86</v>
      </c>
      <c r="AP627" s="9">
        <v>16.7</v>
      </c>
      <c r="AQ627" s="9">
        <v>1</v>
      </c>
      <c r="AR627" s="9">
        <v>30.9</v>
      </c>
      <c r="AS627" s="9">
        <v>18</v>
      </c>
      <c r="AT627" s="7">
        <v>16.100000000000001</v>
      </c>
      <c r="AU627" s="9">
        <v>84</v>
      </c>
      <c r="AV627" s="9">
        <v>62</v>
      </c>
      <c r="DC627" s="9">
        <v>81.8</v>
      </c>
      <c r="DD627" s="9">
        <v>0.79</v>
      </c>
      <c r="DE627" s="9">
        <v>189</v>
      </c>
      <c r="DF627" s="9">
        <v>37</v>
      </c>
      <c r="DG627" s="9">
        <f t="shared" si="9"/>
        <v>4.0075975781264628</v>
      </c>
      <c r="DH627" s="9">
        <v>7.4</v>
      </c>
      <c r="DI627" s="9">
        <v>3.16</v>
      </c>
      <c r="DU627" s="9">
        <v>8</v>
      </c>
    </row>
    <row r="628" spans="1:126" x14ac:dyDescent="0.2">
      <c r="A628" s="9" t="s">
        <v>5822</v>
      </c>
      <c r="B628" s="38">
        <v>43175</v>
      </c>
      <c r="C628" s="9" t="s">
        <v>95</v>
      </c>
      <c r="D628" s="9">
        <v>19</v>
      </c>
      <c r="E628" s="9" t="s">
        <v>2777</v>
      </c>
      <c r="F628" s="17">
        <v>36052</v>
      </c>
      <c r="G628" s="9" t="s">
        <v>1509</v>
      </c>
      <c r="S628" s="9" t="s">
        <v>110</v>
      </c>
      <c r="T628" s="9" t="s">
        <v>110</v>
      </c>
      <c r="AA628" s="9" t="s">
        <v>2777</v>
      </c>
      <c r="AB628" s="9" t="s">
        <v>2777</v>
      </c>
      <c r="AC628" s="9" t="s">
        <v>2777</v>
      </c>
      <c r="AD628" s="9" t="s">
        <v>2777</v>
      </c>
      <c r="AE628" s="9" t="s">
        <v>5823</v>
      </c>
      <c r="AL628" s="9">
        <v>70.099999999999994</v>
      </c>
      <c r="AM628" s="9">
        <v>164</v>
      </c>
      <c r="AP628" s="9">
        <v>35.6</v>
      </c>
      <c r="AQ628" s="9">
        <v>4</v>
      </c>
      <c r="AR628" s="9">
        <v>28.6</v>
      </c>
      <c r="AS628" s="9">
        <v>35</v>
      </c>
      <c r="AT628" s="9">
        <v>26.1</v>
      </c>
      <c r="AU628" s="9">
        <v>85</v>
      </c>
      <c r="AV628" s="9">
        <v>59</v>
      </c>
      <c r="DC628" s="9">
        <v>77.3</v>
      </c>
      <c r="DD628" s="9">
        <v>1</v>
      </c>
      <c r="DE628" s="9">
        <v>140</v>
      </c>
      <c r="DF628" s="9">
        <v>44</v>
      </c>
      <c r="DG628" s="9">
        <f t="shared" si="9"/>
        <v>4.065941794755819</v>
      </c>
      <c r="DH628" s="9">
        <v>8.8000000000000007</v>
      </c>
      <c r="DI628" s="9">
        <v>3.78</v>
      </c>
      <c r="DP628" s="11">
        <v>3</v>
      </c>
      <c r="DR628" s="9">
        <v>2</v>
      </c>
    </row>
    <row r="629" spans="1:126" customFormat="1" x14ac:dyDescent="0.2">
      <c r="A629" s="140" t="s">
        <v>5824</v>
      </c>
      <c r="B629" s="128">
        <v>43804</v>
      </c>
      <c r="C629" s="127" t="s">
        <v>196</v>
      </c>
      <c r="D629" s="127">
        <v>34</v>
      </c>
      <c r="E629" s="127" t="s">
        <v>500</v>
      </c>
      <c r="F629" s="128">
        <v>31086</v>
      </c>
      <c r="G629" s="127" t="s">
        <v>500</v>
      </c>
      <c r="H629" s="127" t="s">
        <v>500</v>
      </c>
      <c r="I629" s="127" t="s">
        <v>2020</v>
      </c>
      <c r="J629" s="127" t="s">
        <v>500</v>
      </c>
      <c r="K629" s="128">
        <v>41685</v>
      </c>
      <c r="L629" s="127">
        <v>2</v>
      </c>
      <c r="M629" s="127" t="s">
        <v>99</v>
      </c>
      <c r="N629" s="127" t="s">
        <v>99</v>
      </c>
      <c r="O629" s="127" t="s">
        <v>99</v>
      </c>
      <c r="P629" s="127" t="s">
        <v>5825</v>
      </c>
      <c r="Q629" s="127" t="s">
        <v>1571</v>
      </c>
      <c r="R629" s="127" t="s">
        <v>99</v>
      </c>
      <c r="S629" s="127" t="s">
        <v>99</v>
      </c>
      <c r="T629" s="127" t="s">
        <v>99</v>
      </c>
      <c r="U629" s="127" t="s">
        <v>99</v>
      </c>
      <c r="V629" s="127" t="s">
        <v>99</v>
      </c>
      <c r="W629" s="127" t="s">
        <v>99</v>
      </c>
      <c r="X629" s="127" t="s">
        <v>500</v>
      </c>
      <c r="Y629" s="127" t="s">
        <v>500</v>
      </c>
      <c r="Z629" s="127" t="s">
        <v>500</v>
      </c>
      <c r="AA629" s="127" t="s">
        <v>500</v>
      </c>
      <c r="AB629" s="127" t="s">
        <v>500</v>
      </c>
      <c r="AC629" s="127" t="s">
        <v>500</v>
      </c>
      <c r="AD629" s="127" t="s">
        <v>500</v>
      </c>
      <c r="AE629" s="127" t="s">
        <v>500</v>
      </c>
      <c r="AF629" s="127" t="s">
        <v>500</v>
      </c>
      <c r="AG629" s="127" t="s">
        <v>500</v>
      </c>
      <c r="AH629" s="129" t="s">
        <v>500</v>
      </c>
      <c r="AI629" s="127" t="s">
        <v>500</v>
      </c>
      <c r="AJ629" s="9" t="s">
        <v>500</v>
      </c>
      <c r="AK629" s="9" t="s">
        <v>500</v>
      </c>
      <c r="AL629" s="9">
        <v>48</v>
      </c>
      <c r="AM629" s="9">
        <v>153</v>
      </c>
      <c r="AN629" s="7">
        <v>69</v>
      </c>
      <c r="AO629" s="9">
        <v>89</v>
      </c>
      <c r="AP629" s="9">
        <v>28.4</v>
      </c>
      <c r="AQ629" s="9">
        <v>4</v>
      </c>
      <c r="AR629" s="9">
        <v>28.7</v>
      </c>
      <c r="AS629" s="9">
        <v>30</v>
      </c>
      <c r="AT629" s="7">
        <v>20.5</v>
      </c>
      <c r="AU629" s="9">
        <v>99</v>
      </c>
      <c r="AV629" s="9">
        <v>65</v>
      </c>
      <c r="AW629" s="9" t="s">
        <v>110</v>
      </c>
      <c r="AX629" s="9" t="s">
        <v>5826</v>
      </c>
      <c r="AY629" s="9" t="s">
        <v>500</v>
      </c>
      <c r="AZ629" s="9" t="s">
        <v>500</v>
      </c>
      <c r="BA629" s="9" t="s">
        <v>110</v>
      </c>
      <c r="BB629" s="9" t="s">
        <v>350</v>
      </c>
      <c r="BC629" s="9" t="s">
        <v>500</v>
      </c>
      <c r="BD629" s="9" t="s">
        <v>500</v>
      </c>
      <c r="BE629" s="9" t="s">
        <v>110</v>
      </c>
      <c r="BF629" s="9" t="s">
        <v>350</v>
      </c>
      <c r="BG629" s="9" t="s">
        <v>350</v>
      </c>
      <c r="BH629" s="9" t="s">
        <v>350</v>
      </c>
      <c r="BI629" s="9" t="s">
        <v>350</v>
      </c>
      <c r="BJ629" s="9" t="s">
        <v>818</v>
      </c>
      <c r="BK629" s="9" t="s">
        <v>5513</v>
      </c>
      <c r="BL629" s="9" t="s">
        <v>110</v>
      </c>
      <c r="BM629" s="9" t="s">
        <v>350</v>
      </c>
      <c r="BN629" s="9" t="s">
        <v>500</v>
      </c>
      <c r="BO629" s="9" t="s">
        <v>500</v>
      </c>
      <c r="BP629" s="9" t="s">
        <v>500</v>
      </c>
      <c r="BQ629" s="9" t="s">
        <v>350</v>
      </c>
      <c r="BR629" s="9" t="s">
        <v>500</v>
      </c>
      <c r="BS629" s="9" t="s">
        <v>500</v>
      </c>
      <c r="BT629" s="9" t="s">
        <v>500</v>
      </c>
      <c r="BU629" s="9" t="s">
        <v>350</v>
      </c>
      <c r="BV629" s="9" t="s">
        <v>500</v>
      </c>
      <c r="BW629" s="9" t="s">
        <v>500</v>
      </c>
      <c r="BX629" s="9" t="s">
        <v>500</v>
      </c>
      <c r="BY629" s="9" t="s">
        <v>350</v>
      </c>
      <c r="BZ629" s="9" t="s">
        <v>500</v>
      </c>
      <c r="CA629" s="9" t="s">
        <v>500</v>
      </c>
      <c r="CB629" s="9" t="s">
        <v>500</v>
      </c>
      <c r="CC629" s="9" t="s">
        <v>99</v>
      </c>
      <c r="CD629" s="9" t="s">
        <v>500</v>
      </c>
      <c r="CE629" s="9" t="s">
        <v>500</v>
      </c>
      <c r="CF629" s="9" t="s">
        <v>500</v>
      </c>
      <c r="CG629" s="9" t="s">
        <v>99</v>
      </c>
      <c r="CH629" s="9" t="s">
        <v>500</v>
      </c>
      <c r="CI629" s="9" t="s">
        <v>500</v>
      </c>
      <c r="CJ629" s="9" t="s">
        <v>500</v>
      </c>
      <c r="CK629" s="9" t="s">
        <v>350</v>
      </c>
      <c r="CL629" s="9" t="s">
        <v>825</v>
      </c>
      <c r="CM629" s="9" t="s">
        <v>3158</v>
      </c>
      <c r="CN629" s="9" t="s">
        <v>500</v>
      </c>
      <c r="CO629" s="9" t="s">
        <v>176</v>
      </c>
      <c r="CP629" s="9" t="s">
        <v>5827</v>
      </c>
      <c r="CQ629" s="9" t="s">
        <v>500</v>
      </c>
      <c r="CR629" s="9" t="s">
        <v>500</v>
      </c>
      <c r="CS629" s="9" t="s">
        <v>350</v>
      </c>
      <c r="CT629" s="9" t="s">
        <v>500</v>
      </c>
      <c r="CU629" s="9" t="s">
        <v>500</v>
      </c>
      <c r="CV629" s="9" t="s">
        <v>500</v>
      </c>
      <c r="CW629" s="9">
        <v>4</v>
      </c>
      <c r="CX629" s="9" t="s">
        <v>110</v>
      </c>
      <c r="CY629" s="9" t="s">
        <v>110</v>
      </c>
      <c r="CZ629" s="9">
        <v>30</v>
      </c>
      <c r="DA629" s="9">
        <v>30</v>
      </c>
      <c r="DB629" s="9">
        <v>40</v>
      </c>
      <c r="DC629" s="9">
        <v>65.5</v>
      </c>
      <c r="DD629" s="9">
        <v>0.69</v>
      </c>
      <c r="DE629" s="9">
        <v>135</v>
      </c>
      <c r="DF629" s="9">
        <v>92</v>
      </c>
      <c r="DG629" s="9">
        <f t="shared" si="9"/>
        <v>4.3519193598451231</v>
      </c>
      <c r="DH629" s="9">
        <v>18.399999999999999</v>
      </c>
      <c r="DI629" s="9">
        <v>3.56</v>
      </c>
      <c r="DJ629" s="9"/>
      <c r="DK629" s="9"/>
      <c r="DL629" s="9">
        <v>47.4</v>
      </c>
      <c r="DM629" s="9">
        <v>69.2</v>
      </c>
      <c r="DN629" s="9"/>
      <c r="DO629" s="9"/>
      <c r="DR629">
        <v>2</v>
      </c>
    </row>
    <row r="630" spans="1:126" customFormat="1" x14ac:dyDescent="0.2">
      <c r="A630" s="127" t="s">
        <v>5828</v>
      </c>
      <c r="B630" s="128">
        <v>43803</v>
      </c>
      <c r="C630" s="127" t="s">
        <v>196</v>
      </c>
      <c r="D630" s="127">
        <v>43</v>
      </c>
      <c r="E630" s="127" t="s">
        <v>1870</v>
      </c>
      <c r="F630" s="128">
        <v>28031</v>
      </c>
      <c r="G630" s="127" t="s">
        <v>1870</v>
      </c>
      <c r="H630" s="127" t="s">
        <v>1870</v>
      </c>
      <c r="I630" s="127" t="s">
        <v>1610</v>
      </c>
      <c r="J630" s="127" t="s">
        <v>1870</v>
      </c>
      <c r="K630" s="127">
        <v>0</v>
      </c>
      <c r="L630" s="127">
        <v>0</v>
      </c>
      <c r="M630" s="127" t="s">
        <v>99</v>
      </c>
      <c r="N630" s="127" t="s">
        <v>99</v>
      </c>
      <c r="O630" s="127" t="s">
        <v>99</v>
      </c>
      <c r="P630" s="127" t="s">
        <v>99</v>
      </c>
      <c r="Q630" s="127" t="s">
        <v>99</v>
      </c>
      <c r="R630" s="127" t="s">
        <v>110</v>
      </c>
      <c r="S630" s="127" t="s">
        <v>99</v>
      </c>
      <c r="T630" s="127" t="s">
        <v>99</v>
      </c>
      <c r="U630" s="127" t="s">
        <v>99</v>
      </c>
      <c r="V630" s="127" t="s">
        <v>99</v>
      </c>
      <c r="W630" s="127" t="s">
        <v>99</v>
      </c>
      <c r="X630" s="127" t="s">
        <v>500</v>
      </c>
      <c r="Y630" s="127" t="s">
        <v>500</v>
      </c>
      <c r="Z630" s="127" t="s">
        <v>500</v>
      </c>
      <c r="AA630" s="127" t="s">
        <v>100</v>
      </c>
      <c r="AB630" s="127" t="s">
        <v>100</v>
      </c>
      <c r="AC630" s="127" t="s">
        <v>100</v>
      </c>
      <c r="AD630" s="127" t="s">
        <v>100</v>
      </c>
      <c r="AE630" s="127" t="s">
        <v>99</v>
      </c>
      <c r="AF630" s="127" t="s">
        <v>99</v>
      </c>
      <c r="AG630" s="127" t="s">
        <v>99</v>
      </c>
      <c r="AH630" s="129" t="s">
        <v>99</v>
      </c>
      <c r="AI630" s="127" t="s">
        <v>1079</v>
      </c>
      <c r="AJ630" s="9" t="s">
        <v>99</v>
      </c>
      <c r="AK630" s="9" t="s">
        <v>99</v>
      </c>
      <c r="AL630" s="9">
        <v>74.099999999999994</v>
      </c>
      <c r="AM630" s="9">
        <v>158</v>
      </c>
      <c r="AN630" s="9">
        <v>93</v>
      </c>
      <c r="AO630" s="9">
        <v>110</v>
      </c>
      <c r="AP630" s="9">
        <v>44</v>
      </c>
      <c r="AQ630" s="9">
        <v>8</v>
      </c>
      <c r="AR630" s="9">
        <v>24.3</v>
      </c>
      <c r="AS630" s="9">
        <v>58</v>
      </c>
      <c r="AT630" s="9">
        <v>29.7</v>
      </c>
      <c r="AU630" s="9">
        <v>103</v>
      </c>
      <c r="AV630" s="9">
        <v>73</v>
      </c>
      <c r="AW630" s="9" t="s">
        <v>707</v>
      </c>
      <c r="AX630" s="9" t="s">
        <v>500</v>
      </c>
      <c r="AY630" s="9" t="s">
        <v>500</v>
      </c>
      <c r="AZ630" s="9" t="s">
        <v>500</v>
      </c>
      <c r="BA630" s="9" t="s">
        <v>351</v>
      </c>
      <c r="BB630" s="9" t="s">
        <v>500</v>
      </c>
      <c r="BC630" s="9" t="s">
        <v>500</v>
      </c>
      <c r="BD630" s="9" t="s">
        <v>500</v>
      </c>
      <c r="BE630" s="9" t="s">
        <v>351</v>
      </c>
      <c r="BF630" s="9" t="s">
        <v>213</v>
      </c>
      <c r="BG630" s="9" t="s">
        <v>213</v>
      </c>
      <c r="BH630" s="9" t="s">
        <v>707</v>
      </c>
      <c r="BI630" s="9" t="s">
        <v>500</v>
      </c>
      <c r="BJ630" s="9" t="s">
        <v>213</v>
      </c>
      <c r="BK630" s="9" t="s">
        <v>5513</v>
      </c>
      <c r="BL630" s="9" t="s">
        <v>500</v>
      </c>
      <c r="BM630" s="9" t="s">
        <v>707</v>
      </c>
      <c r="BN630" s="9" t="s">
        <v>500</v>
      </c>
      <c r="BO630" s="9" t="s">
        <v>500</v>
      </c>
      <c r="BP630" s="9" t="s">
        <v>500</v>
      </c>
      <c r="BQ630" s="9" t="s">
        <v>99</v>
      </c>
      <c r="BR630" s="9" t="s">
        <v>500</v>
      </c>
      <c r="BS630" s="9" t="s">
        <v>500</v>
      </c>
      <c r="BT630" s="9" t="s">
        <v>500</v>
      </c>
      <c r="BU630" s="9" t="s">
        <v>99</v>
      </c>
      <c r="BV630" s="9" t="s">
        <v>500</v>
      </c>
      <c r="BW630" s="9" t="s">
        <v>500</v>
      </c>
      <c r="BX630" s="9" t="s">
        <v>500</v>
      </c>
      <c r="BY630" s="9" t="s">
        <v>500</v>
      </c>
      <c r="BZ630" s="9" t="s">
        <v>500</v>
      </c>
      <c r="CA630" s="9" t="s">
        <v>500</v>
      </c>
      <c r="CB630" s="9" t="s">
        <v>500</v>
      </c>
      <c r="CC630" s="9" t="s">
        <v>99</v>
      </c>
      <c r="CD630" s="9" t="s">
        <v>500</v>
      </c>
      <c r="CE630" s="9" t="s">
        <v>500</v>
      </c>
      <c r="CF630" s="9" t="s">
        <v>500</v>
      </c>
      <c r="CG630" s="9" t="s">
        <v>99</v>
      </c>
      <c r="CH630" s="9" t="s">
        <v>500</v>
      </c>
      <c r="CI630" s="9" t="s">
        <v>500</v>
      </c>
      <c r="CJ630" s="9" t="s">
        <v>500</v>
      </c>
      <c r="CK630" s="9" t="s">
        <v>176</v>
      </c>
      <c r="CL630" s="9" t="s">
        <v>579</v>
      </c>
      <c r="CM630" s="9" t="s">
        <v>500</v>
      </c>
      <c r="CN630" s="9" t="s">
        <v>500</v>
      </c>
      <c r="CO630" s="9" t="s">
        <v>176</v>
      </c>
      <c r="CP630" s="9" t="s">
        <v>362</v>
      </c>
      <c r="CQ630" s="9" t="s">
        <v>500</v>
      </c>
      <c r="CR630" s="9" t="s">
        <v>500</v>
      </c>
      <c r="CS630" s="9" t="s">
        <v>1469</v>
      </c>
      <c r="CT630" s="9" t="s">
        <v>500</v>
      </c>
      <c r="CU630" s="9" t="s">
        <v>500</v>
      </c>
      <c r="CV630" s="9" t="s">
        <v>500</v>
      </c>
      <c r="CW630" s="9">
        <v>3</v>
      </c>
      <c r="CX630" s="9" t="s">
        <v>99</v>
      </c>
      <c r="CY630" s="9" t="s">
        <v>110</v>
      </c>
      <c r="CZ630" s="9">
        <v>70</v>
      </c>
      <c r="DA630" s="9">
        <v>20</v>
      </c>
      <c r="DB630" s="9">
        <v>10</v>
      </c>
      <c r="DC630" s="9">
        <v>73.5</v>
      </c>
      <c r="DD630" s="9">
        <v>0.82</v>
      </c>
      <c r="DE630" s="9">
        <v>161</v>
      </c>
      <c r="DF630" s="9">
        <v>81</v>
      </c>
      <c r="DG630" s="9">
        <f t="shared" si="9"/>
        <v>4.3458672804456153</v>
      </c>
      <c r="DH630" s="9">
        <v>16.2</v>
      </c>
      <c r="DI630" s="9">
        <v>3.57</v>
      </c>
      <c r="DJ630" s="9"/>
      <c r="DK630" s="9"/>
      <c r="DL630" s="10">
        <v>48.5</v>
      </c>
      <c r="DM630" s="9">
        <v>96.3</v>
      </c>
      <c r="DN630" s="9"/>
      <c r="DO630" s="9"/>
      <c r="DR630">
        <v>2</v>
      </c>
    </row>
    <row r="631" spans="1:126" customFormat="1" x14ac:dyDescent="0.2">
      <c r="A631" s="127" t="s">
        <v>5829</v>
      </c>
      <c r="B631" s="128">
        <v>43803</v>
      </c>
      <c r="C631" s="127" t="s">
        <v>196</v>
      </c>
      <c r="D631" s="127">
        <v>33</v>
      </c>
      <c r="E631" s="127" t="s">
        <v>100</v>
      </c>
      <c r="F631" s="128">
        <v>31522</v>
      </c>
      <c r="G631" s="127" t="s">
        <v>813</v>
      </c>
      <c r="H631" s="127" t="s">
        <v>500</v>
      </c>
      <c r="I631" s="127" t="s">
        <v>1610</v>
      </c>
      <c r="J631" s="128">
        <v>43491</v>
      </c>
      <c r="K631" s="156">
        <v>41456</v>
      </c>
      <c r="L631" s="127">
        <v>3</v>
      </c>
      <c r="M631" s="127" t="s">
        <v>99</v>
      </c>
      <c r="N631" s="127" t="s">
        <v>99</v>
      </c>
      <c r="O631" s="127" t="s">
        <v>500</v>
      </c>
      <c r="P631" s="127" t="s">
        <v>99</v>
      </c>
      <c r="Q631" s="127" t="s">
        <v>5830</v>
      </c>
      <c r="R631" s="127" t="s">
        <v>5831</v>
      </c>
      <c r="S631" s="127" t="s">
        <v>500</v>
      </c>
      <c r="T631" s="127" t="s">
        <v>500</v>
      </c>
      <c r="U631" s="127">
        <v>3</v>
      </c>
      <c r="V631" s="127" t="s">
        <v>5832</v>
      </c>
      <c r="W631" s="127" t="s">
        <v>500</v>
      </c>
      <c r="X631" s="127" t="s">
        <v>500</v>
      </c>
      <c r="Y631" s="127" t="s">
        <v>500</v>
      </c>
      <c r="Z631" s="127" t="s">
        <v>500</v>
      </c>
      <c r="AA631" s="127" t="s">
        <v>500</v>
      </c>
      <c r="AB631" s="127" t="s">
        <v>500</v>
      </c>
      <c r="AC631" s="127" t="s">
        <v>500</v>
      </c>
      <c r="AD631" s="127" t="s">
        <v>500</v>
      </c>
      <c r="AE631" s="127" t="s">
        <v>500</v>
      </c>
      <c r="AF631" s="127" t="s">
        <v>500</v>
      </c>
      <c r="AG631" s="127" t="s">
        <v>500</v>
      </c>
      <c r="AH631" s="129" t="s">
        <v>500</v>
      </c>
      <c r="AI631" s="127" t="s">
        <v>500</v>
      </c>
      <c r="AJ631" s="9" t="s">
        <v>500</v>
      </c>
      <c r="AK631" s="9" t="s">
        <v>500</v>
      </c>
      <c r="AL631" s="9">
        <v>62.2</v>
      </c>
      <c r="AM631" s="9">
        <v>159</v>
      </c>
      <c r="AN631" s="10">
        <v>90</v>
      </c>
      <c r="AO631" s="9">
        <v>102</v>
      </c>
      <c r="AP631" s="9">
        <v>31.9</v>
      </c>
      <c r="AQ631" s="9">
        <v>6</v>
      </c>
      <c r="AR631" s="9">
        <v>30</v>
      </c>
      <c r="AS631" s="9">
        <v>47</v>
      </c>
      <c r="AT631" s="7">
        <v>24.6</v>
      </c>
      <c r="AU631" s="9">
        <v>115</v>
      </c>
      <c r="AV631" s="9">
        <v>79</v>
      </c>
      <c r="AW631" s="9" t="s">
        <v>110</v>
      </c>
      <c r="AX631" s="9" t="s">
        <v>5833</v>
      </c>
      <c r="AY631" s="9" t="s">
        <v>5834</v>
      </c>
      <c r="AZ631" s="9" t="s">
        <v>5835</v>
      </c>
      <c r="BA631" s="9" t="s">
        <v>500</v>
      </c>
      <c r="BB631" s="9" t="s">
        <v>500</v>
      </c>
      <c r="BC631" s="9" t="s">
        <v>500</v>
      </c>
      <c r="BD631" s="9" t="s">
        <v>500</v>
      </c>
      <c r="BE631" s="9" t="s">
        <v>110</v>
      </c>
      <c r="BF631" s="9" t="s">
        <v>213</v>
      </c>
      <c r="BG631" s="9" t="s">
        <v>1469</v>
      </c>
      <c r="BH631" s="9" t="s">
        <v>1134</v>
      </c>
      <c r="BI631" s="9" t="s">
        <v>710</v>
      </c>
      <c r="BJ631" s="9" t="s">
        <v>5836</v>
      </c>
      <c r="BK631" s="9" t="s">
        <v>5513</v>
      </c>
      <c r="BL631" s="9" t="s">
        <v>110</v>
      </c>
      <c r="BM631" s="9" t="s">
        <v>350</v>
      </c>
      <c r="BN631" s="9" t="s">
        <v>179</v>
      </c>
      <c r="BO631" s="9" t="s">
        <v>4014</v>
      </c>
      <c r="BP631" s="9" t="s">
        <v>1664</v>
      </c>
      <c r="BQ631" s="9" t="s">
        <v>99</v>
      </c>
      <c r="BR631" s="9" t="s">
        <v>500</v>
      </c>
      <c r="BS631" s="9" t="s">
        <v>500</v>
      </c>
      <c r="BT631" s="9" t="s">
        <v>500</v>
      </c>
      <c r="BU631" s="9" t="s">
        <v>99</v>
      </c>
      <c r="BV631" s="9" t="s">
        <v>500</v>
      </c>
      <c r="BW631" s="9" t="s">
        <v>500</v>
      </c>
      <c r="BX631" s="9" t="s">
        <v>500</v>
      </c>
      <c r="BY631" s="9" t="s">
        <v>351</v>
      </c>
      <c r="BZ631" s="9" t="s">
        <v>182</v>
      </c>
      <c r="CA631" s="9" t="s">
        <v>3744</v>
      </c>
      <c r="CB631" s="9" t="s">
        <v>1137</v>
      </c>
      <c r="CC631" s="9" t="s">
        <v>99</v>
      </c>
      <c r="CD631" s="9" t="s">
        <v>500</v>
      </c>
      <c r="CE631" s="9" t="s">
        <v>500</v>
      </c>
      <c r="CF631" s="9" t="s">
        <v>500</v>
      </c>
      <c r="CG631" s="9" t="s">
        <v>99</v>
      </c>
      <c r="CH631" s="9" t="s">
        <v>500</v>
      </c>
      <c r="CI631" s="9" t="s">
        <v>500</v>
      </c>
      <c r="CJ631" s="9" t="s">
        <v>500</v>
      </c>
      <c r="CK631" s="9" t="s">
        <v>110</v>
      </c>
      <c r="CL631" s="9" t="s">
        <v>1180</v>
      </c>
      <c r="CM631" s="9" t="s">
        <v>5837</v>
      </c>
      <c r="CN631" s="9" t="s">
        <v>500</v>
      </c>
      <c r="CO631" s="9" t="s">
        <v>500</v>
      </c>
      <c r="CP631" s="9" t="s">
        <v>362</v>
      </c>
      <c r="CQ631" s="9" t="s">
        <v>500</v>
      </c>
      <c r="CR631" s="9" t="s">
        <v>500</v>
      </c>
      <c r="CS631" s="9" t="s">
        <v>5838</v>
      </c>
      <c r="CT631" s="9" t="s">
        <v>187</v>
      </c>
      <c r="CU631" s="9" t="s">
        <v>500</v>
      </c>
      <c r="CV631" s="9" t="s">
        <v>500</v>
      </c>
      <c r="CW631" s="9">
        <v>3</v>
      </c>
      <c r="CX631" s="9" t="s">
        <v>5839</v>
      </c>
      <c r="CY631" s="9" t="s">
        <v>110</v>
      </c>
      <c r="CZ631" s="9">
        <v>30</v>
      </c>
      <c r="DA631" s="9">
        <v>30</v>
      </c>
      <c r="DB631" s="9">
        <v>40</v>
      </c>
      <c r="DC631" s="9">
        <v>81.400000000000006</v>
      </c>
      <c r="DD631" s="9">
        <v>0.71</v>
      </c>
      <c r="DE631" s="9">
        <v>159</v>
      </c>
      <c r="DF631" s="9">
        <v>63</v>
      </c>
      <c r="DG631" s="9">
        <f t="shared" si="9"/>
        <v>4.2712549997000133</v>
      </c>
      <c r="DH631" s="9">
        <v>12.6</v>
      </c>
      <c r="DI631" s="9">
        <v>4.47</v>
      </c>
      <c r="DJ631" s="9"/>
      <c r="DK631" s="9"/>
      <c r="DL631" s="9">
        <v>58.9</v>
      </c>
      <c r="DM631" s="9">
        <v>87.5</v>
      </c>
      <c r="DN631" s="9"/>
      <c r="DO631" s="9"/>
      <c r="DR631">
        <v>2</v>
      </c>
    </row>
    <row r="632" spans="1:126" customFormat="1" x14ac:dyDescent="0.2">
      <c r="A632" s="127" t="s">
        <v>5840</v>
      </c>
      <c r="B632" s="128">
        <v>43803</v>
      </c>
      <c r="C632" s="127" t="s">
        <v>196</v>
      </c>
      <c r="D632" s="127">
        <v>35</v>
      </c>
      <c r="E632" s="127" t="s">
        <v>100</v>
      </c>
      <c r="F632" s="128">
        <v>30827</v>
      </c>
      <c r="G632" s="127" t="s">
        <v>500</v>
      </c>
      <c r="H632" s="127" t="s">
        <v>5841</v>
      </c>
      <c r="I632" s="127" t="s">
        <v>2020</v>
      </c>
      <c r="J632" s="127" t="s">
        <v>500</v>
      </c>
      <c r="K632" s="128">
        <v>40944</v>
      </c>
      <c r="L632" s="127">
        <v>2</v>
      </c>
      <c r="M632" s="127" t="s">
        <v>5842</v>
      </c>
      <c r="N632" s="127" t="s">
        <v>99</v>
      </c>
      <c r="O632" s="127" t="s">
        <v>99</v>
      </c>
      <c r="P632" s="127" t="s">
        <v>99</v>
      </c>
      <c r="Q632" s="127" t="s">
        <v>5830</v>
      </c>
      <c r="R632" s="127" t="s">
        <v>99</v>
      </c>
      <c r="S632" s="127" t="s">
        <v>5843</v>
      </c>
      <c r="T632" s="127" t="s">
        <v>99</v>
      </c>
      <c r="U632" s="127" t="s">
        <v>99</v>
      </c>
      <c r="V632" s="127" t="s">
        <v>99</v>
      </c>
      <c r="W632" s="127" t="s">
        <v>5844</v>
      </c>
      <c r="X632" s="127" t="s">
        <v>99</v>
      </c>
      <c r="Y632" s="127" t="s">
        <v>99</v>
      </c>
      <c r="Z632" s="127" t="s">
        <v>99</v>
      </c>
      <c r="AA632" s="127" t="s">
        <v>1123</v>
      </c>
      <c r="AB632" s="127" t="s">
        <v>1123</v>
      </c>
      <c r="AC632" s="127" t="s">
        <v>1123</v>
      </c>
      <c r="AD632" s="127" t="s">
        <v>1123</v>
      </c>
      <c r="AE632" s="127" t="s">
        <v>5845</v>
      </c>
      <c r="AF632" s="127" t="s">
        <v>5846</v>
      </c>
      <c r="AG632" s="127" t="s">
        <v>343</v>
      </c>
      <c r="AH632" s="129" t="s">
        <v>5846</v>
      </c>
      <c r="AI632" s="127" t="s">
        <v>99</v>
      </c>
      <c r="AJ632" s="9" t="s">
        <v>99</v>
      </c>
      <c r="AK632" s="9" t="s">
        <v>99</v>
      </c>
      <c r="AL632" s="9">
        <v>73.599999999999994</v>
      </c>
      <c r="AM632" s="9">
        <v>170</v>
      </c>
      <c r="AN632" s="9">
        <v>85</v>
      </c>
      <c r="AO632" s="9">
        <v>112</v>
      </c>
      <c r="AP632" s="9">
        <v>36.200000000000003</v>
      </c>
      <c r="AQ632" s="9">
        <v>6</v>
      </c>
      <c r="AR632" s="9">
        <v>27.8</v>
      </c>
      <c r="AS632" s="9">
        <v>39</v>
      </c>
      <c r="AT632" s="9">
        <v>25.5</v>
      </c>
      <c r="AU632" s="9">
        <v>108</v>
      </c>
      <c r="AV632" s="9">
        <v>78</v>
      </c>
      <c r="AW632" s="9" t="s">
        <v>110</v>
      </c>
      <c r="AX632" s="9" t="s">
        <v>679</v>
      </c>
      <c r="AY632" s="9" t="s">
        <v>5847</v>
      </c>
      <c r="AZ632" s="9" t="s">
        <v>1977</v>
      </c>
      <c r="BA632" s="9" t="s">
        <v>110</v>
      </c>
      <c r="BB632" s="9" t="s">
        <v>3276</v>
      </c>
      <c r="BC632" s="9" t="s">
        <v>346</v>
      </c>
      <c r="BD632" s="9" t="s">
        <v>5610</v>
      </c>
      <c r="BE632" s="9" t="s">
        <v>110</v>
      </c>
      <c r="BF632" s="9" t="s">
        <v>350</v>
      </c>
      <c r="BG632" s="9" t="s">
        <v>176</v>
      </c>
      <c r="BH632" s="9" t="s">
        <v>350</v>
      </c>
      <c r="BI632" s="9" t="s">
        <v>350</v>
      </c>
      <c r="BJ632" s="9" t="s">
        <v>176</v>
      </c>
      <c r="BK632" s="9" t="s">
        <v>5848</v>
      </c>
      <c r="BL632" s="9" t="s">
        <v>110</v>
      </c>
      <c r="BM632" s="9" t="s">
        <v>110</v>
      </c>
      <c r="BN632" s="9" t="s">
        <v>3292</v>
      </c>
      <c r="BO632" s="9" t="s">
        <v>3262</v>
      </c>
      <c r="BP632" s="9" t="s">
        <v>5849</v>
      </c>
      <c r="BQ632" s="9" t="s">
        <v>99</v>
      </c>
      <c r="BR632" s="9" t="s">
        <v>500</v>
      </c>
      <c r="BS632" s="9" t="s">
        <v>500</v>
      </c>
      <c r="BT632" s="9" t="s">
        <v>500</v>
      </c>
      <c r="BU632" s="9" t="s">
        <v>110</v>
      </c>
      <c r="BV632" s="9" t="s">
        <v>857</v>
      </c>
      <c r="BW632" s="9" t="s">
        <v>500</v>
      </c>
      <c r="BX632" s="9" t="s">
        <v>500</v>
      </c>
      <c r="BY632" s="9" t="s">
        <v>110</v>
      </c>
      <c r="BZ632" s="9" t="s">
        <v>1984</v>
      </c>
      <c r="CA632" s="9" t="s">
        <v>5850</v>
      </c>
      <c r="CB632" s="9" t="s">
        <v>5851</v>
      </c>
      <c r="CC632" s="9" t="s">
        <v>99</v>
      </c>
      <c r="CD632" s="9" t="s">
        <v>500</v>
      </c>
      <c r="CE632" s="9" t="s">
        <v>500</v>
      </c>
      <c r="CF632" s="9" t="s">
        <v>500</v>
      </c>
      <c r="CG632" s="9" t="s">
        <v>110</v>
      </c>
      <c r="CH632" s="9" t="s">
        <v>5474</v>
      </c>
      <c r="CI632" s="9" t="s">
        <v>5475</v>
      </c>
      <c r="CJ632" s="9" t="s">
        <v>500</v>
      </c>
      <c r="CK632" s="9" t="s">
        <v>110</v>
      </c>
      <c r="CL632" s="9" t="s">
        <v>358</v>
      </c>
      <c r="CM632" s="9" t="s">
        <v>5852</v>
      </c>
      <c r="CN632" s="9" t="s">
        <v>2448</v>
      </c>
      <c r="CO632" s="9" t="s">
        <v>110</v>
      </c>
      <c r="CP632" s="9" t="s">
        <v>2641</v>
      </c>
      <c r="CQ632" s="9" t="s">
        <v>890</v>
      </c>
      <c r="CR632" s="9" t="s">
        <v>5853</v>
      </c>
      <c r="CS632" s="9" t="s">
        <v>110</v>
      </c>
      <c r="CT632" s="9" t="s">
        <v>5322</v>
      </c>
      <c r="CU632" s="9" t="s">
        <v>5610</v>
      </c>
      <c r="CV632" s="9" t="s">
        <v>500</v>
      </c>
      <c r="CW632" s="9">
        <v>3</v>
      </c>
      <c r="CX632" s="9" t="s">
        <v>5854</v>
      </c>
      <c r="CY632" s="9" t="s">
        <v>99</v>
      </c>
      <c r="CZ632" s="9" t="s">
        <v>500</v>
      </c>
      <c r="DA632" s="9" t="s">
        <v>500</v>
      </c>
      <c r="DB632" s="9" t="s">
        <v>500</v>
      </c>
      <c r="DC632" s="9">
        <v>81.5</v>
      </c>
      <c r="DD632" s="9">
        <v>0.81</v>
      </c>
      <c r="DE632" s="9">
        <v>163</v>
      </c>
      <c r="DF632" s="9">
        <v>82</v>
      </c>
      <c r="DG632" s="9">
        <f t="shared" si="9"/>
        <v>4.4036611337555351</v>
      </c>
      <c r="DH632" s="9">
        <v>16.399999999999999</v>
      </c>
      <c r="DI632" s="9">
        <v>2.78</v>
      </c>
      <c r="DJ632" s="9"/>
      <c r="DK632" s="9"/>
      <c r="DL632" s="9">
        <v>41.9</v>
      </c>
      <c r="DM632" s="9">
        <v>104.7</v>
      </c>
      <c r="DN632" s="9"/>
      <c r="DO632" s="9"/>
      <c r="DR632">
        <v>1</v>
      </c>
    </row>
    <row r="633" spans="1:126" customFormat="1" x14ac:dyDescent="0.2">
      <c r="A633" s="144" t="s">
        <v>5855</v>
      </c>
      <c r="B633" s="128">
        <v>43803</v>
      </c>
      <c r="C633" s="127" t="s">
        <v>675</v>
      </c>
      <c r="D633" s="127">
        <v>39</v>
      </c>
      <c r="E633" s="127" t="s">
        <v>100</v>
      </c>
      <c r="F633" s="128">
        <v>29456</v>
      </c>
      <c r="G633" s="127" t="s">
        <v>5856</v>
      </c>
      <c r="H633" s="127" t="s">
        <v>5841</v>
      </c>
      <c r="I633" s="127" t="s">
        <v>500</v>
      </c>
      <c r="J633" s="127" t="s">
        <v>500</v>
      </c>
      <c r="K633" s="127" t="s">
        <v>500</v>
      </c>
      <c r="L633" s="127" t="s">
        <v>500</v>
      </c>
      <c r="M633" s="127" t="s">
        <v>99</v>
      </c>
      <c r="N633" s="127" t="s">
        <v>99</v>
      </c>
      <c r="O633" s="127" t="s">
        <v>99</v>
      </c>
      <c r="P633" s="127" t="s">
        <v>5857</v>
      </c>
      <c r="Q633" s="127" t="s">
        <v>5858</v>
      </c>
      <c r="R633" s="127" t="s">
        <v>5859</v>
      </c>
      <c r="S633" s="127" t="s">
        <v>110</v>
      </c>
      <c r="T633" s="127" t="s">
        <v>5451</v>
      </c>
      <c r="U633" s="127" t="s">
        <v>5860</v>
      </c>
      <c r="V633" s="127" t="s">
        <v>99</v>
      </c>
      <c r="W633" s="127" t="s">
        <v>99</v>
      </c>
      <c r="X633" s="127" t="s">
        <v>99</v>
      </c>
      <c r="Y633" s="127" t="s">
        <v>99</v>
      </c>
      <c r="Z633" s="127" t="s">
        <v>99</v>
      </c>
      <c r="AA633" s="127" t="s">
        <v>1123</v>
      </c>
      <c r="AB633" s="127" t="s">
        <v>100</v>
      </c>
      <c r="AC633" s="127" t="s">
        <v>1123</v>
      </c>
      <c r="AD633" s="127" t="s">
        <v>100</v>
      </c>
      <c r="AE633" s="127" t="s">
        <v>5861</v>
      </c>
      <c r="AF633" s="127" t="s">
        <v>1127</v>
      </c>
      <c r="AG633" s="127" t="s">
        <v>99</v>
      </c>
      <c r="AH633" s="129" t="s">
        <v>99</v>
      </c>
      <c r="AI633" s="127" t="s">
        <v>99</v>
      </c>
      <c r="AJ633" s="9" t="s">
        <v>99</v>
      </c>
      <c r="AK633" s="9" t="s">
        <v>99</v>
      </c>
      <c r="AL633" s="9">
        <v>92.6</v>
      </c>
      <c r="AM633" s="9">
        <v>174</v>
      </c>
      <c r="AN633" s="10">
        <v>100</v>
      </c>
      <c r="AO633" s="9">
        <v>107</v>
      </c>
      <c r="AP633" s="9">
        <v>30.8</v>
      </c>
      <c r="AQ633" s="9">
        <v>14</v>
      </c>
      <c r="AR633" s="9">
        <v>32.700000000000003</v>
      </c>
      <c r="AS633" s="9">
        <v>61</v>
      </c>
      <c r="AT633" s="9">
        <v>30.6</v>
      </c>
      <c r="AU633" s="10">
        <v>131</v>
      </c>
      <c r="AV633" s="9">
        <v>78</v>
      </c>
      <c r="AW633" s="9" t="s">
        <v>176</v>
      </c>
      <c r="AX633" s="9" t="s">
        <v>573</v>
      </c>
      <c r="AY633" s="9" t="s">
        <v>1657</v>
      </c>
      <c r="AZ633" s="9" t="s">
        <v>5862</v>
      </c>
      <c r="BA633" s="9" t="s">
        <v>110</v>
      </c>
      <c r="BB633" s="9" t="s">
        <v>346</v>
      </c>
      <c r="BC633" s="9" t="s">
        <v>500</v>
      </c>
      <c r="BD633" s="9" t="s">
        <v>500</v>
      </c>
      <c r="BE633" s="9" t="s">
        <v>110</v>
      </c>
      <c r="BF633" s="9" t="s">
        <v>350</v>
      </c>
      <c r="BG633" s="9" t="s">
        <v>176</v>
      </c>
      <c r="BH633" s="9" t="s">
        <v>350</v>
      </c>
      <c r="BI633" s="9" t="s">
        <v>350</v>
      </c>
      <c r="BJ633" s="9" t="s">
        <v>176</v>
      </c>
      <c r="BK633" s="9" t="s">
        <v>5848</v>
      </c>
      <c r="BL633" s="9" t="s">
        <v>110</v>
      </c>
      <c r="BM633" s="9" t="s">
        <v>176</v>
      </c>
      <c r="BN633" s="9" t="s">
        <v>179</v>
      </c>
      <c r="BO633" s="9" t="s">
        <v>180</v>
      </c>
      <c r="BP633" s="9" t="s">
        <v>219</v>
      </c>
      <c r="BQ633" s="9" t="s">
        <v>99</v>
      </c>
      <c r="BR633" s="9" t="s">
        <v>500</v>
      </c>
      <c r="BS633" s="9" t="s">
        <v>500</v>
      </c>
      <c r="BT633" s="9" t="s">
        <v>500</v>
      </c>
      <c r="BU633" s="9" t="s">
        <v>110</v>
      </c>
      <c r="BV633" s="9" t="s">
        <v>3455</v>
      </c>
      <c r="BW633" s="9" t="s">
        <v>5863</v>
      </c>
      <c r="BX633" s="9" t="s">
        <v>500</v>
      </c>
      <c r="BY633" s="9" t="s">
        <v>110</v>
      </c>
      <c r="BZ633" s="9" t="s">
        <v>183</v>
      </c>
      <c r="CA633" s="9" t="s">
        <v>182</v>
      </c>
      <c r="CB633" s="9" t="s">
        <v>709</v>
      </c>
      <c r="CC633" s="9" t="s">
        <v>99</v>
      </c>
      <c r="CD633" s="9" t="s">
        <v>500</v>
      </c>
      <c r="CE633" s="9" t="s">
        <v>500</v>
      </c>
      <c r="CF633" s="9" t="s">
        <v>500</v>
      </c>
      <c r="CG633" s="9" t="s">
        <v>99</v>
      </c>
      <c r="CH633" s="9" t="s">
        <v>500</v>
      </c>
      <c r="CI633" s="9" t="s">
        <v>500</v>
      </c>
      <c r="CJ633" s="9" t="s">
        <v>500</v>
      </c>
      <c r="CK633" s="9" t="s">
        <v>110</v>
      </c>
      <c r="CL633" s="9" t="s">
        <v>358</v>
      </c>
      <c r="CM633" s="9" t="s">
        <v>5864</v>
      </c>
      <c r="CN633" s="9" t="s">
        <v>5865</v>
      </c>
      <c r="CO633" s="9" t="s">
        <v>110</v>
      </c>
      <c r="CP633" s="9" t="s">
        <v>2641</v>
      </c>
      <c r="CQ633" s="9" t="s">
        <v>500</v>
      </c>
      <c r="CR633" s="9" t="s">
        <v>2892</v>
      </c>
      <c r="CS633" s="9" t="s">
        <v>1979</v>
      </c>
      <c r="CT633" s="9" t="s">
        <v>983</v>
      </c>
      <c r="CU633" s="9" t="s">
        <v>5866</v>
      </c>
      <c r="CV633" s="9" t="s">
        <v>582</v>
      </c>
      <c r="CW633" s="9">
        <v>3</v>
      </c>
      <c r="CX633" s="9" t="s">
        <v>5867</v>
      </c>
      <c r="CY633" s="9" t="s">
        <v>99</v>
      </c>
      <c r="CZ633" s="9">
        <v>50</v>
      </c>
      <c r="DA633" s="9">
        <v>25</v>
      </c>
      <c r="DB633" s="9">
        <v>25</v>
      </c>
      <c r="DC633" s="10">
        <v>101.1</v>
      </c>
      <c r="DD633" s="9">
        <v>0.75</v>
      </c>
      <c r="DE633" s="9">
        <v>168</v>
      </c>
      <c r="DF633" s="10">
        <v>150</v>
      </c>
      <c r="DG633" s="9">
        <f t="shared" si="9"/>
        <v>4.8133727100613406</v>
      </c>
      <c r="DH633" s="9">
        <v>30</v>
      </c>
      <c r="DI633" s="10">
        <v>8.14</v>
      </c>
      <c r="DJ633" s="9"/>
      <c r="DK633" s="9"/>
      <c r="DL633" s="9">
        <v>51.3</v>
      </c>
      <c r="DM633" s="9">
        <v>86.7</v>
      </c>
      <c r="DN633" s="9"/>
      <c r="DO633" s="9"/>
      <c r="DR633">
        <v>3</v>
      </c>
      <c r="DU633">
        <v>5.2</v>
      </c>
    </row>
    <row r="634" spans="1:126" customFormat="1" x14ac:dyDescent="0.2">
      <c r="A634" s="127" t="s">
        <v>5868</v>
      </c>
      <c r="B634" s="128">
        <v>43803</v>
      </c>
      <c r="C634" s="127" t="s">
        <v>675</v>
      </c>
      <c r="D634" s="127">
        <v>40</v>
      </c>
      <c r="E634" s="127" t="s">
        <v>100</v>
      </c>
      <c r="F634" s="128">
        <v>28934</v>
      </c>
      <c r="G634" s="127" t="s">
        <v>339</v>
      </c>
      <c r="H634" s="127" t="s">
        <v>5447</v>
      </c>
      <c r="I634" s="127" t="s">
        <v>500</v>
      </c>
      <c r="J634" s="127" t="s">
        <v>500</v>
      </c>
      <c r="K634" s="127" t="s">
        <v>500</v>
      </c>
      <c r="L634" s="127" t="s">
        <v>500</v>
      </c>
      <c r="M634" s="127" t="s">
        <v>99</v>
      </c>
      <c r="N634" s="127" t="s">
        <v>99</v>
      </c>
      <c r="O634" s="127" t="s">
        <v>5057</v>
      </c>
      <c r="P634" s="127" t="s">
        <v>99</v>
      </c>
      <c r="Q634" s="127" t="s">
        <v>5421</v>
      </c>
      <c r="R634" s="127" t="s">
        <v>110</v>
      </c>
      <c r="S634" s="127" t="s">
        <v>99</v>
      </c>
      <c r="T634" s="127" t="s">
        <v>99</v>
      </c>
      <c r="U634" s="127" t="s">
        <v>99</v>
      </c>
      <c r="V634" s="127" t="s">
        <v>99</v>
      </c>
      <c r="W634" s="127" t="s">
        <v>99</v>
      </c>
      <c r="X634" s="127" t="s">
        <v>500</v>
      </c>
      <c r="Y634" s="127" t="s">
        <v>500</v>
      </c>
      <c r="Z634" s="127" t="s">
        <v>500</v>
      </c>
      <c r="AA634" s="127" t="s">
        <v>2267</v>
      </c>
      <c r="AB634" s="127" t="s">
        <v>1123</v>
      </c>
      <c r="AC634" s="127" t="s">
        <v>2267</v>
      </c>
      <c r="AD634" s="127" t="s">
        <v>1123</v>
      </c>
      <c r="AE634" s="127" t="s">
        <v>5869</v>
      </c>
      <c r="AF634" s="127" t="s">
        <v>5870</v>
      </c>
      <c r="AG634" s="127" t="s">
        <v>99</v>
      </c>
      <c r="AH634" s="129" t="s">
        <v>99</v>
      </c>
      <c r="AI634" s="127" t="s">
        <v>99</v>
      </c>
      <c r="AJ634" s="9" t="s">
        <v>99</v>
      </c>
      <c r="AK634" s="9" t="s">
        <v>99</v>
      </c>
      <c r="AL634" s="9">
        <v>91.8</v>
      </c>
      <c r="AM634" s="9">
        <v>182</v>
      </c>
      <c r="AN634" s="9">
        <v>101</v>
      </c>
      <c r="AO634" s="9">
        <v>107</v>
      </c>
      <c r="AP634" s="9">
        <v>28.7</v>
      </c>
      <c r="AQ634" s="9">
        <v>11</v>
      </c>
      <c r="AR634" s="9">
        <v>33.1</v>
      </c>
      <c r="AS634" s="9">
        <v>61</v>
      </c>
      <c r="AT634" s="9">
        <v>27.7</v>
      </c>
      <c r="AU634" s="9">
        <v>118</v>
      </c>
      <c r="AV634" s="9">
        <v>68</v>
      </c>
      <c r="AW634" s="9" t="s">
        <v>212</v>
      </c>
      <c r="AX634" s="9" t="s">
        <v>500</v>
      </c>
      <c r="AY634" s="9" t="s">
        <v>500</v>
      </c>
      <c r="AZ634" s="9" t="s">
        <v>500</v>
      </c>
      <c r="BA634" s="9" t="s">
        <v>707</v>
      </c>
      <c r="BB634" s="9" t="s">
        <v>500</v>
      </c>
      <c r="BC634" s="9" t="s">
        <v>500</v>
      </c>
      <c r="BD634" s="9" t="s">
        <v>500</v>
      </c>
      <c r="BE634" s="9" t="s">
        <v>110</v>
      </c>
      <c r="BF634" s="9" t="s">
        <v>5441</v>
      </c>
      <c r="BG634" s="9" t="s">
        <v>213</v>
      </c>
      <c r="BH634" s="9" t="s">
        <v>213</v>
      </c>
      <c r="BI634" s="9" t="s">
        <v>5442</v>
      </c>
      <c r="BJ634" s="9" t="s">
        <v>5442</v>
      </c>
      <c r="BK634" s="9" t="s">
        <v>5871</v>
      </c>
      <c r="BL634" s="9" t="s">
        <v>110</v>
      </c>
      <c r="BM634" s="9" t="s">
        <v>5872</v>
      </c>
      <c r="BN634" s="9" t="s">
        <v>500</v>
      </c>
      <c r="BO634" s="9" t="s">
        <v>500</v>
      </c>
      <c r="BP634" s="9" t="s">
        <v>500</v>
      </c>
      <c r="BQ634" s="9" t="s">
        <v>99</v>
      </c>
      <c r="BR634" s="9" t="s">
        <v>500</v>
      </c>
      <c r="BS634" s="9" t="s">
        <v>500</v>
      </c>
      <c r="BT634" s="9" t="s">
        <v>500</v>
      </c>
      <c r="BU634" s="9" t="s">
        <v>110</v>
      </c>
      <c r="BV634" s="9" t="s">
        <v>1469</v>
      </c>
      <c r="BW634" s="9" t="s">
        <v>500</v>
      </c>
      <c r="BX634" s="9" t="s">
        <v>500</v>
      </c>
      <c r="BY634" s="9" t="s">
        <v>351</v>
      </c>
      <c r="BZ634" s="9" t="s">
        <v>500</v>
      </c>
      <c r="CA634" s="9" t="s">
        <v>500</v>
      </c>
      <c r="CB634" s="9" t="s">
        <v>500</v>
      </c>
      <c r="CC634" s="9" t="s">
        <v>1646</v>
      </c>
      <c r="CD634" s="9" t="s">
        <v>500</v>
      </c>
      <c r="CE634" s="9" t="s">
        <v>500</v>
      </c>
      <c r="CF634" s="9" t="s">
        <v>500</v>
      </c>
      <c r="CG634" s="9" t="s">
        <v>99</v>
      </c>
      <c r="CH634" s="9" t="s">
        <v>500</v>
      </c>
      <c r="CI634" s="9" t="s">
        <v>500</v>
      </c>
      <c r="CJ634" s="9" t="s">
        <v>500</v>
      </c>
      <c r="CK634" s="9" t="s">
        <v>110</v>
      </c>
      <c r="CL634" s="9" t="s">
        <v>358</v>
      </c>
      <c r="CM634" s="9" t="s">
        <v>500</v>
      </c>
      <c r="CN634" s="9" t="s">
        <v>500</v>
      </c>
      <c r="CO634" s="9" t="s">
        <v>500</v>
      </c>
      <c r="CP634" s="9" t="s">
        <v>500</v>
      </c>
      <c r="CQ634" s="9" t="s">
        <v>500</v>
      </c>
      <c r="CR634" s="9" t="s">
        <v>500</v>
      </c>
      <c r="CS634" s="9" t="s">
        <v>1469</v>
      </c>
      <c r="CT634" s="9" t="s">
        <v>500</v>
      </c>
      <c r="CU634" s="9" t="s">
        <v>500</v>
      </c>
      <c r="CV634" s="9" t="s">
        <v>500</v>
      </c>
      <c r="CW634" s="9">
        <v>2</v>
      </c>
      <c r="CX634" s="9" t="s">
        <v>110</v>
      </c>
      <c r="CY634" s="9" t="s">
        <v>110</v>
      </c>
      <c r="CZ634" s="9">
        <v>50</v>
      </c>
      <c r="DA634" s="9">
        <v>30</v>
      </c>
      <c r="DB634" s="9">
        <v>20</v>
      </c>
      <c r="DC634" s="9">
        <v>79.900000000000006</v>
      </c>
      <c r="DD634" s="9">
        <v>0.7</v>
      </c>
      <c r="DE634" s="9">
        <v>188</v>
      </c>
      <c r="DF634" s="9">
        <v>67</v>
      </c>
      <c r="DG634" s="9">
        <f t="shared" si="9"/>
        <v>4.2927342360815972</v>
      </c>
      <c r="DH634" s="9">
        <v>13.4</v>
      </c>
      <c r="DI634" s="9">
        <v>7.77</v>
      </c>
      <c r="DJ634" s="9"/>
      <c r="DK634" s="9"/>
      <c r="DL634" s="9">
        <v>61.9</v>
      </c>
      <c r="DM634" s="9">
        <v>112.7</v>
      </c>
      <c r="DN634" s="9"/>
      <c r="DO634" s="9"/>
      <c r="DR634">
        <v>2</v>
      </c>
    </row>
    <row r="635" spans="1:126" customFormat="1" x14ac:dyDescent="0.2">
      <c r="A635" s="144" t="s">
        <v>5873</v>
      </c>
      <c r="B635" s="128">
        <v>43803</v>
      </c>
      <c r="C635" s="127" t="s">
        <v>675</v>
      </c>
      <c r="D635" s="127">
        <v>52</v>
      </c>
      <c r="E635" s="127" t="s">
        <v>100</v>
      </c>
      <c r="F635" s="128">
        <v>24686</v>
      </c>
      <c r="G635" s="127" t="s">
        <v>5874</v>
      </c>
      <c r="H635" s="127" t="s">
        <v>5875</v>
      </c>
      <c r="I635" s="127" t="s">
        <v>500</v>
      </c>
      <c r="J635" s="127" t="s">
        <v>500</v>
      </c>
      <c r="K635" s="127" t="s">
        <v>500</v>
      </c>
      <c r="L635" s="127" t="s">
        <v>500</v>
      </c>
      <c r="M635" s="127" t="s">
        <v>500</v>
      </c>
      <c r="N635" s="127" t="s">
        <v>500</v>
      </c>
      <c r="O635" s="127" t="s">
        <v>500</v>
      </c>
      <c r="P635" s="127" t="s">
        <v>500</v>
      </c>
      <c r="Q635" s="127" t="s">
        <v>500</v>
      </c>
      <c r="R635" s="127" t="s">
        <v>500</v>
      </c>
      <c r="S635" s="127" t="s">
        <v>500</v>
      </c>
      <c r="T635" s="127" t="s">
        <v>500</v>
      </c>
      <c r="U635" s="127" t="s">
        <v>500</v>
      </c>
      <c r="V635" s="127" t="s">
        <v>500</v>
      </c>
      <c r="W635" s="127" t="s">
        <v>500</v>
      </c>
      <c r="X635" s="127" t="s">
        <v>500</v>
      </c>
      <c r="Y635" s="127" t="s">
        <v>500</v>
      </c>
      <c r="Z635" s="127" t="s">
        <v>500</v>
      </c>
      <c r="AA635" s="127" t="s">
        <v>100</v>
      </c>
      <c r="AB635" s="127" t="s">
        <v>100</v>
      </c>
      <c r="AC635" s="127" t="s">
        <v>100</v>
      </c>
      <c r="AD635" s="127" t="s">
        <v>100</v>
      </c>
      <c r="AE635" s="127" t="s">
        <v>5876</v>
      </c>
      <c r="AF635" s="127" t="s">
        <v>4296</v>
      </c>
      <c r="AG635" s="127" t="s">
        <v>99</v>
      </c>
      <c r="AH635" s="129" t="s">
        <v>5877</v>
      </c>
      <c r="AI635" s="127" t="s">
        <v>99</v>
      </c>
      <c r="AJ635" s="9" t="s">
        <v>99</v>
      </c>
      <c r="AK635" s="9" t="s">
        <v>99</v>
      </c>
      <c r="AL635" s="9">
        <v>89</v>
      </c>
      <c r="AM635" s="9" t="s">
        <v>500</v>
      </c>
      <c r="AN635" s="9" t="s">
        <v>500</v>
      </c>
      <c r="AO635" s="9" t="s">
        <v>500</v>
      </c>
      <c r="AP635" s="9">
        <v>37.700000000000003</v>
      </c>
      <c r="AQ635" s="9">
        <v>21</v>
      </c>
      <c r="AR635" s="9">
        <v>28.4</v>
      </c>
      <c r="AS635" s="9">
        <v>63</v>
      </c>
      <c r="AT635" s="9">
        <v>34.799999999999997</v>
      </c>
      <c r="AU635" s="10">
        <v>142</v>
      </c>
      <c r="AV635" s="10">
        <v>102</v>
      </c>
      <c r="AW635" s="9" t="s">
        <v>350</v>
      </c>
      <c r="AX635" s="9" t="s">
        <v>1657</v>
      </c>
      <c r="AY635" s="9" t="s">
        <v>500</v>
      </c>
      <c r="AZ635" s="9" t="s">
        <v>500</v>
      </c>
      <c r="BA635" s="9" t="s">
        <v>110</v>
      </c>
      <c r="BB635" s="9" t="s">
        <v>346</v>
      </c>
      <c r="BC635" s="9" t="s">
        <v>500</v>
      </c>
      <c r="BD635" s="9" t="s">
        <v>500</v>
      </c>
      <c r="BE635" s="9" t="s">
        <v>110</v>
      </c>
      <c r="BF635" s="9" t="s">
        <v>176</v>
      </c>
      <c r="BG635" s="9" t="s">
        <v>5878</v>
      </c>
      <c r="BH635" s="9" t="s">
        <v>500</v>
      </c>
      <c r="BI635" s="9" t="s">
        <v>500</v>
      </c>
      <c r="BJ635" s="9" t="s">
        <v>500</v>
      </c>
      <c r="BK635" s="9" t="s">
        <v>500</v>
      </c>
      <c r="BL635" s="9" t="s">
        <v>500</v>
      </c>
      <c r="BM635" s="9" t="s">
        <v>5879</v>
      </c>
      <c r="BN635" s="9" t="s">
        <v>500</v>
      </c>
      <c r="BO635" s="9" t="s">
        <v>500</v>
      </c>
      <c r="BP635" s="9" t="s">
        <v>500</v>
      </c>
      <c r="BQ635" s="9" t="s">
        <v>500</v>
      </c>
      <c r="BR635" s="9" t="s">
        <v>500</v>
      </c>
      <c r="BS635" s="9" t="s">
        <v>500</v>
      </c>
      <c r="BT635" s="9" t="s">
        <v>500</v>
      </c>
      <c r="BU635" s="9" t="s">
        <v>500</v>
      </c>
      <c r="BV635" s="9" t="s">
        <v>500</v>
      </c>
      <c r="BW635" s="9" t="s">
        <v>500</v>
      </c>
      <c r="BX635" s="9" t="s">
        <v>500</v>
      </c>
      <c r="BY635" s="9" t="s">
        <v>5880</v>
      </c>
      <c r="BZ635" s="9" t="s">
        <v>500</v>
      </c>
      <c r="CA635" s="9" t="s">
        <v>500</v>
      </c>
      <c r="CB635" s="9" t="s">
        <v>500</v>
      </c>
      <c r="CC635" s="9" t="s">
        <v>500</v>
      </c>
      <c r="CD635" s="9" t="s">
        <v>500</v>
      </c>
      <c r="CE635" s="9" t="s">
        <v>500</v>
      </c>
      <c r="CF635" s="9" t="s">
        <v>500</v>
      </c>
      <c r="CG635" s="9" t="s">
        <v>500</v>
      </c>
      <c r="CH635" s="9" t="s">
        <v>500</v>
      </c>
      <c r="CI635" s="9" t="s">
        <v>500</v>
      </c>
      <c r="CJ635" s="9" t="s">
        <v>500</v>
      </c>
      <c r="CK635" s="9" t="s">
        <v>110</v>
      </c>
      <c r="CL635" s="9" t="s">
        <v>5881</v>
      </c>
      <c r="CM635" s="9" t="s">
        <v>5882</v>
      </c>
      <c r="CN635" s="9" t="s">
        <v>500</v>
      </c>
      <c r="CO635" s="9" t="s">
        <v>500</v>
      </c>
      <c r="CP635" s="9" t="s">
        <v>500</v>
      </c>
      <c r="CQ635" s="9" t="s">
        <v>500</v>
      </c>
      <c r="CR635" s="9" t="s">
        <v>500</v>
      </c>
      <c r="CS635" s="9" t="s">
        <v>350</v>
      </c>
      <c r="CT635" s="9" t="s">
        <v>5883</v>
      </c>
      <c r="CU635" s="9" t="s">
        <v>500</v>
      </c>
      <c r="CV635" s="9" t="s">
        <v>500</v>
      </c>
      <c r="CW635" s="9">
        <v>2</v>
      </c>
      <c r="CX635" s="9" t="s">
        <v>99</v>
      </c>
      <c r="CY635" s="9" t="s">
        <v>99</v>
      </c>
      <c r="CZ635" s="9" t="s">
        <v>500</v>
      </c>
      <c r="DA635" s="9" t="s">
        <v>500</v>
      </c>
      <c r="DB635" s="9" t="s">
        <v>500</v>
      </c>
      <c r="DC635" s="10">
        <v>101.1</v>
      </c>
      <c r="DD635" s="10">
        <v>1.55</v>
      </c>
      <c r="DE635" s="9">
        <v>191</v>
      </c>
      <c r="DF635" s="9">
        <v>136</v>
      </c>
      <c r="DG635" s="9">
        <f t="shared" si="9"/>
        <v>4.7643825058812386</v>
      </c>
      <c r="DH635" s="9">
        <v>27.2</v>
      </c>
      <c r="DI635" s="10">
        <v>10.3</v>
      </c>
      <c r="DJ635" s="9"/>
      <c r="DK635" s="9"/>
      <c r="DL635" s="10">
        <v>39.9</v>
      </c>
      <c r="DM635" s="9">
        <v>123.9</v>
      </c>
      <c r="DN635" s="9"/>
      <c r="DO635" s="9"/>
      <c r="DP635" s="53">
        <v>2</v>
      </c>
      <c r="DU635">
        <v>6</v>
      </c>
    </row>
    <row r="636" spans="1:126" customFormat="1" x14ac:dyDescent="0.2">
      <c r="A636" s="157" t="s">
        <v>5884</v>
      </c>
      <c r="B636" s="128">
        <v>43803</v>
      </c>
      <c r="C636" s="127" t="s">
        <v>675</v>
      </c>
      <c r="D636" s="127">
        <v>52</v>
      </c>
      <c r="E636" s="127" t="s">
        <v>100</v>
      </c>
      <c r="F636" s="128">
        <v>24790</v>
      </c>
      <c r="G636" s="127" t="s">
        <v>837</v>
      </c>
      <c r="H636" s="127" t="s">
        <v>5885</v>
      </c>
      <c r="I636" s="127" t="s">
        <v>500</v>
      </c>
      <c r="J636" s="127" t="s">
        <v>500</v>
      </c>
      <c r="K636" s="127" t="s">
        <v>500</v>
      </c>
      <c r="L636" s="127" t="s">
        <v>500</v>
      </c>
      <c r="M636" s="127" t="s">
        <v>99</v>
      </c>
      <c r="N636" s="127" t="s">
        <v>99</v>
      </c>
      <c r="O636" s="127" t="s">
        <v>99</v>
      </c>
      <c r="P636" s="127" t="s">
        <v>5886</v>
      </c>
      <c r="Q636" s="127" t="s">
        <v>5429</v>
      </c>
      <c r="R636" s="127" t="s">
        <v>99</v>
      </c>
      <c r="S636" s="127" t="s">
        <v>99</v>
      </c>
      <c r="T636" s="127" t="s">
        <v>5451</v>
      </c>
      <c r="U636" s="127" t="s">
        <v>5887</v>
      </c>
      <c r="V636" s="127" t="s">
        <v>99</v>
      </c>
      <c r="W636" s="127" t="s">
        <v>5888</v>
      </c>
      <c r="X636" s="127" t="s">
        <v>99</v>
      </c>
      <c r="Y636" s="127" t="s">
        <v>99</v>
      </c>
      <c r="Z636" s="127" t="s">
        <v>99</v>
      </c>
      <c r="AA636" s="127" t="s">
        <v>1123</v>
      </c>
      <c r="AB636" s="127" t="s">
        <v>100</v>
      </c>
      <c r="AC636" s="127" t="s">
        <v>1123</v>
      </c>
      <c r="AD636" s="127" t="s">
        <v>100</v>
      </c>
      <c r="AE636" s="127" t="s">
        <v>5532</v>
      </c>
      <c r="AF636" s="127" t="s">
        <v>99</v>
      </c>
      <c r="AG636" s="127" t="s">
        <v>246</v>
      </c>
      <c r="AH636" s="129" t="s">
        <v>99</v>
      </c>
      <c r="AI636" s="127" t="s">
        <v>99</v>
      </c>
      <c r="AJ636" s="9" t="s">
        <v>99</v>
      </c>
      <c r="AK636" s="9" t="s">
        <v>99</v>
      </c>
      <c r="AL636" s="9">
        <v>90.5</v>
      </c>
      <c r="AM636" s="9">
        <v>175</v>
      </c>
      <c r="AN636" s="10">
        <v>104</v>
      </c>
      <c r="AO636" s="9">
        <v>116</v>
      </c>
      <c r="AP636" s="9">
        <v>39.6</v>
      </c>
      <c r="AQ636" s="9">
        <v>17</v>
      </c>
      <c r="AR636" s="9">
        <v>22.4</v>
      </c>
      <c r="AS636" s="9">
        <v>80</v>
      </c>
      <c r="AT636" s="9">
        <v>29.6</v>
      </c>
      <c r="AU636" s="9">
        <v>109</v>
      </c>
      <c r="AV636" s="9">
        <v>71</v>
      </c>
      <c r="AW636" s="9" t="s">
        <v>707</v>
      </c>
      <c r="AX636" s="9" t="s">
        <v>500</v>
      </c>
      <c r="AY636" s="9" t="s">
        <v>500</v>
      </c>
      <c r="AZ636" s="9" t="s">
        <v>500</v>
      </c>
      <c r="BA636" s="9" t="s">
        <v>351</v>
      </c>
      <c r="BB636" s="9" t="s">
        <v>500</v>
      </c>
      <c r="BC636" s="9" t="s">
        <v>500</v>
      </c>
      <c r="BD636" s="9" t="s">
        <v>500</v>
      </c>
      <c r="BE636" s="9" t="s">
        <v>110</v>
      </c>
      <c r="BF636" s="9" t="s">
        <v>707</v>
      </c>
      <c r="BG636" s="9" t="s">
        <v>176</v>
      </c>
      <c r="BH636" s="9" t="s">
        <v>5513</v>
      </c>
      <c r="BI636" s="9" t="s">
        <v>707</v>
      </c>
      <c r="BJ636" s="9" t="s">
        <v>500</v>
      </c>
      <c r="BK636" s="9" t="s">
        <v>5510</v>
      </c>
      <c r="BL636" s="9" t="s">
        <v>110</v>
      </c>
      <c r="BM636" s="9" t="s">
        <v>176</v>
      </c>
      <c r="BN636" s="9" t="s">
        <v>500</v>
      </c>
      <c r="BO636" s="9" t="s">
        <v>500</v>
      </c>
      <c r="BP636" s="9" t="s">
        <v>500</v>
      </c>
      <c r="BQ636" s="9" t="s">
        <v>99</v>
      </c>
      <c r="BR636" s="9" t="s">
        <v>500</v>
      </c>
      <c r="BS636" s="9" t="s">
        <v>500</v>
      </c>
      <c r="BT636" s="9" t="s">
        <v>500</v>
      </c>
      <c r="BU636" s="9" t="s">
        <v>99</v>
      </c>
      <c r="BV636" s="9" t="s">
        <v>500</v>
      </c>
      <c r="BW636" s="9" t="s">
        <v>500</v>
      </c>
      <c r="BX636" s="9" t="s">
        <v>500</v>
      </c>
      <c r="BY636" s="9" t="s">
        <v>351</v>
      </c>
      <c r="BZ636" s="9" t="s">
        <v>500</v>
      </c>
      <c r="CA636" s="9" t="s">
        <v>500</v>
      </c>
      <c r="CB636" s="9" t="s">
        <v>500</v>
      </c>
      <c r="CC636" s="9" t="s">
        <v>500</v>
      </c>
      <c r="CD636" s="9" t="s">
        <v>500</v>
      </c>
      <c r="CE636" s="9" t="s">
        <v>500</v>
      </c>
      <c r="CF636" s="9" t="s">
        <v>500</v>
      </c>
      <c r="CG636" s="9" t="s">
        <v>500</v>
      </c>
      <c r="CH636" s="9" t="s">
        <v>500</v>
      </c>
      <c r="CI636" s="9" t="s">
        <v>500</v>
      </c>
      <c r="CJ636" s="9" t="s">
        <v>500</v>
      </c>
      <c r="CK636" s="9" t="s">
        <v>110</v>
      </c>
      <c r="CL636" s="9" t="s">
        <v>5881</v>
      </c>
      <c r="CM636" s="9" t="s">
        <v>500</v>
      </c>
      <c r="CN636" s="9" t="s">
        <v>500</v>
      </c>
      <c r="CO636" s="9" t="s">
        <v>5889</v>
      </c>
      <c r="CP636" s="9" t="s">
        <v>362</v>
      </c>
      <c r="CQ636" s="9" t="s">
        <v>500</v>
      </c>
      <c r="CR636" s="9" t="s">
        <v>500</v>
      </c>
      <c r="CS636" s="9" t="s">
        <v>99</v>
      </c>
      <c r="CT636" s="9" t="s">
        <v>500</v>
      </c>
      <c r="CU636" s="9" t="s">
        <v>500</v>
      </c>
      <c r="CV636" s="9" t="s">
        <v>500</v>
      </c>
      <c r="CW636" s="9">
        <v>2</v>
      </c>
      <c r="CX636" s="9" t="s">
        <v>99</v>
      </c>
      <c r="CY636" s="9" t="s">
        <v>99</v>
      </c>
      <c r="CZ636" s="9">
        <v>30</v>
      </c>
      <c r="DA636" s="9">
        <v>30</v>
      </c>
      <c r="DB636" s="9">
        <v>40</v>
      </c>
      <c r="DC636" s="9">
        <v>97.7</v>
      </c>
      <c r="DD636" s="9">
        <v>0.83</v>
      </c>
      <c r="DE636" s="9">
        <v>190</v>
      </c>
      <c r="DF636" s="10">
        <v>165</v>
      </c>
      <c r="DG636" s="9">
        <f t="shared" si="9"/>
        <v>4.8439235164746588</v>
      </c>
      <c r="DH636" s="9">
        <v>33</v>
      </c>
      <c r="DI636" s="9">
        <v>5.75</v>
      </c>
      <c r="DJ636" s="9"/>
      <c r="DK636" s="9"/>
      <c r="DL636" s="10">
        <v>38.5</v>
      </c>
      <c r="DM636" s="9">
        <v>118.5</v>
      </c>
      <c r="DN636" s="9"/>
      <c r="DO636" s="9"/>
      <c r="DP636" s="53">
        <v>3</v>
      </c>
      <c r="DU636">
        <v>4.3</v>
      </c>
    </row>
    <row r="637" spans="1:126" customFormat="1" x14ac:dyDescent="0.2">
      <c r="A637" s="127" t="s">
        <v>5890</v>
      </c>
      <c r="B637" s="128">
        <v>43803</v>
      </c>
      <c r="C637" s="127" t="s">
        <v>196</v>
      </c>
      <c r="D637" s="127">
        <v>53</v>
      </c>
      <c r="E637" s="127" t="s">
        <v>100</v>
      </c>
      <c r="F637" s="128">
        <v>24237</v>
      </c>
      <c r="G637" s="127" t="s">
        <v>2495</v>
      </c>
      <c r="H637" s="127" t="s">
        <v>1663</v>
      </c>
      <c r="I637" s="127" t="s">
        <v>3596</v>
      </c>
      <c r="J637" s="127" t="s">
        <v>500</v>
      </c>
      <c r="K637" s="141">
        <v>35534</v>
      </c>
      <c r="L637" s="127">
        <v>2</v>
      </c>
      <c r="M637" s="127" t="s">
        <v>99</v>
      </c>
      <c r="N637" s="127" t="s">
        <v>5891</v>
      </c>
      <c r="O637" s="127" t="s">
        <v>99</v>
      </c>
      <c r="P637" s="127" t="s">
        <v>99</v>
      </c>
      <c r="Q637" s="127" t="s">
        <v>5440</v>
      </c>
      <c r="R637" s="127" t="s">
        <v>110</v>
      </c>
      <c r="S637" s="127" t="s">
        <v>99</v>
      </c>
      <c r="T637" s="127" t="s">
        <v>99</v>
      </c>
      <c r="U637" s="127" t="s">
        <v>5892</v>
      </c>
      <c r="V637" s="127" t="s">
        <v>99</v>
      </c>
      <c r="W637" s="127" t="s">
        <v>99</v>
      </c>
      <c r="X637" s="127" t="s">
        <v>500</v>
      </c>
      <c r="Y637" s="127" t="s">
        <v>500</v>
      </c>
      <c r="Z637" s="127" t="s">
        <v>500</v>
      </c>
      <c r="AA637" s="127" t="s">
        <v>100</v>
      </c>
      <c r="AB637" s="127" t="s">
        <v>100</v>
      </c>
      <c r="AC637" s="127" t="s">
        <v>100</v>
      </c>
      <c r="AD637" s="127" t="s">
        <v>2267</v>
      </c>
      <c r="AE637" s="127" t="s">
        <v>5893</v>
      </c>
      <c r="AF637" s="127" t="s">
        <v>1127</v>
      </c>
      <c r="AG637" s="127" t="s">
        <v>99</v>
      </c>
      <c r="AH637" s="129" t="s">
        <v>343</v>
      </c>
      <c r="AI637" s="127" t="s">
        <v>99</v>
      </c>
      <c r="AJ637" s="9" t="s">
        <v>99</v>
      </c>
      <c r="AK637" s="9" t="s">
        <v>99</v>
      </c>
      <c r="AL637" s="9">
        <v>66.2</v>
      </c>
      <c r="AM637" s="9">
        <v>157</v>
      </c>
      <c r="AN637" s="9">
        <v>85</v>
      </c>
      <c r="AO637" s="9">
        <v>100</v>
      </c>
      <c r="AP637" s="9">
        <v>41.9</v>
      </c>
      <c r="AQ637" s="9">
        <v>8</v>
      </c>
      <c r="AR637" s="9">
        <v>24.1</v>
      </c>
      <c r="AS637" s="9">
        <v>58</v>
      </c>
      <c r="AT637" s="9">
        <v>26.9</v>
      </c>
      <c r="AU637" s="9">
        <v>109</v>
      </c>
      <c r="AV637" s="9">
        <v>71</v>
      </c>
      <c r="AW637" s="9" t="s">
        <v>176</v>
      </c>
      <c r="AX637" s="9" t="s">
        <v>500</v>
      </c>
      <c r="AY637" s="9" t="s">
        <v>500</v>
      </c>
      <c r="AZ637" s="9" t="s">
        <v>500</v>
      </c>
      <c r="BA637" s="9" t="s">
        <v>351</v>
      </c>
      <c r="BB637" s="9" t="s">
        <v>500</v>
      </c>
      <c r="BC637" s="9" t="s">
        <v>500</v>
      </c>
      <c r="BD637" s="9" t="s">
        <v>500</v>
      </c>
      <c r="BE637" s="9" t="s">
        <v>110</v>
      </c>
      <c r="BF637" s="9" t="s">
        <v>176</v>
      </c>
      <c r="BG637" s="9" t="s">
        <v>176</v>
      </c>
      <c r="BH637" s="9" t="s">
        <v>707</v>
      </c>
      <c r="BI637" s="9" t="s">
        <v>707</v>
      </c>
      <c r="BJ637" s="9" t="s">
        <v>176</v>
      </c>
      <c r="BK637" s="9" t="s">
        <v>1469</v>
      </c>
      <c r="BL637" s="9" t="s">
        <v>110</v>
      </c>
      <c r="BM637" s="9" t="s">
        <v>176</v>
      </c>
      <c r="BN637" s="9" t="s">
        <v>500</v>
      </c>
      <c r="BO637" s="9" t="s">
        <v>500</v>
      </c>
      <c r="BP637" s="9" t="s">
        <v>500</v>
      </c>
      <c r="BQ637" s="9" t="s">
        <v>99</v>
      </c>
      <c r="BR637" s="9" t="s">
        <v>500</v>
      </c>
      <c r="BS637" s="9" t="s">
        <v>500</v>
      </c>
      <c r="BT637" s="9" t="s">
        <v>500</v>
      </c>
      <c r="BU637" s="9" t="s">
        <v>99</v>
      </c>
      <c r="BV637" s="9" t="s">
        <v>500</v>
      </c>
      <c r="BW637" s="9" t="s">
        <v>500</v>
      </c>
      <c r="BX637" s="9" t="s">
        <v>500</v>
      </c>
      <c r="BY637" s="9" t="s">
        <v>351</v>
      </c>
      <c r="BZ637" s="9" t="s">
        <v>500</v>
      </c>
      <c r="CA637" s="9" t="s">
        <v>500</v>
      </c>
      <c r="CB637" s="9" t="s">
        <v>500</v>
      </c>
      <c r="CC637" s="9" t="s">
        <v>99</v>
      </c>
      <c r="CD637" s="9" t="s">
        <v>500</v>
      </c>
      <c r="CE637" s="9" t="s">
        <v>500</v>
      </c>
      <c r="CF637" s="9" t="s">
        <v>500</v>
      </c>
      <c r="CG637" s="9" t="s">
        <v>99</v>
      </c>
      <c r="CH637" s="9" t="s">
        <v>500</v>
      </c>
      <c r="CI637" s="9" t="s">
        <v>500</v>
      </c>
      <c r="CJ637" s="9" t="s">
        <v>500</v>
      </c>
      <c r="CK637" s="9" t="s">
        <v>110</v>
      </c>
      <c r="CL637" s="9" t="s">
        <v>5894</v>
      </c>
      <c r="CM637" s="9" t="s">
        <v>500</v>
      </c>
      <c r="CN637" s="9" t="s">
        <v>500</v>
      </c>
      <c r="CO637" s="9" t="s">
        <v>110</v>
      </c>
      <c r="CP637" s="9" t="s">
        <v>5895</v>
      </c>
      <c r="CQ637" s="9" t="s">
        <v>500</v>
      </c>
      <c r="CR637" s="9" t="s">
        <v>500</v>
      </c>
      <c r="CS637" s="9" t="s">
        <v>1469</v>
      </c>
      <c r="CT637" s="9" t="s">
        <v>500</v>
      </c>
      <c r="CU637" s="9" t="s">
        <v>500</v>
      </c>
      <c r="CV637" s="9" t="s">
        <v>500</v>
      </c>
      <c r="CW637" s="9">
        <v>5</v>
      </c>
      <c r="CX637" s="9" t="s">
        <v>110</v>
      </c>
      <c r="CY637" s="9" t="s">
        <v>110</v>
      </c>
      <c r="CZ637" s="9">
        <v>40</v>
      </c>
      <c r="DA637" s="9">
        <v>20</v>
      </c>
      <c r="DB637" s="9">
        <v>40</v>
      </c>
      <c r="DC637" s="9">
        <v>91.2</v>
      </c>
      <c r="DD637" s="9">
        <v>0.87</v>
      </c>
      <c r="DE637" s="10">
        <v>247</v>
      </c>
      <c r="DF637" s="9">
        <v>137</v>
      </c>
      <c r="DG637" s="9">
        <f t="shared" si="9"/>
        <v>4.7165179114542051</v>
      </c>
      <c r="DH637" s="9">
        <v>27.4</v>
      </c>
      <c r="DI637" s="9">
        <v>5.07</v>
      </c>
      <c r="DJ637" s="9"/>
      <c r="DK637" s="9"/>
      <c r="DL637" s="10">
        <v>47.7</v>
      </c>
      <c r="DM637" s="9">
        <v>171.9</v>
      </c>
      <c r="DN637" s="9"/>
      <c r="DO637" s="9"/>
      <c r="DR637">
        <v>3</v>
      </c>
    </row>
    <row r="638" spans="1:126" customFormat="1" x14ac:dyDescent="0.2">
      <c r="A638" s="127" t="s">
        <v>5896</v>
      </c>
      <c r="B638" s="128">
        <v>43803</v>
      </c>
      <c r="C638" s="127" t="s">
        <v>675</v>
      </c>
      <c r="D638" s="127">
        <v>50</v>
      </c>
      <c r="E638" s="127" t="s">
        <v>840</v>
      </c>
      <c r="F638" s="128">
        <v>23525</v>
      </c>
      <c r="G638" s="127" t="s">
        <v>837</v>
      </c>
      <c r="H638" s="127" t="s">
        <v>5897</v>
      </c>
      <c r="I638" s="127" t="s">
        <v>500</v>
      </c>
      <c r="J638" s="127" t="s">
        <v>500</v>
      </c>
      <c r="K638" s="127" t="s">
        <v>500</v>
      </c>
      <c r="L638" s="127" t="s">
        <v>500</v>
      </c>
      <c r="M638" s="127" t="s">
        <v>99</v>
      </c>
      <c r="N638" s="127" t="s">
        <v>99</v>
      </c>
      <c r="O638" s="127" t="s">
        <v>5898</v>
      </c>
      <c r="P638" s="127" t="s">
        <v>99</v>
      </c>
      <c r="Q638" s="127" t="s">
        <v>5899</v>
      </c>
      <c r="R638" s="127" t="s">
        <v>110</v>
      </c>
      <c r="S638" s="127" t="s">
        <v>99</v>
      </c>
      <c r="T638" s="127" t="s">
        <v>99</v>
      </c>
      <c r="U638" s="127" t="s">
        <v>110</v>
      </c>
      <c r="V638" s="127" t="s">
        <v>99</v>
      </c>
      <c r="W638" s="127" t="s">
        <v>99</v>
      </c>
      <c r="X638" s="127" t="s">
        <v>500</v>
      </c>
      <c r="Y638" s="127" t="s">
        <v>99</v>
      </c>
      <c r="Z638" s="127" t="s">
        <v>99</v>
      </c>
      <c r="AA638" s="127" t="s">
        <v>840</v>
      </c>
      <c r="AB638" s="127" t="s">
        <v>840</v>
      </c>
      <c r="AC638" s="127" t="s">
        <v>840</v>
      </c>
      <c r="AD638" s="127" t="s">
        <v>840</v>
      </c>
      <c r="AE638" s="127" t="s">
        <v>99</v>
      </c>
      <c r="AF638" s="127" t="s">
        <v>110</v>
      </c>
      <c r="AG638" s="127" t="s">
        <v>5900</v>
      </c>
      <c r="AH638" s="129" t="s">
        <v>99</v>
      </c>
      <c r="AI638" s="127" t="s">
        <v>99</v>
      </c>
      <c r="AJ638" s="9" t="s">
        <v>99</v>
      </c>
      <c r="AK638" s="9" t="s">
        <v>99</v>
      </c>
      <c r="AL638" s="9">
        <v>77</v>
      </c>
      <c r="AM638" s="9">
        <v>165</v>
      </c>
      <c r="AN638" s="9">
        <v>94</v>
      </c>
      <c r="AO638" s="9">
        <v>105</v>
      </c>
      <c r="AP638" s="9">
        <v>31.5</v>
      </c>
      <c r="AQ638" s="9">
        <v>14</v>
      </c>
      <c r="AR638" s="9">
        <v>31.1</v>
      </c>
      <c r="AS638" s="9">
        <v>52</v>
      </c>
      <c r="AT638" s="9">
        <v>28.3</v>
      </c>
      <c r="AU638" s="9">
        <v>136</v>
      </c>
      <c r="AV638" s="9">
        <v>85</v>
      </c>
      <c r="AW638" s="9" t="s">
        <v>110</v>
      </c>
      <c r="AX638" s="9" t="s">
        <v>679</v>
      </c>
      <c r="AY638" s="9" t="s">
        <v>3248</v>
      </c>
      <c r="AZ638" s="9" t="s">
        <v>500</v>
      </c>
      <c r="BA638" s="9" t="s">
        <v>350</v>
      </c>
      <c r="BB638" s="9" t="s">
        <v>364</v>
      </c>
      <c r="BC638" s="9" t="s">
        <v>500</v>
      </c>
      <c r="BD638" s="9" t="s">
        <v>500</v>
      </c>
      <c r="BE638" s="9" t="s">
        <v>110</v>
      </c>
      <c r="BF638" s="9" t="s">
        <v>176</v>
      </c>
      <c r="BG638" s="9" t="s">
        <v>350</v>
      </c>
      <c r="BH638" s="9" t="s">
        <v>350</v>
      </c>
      <c r="BI638" s="9" t="s">
        <v>350</v>
      </c>
      <c r="BJ638" s="9" t="s">
        <v>176</v>
      </c>
      <c r="BK638" s="9" t="s">
        <v>350</v>
      </c>
      <c r="BL638" s="9" t="s">
        <v>110</v>
      </c>
      <c r="BM638" s="9" t="s">
        <v>176</v>
      </c>
      <c r="BN638" s="9" t="s">
        <v>500</v>
      </c>
      <c r="BO638" s="9" t="s">
        <v>500</v>
      </c>
      <c r="BP638" s="9" t="s">
        <v>500</v>
      </c>
      <c r="BQ638" s="9" t="s">
        <v>500</v>
      </c>
      <c r="BR638" s="9" t="s">
        <v>500</v>
      </c>
      <c r="BS638" s="9" t="s">
        <v>500</v>
      </c>
      <c r="BT638" s="9" t="s">
        <v>500</v>
      </c>
      <c r="BU638" s="9" t="s">
        <v>500</v>
      </c>
      <c r="BV638" s="9" t="s">
        <v>500</v>
      </c>
      <c r="BW638" s="9" t="s">
        <v>500</v>
      </c>
      <c r="BX638" s="9" t="s">
        <v>500</v>
      </c>
      <c r="BY638" s="9" t="s">
        <v>350</v>
      </c>
      <c r="BZ638" s="9" t="s">
        <v>709</v>
      </c>
      <c r="CA638" s="9" t="s">
        <v>500</v>
      </c>
      <c r="CB638" s="9" t="s">
        <v>500</v>
      </c>
      <c r="CC638" s="9" t="s">
        <v>99</v>
      </c>
      <c r="CD638" s="9" t="s">
        <v>500</v>
      </c>
      <c r="CE638" s="9" t="s">
        <v>500</v>
      </c>
      <c r="CF638" s="9" t="s">
        <v>500</v>
      </c>
      <c r="CG638" s="9" t="s">
        <v>500</v>
      </c>
      <c r="CH638" s="9" t="s">
        <v>500</v>
      </c>
      <c r="CI638" s="9" t="s">
        <v>500</v>
      </c>
      <c r="CJ638" s="9" t="s">
        <v>500</v>
      </c>
      <c r="CK638" s="9" t="s">
        <v>500</v>
      </c>
      <c r="CL638" s="9" t="s">
        <v>500</v>
      </c>
      <c r="CM638" s="9" t="s">
        <v>500</v>
      </c>
      <c r="CN638" s="9" t="s">
        <v>500</v>
      </c>
      <c r="CO638" s="9" t="s">
        <v>500</v>
      </c>
      <c r="CP638" s="9" t="s">
        <v>500</v>
      </c>
      <c r="CQ638" s="9" t="s">
        <v>500</v>
      </c>
      <c r="CR638" s="9" t="s">
        <v>500</v>
      </c>
      <c r="CS638" s="9" t="s">
        <v>500</v>
      </c>
      <c r="CT638" s="9" t="s">
        <v>500</v>
      </c>
      <c r="CU638" s="9" t="s">
        <v>500</v>
      </c>
      <c r="CV638" s="9" t="s">
        <v>500</v>
      </c>
      <c r="CW638" s="9" t="s">
        <v>500</v>
      </c>
      <c r="CX638" s="9" t="s">
        <v>500</v>
      </c>
      <c r="CY638" s="9" t="s">
        <v>500</v>
      </c>
      <c r="CZ638" s="9" t="s">
        <v>500</v>
      </c>
      <c r="DA638" s="9" t="s">
        <v>500</v>
      </c>
      <c r="DB638" s="9" t="s">
        <v>500</v>
      </c>
      <c r="DC638" s="9">
        <v>88.9</v>
      </c>
      <c r="DD638" s="9">
        <v>0.95</v>
      </c>
      <c r="DE638" s="10">
        <v>221</v>
      </c>
      <c r="DF638" s="9">
        <v>141</v>
      </c>
      <c r="DG638" s="9">
        <f t="shared" si="9"/>
        <v>4.718136016449014</v>
      </c>
      <c r="DH638" s="9">
        <v>28.2</v>
      </c>
      <c r="DI638" s="10">
        <v>7.28</v>
      </c>
      <c r="DJ638" s="9"/>
      <c r="DK638" s="9"/>
      <c r="DL638" s="9">
        <v>53.4</v>
      </c>
      <c r="DM638" s="9">
        <v>139.4</v>
      </c>
      <c r="DN638" s="9"/>
      <c r="DO638" s="9"/>
      <c r="DR638">
        <v>3</v>
      </c>
      <c r="DU638">
        <v>3.3</v>
      </c>
    </row>
    <row r="639" spans="1:126" customFormat="1" x14ac:dyDescent="0.2">
      <c r="A639" s="158" t="s">
        <v>5901</v>
      </c>
      <c r="B639" s="69">
        <v>43803</v>
      </c>
      <c r="C639" s="136" t="s">
        <v>675</v>
      </c>
      <c r="D639" s="136">
        <v>42</v>
      </c>
      <c r="E639" s="136" t="s">
        <v>100</v>
      </c>
      <c r="F639" s="69">
        <v>28168</v>
      </c>
      <c r="G639" s="136" t="s">
        <v>5301</v>
      </c>
      <c r="H639" s="136" t="s">
        <v>1727</v>
      </c>
      <c r="I639" s="136" t="s">
        <v>500</v>
      </c>
      <c r="J639" s="136" t="s">
        <v>500</v>
      </c>
      <c r="K639" s="137" t="s">
        <v>500</v>
      </c>
      <c r="L639" s="138" t="s">
        <v>500</v>
      </c>
      <c r="M639" s="136" t="s">
        <v>99</v>
      </c>
      <c r="N639" s="136" t="s">
        <v>99</v>
      </c>
      <c r="O639" s="136" t="s">
        <v>99</v>
      </c>
      <c r="P639" s="136" t="s">
        <v>5902</v>
      </c>
      <c r="Q639" s="136" t="s">
        <v>5903</v>
      </c>
      <c r="R639" s="136" t="s">
        <v>99</v>
      </c>
      <c r="S639" s="136" t="s">
        <v>99</v>
      </c>
      <c r="T639" s="136" t="s">
        <v>99</v>
      </c>
      <c r="U639" s="136" t="s">
        <v>99</v>
      </c>
      <c r="V639" s="136" t="s">
        <v>99</v>
      </c>
      <c r="W639" s="136" t="s">
        <v>99</v>
      </c>
      <c r="X639" s="136" t="s">
        <v>99</v>
      </c>
      <c r="Y639" s="136" t="s">
        <v>99</v>
      </c>
      <c r="Z639" s="136" t="s">
        <v>99</v>
      </c>
      <c r="AA639" s="136" t="s">
        <v>500</v>
      </c>
      <c r="AB639" s="136" t="s">
        <v>500</v>
      </c>
      <c r="AC639" s="136" t="s">
        <v>100</v>
      </c>
      <c r="AD639" s="136" t="s">
        <v>100</v>
      </c>
      <c r="AE639" s="136" t="s">
        <v>99</v>
      </c>
      <c r="AF639" s="136" t="s">
        <v>99</v>
      </c>
      <c r="AG639" s="136" t="s">
        <v>99</v>
      </c>
      <c r="AH639" s="137" t="s">
        <v>110</v>
      </c>
      <c r="AI639" s="136" t="s">
        <v>99</v>
      </c>
      <c r="AJ639" s="53" t="s">
        <v>99</v>
      </c>
      <c r="AK639" s="53" t="s">
        <v>99</v>
      </c>
      <c r="AL639" s="53">
        <v>95.4</v>
      </c>
      <c r="AM639" s="53">
        <v>173</v>
      </c>
      <c r="AN639" s="53">
        <v>102</v>
      </c>
      <c r="AO639" s="53">
        <v>110</v>
      </c>
      <c r="AP639" s="53">
        <v>32.200000000000003</v>
      </c>
      <c r="AQ639" s="53">
        <v>15</v>
      </c>
      <c r="AR639" s="53">
        <v>31.7</v>
      </c>
      <c r="AS639" s="53">
        <v>64</v>
      </c>
      <c r="AT639" s="53">
        <v>31.9</v>
      </c>
      <c r="AU639" s="53">
        <v>135</v>
      </c>
      <c r="AV639" s="53">
        <v>92</v>
      </c>
      <c r="AW639" s="53" t="s">
        <v>176</v>
      </c>
      <c r="AX639" s="53" t="s">
        <v>574</v>
      </c>
      <c r="AY639" s="53" t="s">
        <v>500</v>
      </c>
      <c r="AZ639" s="53" t="s">
        <v>500</v>
      </c>
      <c r="BA639" s="53" t="s">
        <v>351</v>
      </c>
      <c r="BB639" s="53" t="s">
        <v>2541</v>
      </c>
      <c r="BC639" s="53" t="s">
        <v>500</v>
      </c>
      <c r="BD639" s="53" t="s">
        <v>500</v>
      </c>
      <c r="BE639" s="53" t="s">
        <v>110</v>
      </c>
      <c r="BF639" s="53" t="s">
        <v>350</v>
      </c>
      <c r="BG639" s="53" t="s">
        <v>350</v>
      </c>
      <c r="BH639" s="53" t="s">
        <v>99</v>
      </c>
      <c r="BI639" s="53" t="s">
        <v>5904</v>
      </c>
      <c r="BJ639" s="53" t="s">
        <v>99</v>
      </c>
      <c r="BK639" s="53" t="s">
        <v>5904</v>
      </c>
      <c r="BL639" s="53" t="s">
        <v>110</v>
      </c>
      <c r="BM639" s="53" t="s">
        <v>176</v>
      </c>
      <c r="BN639" s="53" t="s">
        <v>500</v>
      </c>
      <c r="BO639" s="53" t="s">
        <v>500</v>
      </c>
      <c r="BP639" s="53" t="s">
        <v>500</v>
      </c>
      <c r="BQ639" s="53" t="s">
        <v>99</v>
      </c>
      <c r="BR639" s="53" t="s">
        <v>500</v>
      </c>
      <c r="BS639" s="53" t="s">
        <v>500</v>
      </c>
      <c r="BT639" s="53" t="s">
        <v>500</v>
      </c>
      <c r="BU639" s="53" t="s">
        <v>99</v>
      </c>
      <c r="BV639" s="53" t="s">
        <v>500</v>
      </c>
      <c r="BW639" s="53" t="s">
        <v>500</v>
      </c>
      <c r="BX639" s="53" t="s">
        <v>500</v>
      </c>
      <c r="BY639" s="53" t="s">
        <v>350</v>
      </c>
      <c r="BZ639" s="53" t="s">
        <v>5904</v>
      </c>
      <c r="CA639" s="53" t="s">
        <v>500</v>
      </c>
      <c r="CB639" s="53" t="s">
        <v>500</v>
      </c>
      <c r="CC639" s="53" t="s">
        <v>99</v>
      </c>
      <c r="CD639" s="53" t="s">
        <v>500</v>
      </c>
      <c r="CE639" s="53" t="s">
        <v>500</v>
      </c>
      <c r="CF639" s="53" t="s">
        <v>500</v>
      </c>
      <c r="CG639" s="53" t="s">
        <v>99</v>
      </c>
      <c r="CH639" s="53" t="s">
        <v>500</v>
      </c>
      <c r="CI639" s="53" t="s">
        <v>500</v>
      </c>
      <c r="CJ639" s="53" t="s">
        <v>500</v>
      </c>
      <c r="CK639" s="53" t="s">
        <v>500</v>
      </c>
      <c r="CL639" s="53" t="s">
        <v>500</v>
      </c>
      <c r="CM639" s="53" t="s">
        <v>500</v>
      </c>
      <c r="CN639" s="53" t="s">
        <v>500</v>
      </c>
      <c r="CO639" s="53" t="s">
        <v>500</v>
      </c>
      <c r="CP639" s="53" t="s">
        <v>500</v>
      </c>
      <c r="CQ639" s="53" t="s">
        <v>500</v>
      </c>
      <c r="CR639" s="53" t="s">
        <v>500</v>
      </c>
      <c r="CS639" s="53" t="s">
        <v>350</v>
      </c>
      <c r="CT639" s="53" t="s">
        <v>5904</v>
      </c>
      <c r="CU639" s="53" t="s">
        <v>500</v>
      </c>
      <c r="CV639" s="53" t="s">
        <v>500</v>
      </c>
      <c r="CW639" s="53" t="s">
        <v>500</v>
      </c>
      <c r="CX639" s="53" t="s">
        <v>500</v>
      </c>
      <c r="CY639" s="53" t="s">
        <v>500</v>
      </c>
      <c r="CZ639" s="53" t="s">
        <v>500</v>
      </c>
      <c r="DA639" s="53" t="s">
        <v>500</v>
      </c>
      <c r="DB639" s="53" t="s">
        <v>500</v>
      </c>
      <c r="DC639" s="139">
        <v>117.2</v>
      </c>
      <c r="DD639" s="53">
        <v>0.95</v>
      </c>
      <c r="DE639" s="139">
        <v>216</v>
      </c>
      <c r="DF639" s="139">
        <v>210</v>
      </c>
      <c r="DG639" s="9">
        <f t="shared" si="9"/>
        <v>5.0554947039301901</v>
      </c>
      <c r="DH639" s="53">
        <v>42</v>
      </c>
      <c r="DI639" s="53">
        <v>5.59</v>
      </c>
      <c r="DL639" s="61">
        <v>47.4</v>
      </c>
      <c r="DM639" s="53">
        <v>126.6</v>
      </c>
      <c r="DP639" s="53">
        <v>1</v>
      </c>
      <c r="DR639">
        <v>2</v>
      </c>
      <c r="DU639">
        <v>5.3</v>
      </c>
    </row>
    <row r="640" spans="1:126" customFormat="1" x14ac:dyDescent="0.2">
      <c r="A640" s="127" t="s">
        <v>5905</v>
      </c>
      <c r="B640" s="128">
        <v>43803</v>
      </c>
      <c r="C640" s="127" t="s">
        <v>196</v>
      </c>
      <c r="D640" s="127">
        <v>36</v>
      </c>
      <c r="E640" s="127" t="s">
        <v>100</v>
      </c>
      <c r="F640" s="128">
        <v>30641</v>
      </c>
      <c r="G640" s="127" t="s">
        <v>813</v>
      </c>
      <c r="H640" s="127" t="s">
        <v>5906</v>
      </c>
      <c r="I640" s="127" t="s">
        <v>2020</v>
      </c>
      <c r="J640" s="127" t="s">
        <v>500</v>
      </c>
      <c r="K640" s="156">
        <v>42644</v>
      </c>
      <c r="L640" s="127">
        <v>1</v>
      </c>
      <c r="M640" s="127" t="s">
        <v>5907</v>
      </c>
      <c r="N640" s="127" t="s">
        <v>99</v>
      </c>
      <c r="O640" s="127" t="s">
        <v>99</v>
      </c>
      <c r="P640" s="127" t="s">
        <v>5825</v>
      </c>
      <c r="Q640" s="127" t="s">
        <v>5908</v>
      </c>
      <c r="R640" s="127" t="s">
        <v>110</v>
      </c>
      <c r="S640" s="127" t="s">
        <v>99</v>
      </c>
      <c r="T640" s="127" t="s">
        <v>99</v>
      </c>
      <c r="U640" s="127" t="s">
        <v>5909</v>
      </c>
      <c r="V640" s="127" t="s">
        <v>5910</v>
      </c>
      <c r="W640" s="127" t="s">
        <v>5911</v>
      </c>
      <c r="X640" s="127" t="s">
        <v>99</v>
      </c>
      <c r="Y640" s="127" t="s">
        <v>99</v>
      </c>
      <c r="Z640" s="127" t="s">
        <v>99</v>
      </c>
      <c r="AA640" s="127" t="s">
        <v>100</v>
      </c>
      <c r="AB640" s="127" t="s">
        <v>2234</v>
      </c>
      <c r="AC640" s="127" t="s">
        <v>100</v>
      </c>
      <c r="AD640" s="127" t="s">
        <v>2234</v>
      </c>
      <c r="AE640" s="127" t="s">
        <v>110</v>
      </c>
      <c r="AF640" s="127" t="s">
        <v>99</v>
      </c>
      <c r="AG640" s="127" t="s">
        <v>99</v>
      </c>
      <c r="AH640" s="129" t="s">
        <v>99</v>
      </c>
      <c r="AI640" s="127" t="s">
        <v>99</v>
      </c>
      <c r="AJ640" s="9" t="s">
        <v>99</v>
      </c>
      <c r="AK640" s="9" t="s">
        <v>99</v>
      </c>
      <c r="AL640" s="9">
        <v>71.8</v>
      </c>
      <c r="AM640" s="9">
        <v>158</v>
      </c>
      <c r="AN640" s="9">
        <v>95</v>
      </c>
      <c r="AO640" s="9">
        <v>108</v>
      </c>
      <c r="AP640" s="9">
        <v>47.2</v>
      </c>
      <c r="AQ640" s="9">
        <v>8</v>
      </c>
      <c r="AR640" s="9">
        <v>21.2</v>
      </c>
      <c r="AS640" s="9">
        <v>53</v>
      </c>
      <c r="AT640" s="9">
        <v>28.8</v>
      </c>
      <c r="AU640" s="9">
        <v>126</v>
      </c>
      <c r="AV640" s="9">
        <v>82</v>
      </c>
      <c r="AW640" s="9" t="s">
        <v>110</v>
      </c>
      <c r="AX640" s="9" t="s">
        <v>679</v>
      </c>
      <c r="AY640" s="9" t="s">
        <v>665</v>
      </c>
      <c r="AZ640" s="9" t="s">
        <v>500</v>
      </c>
      <c r="BA640" s="9" t="s">
        <v>110</v>
      </c>
      <c r="BB640" s="9" t="s">
        <v>3276</v>
      </c>
      <c r="BC640" s="9" t="s">
        <v>346</v>
      </c>
      <c r="BD640" s="9" t="s">
        <v>500</v>
      </c>
      <c r="BE640" s="9" t="s">
        <v>110</v>
      </c>
      <c r="BF640" s="9" t="s">
        <v>176</v>
      </c>
      <c r="BG640" s="9" t="s">
        <v>176</v>
      </c>
      <c r="BH640" s="9" t="s">
        <v>500</v>
      </c>
      <c r="BI640" s="9" t="s">
        <v>176</v>
      </c>
      <c r="BJ640" s="9" t="s">
        <v>176</v>
      </c>
      <c r="BK640" s="9" t="s">
        <v>350</v>
      </c>
      <c r="BL640" s="9" t="s">
        <v>110</v>
      </c>
      <c r="BM640" s="9" t="s">
        <v>176</v>
      </c>
      <c r="BN640" s="9" t="s">
        <v>179</v>
      </c>
      <c r="BO640" s="9" t="s">
        <v>180</v>
      </c>
      <c r="BP640" s="9" t="s">
        <v>125</v>
      </c>
      <c r="BQ640" s="9" t="s">
        <v>99</v>
      </c>
      <c r="BR640" s="9" t="s">
        <v>500</v>
      </c>
      <c r="BS640" s="9" t="s">
        <v>500</v>
      </c>
      <c r="BT640" s="9" t="s">
        <v>500</v>
      </c>
      <c r="BU640" s="9" t="s">
        <v>350</v>
      </c>
      <c r="BV640" s="9" t="s">
        <v>500</v>
      </c>
      <c r="BW640" s="9" t="s">
        <v>500</v>
      </c>
      <c r="BX640" s="9" t="s">
        <v>500</v>
      </c>
      <c r="BY640" s="9" t="s">
        <v>351</v>
      </c>
      <c r="BZ640" s="9" t="s">
        <v>183</v>
      </c>
      <c r="CA640" s="9" t="s">
        <v>1137</v>
      </c>
      <c r="CB640" s="9" t="s">
        <v>182</v>
      </c>
      <c r="CC640" s="9" t="s">
        <v>99</v>
      </c>
      <c r="CD640" s="9" t="s">
        <v>500</v>
      </c>
      <c r="CE640" s="9" t="s">
        <v>500</v>
      </c>
      <c r="CF640" s="9" t="s">
        <v>500</v>
      </c>
      <c r="CG640" s="9" t="s">
        <v>99</v>
      </c>
      <c r="CH640" s="9" t="s">
        <v>500</v>
      </c>
      <c r="CI640" s="9" t="s">
        <v>500</v>
      </c>
      <c r="CJ640" s="9" t="s">
        <v>500</v>
      </c>
      <c r="CK640" s="9" t="s">
        <v>500</v>
      </c>
      <c r="CL640" s="9" t="s">
        <v>500</v>
      </c>
      <c r="CM640" s="9" t="s">
        <v>500</v>
      </c>
      <c r="CN640" s="9" t="s">
        <v>500</v>
      </c>
      <c r="CO640" s="9" t="s">
        <v>110</v>
      </c>
      <c r="CP640" s="9" t="s">
        <v>890</v>
      </c>
      <c r="CQ640" s="9" t="s">
        <v>2892</v>
      </c>
      <c r="CR640" s="9" t="s">
        <v>500</v>
      </c>
      <c r="CS640" s="9" t="s">
        <v>176</v>
      </c>
      <c r="CT640" s="9" t="s">
        <v>1729</v>
      </c>
      <c r="CU640" s="9" t="s">
        <v>500</v>
      </c>
      <c r="CV640" s="9" t="s">
        <v>500</v>
      </c>
      <c r="CW640" s="9">
        <v>3</v>
      </c>
      <c r="CX640" s="160">
        <v>0.39583333333333331</v>
      </c>
      <c r="CY640" s="9" t="s">
        <v>110</v>
      </c>
      <c r="CZ640" s="9">
        <v>30</v>
      </c>
      <c r="DA640" s="9">
        <v>30</v>
      </c>
      <c r="DB640" s="9">
        <v>30</v>
      </c>
      <c r="DC640">
        <v>87.6</v>
      </c>
      <c r="DD640">
        <v>0.77</v>
      </c>
      <c r="DE640">
        <v>236</v>
      </c>
      <c r="DF640">
        <v>291</v>
      </c>
      <c r="DG640" s="9">
        <f t="shared" si="9"/>
        <v>5.0730521325569189</v>
      </c>
      <c r="DH640">
        <v>58.2</v>
      </c>
      <c r="DI640">
        <v>5.37</v>
      </c>
      <c r="DL640">
        <v>61.1</v>
      </c>
      <c r="DM640">
        <v>116.7</v>
      </c>
      <c r="DN640" s="9"/>
      <c r="DO640" s="9"/>
      <c r="DR640">
        <v>2</v>
      </c>
    </row>
    <row r="641" spans="1:125" x14ac:dyDescent="0.2">
      <c r="A641" s="9" t="s">
        <v>5912</v>
      </c>
      <c r="DG641" s="9" t="e">
        <f t="shared" si="9"/>
        <v>#NUM!</v>
      </c>
      <c r="DR641" s="9">
        <v>2</v>
      </c>
    </row>
    <row r="642" spans="1:125" x14ac:dyDescent="0.2">
      <c r="A642" s="9" t="s">
        <v>5913</v>
      </c>
      <c r="DG642" s="9" t="e">
        <f t="shared" si="9"/>
        <v>#NUM!</v>
      </c>
    </row>
    <row r="643" spans="1:125" x14ac:dyDescent="0.2">
      <c r="A643" s="9" t="s">
        <v>5914</v>
      </c>
      <c r="DG643" s="9" t="e">
        <f t="shared" ref="DG643:DG706" si="10">LN(DF643*DC643)/2</f>
        <v>#NUM!</v>
      </c>
    </row>
    <row r="644" spans="1:125" x14ac:dyDescent="0.2">
      <c r="A644" s="9" t="s">
        <v>5915</v>
      </c>
      <c r="DG644" s="9" t="e">
        <f t="shared" si="10"/>
        <v>#NUM!</v>
      </c>
    </row>
    <row r="645" spans="1:125" x14ac:dyDescent="0.2">
      <c r="A645" s="9" t="s">
        <v>5916</v>
      </c>
      <c r="DG645" s="9" t="e">
        <f t="shared" si="10"/>
        <v>#NUM!</v>
      </c>
    </row>
    <row r="646" spans="1:125" x14ac:dyDescent="0.2">
      <c r="A646" s="9" t="s">
        <v>5917</v>
      </c>
      <c r="DG646" s="9" t="e">
        <f t="shared" si="10"/>
        <v>#NUM!</v>
      </c>
      <c r="DP646" s="11">
        <v>3</v>
      </c>
      <c r="DR646" s="9">
        <v>2</v>
      </c>
    </row>
    <row r="647" spans="1:125" x14ac:dyDescent="0.2">
      <c r="A647" s="9" t="s">
        <v>5919</v>
      </c>
      <c r="DG647" s="9" t="e">
        <f t="shared" si="10"/>
        <v>#NUM!</v>
      </c>
    </row>
    <row r="648" spans="1:125" x14ac:dyDescent="0.2">
      <c r="A648" s="9" t="s">
        <v>5920</v>
      </c>
      <c r="DG648" s="9" t="e">
        <f t="shared" si="10"/>
        <v>#NUM!</v>
      </c>
    </row>
    <row r="649" spans="1:125" x14ac:dyDescent="0.2">
      <c r="A649" s="9" t="s">
        <v>5921</v>
      </c>
      <c r="DG649" s="9" t="e">
        <f t="shared" si="10"/>
        <v>#NUM!</v>
      </c>
    </row>
    <row r="650" spans="1:125" x14ac:dyDescent="0.2">
      <c r="A650" s="9" t="s">
        <v>5922</v>
      </c>
      <c r="DG650" s="9" t="e">
        <f t="shared" si="10"/>
        <v>#NUM!</v>
      </c>
    </row>
    <row r="651" spans="1:125" x14ac:dyDescent="0.2">
      <c r="A651" s="9" t="s">
        <v>5923</v>
      </c>
      <c r="DG651" s="9" t="e">
        <f t="shared" si="10"/>
        <v>#NUM!</v>
      </c>
    </row>
    <row r="652" spans="1:125" customFormat="1" x14ac:dyDescent="0.2">
      <c r="A652" s="127" t="s">
        <v>5924</v>
      </c>
      <c r="B652" s="128">
        <v>43803</v>
      </c>
      <c r="C652" s="127" t="s">
        <v>196</v>
      </c>
      <c r="D652" s="127">
        <v>46</v>
      </c>
      <c r="E652" s="127" t="s">
        <v>100</v>
      </c>
      <c r="F652" s="128">
        <v>26967</v>
      </c>
      <c r="G652" s="127" t="s">
        <v>5925</v>
      </c>
      <c r="H652" s="127" t="s">
        <v>5875</v>
      </c>
      <c r="I652" s="127" t="s">
        <v>500</v>
      </c>
      <c r="J652" s="127" t="s">
        <v>500</v>
      </c>
      <c r="K652" s="127">
        <v>1995</v>
      </c>
      <c r="L652" s="127">
        <v>2</v>
      </c>
      <c r="M652" s="127" t="s">
        <v>99</v>
      </c>
      <c r="N652" s="127" t="s">
        <v>99</v>
      </c>
      <c r="O652" s="127" t="s">
        <v>99</v>
      </c>
      <c r="P652" s="127" t="s">
        <v>99</v>
      </c>
      <c r="Q652" s="127" t="s">
        <v>99</v>
      </c>
      <c r="R652" s="127" t="s">
        <v>110</v>
      </c>
      <c r="S652" s="127" t="s">
        <v>99</v>
      </c>
      <c r="T652" s="127" t="s">
        <v>99</v>
      </c>
      <c r="U652" s="127" t="s">
        <v>5926</v>
      </c>
      <c r="V652" s="127" t="s">
        <v>99</v>
      </c>
      <c r="W652" s="127" t="s">
        <v>99</v>
      </c>
      <c r="X652" s="127" t="s">
        <v>99</v>
      </c>
      <c r="Y652" s="127" t="s">
        <v>99</v>
      </c>
      <c r="Z652" s="127" t="s">
        <v>99</v>
      </c>
      <c r="AA652" s="127" t="s">
        <v>100</v>
      </c>
      <c r="AB652" s="127" t="s">
        <v>100</v>
      </c>
      <c r="AC652" s="127" t="s">
        <v>100</v>
      </c>
      <c r="AD652" s="127" t="s">
        <v>100</v>
      </c>
      <c r="AE652" s="127" t="s">
        <v>5927</v>
      </c>
      <c r="AF652" s="127" t="s">
        <v>1127</v>
      </c>
      <c r="AG652" s="127" t="s">
        <v>5928</v>
      </c>
      <c r="AH652" s="129" t="s">
        <v>5929</v>
      </c>
      <c r="AI652" s="127" t="s">
        <v>99</v>
      </c>
      <c r="AJ652" s="9" t="s">
        <v>99</v>
      </c>
      <c r="AK652" s="9" t="s">
        <v>99</v>
      </c>
      <c r="AL652" s="9">
        <v>80.5</v>
      </c>
      <c r="AM652" s="9">
        <v>162</v>
      </c>
      <c r="AN652" s="10">
        <v>94</v>
      </c>
      <c r="AO652" s="9">
        <v>115</v>
      </c>
      <c r="AP652" s="9">
        <v>50.6</v>
      </c>
      <c r="AQ652" s="9">
        <v>10</v>
      </c>
      <c r="AR652" s="9">
        <v>18.399999999999999</v>
      </c>
      <c r="AS652" s="9">
        <v>60</v>
      </c>
      <c r="AT652" s="9">
        <v>30.7</v>
      </c>
      <c r="AU652" s="9">
        <v>116</v>
      </c>
      <c r="AV652" s="9">
        <v>82</v>
      </c>
      <c r="AW652" s="9" t="s">
        <v>110</v>
      </c>
      <c r="AX652" s="9" t="s">
        <v>1657</v>
      </c>
      <c r="AY652" s="9" t="s">
        <v>500</v>
      </c>
      <c r="AZ652" s="9" t="s">
        <v>500</v>
      </c>
      <c r="BA652" s="9" t="s">
        <v>500</v>
      </c>
      <c r="BB652" s="9" t="s">
        <v>500</v>
      </c>
      <c r="BC652" s="9" t="s">
        <v>500</v>
      </c>
      <c r="BD652" s="9" t="s">
        <v>500</v>
      </c>
      <c r="BE652" s="9" t="s">
        <v>110</v>
      </c>
      <c r="BF652" s="9" t="s">
        <v>5930</v>
      </c>
      <c r="BG652" s="9" t="s">
        <v>5931</v>
      </c>
      <c r="BH652" s="9" t="s">
        <v>5931</v>
      </c>
      <c r="BI652" s="9" t="s">
        <v>5932</v>
      </c>
      <c r="BJ652" s="9" t="s">
        <v>5933</v>
      </c>
      <c r="BK652" s="9" t="s">
        <v>5934</v>
      </c>
      <c r="BL652" s="9" t="s">
        <v>110</v>
      </c>
      <c r="BM652" s="9" t="s">
        <v>176</v>
      </c>
      <c r="BN652" s="9" t="s">
        <v>5935</v>
      </c>
      <c r="BO652" s="9" t="s">
        <v>500</v>
      </c>
      <c r="BP652" s="9" t="s">
        <v>500</v>
      </c>
      <c r="BQ652" s="9" t="s">
        <v>500</v>
      </c>
      <c r="BR652" s="9" t="s">
        <v>500</v>
      </c>
      <c r="BS652" s="9" t="s">
        <v>500</v>
      </c>
      <c r="BT652" s="9" t="s">
        <v>500</v>
      </c>
      <c r="BU652" s="9" t="s">
        <v>500</v>
      </c>
      <c r="BV652" s="9" t="s">
        <v>500</v>
      </c>
      <c r="BW652" s="9" t="s">
        <v>500</v>
      </c>
      <c r="BX652" s="9" t="s">
        <v>500</v>
      </c>
      <c r="BY652" s="9" t="s">
        <v>351</v>
      </c>
      <c r="BZ652" s="9" t="s">
        <v>500</v>
      </c>
      <c r="CA652" s="9" t="s">
        <v>500</v>
      </c>
      <c r="CB652" s="9" t="s">
        <v>500</v>
      </c>
      <c r="CC652" s="9" t="s">
        <v>500</v>
      </c>
      <c r="CD652" s="9" t="s">
        <v>500</v>
      </c>
      <c r="CE652" s="9" t="s">
        <v>500</v>
      </c>
      <c r="CF652" s="9" t="s">
        <v>500</v>
      </c>
      <c r="CG652" s="9" t="s">
        <v>500</v>
      </c>
      <c r="CH652" s="9" t="s">
        <v>500</v>
      </c>
      <c r="CI652" s="9" t="s">
        <v>500</v>
      </c>
      <c r="CJ652" s="9" t="s">
        <v>500</v>
      </c>
      <c r="CK652" s="9" t="s">
        <v>110</v>
      </c>
      <c r="CL652" s="9" t="s">
        <v>5936</v>
      </c>
      <c r="CM652" s="9" t="s">
        <v>5937</v>
      </c>
      <c r="CN652" s="9" t="s">
        <v>500</v>
      </c>
      <c r="CO652" s="9" t="s">
        <v>500</v>
      </c>
      <c r="CP652" s="9" t="s">
        <v>500</v>
      </c>
      <c r="CQ652" s="9" t="s">
        <v>500</v>
      </c>
      <c r="CR652" s="9" t="s">
        <v>500</v>
      </c>
      <c r="CS652" s="9" t="s">
        <v>350</v>
      </c>
      <c r="CT652" s="9" t="s">
        <v>2617</v>
      </c>
      <c r="CU652" s="9" t="s">
        <v>500</v>
      </c>
      <c r="CV652" s="9" t="s">
        <v>500</v>
      </c>
      <c r="CW652" s="9">
        <v>3</v>
      </c>
      <c r="CX652" s="9" t="s">
        <v>99</v>
      </c>
      <c r="CY652" s="9" t="s">
        <v>99</v>
      </c>
      <c r="CZ652" s="9" t="s">
        <v>500</v>
      </c>
      <c r="DA652" s="9" t="s">
        <v>500</v>
      </c>
      <c r="DB652" s="9" t="s">
        <v>500</v>
      </c>
      <c r="DC652">
        <v>96.3</v>
      </c>
      <c r="DD652">
        <v>0.73</v>
      </c>
      <c r="DE652">
        <v>156</v>
      </c>
      <c r="DF652">
        <v>77</v>
      </c>
      <c r="DG652" s="9">
        <f t="shared" si="10"/>
        <v>4.455636870328882</v>
      </c>
      <c r="DH652">
        <v>15.4</v>
      </c>
      <c r="DI652">
        <v>3.63</v>
      </c>
      <c r="DL652">
        <v>58.9</v>
      </c>
      <c r="DM652">
        <v>81.7</v>
      </c>
      <c r="DN652" s="9"/>
      <c r="DO652" s="9"/>
    </row>
    <row r="653" spans="1:125" x14ac:dyDescent="0.2">
      <c r="A653" t="s">
        <v>5938</v>
      </c>
      <c r="C653" t="s">
        <v>107</v>
      </c>
      <c r="D653">
        <v>35</v>
      </c>
      <c r="DC653">
        <v>97.5</v>
      </c>
      <c r="DD653">
        <v>0.89</v>
      </c>
      <c r="DE653">
        <v>169</v>
      </c>
      <c r="DF653">
        <v>115</v>
      </c>
      <c r="DG653" s="9">
        <f t="shared" si="10"/>
        <v>4.6623922531835253</v>
      </c>
      <c r="DH653">
        <v>23</v>
      </c>
      <c r="DI653">
        <v>8.5399999999999991</v>
      </c>
      <c r="DJ653"/>
      <c r="DK653"/>
      <c r="DL653">
        <v>41.6</v>
      </c>
      <c r="DM653">
        <v>104.4</v>
      </c>
      <c r="DR653" s="9">
        <v>2</v>
      </c>
    </row>
    <row r="654" spans="1:125" customFormat="1" x14ac:dyDescent="0.2">
      <c r="A654" s="144" t="s">
        <v>5939</v>
      </c>
      <c r="B654" s="141">
        <v>43804</v>
      </c>
      <c r="C654" s="127" t="s">
        <v>196</v>
      </c>
      <c r="D654" s="127">
        <v>56</v>
      </c>
      <c r="E654" s="127" t="s">
        <v>1654</v>
      </c>
      <c r="F654" s="128">
        <v>23056</v>
      </c>
      <c r="G654" s="127" t="s">
        <v>2495</v>
      </c>
      <c r="H654" s="127" t="s">
        <v>5940</v>
      </c>
      <c r="I654" s="127" t="s">
        <v>4270</v>
      </c>
      <c r="J654" s="127" t="s">
        <v>500</v>
      </c>
      <c r="K654" s="156">
        <v>33817</v>
      </c>
      <c r="L654" s="127">
        <v>2</v>
      </c>
      <c r="M654" s="127" t="s">
        <v>99</v>
      </c>
      <c r="N654" s="127" t="s">
        <v>99</v>
      </c>
      <c r="O654" s="127" t="s">
        <v>99</v>
      </c>
      <c r="P654" s="127" t="s">
        <v>99</v>
      </c>
      <c r="Q654" s="127" t="s">
        <v>99</v>
      </c>
      <c r="R654" s="127" t="s">
        <v>99</v>
      </c>
      <c r="S654" s="127" t="s">
        <v>99</v>
      </c>
      <c r="T654" s="127" t="s">
        <v>99</v>
      </c>
      <c r="U654" s="127" t="s">
        <v>5941</v>
      </c>
      <c r="V654" s="127" t="s">
        <v>99</v>
      </c>
      <c r="W654" s="127" t="s">
        <v>99</v>
      </c>
      <c r="X654" s="127" t="s">
        <v>99</v>
      </c>
      <c r="Y654" s="127" t="s">
        <v>5942</v>
      </c>
      <c r="Z654" s="127" t="s">
        <v>99</v>
      </c>
      <c r="AA654" s="127" t="s">
        <v>1654</v>
      </c>
      <c r="AB654" s="127" t="s">
        <v>500</v>
      </c>
      <c r="AC654" s="127" t="s">
        <v>1654</v>
      </c>
      <c r="AD654" s="127" t="s">
        <v>500</v>
      </c>
      <c r="AE654" s="127" t="s">
        <v>1127</v>
      </c>
      <c r="AF654" s="127" t="s">
        <v>1127</v>
      </c>
      <c r="AG654" s="127" t="s">
        <v>1127</v>
      </c>
      <c r="AH654" s="129" t="s">
        <v>99</v>
      </c>
      <c r="AI654" s="127" t="s">
        <v>99</v>
      </c>
      <c r="AJ654" s="9" t="s">
        <v>99</v>
      </c>
      <c r="AK654" s="9" t="s">
        <v>1127</v>
      </c>
      <c r="AL654" s="9">
        <v>83</v>
      </c>
      <c r="AM654" s="9">
        <v>155</v>
      </c>
      <c r="AN654" s="10">
        <v>98</v>
      </c>
      <c r="AO654" s="9">
        <v>115</v>
      </c>
      <c r="AP654" s="9">
        <v>47.4</v>
      </c>
      <c r="AQ654" s="9">
        <v>12</v>
      </c>
      <c r="AR654" s="9">
        <v>23.3</v>
      </c>
      <c r="AS654" s="9">
        <v>73</v>
      </c>
      <c r="AT654" s="9">
        <v>34.5</v>
      </c>
      <c r="AU654" s="9">
        <v>117</v>
      </c>
      <c r="AV654" s="9">
        <v>89</v>
      </c>
      <c r="AW654" s="9" t="s">
        <v>110</v>
      </c>
      <c r="AX654" s="9" t="s">
        <v>679</v>
      </c>
      <c r="AY654" s="9" t="s">
        <v>5943</v>
      </c>
      <c r="AZ654" s="9" t="s">
        <v>500</v>
      </c>
      <c r="BA654" s="9" t="s">
        <v>110</v>
      </c>
      <c r="BB654" s="9" t="s">
        <v>5944</v>
      </c>
      <c r="BC654" s="9" t="s">
        <v>5452</v>
      </c>
      <c r="BD654" s="9" t="s">
        <v>5410</v>
      </c>
      <c r="BE654" s="9" t="s">
        <v>110</v>
      </c>
      <c r="BF654" s="9" t="s">
        <v>176</v>
      </c>
      <c r="BG654" s="9" t="s">
        <v>350</v>
      </c>
      <c r="BH654" s="9" t="s">
        <v>99</v>
      </c>
      <c r="BI654" s="9" t="s">
        <v>176</v>
      </c>
      <c r="BJ654" s="9" t="s">
        <v>176</v>
      </c>
      <c r="BK654" s="9" t="s">
        <v>5871</v>
      </c>
      <c r="BL654" s="9" t="s">
        <v>110</v>
      </c>
      <c r="BM654" s="9" t="s">
        <v>176</v>
      </c>
      <c r="BN654" s="9" t="s">
        <v>1664</v>
      </c>
      <c r="BO654" s="9" t="s">
        <v>125</v>
      </c>
      <c r="BP654" s="9" t="s">
        <v>179</v>
      </c>
      <c r="BQ654" s="9" t="s">
        <v>99</v>
      </c>
      <c r="BR654" s="9" t="s">
        <v>500</v>
      </c>
      <c r="BS654" s="9" t="s">
        <v>500</v>
      </c>
      <c r="BT654" s="9" t="s">
        <v>500</v>
      </c>
      <c r="BU654" s="9" t="s">
        <v>1979</v>
      </c>
      <c r="BV654" s="9" t="s">
        <v>500</v>
      </c>
      <c r="BW654" s="9" t="s">
        <v>500</v>
      </c>
      <c r="BX654" s="9" t="s">
        <v>500</v>
      </c>
      <c r="BY654" s="9" t="s">
        <v>351</v>
      </c>
      <c r="BZ654" s="9" t="s">
        <v>1137</v>
      </c>
      <c r="CA654" s="9" t="s">
        <v>1730</v>
      </c>
      <c r="CB654" s="9" t="s">
        <v>182</v>
      </c>
      <c r="CC654" s="9" t="s">
        <v>5493</v>
      </c>
      <c r="CD654" s="9" t="s">
        <v>500</v>
      </c>
      <c r="CE654" s="9" t="s">
        <v>500</v>
      </c>
      <c r="CF654" s="9" t="s">
        <v>500</v>
      </c>
      <c r="CG654" s="9" t="s">
        <v>1740</v>
      </c>
      <c r="CH654" s="9" t="s">
        <v>1137</v>
      </c>
      <c r="CI654" s="9" t="s">
        <v>2575</v>
      </c>
      <c r="CJ654" s="9" t="s">
        <v>500</v>
      </c>
      <c r="CK654" s="9" t="s">
        <v>176</v>
      </c>
      <c r="CL654" s="9" t="s">
        <v>825</v>
      </c>
      <c r="CM654" s="9" t="s">
        <v>980</v>
      </c>
      <c r="CN654" s="9" t="s">
        <v>500</v>
      </c>
      <c r="CO654" s="9" t="s">
        <v>176</v>
      </c>
      <c r="CP654" s="9" t="s">
        <v>362</v>
      </c>
      <c r="CQ654" s="9" t="s">
        <v>2892</v>
      </c>
      <c r="CR654" s="9" t="s">
        <v>5945</v>
      </c>
      <c r="CS654" s="9" t="s">
        <v>350</v>
      </c>
      <c r="CT654" s="9" t="s">
        <v>2566</v>
      </c>
      <c r="CU654" s="9" t="s">
        <v>5946</v>
      </c>
      <c r="CV654" s="9" t="s">
        <v>500</v>
      </c>
      <c r="CW654" s="9">
        <v>3</v>
      </c>
      <c r="CX654" s="9" t="s">
        <v>99</v>
      </c>
      <c r="CY654" s="9" t="s">
        <v>110</v>
      </c>
      <c r="CZ654" s="9" t="s">
        <v>500</v>
      </c>
      <c r="DA654" s="9" t="s">
        <v>500</v>
      </c>
      <c r="DB654" s="9" t="s">
        <v>500</v>
      </c>
      <c r="DC654" s="10">
        <v>102</v>
      </c>
      <c r="DD654" s="9">
        <v>0.5</v>
      </c>
      <c r="DE654" s="10">
        <v>259</v>
      </c>
      <c r="DF654" s="10">
        <v>168</v>
      </c>
      <c r="DG654" s="9">
        <f t="shared" si="10"/>
        <v>4.8744683963437652</v>
      </c>
      <c r="DH654" s="9">
        <v>33.6</v>
      </c>
      <c r="DI654" s="9">
        <v>5.0999999999999996</v>
      </c>
      <c r="DJ654" s="9"/>
      <c r="DK654" s="9"/>
      <c r="DL654" s="10">
        <v>49.7</v>
      </c>
      <c r="DM654" s="9">
        <v>175</v>
      </c>
      <c r="DN654" s="9"/>
      <c r="DO654" s="9"/>
      <c r="DP654" s="53">
        <v>3</v>
      </c>
      <c r="DR654">
        <v>3</v>
      </c>
      <c r="DU654">
        <v>6.3</v>
      </c>
    </row>
    <row r="655" spans="1:125" customFormat="1" x14ac:dyDescent="0.2">
      <c r="A655" s="144" t="s">
        <v>5947</v>
      </c>
      <c r="B655" s="128">
        <v>43803</v>
      </c>
      <c r="C655" s="127" t="s">
        <v>196</v>
      </c>
      <c r="D655" s="127">
        <v>55</v>
      </c>
      <c r="E655" s="127" t="s">
        <v>100</v>
      </c>
      <c r="F655" s="128">
        <v>23053</v>
      </c>
      <c r="G655" s="127" t="s">
        <v>339</v>
      </c>
      <c r="H655" s="127" t="s">
        <v>5948</v>
      </c>
      <c r="I655" s="127" t="s">
        <v>5949</v>
      </c>
      <c r="J655" s="127" t="s">
        <v>5950</v>
      </c>
      <c r="K655" s="127">
        <v>1994</v>
      </c>
      <c r="L655" s="127">
        <v>4</v>
      </c>
      <c r="M655" s="127" t="s">
        <v>99</v>
      </c>
      <c r="N655" s="127" t="s">
        <v>99</v>
      </c>
      <c r="O655" s="127" t="s">
        <v>5951</v>
      </c>
      <c r="P655" s="127" t="s">
        <v>99</v>
      </c>
      <c r="Q655" s="127" t="s">
        <v>99</v>
      </c>
      <c r="R655" s="127" t="s">
        <v>110</v>
      </c>
      <c r="S655" s="127" t="s">
        <v>5952</v>
      </c>
      <c r="T655" s="127" t="s">
        <v>5530</v>
      </c>
      <c r="U655" s="127" t="s">
        <v>99</v>
      </c>
      <c r="V655" s="127" t="s">
        <v>99</v>
      </c>
      <c r="W655" s="127" t="s">
        <v>5953</v>
      </c>
      <c r="X655" s="127" t="s">
        <v>99</v>
      </c>
      <c r="Y655" s="127" t="s">
        <v>99</v>
      </c>
      <c r="Z655" s="127" t="s">
        <v>99</v>
      </c>
      <c r="AA655" s="127" t="s">
        <v>100</v>
      </c>
      <c r="AB655" s="127" t="s">
        <v>100</v>
      </c>
      <c r="AC655" s="127" t="s">
        <v>100</v>
      </c>
      <c r="AD655" s="127" t="s">
        <v>100</v>
      </c>
      <c r="AE655" s="127" t="s">
        <v>246</v>
      </c>
      <c r="AF655" s="127" t="s">
        <v>99</v>
      </c>
      <c r="AG655" s="127" t="s">
        <v>5954</v>
      </c>
      <c r="AH655" s="129" t="s">
        <v>99</v>
      </c>
      <c r="AI655" s="127" t="s">
        <v>1127</v>
      </c>
      <c r="AJ655" s="9" t="s">
        <v>99</v>
      </c>
      <c r="AK655" s="9" t="s">
        <v>99</v>
      </c>
      <c r="AL655" s="9">
        <v>72.599999999999994</v>
      </c>
      <c r="AM655" s="9">
        <v>160</v>
      </c>
      <c r="AN655" s="10">
        <v>89</v>
      </c>
      <c r="AO655" s="9">
        <v>108</v>
      </c>
      <c r="AP655" s="9">
        <v>14</v>
      </c>
      <c r="AQ655" s="9">
        <v>9</v>
      </c>
      <c r="AR655" s="9">
        <v>39.799999999999997</v>
      </c>
      <c r="AS655" s="9">
        <v>43</v>
      </c>
      <c r="AT655" s="9">
        <v>28.4</v>
      </c>
      <c r="AU655" s="9">
        <v>113</v>
      </c>
      <c r="AV655" s="9">
        <v>82</v>
      </c>
      <c r="AW655" s="9" t="s">
        <v>110</v>
      </c>
      <c r="AX655" s="9" t="s">
        <v>500</v>
      </c>
      <c r="AY655" s="9" t="s">
        <v>500</v>
      </c>
      <c r="AZ655" s="9" t="s">
        <v>500</v>
      </c>
      <c r="BA655" s="9" t="s">
        <v>500</v>
      </c>
      <c r="BB655" s="9" t="s">
        <v>500</v>
      </c>
      <c r="BC655" s="9" t="s">
        <v>500</v>
      </c>
      <c r="BD655" s="9" t="s">
        <v>500</v>
      </c>
      <c r="BE655" s="9" t="s">
        <v>110</v>
      </c>
      <c r="BF655" s="9" t="s">
        <v>707</v>
      </c>
      <c r="BG655" s="9" t="s">
        <v>213</v>
      </c>
      <c r="BH655" s="9" t="s">
        <v>99</v>
      </c>
      <c r="BI655" s="9" t="s">
        <v>1469</v>
      </c>
      <c r="BJ655" s="9" t="s">
        <v>99</v>
      </c>
      <c r="BK655" s="9" t="s">
        <v>99</v>
      </c>
      <c r="BL655" s="9" t="s">
        <v>110</v>
      </c>
      <c r="BM655" s="9" t="s">
        <v>176</v>
      </c>
      <c r="BN655" s="9">
        <v>3</v>
      </c>
      <c r="BO655" s="9" t="s">
        <v>500</v>
      </c>
      <c r="BP655" s="9" t="s">
        <v>500</v>
      </c>
      <c r="BQ655" s="9" t="s">
        <v>99</v>
      </c>
      <c r="BR655" s="9" t="s">
        <v>500</v>
      </c>
      <c r="BS655" s="9" t="s">
        <v>500</v>
      </c>
      <c r="BT655" s="9" t="s">
        <v>500</v>
      </c>
      <c r="BU655" s="9" t="s">
        <v>1979</v>
      </c>
      <c r="BV655" s="9" t="s">
        <v>500</v>
      </c>
      <c r="BW655" s="9" t="s">
        <v>500</v>
      </c>
      <c r="BX655" s="9" t="s">
        <v>500</v>
      </c>
      <c r="BY655" s="9" t="s">
        <v>350</v>
      </c>
      <c r="BZ655" s="9">
        <v>2</v>
      </c>
      <c r="CA655" s="9" t="s">
        <v>500</v>
      </c>
      <c r="CB655" s="9" t="s">
        <v>500</v>
      </c>
      <c r="CC655" s="9" t="s">
        <v>500</v>
      </c>
      <c r="CD655" s="9" t="s">
        <v>500</v>
      </c>
      <c r="CE655" s="9" t="s">
        <v>500</v>
      </c>
      <c r="CF655" s="9" t="s">
        <v>500</v>
      </c>
      <c r="CG655" s="9" t="s">
        <v>500</v>
      </c>
      <c r="CH655" s="9" t="s">
        <v>500</v>
      </c>
      <c r="CI655" s="9" t="s">
        <v>500</v>
      </c>
      <c r="CJ655" s="9" t="s">
        <v>500</v>
      </c>
      <c r="CK655" s="9" t="s">
        <v>110</v>
      </c>
      <c r="CL655" s="9" t="s">
        <v>500</v>
      </c>
      <c r="CM655" s="9" t="s">
        <v>500</v>
      </c>
      <c r="CN655" s="9" t="s">
        <v>500</v>
      </c>
      <c r="CO655" s="9" t="s">
        <v>350</v>
      </c>
      <c r="CP655" s="9" t="s">
        <v>500</v>
      </c>
      <c r="CQ655" s="9" t="s">
        <v>500</v>
      </c>
      <c r="CR655" s="9" t="s">
        <v>500</v>
      </c>
      <c r="CS655" s="9" t="s">
        <v>99</v>
      </c>
      <c r="CT655" s="9" t="s">
        <v>500</v>
      </c>
      <c r="CU655" s="9" t="s">
        <v>500</v>
      </c>
      <c r="CV655" s="9" t="s">
        <v>500</v>
      </c>
      <c r="CW655" s="9">
        <v>2</v>
      </c>
      <c r="CX655" s="9" t="s">
        <v>5955</v>
      </c>
      <c r="CY655" s="9" t="s">
        <v>110</v>
      </c>
      <c r="CZ655" s="9">
        <v>2</v>
      </c>
      <c r="DA655" s="9">
        <v>2</v>
      </c>
      <c r="DB655" s="9">
        <v>0</v>
      </c>
      <c r="DC655" s="10">
        <v>107.5</v>
      </c>
      <c r="DD655" s="9">
        <v>0.71</v>
      </c>
      <c r="DE655" s="10">
        <v>246</v>
      </c>
      <c r="DF655" s="10">
        <v>352</v>
      </c>
      <c r="DG655" s="9">
        <f t="shared" si="10"/>
        <v>5.2705610115829069</v>
      </c>
      <c r="DH655" s="9">
        <v>70.400000000000006</v>
      </c>
      <c r="DI655" s="10">
        <v>8.43</v>
      </c>
      <c r="DL655" s="10">
        <v>33.9</v>
      </c>
      <c r="DM655" s="9">
        <v>141.69999999999999</v>
      </c>
      <c r="DN655" s="9"/>
      <c r="DO655" s="9"/>
      <c r="DU655">
        <v>2.6</v>
      </c>
    </row>
    <row r="656" spans="1:125" customFormat="1" x14ac:dyDescent="0.2">
      <c r="A656" s="161" t="s">
        <v>5956</v>
      </c>
      <c r="B656" s="128">
        <v>43803</v>
      </c>
      <c r="C656" s="127" t="s">
        <v>196</v>
      </c>
      <c r="D656" s="127">
        <v>66</v>
      </c>
      <c r="E656" s="127" t="s">
        <v>1338</v>
      </c>
      <c r="F656" s="128">
        <v>19774</v>
      </c>
      <c r="G656" s="127" t="s">
        <v>2495</v>
      </c>
      <c r="H656" s="127" t="s">
        <v>5957</v>
      </c>
      <c r="I656" s="127" t="s">
        <v>500</v>
      </c>
      <c r="J656" s="127" t="s">
        <v>500</v>
      </c>
      <c r="K656" s="156">
        <v>29921</v>
      </c>
      <c r="L656" s="127">
        <v>2</v>
      </c>
      <c r="M656" s="127" t="s">
        <v>99</v>
      </c>
      <c r="N656" s="127" t="s">
        <v>99</v>
      </c>
      <c r="O656" s="127" t="s">
        <v>99</v>
      </c>
      <c r="P656" s="127" t="s">
        <v>99</v>
      </c>
      <c r="Q656" s="127" t="s">
        <v>99</v>
      </c>
      <c r="R656" s="127" t="s">
        <v>99</v>
      </c>
      <c r="S656" s="127" t="s">
        <v>99</v>
      </c>
      <c r="T656" s="127" t="s">
        <v>5958</v>
      </c>
      <c r="U656" s="127" t="s">
        <v>500</v>
      </c>
      <c r="V656" s="127" t="s">
        <v>500</v>
      </c>
      <c r="W656" s="127" t="s">
        <v>99</v>
      </c>
      <c r="X656" s="127" t="s">
        <v>99</v>
      </c>
      <c r="Y656" s="127" t="s">
        <v>5959</v>
      </c>
      <c r="Z656" s="127" t="s">
        <v>99</v>
      </c>
      <c r="AA656" s="127" t="s">
        <v>1338</v>
      </c>
      <c r="AB656" s="127" t="s">
        <v>1338</v>
      </c>
      <c r="AC656" s="127" t="s">
        <v>1338</v>
      </c>
      <c r="AD656" s="127" t="s">
        <v>1338</v>
      </c>
      <c r="AE656" s="127" t="s">
        <v>99</v>
      </c>
      <c r="AF656" s="127" t="s">
        <v>99</v>
      </c>
      <c r="AG656" s="127" t="s">
        <v>5960</v>
      </c>
      <c r="AH656" s="129" t="s">
        <v>99</v>
      </c>
      <c r="AI656" s="127" t="s">
        <v>5104</v>
      </c>
      <c r="AJ656" s="9" t="s">
        <v>99</v>
      </c>
      <c r="AK656" s="9" t="s">
        <v>99</v>
      </c>
      <c r="AL656" s="9">
        <v>49.6</v>
      </c>
      <c r="AM656" s="9">
        <v>158</v>
      </c>
      <c r="AN656" s="7">
        <v>81</v>
      </c>
      <c r="AO656" s="9">
        <v>91</v>
      </c>
      <c r="AP656" s="9">
        <v>30</v>
      </c>
      <c r="AQ656" s="9">
        <v>5</v>
      </c>
      <c r="AR656" s="9">
        <v>24.4</v>
      </c>
      <c r="AS656" s="9">
        <v>38</v>
      </c>
      <c r="AT656" s="7">
        <v>19.899999999999999</v>
      </c>
      <c r="AU656" s="10">
        <v>149</v>
      </c>
      <c r="AV656" s="10">
        <v>80</v>
      </c>
      <c r="AW656" s="9" t="s">
        <v>110</v>
      </c>
      <c r="AX656" s="9" t="s">
        <v>1128</v>
      </c>
      <c r="AY656" s="9" t="s">
        <v>1657</v>
      </c>
      <c r="AZ656" s="9" t="s">
        <v>5961</v>
      </c>
      <c r="BA656" s="9" t="s">
        <v>110</v>
      </c>
      <c r="BB656" s="9" t="s">
        <v>2635</v>
      </c>
      <c r="BC656" s="9" t="s">
        <v>5962</v>
      </c>
      <c r="BD656" s="9" t="s">
        <v>500</v>
      </c>
      <c r="BE656" s="9" t="s">
        <v>110</v>
      </c>
      <c r="BF656" s="9" t="s">
        <v>2653</v>
      </c>
      <c r="BG656" s="9" t="s">
        <v>99</v>
      </c>
      <c r="BH656" s="9" t="s">
        <v>99</v>
      </c>
      <c r="BI656" s="9" t="s">
        <v>213</v>
      </c>
      <c r="BJ656" s="9" t="s">
        <v>99</v>
      </c>
      <c r="BK656" s="9" t="s">
        <v>5934</v>
      </c>
      <c r="BL656" s="9" t="s">
        <v>110</v>
      </c>
      <c r="BM656" s="9" t="s">
        <v>176</v>
      </c>
      <c r="BN656" s="9" t="s">
        <v>2608</v>
      </c>
      <c r="BO656" s="9" t="s">
        <v>3743</v>
      </c>
      <c r="BP656" s="9" t="s">
        <v>4014</v>
      </c>
      <c r="BQ656" s="9" t="s">
        <v>99</v>
      </c>
      <c r="BR656" s="9" t="s">
        <v>500</v>
      </c>
      <c r="BS656" s="9" t="s">
        <v>500</v>
      </c>
      <c r="BT656" s="9" t="s">
        <v>500</v>
      </c>
      <c r="BU656" s="9" t="s">
        <v>99</v>
      </c>
      <c r="BV656" s="9" t="s">
        <v>500</v>
      </c>
      <c r="BW656" s="9" t="s">
        <v>500</v>
      </c>
      <c r="BX656" s="9" t="s">
        <v>500</v>
      </c>
      <c r="BY656" s="9" t="s">
        <v>351</v>
      </c>
      <c r="BZ656" s="9" t="s">
        <v>184</v>
      </c>
      <c r="CA656" s="9" t="s">
        <v>1137</v>
      </c>
      <c r="CB656" s="9" t="s">
        <v>183</v>
      </c>
      <c r="CC656" s="9" t="s">
        <v>99</v>
      </c>
      <c r="CD656" s="9" t="s">
        <v>500</v>
      </c>
      <c r="CE656" s="9" t="s">
        <v>500</v>
      </c>
      <c r="CF656" s="9" t="s">
        <v>500</v>
      </c>
      <c r="CG656" s="9" t="s">
        <v>99</v>
      </c>
      <c r="CH656" s="9" t="s">
        <v>500</v>
      </c>
      <c r="CI656" s="9" t="s">
        <v>500</v>
      </c>
      <c r="CJ656" s="9" t="s">
        <v>500</v>
      </c>
      <c r="CK656" s="9" t="s">
        <v>110</v>
      </c>
      <c r="CL656" s="9" t="s">
        <v>579</v>
      </c>
      <c r="CM656" s="9" t="s">
        <v>581</v>
      </c>
      <c r="CN656" s="9" t="s">
        <v>500</v>
      </c>
      <c r="CO656" s="9" t="s">
        <v>110</v>
      </c>
      <c r="CP656" s="9" t="s">
        <v>890</v>
      </c>
      <c r="CQ656" s="9" t="s">
        <v>2641</v>
      </c>
      <c r="CR656" s="9" t="s">
        <v>5540</v>
      </c>
      <c r="CS656" s="9" t="s">
        <v>99</v>
      </c>
      <c r="CT656" s="9" t="s">
        <v>500</v>
      </c>
      <c r="CU656" s="9" t="s">
        <v>500</v>
      </c>
      <c r="CV656" s="9" t="s">
        <v>500</v>
      </c>
      <c r="CW656" s="9">
        <v>2</v>
      </c>
      <c r="CX656" s="9" t="s">
        <v>99</v>
      </c>
      <c r="CY656" s="9" t="s">
        <v>2643</v>
      </c>
      <c r="CZ656" s="9">
        <v>40</v>
      </c>
      <c r="DA656" s="9">
        <v>40</v>
      </c>
      <c r="DB656" s="9">
        <v>50</v>
      </c>
      <c r="DC656" s="9">
        <v>77</v>
      </c>
      <c r="DD656" s="9">
        <v>0.57999999999999996</v>
      </c>
      <c r="DE656" s="10">
        <v>209</v>
      </c>
      <c r="DF656" s="9">
        <v>108</v>
      </c>
      <c r="DG656" s="9">
        <f t="shared" si="10"/>
        <v>4.512968324488952</v>
      </c>
      <c r="DH656" s="9">
        <v>21.6</v>
      </c>
      <c r="DI656" s="9">
        <v>3.75</v>
      </c>
      <c r="DJ656" s="9"/>
      <c r="DK656" s="9"/>
      <c r="DL656" s="9">
        <v>55.2</v>
      </c>
      <c r="DM656" s="9">
        <v>132.19999999999999</v>
      </c>
      <c r="DN656" s="9"/>
      <c r="DO656" s="9"/>
      <c r="DR656">
        <v>2</v>
      </c>
      <c r="DU656">
        <v>3.4</v>
      </c>
    </row>
    <row r="657" spans="1:125" customFormat="1" x14ac:dyDescent="0.2">
      <c r="A657" s="127" t="s">
        <v>5963</v>
      </c>
      <c r="B657" s="128">
        <v>43803</v>
      </c>
      <c r="C657" s="127" t="s">
        <v>675</v>
      </c>
      <c r="D657" s="127">
        <v>37</v>
      </c>
      <c r="E657" s="127" t="s">
        <v>1338</v>
      </c>
      <c r="F657" s="128">
        <v>30172</v>
      </c>
      <c r="G657" s="127" t="s">
        <v>837</v>
      </c>
      <c r="H657" s="127" t="s">
        <v>5964</v>
      </c>
      <c r="I657" s="127" t="s">
        <v>500</v>
      </c>
      <c r="J657" s="127" t="s">
        <v>500</v>
      </c>
      <c r="K657" s="127" t="s">
        <v>500</v>
      </c>
      <c r="L657" s="127" t="s">
        <v>500</v>
      </c>
      <c r="M657" s="127" t="s">
        <v>99</v>
      </c>
      <c r="N657" s="127" t="s">
        <v>99</v>
      </c>
      <c r="O657" s="127" t="s">
        <v>99</v>
      </c>
      <c r="P657" s="127" t="s">
        <v>99</v>
      </c>
      <c r="Q657" s="127" t="s">
        <v>5965</v>
      </c>
      <c r="R657" s="127" t="s">
        <v>5966</v>
      </c>
      <c r="S657" s="127" t="s">
        <v>5967</v>
      </c>
      <c r="T657" s="127" t="s">
        <v>5451</v>
      </c>
      <c r="U657" s="127" t="s">
        <v>99</v>
      </c>
      <c r="V657" s="127" t="s">
        <v>99</v>
      </c>
      <c r="W657" s="127" t="s">
        <v>99</v>
      </c>
      <c r="X657" s="127" t="s">
        <v>99</v>
      </c>
      <c r="Y657" s="127" t="s">
        <v>99</v>
      </c>
      <c r="Z657" s="127" t="s">
        <v>5968</v>
      </c>
      <c r="AA657" s="127" t="s">
        <v>1338</v>
      </c>
      <c r="AB657" s="127" t="s">
        <v>100</v>
      </c>
      <c r="AC657" s="127" t="s">
        <v>1338</v>
      </c>
      <c r="AD657" s="127" t="s">
        <v>100</v>
      </c>
      <c r="AE657" s="127" t="s">
        <v>99</v>
      </c>
      <c r="AF657" s="127" t="s">
        <v>246</v>
      </c>
      <c r="AG657" s="127" t="s">
        <v>1127</v>
      </c>
      <c r="AH657" s="129" t="s">
        <v>99</v>
      </c>
      <c r="AI657" s="127" t="s">
        <v>99</v>
      </c>
      <c r="AJ657" s="9" t="s">
        <v>99</v>
      </c>
      <c r="AK657" s="9" t="s">
        <v>99</v>
      </c>
      <c r="AL657" s="9">
        <v>82</v>
      </c>
      <c r="AM657" s="9">
        <v>178</v>
      </c>
      <c r="AN657" s="10">
        <v>94</v>
      </c>
      <c r="AO657" s="9">
        <v>103</v>
      </c>
      <c r="AP657" s="9">
        <v>26.3</v>
      </c>
      <c r="AQ657" s="9">
        <v>9</v>
      </c>
      <c r="AR657" s="9">
        <v>34.799999999999997</v>
      </c>
      <c r="AS657" s="9">
        <v>50</v>
      </c>
      <c r="AT657" s="9">
        <v>25.9</v>
      </c>
      <c r="AU657" s="9">
        <v>126</v>
      </c>
      <c r="AV657" s="9">
        <v>79</v>
      </c>
      <c r="AW657" s="9" t="s">
        <v>110</v>
      </c>
      <c r="AX657" s="9" t="s">
        <v>679</v>
      </c>
      <c r="AY657" s="9" t="s">
        <v>3138</v>
      </c>
      <c r="AZ657" s="9" t="s">
        <v>500</v>
      </c>
      <c r="BA657" s="9" t="s">
        <v>110</v>
      </c>
      <c r="BB657" s="9" t="s">
        <v>5969</v>
      </c>
      <c r="BC657" s="9" t="s">
        <v>500</v>
      </c>
      <c r="BD657" s="9" t="s">
        <v>500</v>
      </c>
      <c r="BE657" s="9" t="s">
        <v>110</v>
      </c>
      <c r="BF657" s="9" t="s">
        <v>176</v>
      </c>
      <c r="BG657" s="9" t="s">
        <v>176</v>
      </c>
      <c r="BH657" s="9" t="s">
        <v>350</v>
      </c>
      <c r="BI657" s="9" t="s">
        <v>350</v>
      </c>
      <c r="BJ657" s="9" t="s">
        <v>1740</v>
      </c>
      <c r="BK657" s="9" t="s">
        <v>1979</v>
      </c>
      <c r="BL657" s="9" t="s">
        <v>110</v>
      </c>
      <c r="BM657" s="9" t="s">
        <v>350</v>
      </c>
      <c r="BN657" s="9" t="s">
        <v>125</v>
      </c>
      <c r="BO657" s="9" t="s">
        <v>179</v>
      </c>
      <c r="BP657" s="9" t="s">
        <v>734</v>
      </c>
      <c r="BQ657" s="9" t="s">
        <v>350</v>
      </c>
      <c r="BR657" s="9" t="s">
        <v>363</v>
      </c>
      <c r="BS657" s="9" t="s">
        <v>179</v>
      </c>
      <c r="BT657" s="9" t="s">
        <v>857</v>
      </c>
      <c r="BU657" s="9" t="s">
        <v>350</v>
      </c>
      <c r="BV657" s="9" t="s">
        <v>125</v>
      </c>
      <c r="BW657" s="9" t="s">
        <v>500</v>
      </c>
      <c r="BX657" s="9" t="s">
        <v>500</v>
      </c>
      <c r="BY657" s="9" t="s">
        <v>350</v>
      </c>
      <c r="BZ657" s="9" t="s">
        <v>182</v>
      </c>
      <c r="CA657" s="9" t="s">
        <v>5970</v>
      </c>
      <c r="CB657" s="9" t="s">
        <v>500</v>
      </c>
      <c r="CC657" s="9" t="s">
        <v>500</v>
      </c>
      <c r="CD657" s="9" t="s">
        <v>500</v>
      </c>
      <c r="CE657" s="9" t="s">
        <v>500</v>
      </c>
      <c r="CF657" s="9" t="s">
        <v>500</v>
      </c>
      <c r="CG657" s="9" t="s">
        <v>500</v>
      </c>
      <c r="CH657" s="9" t="s">
        <v>500</v>
      </c>
      <c r="CI657" s="9" t="s">
        <v>500</v>
      </c>
      <c r="CJ657" s="9" t="s">
        <v>500</v>
      </c>
      <c r="CK657" s="9" t="s">
        <v>110</v>
      </c>
      <c r="CL657" s="9" t="s">
        <v>5971</v>
      </c>
      <c r="CM657" s="9" t="s">
        <v>5972</v>
      </c>
      <c r="CN657" s="9" t="s">
        <v>500</v>
      </c>
      <c r="CO657" s="9" t="s">
        <v>176</v>
      </c>
      <c r="CP657" s="9" t="s">
        <v>362</v>
      </c>
      <c r="CQ657" s="9" t="s">
        <v>500</v>
      </c>
      <c r="CR657" s="9" t="s">
        <v>500</v>
      </c>
      <c r="CS657" s="9" t="s">
        <v>350</v>
      </c>
      <c r="CT657" s="9" t="s">
        <v>2617</v>
      </c>
      <c r="CU657" s="9" t="s">
        <v>1729</v>
      </c>
      <c r="CV657" s="9" t="s">
        <v>500</v>
      </c>
      <c r="CW657" s="9">
        <v>3</v>
      </c>
      <c r="CX657" s="9" t="s">
        <v>99</v>
      </c>
      <c r="CY657" s="9" t="s">
        <v>110</v>
      </c>
      <c r="CZ657" s="9">
        <v>30</v>
      </c>
      <c r="DA657" s="9">
        <v>20</v>
      </c>
      <c r="DB657" s="9">
        <v>50</v>
      </c>
      <c r="DC657" s="9">
        <v>80.099999999999994</v>
      </c>
      <c r="DD657" s="9">
        <v>0.81</v>
      </c>
      <c r="DE657" s="9">
        <v>223</v>
      </c>
      <c r="DF657" s="9">
        <v>83</v>
      </c>
      <c r="DG657" s="9">
        <f t="shared" si="10"/>
        <v>4.4010582309354556</v>
      </c>
      <c r="DH657" s="9">
        <v>16.600000000000001</v>
      </c>
      <c r="DI657" s="9">
        <v>6.51</v>
      </c>
      <c r="DL657" s="9">
        <v>46.5</v>
      </c>
      <c r="DM657" s="9">
        <v>159.9</v>
      </c>
      <c r="DN657" s="9"/>
      <c r="DO657" s="9"/>
    </row>
    <row r="658" spans="1:125" customFormat="1" x14ac:dyDescent="0.2">
      <c r="A658" s="127" t="s">
        <v>5973</v>
      </c>
      <c r="B658" s="128">
        <v>43803</v>
      </c>
      <c r="C658" s="127" t="s">
        <v>196</v>
      </c>
      <c r="D658" s="127">
        <v>59</v>
      </c>
      <c r="E658" s="127" t="s">
        <v>500</v>
      </c>
      <c r="F658" s="128">
        <v>22052</v>
      </c>
      <c r="G658" s="127" t="s">
        <v>813</v>
      </c>
      <c r="H658" s="127" t="s">
        <v>5974</v>
      </c>
      <c r="I658" s="127" t="s">
        <v>1594</v>
      </c>
      <c r="J658" s="127" t="s">
        <v>500</v>
      </c>
      <c r="K658" s="127">
        <v>1989</v>
      </c>
      <c r="L658" s="127">
        <v>4</v>
      </c>
      <c r="M658" s="127" t="s">
        <v>99</v>
      </c>
      <c r="N658" s="127" t="s">
        <v>99</v>
      </c>
      <c r="O658" s="127" t="s">
        <v>99</v>
      </c>
      <c r="P658" s="127" t="s">
        <v>99</v>
      </c>
      <c r="Q658" s="127" t="s">
        <v>5429</v>
      </c>
      <c r="R658" s="127" t="s">
        <v>110</v>
      </c>
      <c r="S658" s="127" t="s">
        <v>99</v>
      </c>
      <c r="T658" s="127" t="s">
        <v>99</v>
      </c>
      <c r="U658" s="127" t="s">
        <v>5975</v>
      </c>
      <c r="V658" s="127" t="s">
        <v>5976</v>
      </c>
      <c r="W658" s="127" t="s">
        <v>99</v>
      </c>
      <c r="X658" s="127" t="s">
        <v>99</v>
      </c>
      <c r="Y658" s="127" t="s">
        <v>99</v>
      </c>
      <c r="Z658" s="127" t="s">
        <v>99</v>
      </c>
      <c r="AA658" s="127" t="s">
        <v>100</v>
      </c>
      <c r="AB658" s="127" t="s">
        <v>100</v>
      </c>
      <c r="AC658" s="127" t="s">
        <v>100</v>
      </c>
      <c r="AD658" s="127" t="s">
        <v>100</v>
      </c>
      <c r="AE658" s="127" t="s">
        <v>99</v>
      </c>
      <c r="AF658" s="127" t="s">
        <v>99</v>
      </c>
      <c r="AG658" s="127" t="s">
        <v>99</v>
      </c>
      <c r="AH658" s="129" t="s">
        <v>99</v>
      </c>
      <c r="AI658" s="127" t="s">
        <v>1127</v>
      </c>
      <c r="AJ658" s="9" t="s">
        <v>99</v>
      </c>
      <c r="AK658" s="9" t="s">
        <v>99</v>
      </c>
      <c r="AL658" s="9">
        <v>69.5</v>
      </c>
      <c r="AM658" s="9">
        <v>150</v>
      </c>
      <c r="AN658" s="10">
        <v>90</v>
      </c>
      <c r="AO658" s="9">
        <v>106</v>
      </c>
      <c r="AP658" s="9">
        <v>46.8</v>
      </c>
      <c r="AQ658" s="9">
        <v>11</v>
      </c>
      <c r="AR658" s="9">
        <v>22.4</v>
      </c>
      <c r="AS658" s="9">
        <v>71</v>
      </c>
      <c r="AT658" s="9">
        <v>30.9</v>
      </c>
      <c r="AU658" s="10">
        <v>137</v>
      </c>
      <c r="AV658" s="9">
        <v>77</v>
      </c>
      <c r="AW658" s="9" t="s">
        <v>110</v>
      </c>
      <c r="AX658" s="9" t="s">
        <v>5826</v>
      </c>
      <c r="AY658" s="9" t="s">
        <v>500</v>
      </c>
      <c r="AZ658" s="9" t="s">
        <v>500</v>
      </c>
      <c r="BA658" s="9" t="s">
        <v>110</v>
      </c>
      <c r="BB658" s="9" t="s">
        <v>5977</v>
      </c>
      <c r="BC658" s="9" t="s">
        <v>346</v>
      </c>
      <c r="BD658" s="9" t="s">
        <v>500</v>
      </c>
      <c r="BE658" s="9" t="s">
        <v>110</v>
      </c>
      <c r="BF658" s="9" t="s">
        <v>707</v>
      </c>
      <c r="BG658" s="9" t="s">
        <v>500</v>
      </c>
      <c r="BH658" s="9" t="s">
        <v>500</v>
      </c>
      <c r="BI658" s="9" t="s">
        <v>500</v>
      </c>
      <c r="BJ658" s="9" t="s">
        <v>500</v>
      </c>
      <c r="BK658" s="9" t="s">
        <v>500</v>
      </c>
      <c r="BL658" s="9" t="s">
        <v>110</v>
      </c>
      <c r="BM658" s="9" t="s">
        <v>350</v>
      </c>
      <c r="BN658" s="9" t="s">
        <v>5978</v>
      </c>
      <c r="BO658" s="9" t="s">
        <v>500</v>
      </c>
      <c r="BP658" s="9" t="s">
        <v>500</v>
      </c>
      <c r="BQ658" s="9" t="s">
        <v>500</v>
      </c>
      <c r="BR658" s="9" t="s">
        <v>500</v>
      </c>
      <c r="BS658" s="9" t="s">
        <v>500</v>
      </c>
      <c r="BT658" s="9" t="s">
        <v>500</v>
      </c>
      <c r="BU658" s="9" t="s">
        <v>99</v>
      </c>
      <c r="BV658" s="9" t="s">
        <v>500</v>
      </c>
      <c r="BW658" s="9" t="s">
        <v>500</v>
      </c>
      <c r="BX658" s="9" t="s">
        <v>500</v>
      </c>
      <c r="BY658" s="9" t="s">
        <v>351</v>
      </c>
      <c r="BZ658" s="9" t="s">
        <v>5979</v>
      </c>
      <c r="CA658" s="9" t="s">
        <v>182</v>
      </c>
      <c r="CB658" s="9" t="s">
        <v>183</v>
      </c>
      <c r="CC658" s="9" t="s">
        <v>110</v>
      </c>
      <c r="CD658" s="9" t="s">
        <v>182</v>
      </c>
      <c r="CE658" s="9" t="s">
        <v>3744</v>
      </c>
      <c r="CF658" s="9" t="s">
        <v>859</v>
      </c>
      <c r="CG658" s="9" t="s">
        <v>500</v>
      </c>
      <c r="CH658" s="9" t="s">
        <v>500</v>
      </c>
      <c r="CI658" s="9" t="s">
        <v>500</v>
      </c>
      <c r="CJ658" s="9" t="s">
        <v>500</v>
      </c>
      <c r="CK658" s="9" t="s">
        <v>110</v>
      </c>
      <c r="CL658" s="9" t="s">
        <v>3158</v>
      </c>
      <c r="CM658" s="9" t="s">
        <v>2590</v>
      </c>
      <c r="CN658" s="9" t="s">
        <v>980</v>
      </c>
      <c r="CO658" s="9" t="s">
        <v>176</v>
      </c>
      <c r="CP658" s="9" t="s">
        <v>500</v>
      </c>
      <c r="CQ658" s="9" t="s">
        <v>500</v>
      </c>
      <c r="CR658" s="9" t="s">
        <v>500</v>
      </c>
      <c r="CS658" s="9" t="s">
        <v>500</v>
      </c>
      <c r="CT658" s="9" t="s">
        <v>500</v>
      </c>
      <c r="CU658" s="9" t="s">
        <v>500</v>
      </c>
      <c r="CV658" s="9" t="s">
        <v>500</v>
      </c>
      <c r="CW658" s="9" t="s">
        <v>500</v>
      </c>
      <c r="CX658" s="9" t="s">
        <v>110</v>
      </c>
      <c r="CY658" s="9" t="s">
        <v>99</v>
      </c>
      <c r="CZ658" s="9" t="s">
        <v>500</v>
      </c>
      <c r="DA658" s="9" t="s">
        <v>500</v>
      </c>
      <c r="DB658" s="9" t="s">
        <v>500</v>
      </c>
      <c r="DC658" s="9">
        <v>88.5</v>
      </c>
      <c r="DD658" s="9">
        <v>1.19</v>
      </c>
      <c r="DE658" s="9">
        <v>158</v>
      </c>
      <c r="DF658" s="9">
        <v>96</v>
      </c>
      <c r="DG658" s="9">
        <f t="shared" si="10"/>
        <v>4.5236753717408602</v>
      </c>
      <c r="DH658" s="9">
        <v>19.2</v>
      </c>
      <c r="DI658" s="9">
        <v>5.67</v>
      </c>
      <c r="DJ658" s="9"/>
      <c r="DK658" s="9"/>
      <c r="DL658" s="9">
        <v>55.5</v>
      </c>
      <c r="DM658" s="9">
        <v>83.3</v>
      </c>
      <c r="DN658" s="9"/>
      <c r="DO658" s="9"/>
      <c r="DR658">
        <v>3</v>
      </c>
    </row>
    <row r="659" spans="1:125" customFormat="1" x14ac:dyDescent="0.2">
      <c r="A659" s="127" t="s">
        <v>5980</v>
      </c>
      <c r="B659" s="128">
        <v>43803</v>
      </c>
      <c r="C659" s="127" t="s">
        <v>675</v>
      </c>
      <c r="D659" s="127">
        <v>45</v>
      </c>
      <c r="E659" s="127" t="s">
        <v>100</v>
      </c>
      <c r="F659" s="128">
        <v>29156</v>
      </c>
      <c r="G659" s="127" t="s">
        <v>5301</v>
      </c>
      <c r="H659" s="127" t="s">
        <v>1727</v>
      </c>
      <c r="I659" s="127" t="s">
        <v>500</v>
      </c>
      <c r="J659" s="127" t="s">
        <v>500</v>
      </c>
      <c r="K659" s="127" t="s">
        <v>500</v>
      </c>
      <c r="L659" s="127" t="s">
        <v>500</v>
      </c>
      <c r="M659" s="127" t="s">
        <v>99</v>
      </c>
      <c r="N659" s="127" t="s">
        <v>99</v>
      </c>
      <c r="O659" s="127" t="s">
        <v>99</v>
      </c>
      <c r="P659" s="127" t="s">
        <v>99</v>
      </c>
      <c r="Q659" s="127" t="s">
        <v>5981</v>
      </c>
      <c r="R659" s="127" t="s">
        <v>110</v>
      </c>
      <c r="S659" s="127" t="s">
        <v>99</v>
      </c>
      <c r="T659" s="127" t="s">
        <v>99</v>
      </c>
      <c r="U659" s="127" t="s">
        <v>5982</v>
      </c>
      <c r="V659" s="127" t="s">
        <v>99</v>
      </c>
      <c r="W659" s="127" t="s">
        <v>99</v>
      </c>
      <c r="X659" s="127" t="s">
        <v>99</v>
      </c>
      <c r="Y659" s="127" t="s">
        <v>99</v>
      </c>
      <c r="Z659" s="127" t="s">
        <v>5983</v>
      </c>
      <c r="AA659" s="127" t="s">
        <v>100</v>
      </c>
      <c r="AB659" s="127" t="s">
        <v>100</v>
      </c>
      <c r="AC659" s="127" t="s">
        <v>100</v>
      </c>
      <c r="AD659" s="127" t="s">
        <v>100</v>
      </c>
      <c r="AE659" s="127" t="s">
        <v>246</v>
      </c>
      <c r="AF659" s="127" t="s">
        <v>99</v>
      </c>
      <c r="AG659" s="127" t="s">
        <v>99</v>
      </c>
      <c r="AH659" s="129" t="s">
        <v>99</v>
      </c>
      <c r="AI659" s="127" t="s">
        <v>99</v>
      </c>
      <c r="AJ659" s="9" t="s">
        <v>99</v>
      </c>
      <c r="AK659" s="9" t="s">
        <v>99</v>
      </c>
      <c r="AL659" s="9">
        <v>96.9</v>
      </c>
      <c r="AM659" s="9">
        <v>173</v>
      </c>
      <c r="AN659" s="10">
        <v>102</v>
      </c>
      <c r="AO659" s="9">
        <v>113</v>
      </c>
      <c r="AP659" s="9">
        <v>34</v>
      </c>
      <c r="AQ659" s="9">
        <v>16</v>
      </c>
      <c r="AR659" s="9">
        <v>30.4</v>
      </c>
      <c r="AS659" s="9">
        <v>67</v>
      </c>
      <c r="AT659" s="9">
        <v>32.4</v>
      </c>
      <c r="AU659" s="9">
        <v>133</v>
      </c>
      <c r="AV659" s="9">
        <v>89</v>
      </c>
      <c r="AW659" s="9" t="s">
        <v>110</v>
      </c>
      <c r="AX659" s="9" t="s">
        <v>5984</v>
      </c>
      <c r="AY659" s="9" t="s">
        <v>2937</v>
      </c>
      <c r="AZ659" s="9" t="s">
        <v>1977</v>
      </c>
      <c r="BA659" s="9" t="s">
        <v>110</v>
      </c>
      <c r="BB659" s="9" t="s">
        <v>346</v>
      </c>
      <c r="BC659" s="9" t="s">
        <v>500</v>
      </c>
      <c r="BD659" s="9" t="s">
        <v>500</v>
      </c>
      <c r="BE659" s="9" t="s">
        <v>110</v>
      </c>
      <c r="BF659" s="9" t="s">
        <v>176</v>
      </c>
      <c r="BG659" s="9" t="s">
        <v>350</v>
      </c>
      <c r="BH659" s="9" t="s">
        <v>350</v>
      </c>
      <c r="BI659" s="9" t="s">
        <v>350</v>
      </c>
      <c r="BJ659" s="9" t="s">
        <v>176</v>
      </c>
      <c r="BK659" s="9" t="s">
        <v>350</v>
      </c>
      <c r="BL659" s="9" t="s">
        <v>110</v>
      </c>
      <c r="BM659" s="9" t="s">
        <v>350</v>
      </c>
      <c r="BN659" s="9" t="s">
        <v>179</v>
      </c>
      <c r="BO659" s="9" t="s">
        <v>219</v>
      </c>
      <c r="BP659" s="9" t="s">
        <v>2770</v>
      </c>
      <c r="BQ659" s="9" t="s">
        <v>99</v>
      </c>
      <c r="BR659" s="9" t="s">
        <v>500</v>
      </c>
      <c r="BS659" s="9" t="s">
        <v>500</v>
      </c>
      <c r="BT659" s="9" t="s">
        <v>500</v>
      </c>
      <c r="BU659" s="9" t="s">
        <v>99</v>
      </c>
      <c r="BV659" s="9" t="s">
        <v>500</v>
      </c>
      <c r="BW659" s="9" t="s">
        <v>500</v>
      </c>
      <c r="BX659" s="9" t="s">
        <v>500</v>
      </c>
      <c r="BY659" s="9" t="s">
        <v>351</v>
      </c>
      <c r="BZ659" s="9" t="s">
        <v>182</v>
      </c>
      <c r="CA659" s="9" t="s">
        <v>183</v>
      </c>
      <c r="CB659" s="9" t="s">
        <v>577</v>
      </c>
      <c r="CC659" s="9" t="s">
        <v>99</v>
      </c>
      <c r="CD659" s="9" t="s">
        <v>500</v>
      </c>
      <c r="CE659" s="9" t="s">
        <v>500</v>
      </c>
      <c r="CF659" s="9" t="s">
        <v>500</v>
      </c>
      <c r="CG659" s="9" t="s">
        <v>99</v>
      </c>
      <c r="CH659" s="9" t="s">
        <v>500</v>
      </c>
      <c r="CI659" s="9" t="s">
        <v>500</v>
      </c>
      <c r="CJ659" s="9" t="s">
        <v>500</v>
      </c>
      <c r="CK659" s="9" t="s">
        <v>110</v>
      </c>
      <c r="CL659" s="9" t="s">
        <v>2448</v>
      </c>
      <c r="CM659" s="9" t="s">
        <v>5985</v>
      </c>
      <c r="CN659" s="9" t="s">
        <v>3141</v>
      </c>
      <c r="CO659" s="9" t="s">
        <v>110</v>
      </c>
      <c r="CP659" s="9" t="s">
        <v>362</v>
      </c>
      <c r="CQ659" s="9" t="s">
        <v>500</v>
      </c>
      <c r="CR659" s="9" t="s">
        <v>500</v>
      </c>
      <c r="CS659" s="9" t="s">
        <v>350</v>
      </c>
      <c r="CT659" s="9" t="s">
        <v>1729</v>
      </c>
      <c r="CU659" s="9" t="s">
        <v>363</v>
      </c>
      <c r="CV659" s="9" t="s">
        <v>500</v>
      </c>
      <c r="CW659" s="9">
        <v>3</v>
      </c>
      <c r="CX659" s="9" t="s">
        <v>5986</v>
      </c>
      <c r="CY659" s="9" t="s">
        <v>110</v>
      </c>
      <c r="CZ659" s="9" t="s">
        <v>500</v>
      </c>
      <c r="DA659" s="9" t="s">
        <v>500</v>
      </c>
      <c r="DB659" s="9" t="s">
        <v>500</v>
      </c>
      <c r="DC659" s="9">
        <v>90.1</v>
      </c>
      <c r="DD659" s="9">
        <v>0.62</v>
      </c>
      <c r="DE659" s="9">
        <v>162</v>
      </c>
      <c r="DF659" s="9">
        <v>110</v>
      </c>
      <c r="DG659" s="9">
        <f t="shared" si="10"/>
        <v>4.6007002652033542</v>
      </c>
      <c r="DH659" s="9">
        <v>22</v>
      </c>
      <c r="DI659" s="9">
        <v>4.8899999999999997</v>
      </c>
      <c r="DJ659" s="9"/>
      <c r="DK659" s="9"/>
      <c r="DL659" s="9">
        <v>39.200000000000003</v>
      </c>
      <c r="DM659" s="9">
        <v>100.8</v>
      </c>
      <c r="DN659" s="9"/>
      <c r="DO659" s="9"/>
      <c r="DP659" s="53">
        <v>3</v>
      </c>
      <c r="DR659" s="33">
        <v>1</v>
      </c>
      <c r="DU659">
        <v>7</v>
      </c>
    </row>
    <row r="660" spans="1:125" customFormat="1" x14ac:dyDescent="0.2">
      <c r="A660" s="127" t="s">
        <v>5987</v>
      </c>
      <c r="B660" s="128">
        <v>43803</v>
      </c>
      <c r="C660" s="127" t="s">
        <v>196</v>
      </c>
      <c r="D660" s="127">
        <v>34</v>
      </c>
      <c r="E660" s="127" t="s">
        <v>1338</v>
      </c>
      <c r="F660" s="128">
        <v>31026</v>
      </c>
      <c r="G660" s="127" t="s">
        <v>2495</v>
      </c>
      <c r="H660" s="127" t="s">
        <v>5988</v>
      </c>
      <c r="I660" s="127" t="s">
        <v>500</v>
      </c>
      <c r="J660" s="127" t="s">
        <v>500</v>
      </c>
      <c r="K660" s="128">
        <v>39956</v>
      </c>
      <c r="L660" s="127">
        <v>3</v>
      </c>
      <c r="M660" s="127" t="s">
        <v>99</v>
      </c>
      <c r="N660" s="127" t="s">
        <v>99</v>
      </c>
      <c r="O660" s="127" t="s">
        <v>99</v>
      </c>
      <c r="P660" s="127" t="s">
        <v>5902</v>
      </c>
      <c r="Q660" s="127" t="s">
        <v>99</v>
      </c>
      <c r="R660" s="127" t="s">
        <v>110</v>
      </c>
      <c r="S660" s="127" t="s">
        <v>99</v>
      </c>
      <c r="T660" s="127" t="s">
        <v>5451</v>
      </c>
      <c r="U660" s="127" t="s">
        <v>5989</v>
      </c>
      <c r="V660" s="127" t="s">
        <v>99</v>
      </c>
      <c r="W660" s="127" t="s">
        <v>5990</v>
      </c>
      <c r="X660" s="127" t="s">
        <v>99</v>
      </c>
      <c r="Y660" s="127" t="s">
        <v>2596</v>
      </c>
      <c r="Z660" s="127" t="s">
        <v>99</v>
      </c>
      <c r="AA660" s="127" t="s">
        <v>100</v>
      </c>
      <c r="AB660" s="127" t="s">
        <v>1338</v>
      </c>
      <c r="AC660" s="127" t="s">
        <v>100</v>
      </c>
      <c r="AD660" s="127" t="s">
        <v>816</v>
      </c>
      <c r="AE660" s="127" t="s">
        <v>5991</v>
      </c>
      <c r="AF660" s="127" t="s">
        <v>1127</v>
      </c>
      <c r="AG660" s="127" t="s">
        <v>1959</v>
      </c>
      <c r="AH660" s="129" t="s">
        <v>99</v>
      </c>
      <c r="AI660" s="127" t="s">
        <v>99</v>
      </c>
      <c r="AJ660" s="9" t="s">
        <v>99</v>
      </c>
      <c r="AK660" s="9" t="s">
        <v>5992</v>
      </c>
      <c r="AL660" s="9">
        <v>93.8</v>
      </c>
      <c r="AM660" s="9">
        <v>167</v>
      </c>
      <c r="AN660" s="10">
        <v>102</v>
      </c>
      <c r="AO660" s="9">
        <v>122</v>
      </c>
      <c r="AP660" s="9">
        <v>48.2</v>
      </c>
      <c r="AQ660" s="9">
        <v>9</v>
      </c>
      <c r="AR660" s="9">
        <v>22.9</v>
      </c>
      <c r="AS660" s="9">
        <v>58</v>
      </c>
      <c r="AT660" s="9">
        <v>33.6</v>
      </c>
      <c r="AU660" s="9">
        <v>116</v>
      </c>
      <c r="AV660" s="9">
        <v>75</v>
      </c>
      <c r="AW660" s="9" t="s">
        <v>110</v>
      </c>
      <c r="AX660" s="9" t="s">
        <v>5993</v>
      </c>
      <c r="AY660" s="9" t="s">
        <v>500</v>
      </c>
      <c r="AZ660" s="9" t="s">
        <v>500</v>
      </c>
      <c r="BA660" s="9" t="s">
        <v>110</v>
      </c>
      <c r="BB660" s="9" t="s">
        <v>4791</v>
      </c>
      <c r="BC660" s="9" t="s">
        <v>500</v>
      </c>
      <c r="BD660" s="9" t="s">
        <v>500</v>
      </c>
      <c r="BE660" s="9" t="s">
        <v>110</v>
      </c>
      <c r="BF660" s="9" t="s">
        <v>5441</v>
      </c>
      <c r="BG660" s="9" t="s">
        <v>213</v>
      </c>
      <c r="BH660" s="9" t="s">
        <v>707</v>
      </c>
      <c r="BI660" s="9" t="s">
        <v>1469</v>
      </c>
      <c r="BJ660" s="9" t="s">
        <v>213</v>
      </c>
      <c r="BK660" s="9" t="s">
        <v>5513</v>
      </c>
      <c r="BL660" s="9" t="s">
        <v>110</v>
      </c>
      <c r="BM660" s="9" t="s">
        <v>350</v>
      </c>
      <c r="BN660" s="9" t="s">
        <v>500</v>
      </c>
      <c r="BO660" s="9" t="s">
        <v>500</v>
      </c>
      <c r="BP660" s="9" t="s">
        <v>500</v>
      </c>
      <c r="BQ660" s="9" t="s">
        <v>350</v>
      </c>
      <c r="BR660" s="9" t="s">
        <v>500</v>
      </c>
      <c r="BS660" s="9" t="s">
        <v>500</v>
      </c>
      <c r="BT660" s="9" t="s">
        <v>500</v>
      </c>
      <c r="BU660" s="9" t="s">
        <v>350</v>
      </c>
      <c r="BV660" s="9" t="s">
        <v>500</v>
      </c>
      <c r="BW660" s="9" t="s">
        <v>500</v>
      </c>
      <c r="BX660" s="9" t="s">
        <v>500</v>
      </c>
      <c r="BY660" s="9" t="s">
        <v>350</v>
      </c>
      <c r="BZ660" s="9" t="s">
        <v>500</v>
      </c>
      <c r="CA660" s="9" t="s">
        <v>500</v>
      </c>
      <c r="CB660" s="9" t="s">
        <v>500</v>
      </c>
      <c r="CC660" s="9" t="s">
        <v>350</v>
      </c>
      <c r="CD660" s="9" t="s">
        <v>500</v>
      </c>
      <c r="CE660" s="9" t="s">
        <v>500</v>
      </c>
      <c r="CF660" s="9" t="s">
        <v>500</v>
      </c>
      <c r="CG660" s="9" t="s">
        <v>500</v>
      </c>
      <c r="CH660" s="9" t="s">
        <v>500</v>
      </c>
      <c r="CI660" s="9" t="s">
        <v>500</v>
      </c>
      <c r="CJ660" s="9" t="s">
        <v>500</v>
      </c>
      <c r="CK660" s="9" t="s">
        <v>110</v>
      </c>
      <c r="CL660" s="9" t="s">
        <v>2448</v>
      </c>
      <c r="CM660" s="9" t="s">
        <v>5985</v>
      </c>
      <c r="CN660" s="9" t="s">
        <v>5994</v>
      </c>
      <c r="CO660" s="9" t="s">
        <v>350</v>
      </c>
      <c r="CP660" s="9" t="s">
        <v>500</v>
      </c>
      <c r="CQ660" s="9" t="s">
        <v>500</v>
      </c>
      <c r="CR660" s="9" t="s">
        <v>500</v>
      </c>
      <c r="CS660" s="9" t="s">
        <v>350</v>
      </c>
      <c r="CT660" s="9" t="s">
        <v>500</v>
      </c>
      <c r="CU660" s="9" t="s">
        <v>500</v>
      </c>
      <c r="CV660" s="9" t="s">
        <v>500</v>
      </c>
      <c r="CW660" s="9">
        <v>2</v>
      </c>
      <c r="CX660" s="9" t="s">
        <v>5995</v>
      </c>
      <c r="CY660" s="9" t="s">
        <v>500</v>
      </c>
      <c r="CZ660" s="9">
        <v>50</v>
      </c>
      <c r="DA660" s="9" t="s">
        <v>500</v>
      </c>
      <c r="DB660" s="9" t="s">
        <v>500</v>
      </c>
      <c r="DC660" s="9">
        <v>96.3</v>
      </c>
      <c r="DD660" s="9">
        <v>0.45</v>
      </c>
      <c r="DE660" s="9">
        <v>163</v>
      </c>
      <c r="DF660" s="9">
        <v>105</v>
      </c>
      <c r="DG660" s="9">
        <f t="shared" si="10"/>
        <v>4.6107143344808019</v>
      </c>
      <c r="DH660" s="9">
        <v>21</v>
      </c>
      <c r="DI660" s="9">
        <v>6.13</v>
      </c>
      <c r="DJ660" s="9"/>
      <c r="DK660" s="9"/>
      <c r="DL660" s="9">
        <v>45.4</v>
      </c>
      <c r="DM660" s="9">
        <v>96.6</v>
      </c>
      <c r="DN660" s="9"/>
      <c r="DO660" s="9"/>
      <c r="DR660">
        <v>2</v>
      </c>
    </row>
    <row r="661" spans="1:125" customFormat="1" x14ac:dyDescent="0.2">
      <c r="A661" s="157" t="s">
        <v>5996</v>
      </c>
      <c r="B661" s="128">
        <v>43803</v>
      </c>
      <c r="C661" s="127" t="s">
        <v>196</v>
      </c>
      <c r="D661" s="127">
        <v>60</v>
      </c>
      <c r="E661" s="127" t="s">
        <v>100</v>
      </c>
      <c r="F661" s="128">
        <v>21553</v>
      </c>
      <c r="G661" s="127" t="s">
        <v>2495</v>
      </c>
      <c r="H661" s="127" t="s">
        <v>5988</v>
      </c>
      <c r="I661" s="127" t="s">
        <v>5582</v>
      </c>
      <c r="J661" s="127" t="s">
        <v>500</v>
      </c>
      <c r="K661" s="127" t="s">
        <v>5997</v>
      </c>
      <c r="L661" s="127">
        <v>4</v>
      </c>
      <c r="M661" s="127" t="s">
        <v>99</v>
      </c>
      <c r="N661" s="127" t="s">
        <v>99</v>
      </c>
      <c r="O661" s="127" t="s">
        <v>99</v>
      </c>
      <c r="P661" s="127" t="s">
        <v>99</v>
      </c>
      <c r="Q661" s="127" t="s">
        <v>4722</v>
      </c>
      <c r="R661" s="127" t="s">
        <v>500</v>
      </c>
      <c r="S661" s="127" t="s">
        <v>99</v>
      </c>
      <c r="T661" s="127" t="s">
        <v>99</v>
      </c>
      <c r="U661" s="127" t="s">
        <v>99</v>
      </c>
      <c r="V661" s="127" t="s">
        <v>99</v>
      </c>
      <c r="W661" s="127" t="s">
        <v>99</v>
      </c>
      <c r="X661" s="127" t="s">
        <v>99</v>
      </c>
      <c r="Y661" s="127" t="s">
        <v>99</v>
      </c>
      <c r="Z661" s="127" t="s">
        <v>5998</v>
      </c>
      <c r="AA661" s="127" t="s">
        <v>100</v>
      </c>
      <c r="AB661" s="127" t="s">
        <v>100</v>
      </c>
      <c r="AC661" s="127" t="s">
        <v>100</v>
      </c>
      <c r="AD661" s="127" t="s">
        <v>100</v>
      </c>
      <c r="AE661" s="127" t="s">
        <v>246</v>
      </c>
      <c r="AF661" s="127" t="s">
        <v>99</v>
      </c>
      <c r="AG661" s="127" t="s">
        <v>1127</v>
      </c>
      <c r="AH661" s="129" t="s">
        <v>246</v>
      </c>
      <c r="AI661" s="127" t="s">
        <v>99</v>
      </c>
      <c r="AJ661" s="9" t="s">
        <v>99</v>
      </c>
      <c r="AK661" s="9" t="s">
        <v>99</v>
      </c>
      <c r="AL661" s="9">
        <v>85.1</v>
      </c>
      <c r="AM661" s="9">
        <v>165</v>
      </c>
      <c r="AN661" s="10">
        <v>106</v>
      </c>
      <c r="AO661" s="9">
        <v>120</v>
      </c>
      <c r="AP661" s="9">
        <v>47.7</v>
      </c>
      <c r="AQ661" s="9">
        <v>12</v>
      </c>
      <c r="AR661" s="9">
        <v>23</v>
      </c>
      <c r="AS661" s="9">
        <v>71</v>
      </c>
      <c r="AT661" s="9">
        <v>32.5</v>
      </c>
      <c r="AU661" s="9">
        <v>101</v>
      </c>
      <c r="AV661" s="9">
        <v>69</v>
      </c>
      <c r="AW661" s="9" t="s">
        <v>110</v>
      </c>
      <c r="AX661" s="9" t="s">
        <v>213</v>
      </c>
      <c r="AY661" s="9" t="s">
        <v>500</v>
      </c>
      <c r="AZ661" s="9" t="s">
        <v>500</v>
      </c>
      <c r="BA661" s="9" t="s">
        <v>110</v>
      </c>
      <c r="BB661" s="9" t="s">
        <v>1469</v>
      </c>
      <c r="BC661" s="9" t="s">
        <v>500</v>
      </c>
      <c r="BD661" s="9" t="s">
        <v>500</v>
      </c>
      <c r="BE661" s="9" t="s">
        <v>110</v>
      </c>
      <c r="BF661" s="9" t="s">
        <v>5999</v>
      </c>
      <c r="BG661" s="9" t="s">
        <v>213</v>
      </c>
      <c r="BH661" s="9" t="s">
        <v>99</v>
      </c>
      <c r="BI661" s="9" t="s">
        <v>5510</v>
      </c>
      <c r="BJ661" s="9" t="s">
        <v>99</v>
      </c>
      <c r="BK661" s="9" t="s">
        <v>5513</v>
      </c>
      <c r="BL661" s="9" t="s">
        <v>110</v>
      </c>
      <c r="BM661" s="9" t="s">
        <v>350</v>
      </c>
      <c r="BN661" s="9" t="s">
        <v>180</v>
      </c>
      <c r="BO661" s="9" t="s">
        <v>6000</v>
      </c>
      <c r="BP661" s="9" t="s">
        <v>179</v>
      </c>
      <c r="BQ661" s="9" t="s">
        <v>99</v>
      </c>
      <c r="BR661" s="9" t="s">
        <v>500</v>
      </c>
      <c r="BS661" s="9" t="s">
        <v>500</v>
      </c>
      <c r="BT661" s="9" t="s">
        <v>500</v>
      </c>
      <c r="BU661" s="9" t="s">
        <v>500</v>
      </c>
      <c r="BV661" s="9" t="s">
        <v>500</v>
      </c>
      <c r="BW661" s="9" t="s">
        <v>500</v>
      </c>
      <c r="BX661" s="9" t="s">
        <v>500</v>
      </c>
      <c r="BY661" s="9" t="s">
        <v>351</v>
      </c>
      <c r="BZ661" s="9" t="s">
        <v>184</v>
      </c>
      <c r="CA661" s="9" t="s">
        <v>578</v>
      </c>
      <c r="CB661" s="9" t="s">
        <v>182</v>
      </c>
      <c r="CC661" s="9" t="s">
        <v>6001</v>
      </c>
      <c r="CD661" s="9" t="s">
        <v>500</v>
      </c>
      <c r="CE661" s="9" t="s">
        <v>500</v>
      </c>
      <c r="CF661" s="9" t="s">
        <v>500</v>
      </c>
      <c r="CG661" s="9" t="s">
        <v>500</v>
      </c>
      <c r="CH661" s="9" t="s">
        <v>500</v>
      </c>
      <c r="CI661" s="9" t="s">
        <v>500</v>
      </c>
      <c r="CJ661" s="9" t="s">
        <v>500</v>
      </c>
      <c r="CK661" s="9" t="s">
        <v>110</v>
      </c>
      <c r="CL661" s="9" t="s">
        <v>5971</v>
      </c>
      <c r="CM661" s="9" t="s">
        <v>5985</v>
      </c>
      <c r="CN661" s="9" t="s">
        <v>6002</v>
      </c>
      <c r="CO661" s="9" t="s">
        <v>110</v>
      </c>
      <c r="CP661" s="9" t="s">
        <v>890</v>
      </c>
      <c r="CQ661" s="9" t="s">
        <v>3312</v>
      </c>
      <c r="CR661" s="9" t="s">
        <v>500</v>
      </c>
      <c r="CS661" s="9" t="s">
        <v>350</v>
      </c>
      <c r="CT661" s="9" t="s">
        <v>727</v>
      </c>
      <c r="CU661" s="9" t="s">
        <v>500</v>
      </c>
      <c r="CV661" s="9" t="s">
        <v>500</v>
      </c>
      <c r="CW661" s="9">
        <v>3</v>
      </c>
      <c r="CX661" s="9" t="s">
        <v>6003</v>
      </c>
      <c r="CY661" s="9" t="s">
        <v>2756</v>
      </c>
      <c r="CZ661" s="9">
        <v>25</v>
      </c>
      <c r="DA661" s="9">
        <v>25</v>
      </c>
      <c r="DB661" s="9">
        <v>50</v>
      </c>
      <c r="DC661" s="9">
        <v>90.1</v>
      </c>
      <c r="DD661" s="9">
        <v>0.97</v>
      </c>
      <c r="DE661" s="9">
        <v>247</v>
      </c>
      <c r="DF661" s="9">
        <v>162</v>
      </c>
      <c r="DG661" s="9">
        <f t="shared" si="10"/>
        <v>4.7942582499233382</v>
      </c>
      <c r="DH661" s="9">
        <v>32.4</v>
      </c>
      <c r="DI661" s="9">
        <v>6.73</v>
      </c>
      <c r="DJ661" s="9"/>
      <c r="DK661" s="9"/>
      <c r="DL661" s="9">
        <v>45.6</v>
      </c>
      <c r="DM661" s="9">
        <v>169</v>
      </c>
      <c r="DN661" s="9"/>
      <c r="DO661" s="9"/>
      <c r="DP661" s="53">
        <v>3</v>
      </c>
      <c r="DR661">
        <v>3</v>
      </c>
      <c r="DU661">
        <v>6.1</v>
      </c>
    </row>
    <row r="662" spans="1:125" customFormat="1" x14ac:dyDescent="0.2">
      <c r="A662" s="157" t="s">
        <v>6004</v>
      </c>
      <c r="B662" s="128">
        <v>43803</v>
      </c>
      <c r="C662" s="127" t="s">
        <v>675</v>
      </c>
      <c r="D662" s="127">
        <v>39</v>
      </c>
      <c r="E662" s="127" t="s">
        <v>100</v>
      </c>
      <c r="F662" s="128">
        <v>29538</v>
      </c>
      <c r="G662" s="127" t="s">
        <v>837</v>
      </c>
      <c r="H662" s="127" t="s">
        <v>6005</v>
      </c>
      <c r="I662" s="127" t="s">
        <v>500</v>
      </c>
      <c r="J662" s="127" t="s">
        <v>500</v>
      </c>
      <c r="K662" s="127" t="s">
        <v>500</v>
      </c>
      <c r="L662" s="127" t="s">
        <v>500</v>
      </c>
      <c r="M662" s="127" t="s">
        <v>99</v>
      </c>
      <c r="N662" s="127" t="s">
        <v>6006</v>
      </c>
      <c r="O662" s="127" t="s">
        <v>6007</v>
      </c>
      <c r="P662" s="127" t="s">
        <v>6008</v>
      </c>
      <c r="Q662" s="127" t="s">
        <v>1639</v>
      </c>
      <c r="R662" s="127" t="s">
        <v>110</v>
      </c>
      <c r="S662" s="127" t="s">
        <v>110</v>
      </c>
      <c r="T662" s="127" t="s">
        <v>500</v>
      </c>
      <c r="U662" s="127" t="s">
        <v>500</v>
      </c>
      <c r="V662" s="127" t="s">
        <v>99</v>
      </c>
      <c r="W662" s="127" t="s">
        <v>6009</v>
      </c>
      <c r="X662" s="127" t="s">
        <v>99</v>
      </c>
      <c r="Y662" s="127" t="s">
        <v>99</v>
      </c>
      <c r="Z662" s="127" t="s">
        <v>6010</v>
      </c>
      <c r="AA662" s="127" t="s">
        <v>100</v>
      </c>
      <c r="AB662" s="127" t="s">
        <v>100</v>
      </c>
      <c r="AC662" s="127" t="s">
        <v>100</v>
      </c>
      <c r="AD662" s="127" t="s">
        <v>100</v>
      </c>
      <c r="AE662" s="127" t="s">
        <v>6011</v>
      </c>
      <c r="AF662" s="127" t="s">
        <v>6011</v>
      </c>
      <c r="AG662" s="127" t="s">
        <v>6012</v>
      </c>
      <c r="AH662" s="129" t="s">
        <v>4981</v>
      </c>
      <c r="AI662" s="127" t="s">
        <v>99</v>
      </c>
      <c r="AJ662" s="9" t="s">
        <v>99</v>
      </c>
      <c r="AK662" s="9" t="s">
        <v>99</v>
      </c>
      <c r="AL662" s="9">
        <v>114.7</v>
      </c>
      <c r="AM662" s="9">
        <v>176</v>
      </c>
      <c r="AN662" s="10">
        <v>111</v>
      </c>
      <c r="AO662" s="9">
        <v>124</v>
      </c>
      <c r="AP662" s="9">
        <v>46.3</v>
      </c>
      <c r="AQ662" s="9">
        <v>22</v>
      </c>
      <c r="AR662" s="9">
        <v>23.1</v>
      </c>
      <c r="AS662" s="9">
        <v>80</v>
      </c>
      <c r="AT662" s="9">
        <v>37</v>
      </c>
      <c r="AU662" s="10">
        <v>144</v>
      </c>
      <c r="AV662" s="10">
        <v>96</v>
      </c>
      <c r="AW662" s="9" t="s">
        <v>110</v>
      </c>
      <c r="AX662" s="9" t="s">
        <v>6013</v>
      </c>
      <c r="AY662" s="9" t="s">
        <v>2050</v>
      </c>
      <c r="AZ662" s="9" t="s">
        <v>1977</v>
      </c>
      <c r="BA662" s="9" t="s">
        <v>110</v>
      </c>
      <c r="BB662" s="9" t="s">
        <v>6014</v>
      </c>
      <c r="BC662" s="9" t="s">
        <v>6015</v>
      </c>
      <c r="BD662" s="9" t="s">
        <v>2053</v>
      </c>
      <c r="BE662" s="9" t="s">
        <v>110</v>
      </c>
      <c r="BF662" s="9" t="s">
        <v>707</v>
      </c>
      <c r="BG662" s="9" t="s">
        <v>707</v>
      </c>
      <c r="BH662" s="9" t="s">
        <v>213</v>
      </c>
      <c r="BI662" s="9" t="s">
        <v>1469</v>
      </c>
      <c r="BJ662" s="9" t="s">
        <v>5442</v>
      </c>
      <c r="BK662" s="9" t="s">
        <v>6016</v>
      </c>
      <c r="BL662" s="9" t="s">
        <v>110</v>
      </c>
      <c r="BM662" s="9" t="s">
        <v>350</v>
      </c>
      <c r="BN662" s="9" t="s">
        <v>6017</v>
      </c>
      <c r="BO662" s="9" t="s">
        <v>5057</v>
      </c>
      <c r="BP662" s="9" t="s">
        <v>500</v>
      </c>
      <c r="BQ662" s="9" t="s">
        <v>350</v>
      </c>
      <c r="BR662" s="9" t="s">
        <v>2747</v>
      </c>
      <c r="BS662" s="9" t="s">
        <v>500</v>
      </c>
      <c r="BT662" s="9" t="s">
        <v>500</v>
      </c>
      <c r="BU662" s="9" t="s">
        <v>350</v>
      </c>
      <c r="BV662" s="9" t="s">
        <v>1469</v>
      </c>
      <c r="BW662" s="9" t="s">
        <v>500</v>
      </c>
      <c r="BX662" s="9" t="s">
        <v>500</v>
      </c>
      <c r="BY662" s="9" t="s">
        <v>350</v>
      </c>
      <c r="BZ662" s="9" t="s">
        <v>6018</v>
      </c>
      <c r="CA662" s="9" t="s">
        <v>500</v>
      </c>
      <c r="CB662" s="9" t="s">
        <v>500</v>
      </c>
      <c r="CC662" s="9" t="s">
        <v>350</v>
      </c>
      <c r="CD662" s="9" t="s">
        <v>2747</v>
      </c>
      <c r="CE662" s="9" t="s">
        <v>500</v>
      </c>
      <c r="CF662" s="9" t="s">
        <v>500</v>
      </c>
      <c r="CG662" s="9" t="s">
        <v>500</v>
      </c>
      <c r="CH662" s="9" t="s">
        <v>500</v>
      </c>
      <c r="CI662" s="9" t="s">
        <v>500</v>
      </c>
      <c r="CJ662" s="9" t="s">
        <v>500</v>
      </c>
      <c r="CK662" s="9" t="s">
        <v>110</v>
      </c>
      <c r="CL662" s="9" t="s">
        <v>358</v>
      </c>
      <c r="CM662" s="9" t="s">
        <v>6019</v>
      </c>
      <c r="CN662" s="9" t="s">
        <v>6020</v>
      </c>
      <c r="CO662" s="9" t="s">
        <v>176</v>
      </c>
      <c r="CP662" s="9" t="s">
        <v>716</v>
      </c>
      <c r="CQ662" s="9" t="s">
        <v>361</v>
      </c>
      <c r="CR662" s="9" t="s">
        <v>6021</v>
      </c>
      <c r="CS662" s="9" t="s">
        <v>350</v>
      </c>
      <c r="CT662" s="9" t="s">
        <v>500</v>
      </c>
      <c r="CU662" s="9" t="s">
        <v>500</v>
      </c>
      <c r="CV662" s="9" t="s">
        <v>500</v>
      </c>
      <c r="CW662" s="9">
        <v>3</v>
      </c>
      <c r="CX662" s="9" t="s">
        <v>99</v>
      </c>
      <c r="CY662" s="9" t="s">
        <v>110</v>
      </c>
      <c r="CZ662" s="9" t="s">
        <v>500</v>
      </c>
      <c r="DA662" s="9" t="s">
        <v>500</v>
      </c>
      <c r="DB662" s="9" t="s">
        <v>500</v>
      </c>
      <c r="DC662" s="9">
        <v>97</v>
      </c>
      <c r="DD662" s="9">
        <v>1.6</v>
      </c>
      <c r="DE662" s="9">
        <v>182</v>
      </c>
      <c r="DF662" s="9">
        <v>142</v>
      </c>
      <c r="DG662" s="9">
        <f t="shared" si="10"/>
        <v>4.7652690180523214</v>
      </c>
      <c r="DH662" s="9">
        <v>28.4</v>
      </c>
      <c r="DI662" s="10">
        <v>7.65</v>
      </c>
      <c r="DJ662" s="9"/>
      <c r="DK662" s="9"/>
      <c r="DL662" s="9">
        <v>38.9</v>
      </c>
      <c r="DM662" s="9">
        <v>114.7</v>
      </c>
      <c r="DN662" s="9"/>
      <c r="DO662" s="9"/>
      <c r="DR662">
        <v>2</v>
      </c>
    </row>
    <row r="663" spans="1:125" x14ac:dyDescent="0.2">
      <c r="A663" s="9" t="s">
        <v>6022</v>
      </c>
      <c r="DG663" s="9" t="e">
        <f t="shared" si="10"/>
        <v>#NUM!</v>
      </c>
    </row>
    <row r="664" spans="1:125" customFormat="1" x14ac:dyDescent="0.2">
      <c r="A664" s="127" t="s">
        <v>6023</v>
      </c>
      <c r="B664" s="128">
        <v>43803</v>
      </c>
      <c r="C664" s="127" t="s">
        <v>675</v>
      </c>
      <c r="D664" s="127">
        <v>45</v>
      </c>
      <c r="E664" s="127" t="s">
        <v>1338</v>
      </c>
      <c r="F664" s="128">
        <v>27127</v>
      </c>
      <c r="G664" s="127" t="s">
        <v>837</v>
      </c>
      <c r="H664" s="127" t="s">
        <v>5492</v>
      </c>
      <c r="I664" s="127" t="s">
        <v>500</v>
      </c>
      <c r="J664" s="127" t="s">
        <v>500</v>
      </c>
      <c r="K664" s="127" t="s">
        <v>500</v>
      </c>
      <c r="L664" s="127" t="s">
        <v>500</v>
      </c>
      <c r="M664" s="127" t="s">
        <v>99</v>
      </c>
      <c r="N664" s="127" t="s">
        <v>99</v>
      </c>
      <c r="O664" s="127" t="s">
        <v>6024</v>
      </c>
      <c r="P664" s="127" t="s">
        <v>99</v>
      </c>
      <c r="Q664" s="127" t="s">
        <v>6025</v>
      </c>
      <c r="R664" s="127" t="s">
        <v>110</v>
      </c>
      <c r="S664" s="127" t="s">
        <v>99</v>
      </c>
      <c r="T664" s="127" t="s">
        <v>99</v>
      </c>
      <c r="U664" s="127" t="s">
        <v>110</v>
      </c>
      <c r="V664" s="127" t="s">
        <v>99</v>
      </c>
      <c r="W664" s="127" t="s">
        <v>99</v>
      </c>
      <c r="X664" s="127" t="s">
        <v>99</v>
      </c>
      <c r="Y664" s="127" t="s">
        <v>99</v>
      </c>
      <c r="Z664" s="127" t="s">
        <v>99</v>
      </c>
      <c r="AA664" s="127" t="s">
        <v>100</v>
      </c>
      <c r="AB664" s="127" t="s">
        <v>1338</v>
      </c>
      <c r="AC664" s="127" t="s">
        <v>100</v>
      </c>
      <c r="AD664" s="127" t="s">
        <v>100</v>
      </c>
      <c r="AE664" s="127" t="s">
        <v>6026</v>
      </c>
      <c r="AF664" s="127" t="s">
        <v>99</v>
      </c>
      <c r="AG664" s="127" t="s">
        <v>110</v>
      </c>
      <c r="AH664" s="129" t="s">
        <v>99</v>
      </c>
      <c r="AI664" s="127" t="s">
        <v>99</v>
      </c>
      <c r="AJ664" s="9" t="s">
        <v>99</v>
      </c>
      <c r="AK664" s="9" t="s">
        <v>99</v>
      </c>
      <c r="AL664" s="9">
        <v>76.599999999999994</v>
      </c>
      <c r="AM664" s="9">
        <v>171</v>
      </c>
      <c r="AN664" s="10">
        <v>92</v>
      </c>
      <c r="AO664" s="9">
        <v>100</v>
      </c>
      <c r="AP664" s="9">
        <v>24.3</v>
      </c>
      <c r="AQ664" s="9">
        <v>10</v>
      </c>
      <c r="AR664" s="9">
        <v>35.700000000000003</v>
      </c>
      <c r="AS664" s="9">
        <v>47</v>
      </c>
      <c r="AT664" s="9">
        <v>26.2</v>
      </c>
      <c r="AU664" s="9">
        <v>118</v>
      </c>
      <c r="AV664" s="9">
        <v>74</v>
      </c>
      <c r="AW664" s="9" t="s">
        <v>110</v>
      </c>
      <c r="AX664" s="9" t="s">
        <v>5518</v>
      </c>
      <c r="AY664" s="9" t="s">
        <v>500</v>
      </c>
      <c r="AZ664" s="9" t="s">
        <v>500</v>
      </c>
      <c r="BA664" s="9" t="s">
        <v>110</v>
      </c>
      <c r="BB664" s="9" t="s">
        <v>5466</v>
      </c>
      <c r="BC664" s="9" t="s">
        <v>500</v>
      </c>
      <c r="BD664" s="9" t="s">
        <v>500</v>
      </c>
      <c r="BE664" s="9" t="s">
        <v>110</v>
      </c>
      <c r="BF664" s="9" t="s">
        <v>707</v>
      </c>
      <c r="BG664" s="9" t="s">
        <v>1469</v>
      </c>
      <c r="BH664" s="9" t="s">
        <v>5513</v>
      </c>
      <c r="BI664" s="9" t="s">
        <v>351</v>
      </c>
      <c r="BJ664" s="9" t="s">
        <v>99</v>
      </c>
      <c r="BK664" s="9" t="s">
        <v>5871</v>
      </c>
      <c r="BL664" s="9" t="s">
        <v>110</v>
      </c>
      <c r="BM664" s="9" t="s">
        <v>350</v>
      </c>
      <c r="BN664" s="9" t="s">
        <v>500</v>
      </c>
      <c r="BO664" s="9" t="s">
        <v>500</v>
      </c>
      <c r="BP664" s="9" t="s">
        <v>500</v>
      </c>
      <c r="BQ664" s="9" t="s">
        <v>99</v>
      </c>
      <c r="BR664" s="9" t="s">
        <v>500</v>
      </c>
      <c r="BS664" s="9" t="s">
        <v>500</v>
      </c>
      <c r="BT664" s="9" t="s">
        <v>500</v>
      </c>
      <c r="BU664" s="9" t="s">
        <v>99</v>
      </c>
      <c r="BV664" s="9" t="s">
        <v>500</v>
      </c>
      <c r="BW664" s="9" t="s">
        <v>500</v>
      </c>
      <c r="BX664" s="9" t="s">
        <v>500</v>
      </c>
      <c r="BY664" s="9" t="s">
        <v>351</v>
      </c>
      <c r="BZ664" s="9" t="s">
        <v>500</v>
      </c>
      <c r="CA664" s="9" t="s">
        <v>500</v>
      </c>
      <c r="CB664" s="9" t="s">
        <v>500</v>
      </c>
      <c r="CC664" s="9" t="s">
        <v>99</v>
      </c>
      <c r="CD664" s="9" t="s">
        <v>500</v>
      </c>
      <c r="CE664" s="9" t="s">
        <v>500</v>
      </c>
      <c r="CF664" s="9" t="s">
        <v>500</v>
      </c>
      <c r="CG664" s="9" t="s">
        <v>500</v>
      </c>
      <c r="CH664" s="9" t="s">
        <v>500</v>
      </c>
      <c r="CI664" s="9" t="s">
        <v>500</v>
      </c>
      <c r="CJ664" s="9" t="s">
        <v>500</v>
      </c>
      <c r="CK664" s="9" t="s">
        <v>110</v>
      </c>
      <c r="CL664" s="9" t="s">
        <v>358</v>
      </c>
      <c r="CM664" s="9" t="s">
        <v>980</v>
      </c>
      <c r="CN664" s="9" t="s">
        <v>500</v>
      </c>
      <c r="CO664" s="9" t="s">
        <v>350</v>
      </c>
      <c r="CP664" s="9" t="s">
        <v>500</v>
      </c>
      <c r="CQ664" s="9" t="s">
        <v>500</v>
      </c>
      <c r="CR664" s="9" t="s">
        <v>500</v>
      </c>
      <c r="CS664" s="9" t="s">
        <v>350</v>
      </c>
      <c r="CT664" s="9" t="s">
        <v>500</v>
      </c>
      <c r="CU664" s="9" t="s">
        <v>500</v>
      </c>
      <c r="CV664" s="9" t="s">
        <v>500</v>
      </c>
      <c r="CW664" s="9">
        <v>2</v>
      </c>
      <c r="CX664" s="9" t="s">
        <v>110</v>
      </c>
      <c r="CY664" s="9" t="s">
        <v>110</v>
      </c>
      <c r="CZ664" s="9">
        <v>20</v>
      </c>
      <c r="DA664" s="9">
        <v>50</v>
      </c>
      <c r="DB664" s="9">
        <v>30</v>
      </c>
      <c r="DC664">
        <v>93.7</v>
      </c>
      <c r="DD664">
        <v>1.01</v>
      </c>
      <c r="DE664">
        <v>208</v>
      </c>
      <c r="DF664">
        <v>196</v>
      </c>
      <c r="DG664" s="9">
        <f t="shared" si="10"/>
        <v>4.9091064242374465</v>
      </c>
      <c r="DH664">
        <v>39.200000000000003</v>
      </c>
      <c r="DI664">
        <v>5.64</v>
      </c>
      <c r="DL664">
        <v>53.2</v>
      </c>
      <c r="DM664">
        <v>115.6</v>
      </c>
      <c r="DN664" s="9"/>
      <c r="DO664" s="9"/>
      <c r="DR664">
        <v>3</v>
      </c>
    </row>
    <row r="665" spans="1:125" customFormat="1" x14ac:dyDescent="0.2">
      <c r="A665" s="143" t="s">
        <v>6027</v>
      </c>
      <c r="B665" s="128">
        <v>43803</v>
      </c>
      <c r="C665" s="127" t="s">
        <v>196</v>
      </c>
      <c r="D665" s="127">
        <v>7</v>
      </c>
      <c r="E665" s="127" t="s">
        <v>100</v>
      </c>
      <c r="F665" s="128">
        <v>40944</v>
      </c>
      <c r="G665" s="127" t="s">
        <v>500</v>
      </c>
      <c r="H665" s="127" t="s">
        <v>5841</v>
      </c>
      <c r="I665" s="127" t="s">
        <v>500</v>
      </c>
      <c r="J665" s="127" t="s">
        <v>500</v>
      </c>
      <c r="K665" s="127" t="s">
        <v>500</v>
      </c>
      <c r="L665" s="127" t="s">
        <v>500</v>
      </c>
      <c r="M665" s="127" t="s">
        <v>500</v>
      </c>
      <c r="N665" s="127" t="s">
        <v>500</v>
      </c>
      <c r="O665" s="127" t="s">
        <v>99</v>
      </c>
      <c r="P665" s="127" t="s">
        <v>99</v>
      </c>
      <c r="Q665" s="127" t="s">
        <v>99</v>
      </c>
      <c r="R665" s="127" t="s">
        <v>99</v>
      </c>
      <c r="S665" s="127" t="s">
        <v>99</v>
      </c>
      <c r="T665" s="127" t="s">
        <v>99</v>
      </c>
      <c r="U665" s="127" t="s">
        <v>99</v>
      </c>
      <c r="V665" s="127" t="s">
        <v>99</v>
      </c>
      <c r="W665" s="127" t="s">
        <v>99</v>
      </c>
      <c r="X665" s="127" t="s">
        <v>99</v>
      </c>
      <c r="Y665" s="127" t="s">
        <v>99</v>
      </c>
      <c r="Z665" s="127" t="s">
        <v>6028</v>
      </c>
      <c r="AA665" s="127" t="s">
        <v>100</v>
      </c>
      <c r="AB665" s="127" t="s">
        <v>100</v>
      </c>
      <c r="AC665" s="127" t="s">
        <v>1123</v>
      </c>
      <c r="AD665" s="127" t="s">
        <v>1123</v>
      </c>
      <c r="AE665" s="127" t="s">
        <v>99</v>
      </c>
      <c r="AF665" s="127" t="s">
        <v>343</v>
      </c>
      <c r="AG665" s="127" t="s">
        <v>99</v>
      </c>
      <c r="AH665" s="129" t="s">
        <v>99</v>
      </c>
      <c r="AI665" s="127" t="s">
        <v>99</v>
      </c>
      <c r="AJ665" s="9" t="s">
        <v>99</v>
      </c>
      <c r="AK665" s="9" t="s">
        <v>6029</v>
      </c>
      <c r="AL665" s="9">
        <v>28.3</v>
      </c>
      <c r="AM665" s="9">
        <v>120</v>
      </c>
      <c r="AN665" s="7">
        <v>63</v>
      </c>
      <c r="AO665" s="9">
        <v>73</v>
      </c>
      <c r="AP665" s="9">
        <v>26.4</v>
      </c>
      <c r="AQ665" s="9" t="s">
        <v>500</v>
      </c>
      <c r="AR665" s="9" t="s">
        <v>500</v>
      </c>
      <c r="AS665" s="9" t="s">
        <v>500</v>
      </c>
      <c r="AT665" s="7">
        <v>19.7</v>
      </c>
      <c r="AU665" s="9">
        <v>109</v>
      </c>
      <c r="AV665" s="9">
        <v>51</v>
      </c>
      <c r="AW665" s="9" t="s">
        <v>110</v>
      </c>
      <c r="AX665" s="9" t="s">
        <v>573</v>
      </c>
      <c r="AY665" s="9" t="s">
        <v>1657</v>
      </c>
      <c r="AZ665" s="9" t="s">
        <v>500</v>
      </c>
      <c r="BA665" s="9" t="s">
        <v>110</v>
      </c>
      <c r="BB665" s="9" t="s">
        <v>346</v>
      </c>
      <c r="BC665" s="9" t="s">
        <v>5610</v>
      </c>
      <c r="BD665" s="9" t="s">
        <v>500</v>
      </c>
      <c r="BE665" s="9" t="s">
        <v>110</v>
      </c>
      <c r="BF665" s="9" t="s">
        <v>176</v>
      </c>
      <c r="BG665" s="9" t="s">
        <v>176</v>
      </c>
      <c r="BH665" s="9" t="s">
        <v>350</v>
      </c>
      <c r="BI665" s="9" t="s">
        <v>350</v>
      </c>
      <c r="BJ665" s="9" t="s">
        <v>176</v>
      </c>
      <c r="BK665" s="9" t="s">
        <v>350</v>
      </c>
      <c r="BL665" s="9" t="s">
        <v>110</v>
      </c>
      <c r="BM665" s="9" t="s">
        <v>176</v>
      </c>
      <c r="BN665" s="9" t="s">
        <v>179</v>
      </c>
      <c r="BO665" s="9" t="s">
        <v>219</v>
      </c>
      <c r="BP665" s="9" t="s">
        <v>180</v>
      </c>
      <c r="BQ665" s="9" t="s">
        <v>99</v>
      </c>
      <c r="BR665" s="9" t="s">
        <v>500</v>
      </c>
      <c r="BS665" s="9" t="s">
        <v>500</v>
      </c>
      <c r="BT665" s="9" t="s">
        <v>500</v>
      </c>
      <c r="BU665" s="9" t="s">
        <v>350</v>
      </c>
      <c r="BV665" s="9" t="s">
        <v>857</v>
      </c>
      <c r="BW665" s="9" t="s">
        <v>5863</v>
      </c>
      <c r="BX665" s="9" t="s">
        <v>500</v>
      </c>
      <c r="BY665" s="9" t="s">
        <v>351</v>
      </c>
      <c r="BZ665" s="9" t="s">
        <v>183</v>
      </c>
      <c r="CA665" s="9" t="s">
        <v>182</v>
      </c>
      <c r="CB665" s="9" t="s">
        <v>709</v>
      </c>
      <c r="CC665" s="9" t="s">
        <v>99</v>
      </c>
      <c r="CD665" s="9" t="s">
        <v>500</v>
      </c>
      <c r="CE665" s="9" t="s">
        <v>500</v>
      </c>
      <c r="CF665" s="9" t="s">
        <v>500</v>
      </c>
      <c r="CG665" s="9" t="s">
        <v>99</v>
      </c>
      <c r="CH665" s="9" t="s">
        <v>500</v>
      </c>
      <c r="CI665" s="9" t="s">
        <v>500</v>
      </c>
      <c r="CJ665" s="9" t="s">
        <v>500</v>
      </c>
      <c r="CK665" s="9" t="s">
        <v>500</v>
      </c>
      <c r="CL665" s="9" t="s">
        <v>500</v>
      </c>
      <c r="CM665" s="9" t="s">
        <v>500</v>
      </c>
      <c r="CN665" s="9" t="s">
        <v>500</v>
      </c>
      <c r="CO665" s="9" t="s">
        <v>176</v>
      </c>
      <c r="CP665" s="9" t="s">
        <v>2641</v>
      </c>
      <c r="CQ665" s="9" t="s">
        <v>2534</v>
      </c>
      <c r="CR665" s="9" t="s">
        <v>2892</v>
      </c>
      <c r="CS665" s="9" t="s">
        <v>350</v>
      </c>
      <c r="CT665" s="9" t="s">
        <v>983</v>
      </c>
      <c r="CU665" s="9" t="s">
        <v>5414</v>
      </c>
      <c r="CV665" s="9" t="s">
        <v>500</v>
      </c>
      <c r="CW665" s="9">
        <v>3</v>
      </c>
      <c r="CX665" s="9" t="s">
        <v>5867</v>
      </c>
      <c r="CY665" s="9" t="s">
        <v>110</v>
      </c>
      <c r="CZ665" s="9">
        <v>50</v>
      </c>
      <c r="DA665" s="9" t="s">
        <v>500</v>
      </c>
      <c r="DB665" s="9">
        <v>50</v>
      </c>
      <c r="DC665" s="9">
        <v>77.400000000000006</v>
      </c>
      <c r="DD665" s="9">
        <v>0.56999999999999995</v>
      </c>
      <c r="DE665" s="9">
        <v>150</v>
      </c>
      <c r="DF665" s="9">
        <v>90</v>
      </c>
      <c r="DG665" s="9">
        <f t="shared" si="10"/>
        <v>4.4243982254629737</v>
      </c>
      <c r="DH665" s="9">
        <v>18</v>
      </c>
      <c r="DI665" s="9">
        <v>2.19</v>
      </c>
      <c r="DJ665" s="9"/>
      <c r="DK665" s="9"/>
      <c r="DL665" s="9">
        <v>52.4</v>
      </c>
      <c r="DM665" s="9">
        <v>79.599999999999994</v>
      </c>
      <c r="DN665" s="9"/>
      <c r="DO665" s="9"/>
      <c r="DP665" s="53">
        <v>1</v>
      </c>
      <c r="DR665" s="33">
        <v>1</v>
      </c>
      <c r="DU665">
        <v>5.3</v>
      </c>
    </row>
    <row r="666" spans="1:125" customFormat="1" x14ac:dyDescent="0.2">
      <c r="A666" s="127" t="s">
        <v>6030</v>
      </c>
      <c r="B666" s="128">
        <v>43803</v>
      </c>
      <c r="C666" s="127" t="s">
        <v>196</v>
      </c>
      <c r="D666" s="127">
        <v>17</v>
      </c>
      <c r="E666" s="127" t="s">
        <v>6031</v>
      </c>
      <c r="F666" s="128">
        <v>37513</v>
      </c>
      <c r="G666" s="127" t="s">
        <v>1509</v>
      </c>
      <c r="H666" s="127" t="s">
        <v>500</v>
      </c>
      <c r="I666" s="127" t="s">
        <v>2020</v>
      </c>
      <c r="J666" s="127" t="s">
        <v>500</v>
      </c>
      <c r="K666" s="127" t="s">
        <v>99</v>
      </c>
      <c r="L666" s="127" t="s">
        <v>99</v>
      </c>
      <c r="M666" s="127" t="s">
        <v>99</v>
      </c>
      <c r="N666" s="127" t="s">
        <v>99</v>
      </c>
      <c r="O666" s="127" t="s">
        <v>99</v>
      </c>
      <c r="P666" s="127" t="s">
        <v>99</v>
      </c>
      <c r="Q666" s="127" t="s">
        <v>99</v>
      </c>
      <c r="R666" s="127" t="s">
        <v>110</v>
      </c>
      <c r="S666" s="127" t="s">
        <v>197</v>
      </c>
      <c r="T666" s="127" t="s">
        <v>99</v>
      </c>
      <c r="U666" s="127" t="s">
        <v>99</v>
      </c>
      <c r="V666" s="127" t="s">
        <v>99</v>
      </c>
      <c r="W666" s="127" t="s">
        <v>2303</v>
      </c>
      <c r="X666" s="127" t="s">
        <v>99</v>
      </c>
      <c r="Y666" s="127" t="s">
        <v>99</v>
      </c>
      <c r="Z666" s="127" t="s">
        <v>6032</v>
      </c>
      <c r="AA666" s="127" t="s">
        <v>6031</v>
      </c>
      <c r="AB666" s="127" t="s">
        <v>1338</v>
      </c>
      <c r="AC666" s="127" t="s">
        <v>6031</v>
      </c>
      <c r="AD666" s="127" t="s">
        <v>1338</v>
      </c>
      <c r="AE666" s="127" t="s">
        <v>6033</v>
      </c>
      <c r="AF666" s="127" t="s">
        <v>5583</v>
      </c>
      <c r="AG666" s="127" t="s">
        <v>99</v>
      </c>
      <c r="AH666" s="129" t="s">
        <v>6034</v>
      </c>
      <c r="AI666" s="127" t="s">
        <v>99</v>
      </c>
      <c r="AJ666" s="9" t="s">
        <v>99</v>
      </c>
      <c r="AK666" s="9" t="s">
        <v>815</v>
      </c>
      <c r="AL666" s="9">
        <v>65.900000000000006</v>
      </c>
      <c r="AM666" s="9">
        <v>160</v>
      </c>
      <c r="AN666" s="7">
        <v>77</v>
      </c>
      <c r="AO666" s="9">
        <v>99</v>
      </c>
      <c r="AP666" s="9">
        <v>42.4</v>
      </c>
      <c r="AQ666" s="9">
        <v>8</v>
      </c>
      <c r="AR666" s="9">
        <v>22</v>
      </c>
      <c r="AS666" s="9">
        <v>19</v>
      </c>
      <c r="AT666" s="9">
        <v>25.7</v>
      </c>
      <c r="AU666" s="9">
        <v>116</v>
      </c>
      <c r="AV666" s="9">
        <v>74</v>
      </c>
      <c r="AW666" s="9" t="s">
        <v>110</v>
      </c>
      <c r="AX666" s="9" t="s">
        <v>747</v>
      </c>
      <c r="AY666" s="9" t="s">
        <v>2050</v>
      </c>
      <c r="AZ666" s="9" t="s">
        <v>1977</v>
      </c>
      <c r="BA666" s="9" t="s">
        <v>110</v>
      </c>
      <c r="BB666" s="9" t="s">
        <v>2053</v>
      </c>
      <c r="BC666" s="9" t="s">
        <v>346</v>
      </c>
      <c r="BD666" s="9" t="s">
        <v>500</v>
      </c>
      <c r="BE666" s="9" t="s">
        <v>110</v>
      </c>
      <c r="BF666" s="9" t="s">
        <v>350</v>
      </c>
      <c r="BG666" s="9" t="s">
        <v>350</v>
      </c>
      <c r="BH666" s="9" t="s">
        <v>350</v>
      </c>
      <c r="BI666" s="9" t="s">
        <v>350</v>
      </c>
      <c r="BJ666" s="9" t="s">
        <v>176</v>
      </c>
      <c r="BK666" s="9" t="s">
        <v>5513</v>
      </c>
      <c r="BL666" s="9" t="s">
        <v>110</v>
      </c>
      <c r="BM666" s="9" t="s">
        <v>350</v>
      </c>
      <c r="BN666" s="9" t="s">
        <v>178</v>
      </c>
      <c r="BO666" s="9" t="s">
        <v>352</v>
      </c>
      <c r="BP666" s="9" t="s">
        <v>179</v>
      </c>
      <c r="BQ666" s="9" t="s">
        <v>350</v>
      </c>
      <c r="BR666" s="9" t="s">
        <v>500</v>
      </c>
      <c r="BS666" s="9" t="s">
        <v>500</v>
      </c>
      <c r="BT666" s="9" t="s">
        <v>500</v>
      </c>
      <c r="BU666" s="9" t="s">
        <v>350</v>
      </c>
      <c r="BV666" s="9" t="s">
        <v>500</v>
      </c>
      <c r="BW666" s="9" t="s">
        <v>500</v>
      </c>
      <c r="BX666" s="9" t="s">
        <v>500</v>
      </c>
      <c r="BY666" s="9" t="s">
        <v>351</v>
      </c>
      <c r="BZ666" s="9" t="s">
        <v>183</v>
      </c>
      <c r="CA666" s="9" t="s">
        <v>182</v>
      </c>
      <c r="CB666" s="9" t="s">
        <v>1080</v>
      </c>
      <c r="CC666" s="9" t="s">
        <v>99</v>
      </c>
      <c r="CD666" s="9" t="s">
        <v>500</v>
      </c>
      <c r="CE666" s="9" t="s">
        <v>500</v>
      </c>
      <c r="CF666" s="9" t="s">
        <v>500</v>
      </c>
      <c r="CG666" s="9" t="s">
        <v>99</v>
      </c>
      <c r="CH666" s="9" t="s">
        <v>500</v>
      </c>
      <c r="CI666" s="9" t="s">
        <v>500</v>
      </c>
      <c r="CJ666" s="9" t="s">
        <v>500</v>
      </c>
      <c r="CK666" s="9" t="s">
        <v>176</v>
      </c>
      <c r="CL666" s="9" t="s">
        <v>579</v>
      </c>
      <c r="CM666" s="9" t="s">
        <v>581</v>
      </c>
      <c r="CN666" s="9" t="s">
        <v>5579</v>
      </c>
      <c r="CO666" s="9" t="s">
        <v>176</v>
      </c>
      <c r="CP666" s="9" t="s">
        <v>362</v>
      </c>
      <c r="CQ666" s="9" t="s">
        <v>2892</v>
      </c>
      <c r="CR666" s="9" t="s">
        <v>500</v>
      </c>
      <c r="CS666" s="9" t="s">
        <v>350</v>
      </c>
      <c r="CT666" s="9" t="s">
        <v>2617</v>
      </c>
      <c r="CU666" s="9" t="s">
        <v>500</v>
      </c>
      <c r="CV666" s="9" t="s">
        <v>500</v>
      </c>
      <c r="CW666" s="9">
        <v>3</v>
      </c>
      <c r="CX666" s="9" t="s">
        <v>110</v>
      </c>
      <c r="CY666" s="9" t="s">
        <v>110</v>
      </c>
      <c r="CZ666" s="9">
        <v>40</v>
      </c>
      <c r="DA666" s="9">
        <v>40</v>
      </c>
      <c r="DB666" s="9">
        <v>20</v>
      </c>
      <c r="DC666" s="9">
        <v>77.400000000000006</v>
      </c>
      <c r="DD666" s="9">
        <v>0.84</v>
      </c>
      <c r="DE666" s="9">
        <v>186</v>
      </c>
      <c r="DF666" s="9">
        <v>91</v>
      </c>
      <c r="DG666" s="9">
        <f t="shared" si="10"/>
        <v>4.429923143556266</v>
      </c>
      <c r="DH666" s="9">
        <v>18.2</v>
      </c>
      <c r="DI666" s="10">
        <v>6.81</v>
      </c>
      <c r="DJ666" s="9"/>
      <c r="DK666" s="9"/>
      <c r="DL666" s="9">
        <v>57</v>
      </c>
      <c r="DM666" s="9">
        <v>110.8</v>
      </c>
      <c r="DN666" s="9"/>
      <c r="DO666" s="9"/>
      <c r="DR666">
        <v>2</v>
      </c>
      <c r="DU666">
        <v>5.2</v>
      </c>
    </row>
    <row r="667" spans="1:125" customFormat="1" x14ac:dyDescent="0.2">
      <c r="A667" s="136" t="s">
        <v>6035</v>
      </c>
      <c r="B667" s="69">
        <v>43802</v>
      </c>
      <c r="C667" s="136" t="s">
        <v>675</v>
      </c>
      <c r="D667" s="136">
        <v>45</v>
      </c>
      <c r="E667" s="136" t="s">
        <v>1654</v>
      </c>
      <c r="F667" s="69">
        <v>27006</v>
      </c>
      <c r="G667" s="136" t="s">
        <v>6036</v>
      </c>
      <c r="H667" s="136" t="s">
        <v>203</v>
      </c>
      <c r="I667" s="136" t="s">
        <v>99</v>
      </c>
      <c r="J667" s="136" t="s">
        <v>99</v>
      </c>
      <c r="K667" s="136" t="s">
        <v>99</v>
      </c>
      <c r="L667" s="136" t="s">
        <v>99</v>
      </c>
      <c r="M667" s="136" t="s">
        <v>99</v>
      </c>
      <c r="N667" s="136" t="s">
        <v>99</v>
      </c>
      <c r="O667" s="136" t="s">
        <v>99</v>
      </c>
      <c r="P667" s="136" t="s">
        <v>99</v>
      </c>
      <c r="Q667" s="136" t="s">
        <v>99</v>
      </c>
      <c r="R667" s="136" t="s">
        <v>5450</v>
      </c>
      <c r="S667" s="136" t="s">
        <v>110</v>
      </c>
      <c r="T667" s="136" t="s">
        <v>110</v>
      </c>
      <c r="U667" s="136" t="s">
        <v>99</v>
      </c>
      <c r="V667" s="136" t="s">
        <v>99</v>
      </c>
      <c r="W667" s="136" t="s">
        <v>99</v>
      </c>
      <c r="X667" s="136" t="s">
        <v>99</v>
      </c>
      <c r="Y667" s="136" t="s">
        <v>6037</v>
      </c>
      <c r="Z667" s="136" t="s">
        <v>99</v>
      </c>
      <c r="AA667" s="136" t="s">
        <v>1654</v>
      </c>
      <c r="AB667" s="136" t="s">
        <v>1654</v>
      </c>
      <c r="AC667" s="136" t="s">
        <v>1654</v>
      </c>
      <c r="AD667" s="136" t="s">
        <v>1123</v>
      </c>
      <c r="AE667" s="136" t="s">
        <v>1127</v>
      </c>
      <c r="AF667" s="136" t="s">
        <v>1127</v>
      </c>
      <c r="AG667" s="136" t="s">
        <v>99</v>
      </c>
      <c r="AH667" s="137" t="s">
        <v>5284</v>
      </c>
      <c r="AI667" s="136" t="s">
        <v>99</v>
      </c>
      <c r="AJ667" s="53" t="s">
        <v>99</v>
      </c>
      <c r="AK667" s="53" t="s">
        <v>99</v>
      </c>
      <c r="AL667" s="53">
        <v>98.5</v>
      </c>
      <c r="AM667" s="53">
        <v>175</v>
      </c>
      <c r="AN667" s="139">
        <v>110</v>
      </c>
      <c r="AO667" s="53">
        <v>114</v>
      </c>
      <c r="AP667" s="53">
        <v>35.200000000000003</v>
      </c>
      <c r="AQ667" s="53">
        <v>10</v>
      </c>
      <c r="AR667" s="53">
        <v>29.2</v>
      </c>
      <c r="AS667" s="53">
        <v>69</v>
      </c>
      <c r="AT667" s="53">
        <v>32.200000000000003</v>
      </c>
      <c r="AU667" s="139">
        <v>142</v>
      </c>
      <c r="AV667" s="139">
        <v>90</v>
      </c>
      <c r="AW667" s="53" t="s">
        <v>176</v>
      </c>
      <c r="AX667" s="53" t="s">
        <v>2937</v>
      </c>
      <c r="AY667" s="53" t="s">
        <v>1977</v>
      </c>
      <c r="AZ667" s="53" t="s">
        <v>2050</v>
      </c>
      <c r="BA667" s="53" t="s">
        <v>351</v>
      </c>
      <c r="BB667" s="53" t="s">
        <v>2603</v>
      </c>
      <c r="BC667" s="53" t="s">
        <v>500</v>
      </c>
      <c r="BD667" s="53" t="s">
        <v>500</v>
      </c>
      <c r="BE667" s="53" t="s">
        <v>110</v>
      </c>
      <c r="BF667" s="53" t="s">
        <v>176</v>
      </c>
      <c r="BG667" s="53" t="s">
        <v>176</v>
      </c>
      <c r="BH667" s="53" t="s">
        <v>176</v>
      </c>
      <c r="BI667" s="53" t="s">
        <v>176</v>
      </c>
      <c r="BJ667" s="53" t="s">
        <v>176</v>
      </c>
      <c r="BK667" s="53" t="s">
        <v>5412</v>
      </c>
      <c r="BL667" s="53" t="s">
        <v>110</v>
      </c>
      <c r="BM667" s="53" t="s">
        <v>176</v>
      </c>
      <c r="BN667" s="53" t="s">
        <v>180</v>
      </c>
      <c r="BO667" s="53" t="s">
        <v>178</v>
      </c>
      <c r="BP667" s="53" t="s">
        <v>219</v>
      </c>
      <c r="BQ667" s="53" t="s">
        <v>99</v>
      </c>
      <c r="BR667" s="53" t="s">
        <v>500</v>
      </c>
      <c r="BS667" s="53" t="s">
        <v>500</v>
      </c>
      <c r="BT667" s="53" t="s">
        <v>500</v>
      </c>
      <c r="BU667" s="53" t="s">
        <v>99</v>
      </c>
      <c r="BV667" s="53" t="s">
        <v>500</v>
      </c>
      <c r="BW667" s="53" t="s">
        <v>500</v>
      </c>
      <c r="BX667" s="53" t="s">
        <v>500</v>
      </c>
      <c r="BY667" s="53" t="s">
        <v>350</v>
      </c>
      <c r="BZ667" s="53" t="s">
        <v>183</v>
      </c>
      <c r="CA667" s="53" t="s">
        <v>182</v>
      </c>
      <c r="CB667" s="53" t="s">
        <v>577</v>
      </c>
      <c r="CC667" s="53" t="s">
        <v>99</v>
      </c>
      <c r="CD667" s="53" t="s">
        <v>500</v>
      </c>
      <c r="CE667" s="53" t="s">
        <v>500</v>
      </c>
      <c r="CF667" s="53" t="s">
        <v>500</v>
      </c>
      <c r="CG667" s="53" t="s">
        <v>99</v>
      </c>
      <c r="CH667" s="53" t="s">
        <v>500</v>
      </c>
      <c r="CI667" s="53" t="s">
        <v>500</v>
      </c>
      <c r="CJ667" s="53" t="s">
        <v>500</v>
      </c>
      <c r="CK667" s="53" t="s">
        <v>176</v>
      </c>
      <c r="CL667" s="53" t="s">
        <v>1181</v>
      </c>
      <c r="CM667" s="53" t="s">
        <v>1180</v>
      </c>
      <c r="CN667" s="53" t="s">
        <v>980</v>
      </c>
      <c r="CO667" s="53" t="s">
        <v>176</v>
      </c>
      <c r="CP667" s="53" t="s">
        <v>362</v>
      </c>
      <c r="CQ667" s="53" t="s">
        <v>500</v>
      </c>
      <c r="CR667" s="53" t="s">
        <v>500</v>
      </c>
      <c r="CS667" s="53" t="s">
        <v>350</v>
      </c>
      <c r="CT667" s="53" t="s">
        <v>187</v>
      </c>
      <c r="CU667" s="53" t="s">
        <v>500</v>
      </c>
      <c r="CV667" s="53" t="s">
        <v>500</v>
      </c>
      <c r="CW667" s="53">
        <v>2</v>
      </c>
      <c r="CX667" s="53" t="s">
        <v>110</v>
      </c>
      <c r="CY667" s="53" t="s">
        <v>99</v>
      </c>
      <c r="CZ667" s="53" t="s">
        <v>500</v>
      </c>
      <c r="DA667" s="53" t="s">
        <v>500</v>
      </c>
      <c r="DB667" s="53" t="s">
        <v>500</v>
      </c>
      <c r="DC667">
        <v>82.6</v>
      </c>
      <c r="DD667">
        <v>0.84</v>
      </c>
      <c r="DE667">
        <v>177</v>
      </c>
      <c r="DF667">
        <v>107</v>
      </c>
      <c r="DG667" s="9">
        <f t="shared" si="10"/>
        <v>4.5434192574944188</v>
      </c>
      <c r="DH667">
        <v>21.4</v>
      </c>
      <c r="DI667">
        <v>5.17</v>
      </c>
      <c r="DL667">
        <v>41.5</v>
      </c>
      <c r="DM667">
        <v>114.1</v>
      </c>
      <c r="DR667">
        <v>3</v>
      </c>
    </row>
    <row r="668" spans="1:125" customFormat="1" x14ac:dyDescent="0.2">
      <c r="A668" s="136" t="s">
        <v>6038</v>
      </c>
      <c r="B668" s="148">
        <v>43802</v>
      </c>
      <c r="C668" s="136" t="s">
        <v>675</v>
      </c>
      <c r="D668" s="136">
        <v>22</v>
      </c>
      <c r="E668" s="136" t="s">
        <v>100</v>
      </c>
      <c r="F668" s="69">
        <v>35635</v>
      </c>
      <c r="G668" s="136" t="s">
        <v>837</v>
      </c>
      <c r="H668" s="136" t="s">
        <v>6039</v>
      </c>
      <c r="I668" s="136" t="s">
        <v>500</v>
      </c>
      <c r="J668" s="136" t="s">
        <v>500</v>
      </c>
      <c r="K668" s="136" t="s">
        <v>500</v>
      </c>
      <c r="L668" s="136" t="s">
        <v>500</v>
      </c>
      <c r="M668" s="136" t="s">
        <v>99</v>
      </c>
      <c r="N668" s="136" t="s">
        <v>99</v>
      </c>
      <c r="O668" s="136" t="s">
        <v>99</v>
      </c>
      <c r="P668" s="136" t="s">
        <v>99</v>
      </c>
      <c r="Q668" s="136" t="s">
        <v>99</v>
      </c>
      <c r="R668" s="136" t="s">
        <v>99</v>
      </c>
      <c r="S668" s="136" t="s">
        <v>99</v>
      </c>
      <c r="T668" s="136" t="s">
        <v>99</v>
      </c>
      <c r="U668" s="136" t="s">
        <v>99</v>
      </c>
      <c r="V668" s="136" t="s">
        <v>99</v>
      </c>
      <c r="W668" s="136" t="s">
        <v>99</v>
      </c>
      <c r="X668" s="136" t="s">
        <v>99</v>
      </c>
      <c r="Y668" s="136" t="s">
        <v>6040</v>
      </c>
      <c r="Z668" s="136" t="s">
        <v>99</v>
      </c>
      <c r="AA668" s="136" t="s">
        <v>100</v>
      </c>
      <c r="AB668" s="136" t="s">
        <v>100</v>
      </c>
      <c r="AC668" s="136" t="s">
        <v>100</v>
      </c>
      <c r="AD668" s="136" t="s">
        <v>100</v>
      </c>
      <c r="AE668" s="136" t="s">
        <v>6041</v>
      </c>
      <c r="AF668" s="136" t="s">
        <v>99</v>
      </c>
      <c r="AG668" s="136" t="s">
        <v>99</v>
      </c>
      <c r="AH668" s="137" t="s">
        <v>99</v>
      </c>
      <c r="AI668" s="136" t="s">
        <v>99</v>
      </c>
      <c r="AJ668" s="53" t="s">
        <v>99</v>
      </c>
      <c r="AK668" s="53" t="s">
        <v>99</v>
      </c>
      <c r="AL668" s="53">
        <v>79</v>
      </c>
      <c r="AM668" s="53">
        <v>178</v>
      </c>
      <c r="AN668" s="139">
        <v>90</v>
      </c>
      <c r="AO668" s="53">
        <v>102</v>
      </c>
      <c r="AP668" s="53">
        <v>18.2</v>
      </c>
      <c r="AQ668" s="53">
        <v>5</v>
      </c>
      <c r="AR668" s="53">
        <v>41.3</v>
      </c>
      <c r="AS668" s="53">
        <v>37</v>
      </c>
      <c r="AT668" s="146">
        <v>24.9</v>
      </c>
      <c r="AU668" s="53">
        <v>115</v>
      </c>
      <c r="AV668" s="53">
        <v>70</v>
      </c>
      <c r="AW668" s="53" t="s">
        <v>176</v>
      </c>
      <c r="AX668" s="53" t="s">
        <v>1729</v>
      </c>
      <c r="AY668" s="53" t="s">
        <v>6042</v>
      </c>
      <c r="AZ668" s="53" t="s">
        <v>500</v>
      </c>
      <c r="BA668" s="53" t="s">
        <v>351</v>
      </c>
      <c r="BB668" s="53" t="s">
        <v>750</v>
      </c>
      <c r="BC668" s="53" t="s">
        <v>6043</v>
      </c>
      <c r="BD668" s="53" t="s">
        <v>500</v>
      </c>
      <c r="BE668" s="53" t="s">
        <v>110</v>
      </c>
      <c r="BF668" s="53" t="s">
        <v>176</v>
      </c>
      <c r="BG668" s="53" t="s">
        <v>99</v>
      </c>
      <c r="BH668" s="53" t="s">
        <v>99</v>
      </c>
      <c r="BI668" s="53" t="s">
        <v>213</v>
      </c>
      <c r="BJ668" s="53" t="s">
        <v>707</v>
      </c>
      <c r="BK668" s="53" t="s">
        <v>1469</v>
      </c>
      <c r="BL668" s="53" t="s">
        <v>110</v>
      </c>
      <c r="BM668" s="53" t="s">
        <v>350</v>
      </c>
      <c r="BN668" s="53" t="s">
        <v>180</v>
      </c>
      <c r="BO668" s="53" t="s">
        <v>4895</v>
      </c>
      <c r="BP668" s="53" t="s">
        <v>179</v>
      </c>
      <c r="BQ668" s="53" t="s">
        <v>99</v>
      </c>
      <c r="BR668" s="53" t="s">
        <v>500</v>
      </c>
      <c r="BS668" s="53" t="s">
        <v>500</v>
      </c>
      <c r="BT668" s="53" t="s">
        <v>500</v>
      </c>
      <c r="BU668" s="53" t="s">
        <v>99</v>
      </c>
      <c r="BV668" s="53" t="s">
        <v>500</v>
      </c>
      <c r="BW668" s="53" t="s">
        <v>500</v>
      </c>
      <c r="BX668" s="53" t="s">
        <v>500</v>
      </c>
      <c r="BY668" s="53" t="s">
        <v>350</v>
      </c>
      <c r="BZ668" s="53" t="s">
        <v>182</v>
      </c>
      <c r="CA668" s="53" t="s">
        <v>183</v>
      </c>
      <c r="CB668" s="53" t="s">
        <v>184</v>
      </c>
      <c r="CC668" s="53" t="s">
        <v>99</v>
      </c>
      <c r="CD668" s="53" t="s">
        <v>500</v>
      </c>
      <c r="CE668" s="53" t="s">
        <v>500</v>
      </c>
      <c r="CF668" s="53" t="s">
        <v>500</v>
      </c>
      <c r="CG668" s="53" t="s">
        <v>99</v>
      </c>
      <c r="CH668" s="53" t="s">
        <v>500</v>
      </c>
      <c r="CI668" s="53" t="s">
        <v>500</v>
      </c>
      <c r="CJ668" s="53" t="s">
        <v>500</v>
      </c>
      <c r="CK668" s="53" t="s">
        <v>176</v>
      </c>
      <c r="CL668" s="53" t="s">
        <v>1181</v>
      </c>
      <c r="CM668" s="53" t="s">
        <v>1180</v>
      </c>
      <c r="CN668" s="53" t="s">
        <v>980</v>
      </c>
      <c r="CO668" s="53" t="s">
        <v>350</v>
      </c>
      <c r="CP668" s="53" t="s">
        <v>6044</v>
      </c>
      <c r="CQ668" s="53" t="s">
        <v>6045</v>
      </c>
      <c r="CR668" s="53" t="s">
        <v>500</v>
      </c>
      <c r="CS668" s="53" t="s">
        <v>350</v>
      </c>
      <c r="CT668" s="53" t="s">
        <v>363</v>
      </c>
      <c r="CU668" s="53" t="s">
        <v>500</v>
      </c>
      <c r="CV668" s="53" t="s">
        <v>500</v>
      </c>
      <c r="CW668" s="53">
        <v>3</v>
      </c>
      <c r="CX668" s="53" t="s">
        <v>99</v>
      </c>
      <c r="CY668" s="53" t="s">
        <v>99</v>
      </c>
      <c r="CZ668" s="53">
        <v>60</v>
      </c>
      <c r="DA668" s="53">
        <v>20</v>
      </c>
      <c r="DB668" s="53">
        <v>20</v>
      </c>
      <c r="DC668" s="53">
        <v>72</v>
      </c>
      <c r="DD668" s="53">
        <v>0.57999999999999996</v>
      </c>
      <c r="DE668" s="53">
        <v>149</v>
      </c>
      <c r="DF668" s="53">
        <v>104</v>
      </c>
      <c r="DG668" s="9">
        <f t="shared" si="10"/>
        <v>4.4605285090787143</v>
      </c>
      <c r="DH668" s="53">
        <v>20.8</v>
      </c>
      <c r="DI668" s="53">
        <v>3.9</v>
      </c>
      <c r="DL668" s="48">
        <v>36.4</v>
      </c>
      <c r="DM668" s="29">
        <v>91.8</v>
      </c>
      <c r="DP668" s="29">
        <v>3</v>
      </c>
      <c r="DR668">
        <v>3</v>
      </c>
      <c r="DU668">
        <v>5.4</v>
      </c>
    </row>
    <row r="669" spans="1:125" customFormat="1" x14ac:dyDescent="0.2">
      <c r="A669" s="127" t="s">
        <v>6046</v>
      </c>
      <c r="B669" s="128">
        <v>43803</v>
      </c>
      <c r="C669" s="127" t="s">
        <v>675</v>
      </c>
      <c r="D669" s="127">
        <v>39</v>
      </c>
      <c r="E669" s="127" t="s">
        <v>100</v>
      </c>
      <c r="F669" s="128">
        <v>29276</v>
      </c>
      <c r="G669" s="127" t="s">
        <v>6047</v>
      </c>
      <c r="H669" s="127" t="s">
        <v>1663</v>
      </c>
      <c r="I669" s="127" t="s">
        <v>500</v>
      </c>
      <c r="J669" s="127" t="s">
        <v>500</v>
      </c>
      <c r="K669" s="127" t="s">
        <v>500</v>
      </c>
      <c r="L669" s="127" t="s">
        <v>500</v>
      </c>
      <c r="M669" s="127" t="s">
        <v>500</v>
      </c>
      <c r="N669" s="127" t="s">
        <v>500</v>
      </c>
      <c r="O669" s="127" t="s">
        <v>500</v>
      </c>
      <c r="P669" s="127" t="s">
        <v>500</v>
      </c>
      <c r="Q669" s="127" t="s">
        <v>6048</v>
      </c>
      <c r="R669" s="127" t="s">
        <v>500</v>
      </c>
      <c r="S669" s="127" t="s">
        <v>6049</v>
      </c>
      <c r="T669" s="127" t="s">
        <v>5451</v>
      </c>
      <c r="U669" s="127" t="s">
        <v>99</v>
      </c>
      <c r="V669" s="127" t="s">
        <v>99</v>
      </c>
      <c r="W669" s="127" t="s">
        <v>6050</v>
      </c>
      <c r="X669" s="127" t="s">
        <v>99</v>
      </c>
      <c r="Y669" s="127" t="s">
        <v>99</v>
      </c>
      <c r="Z669" s="127" t="s">
        <v>6051</v>
      </c>
      <c r="AA669" s="127" t="s">
        <v>100</v>
      </c>
      <c r="AB669" s="127" t="s">
        <v>100</v>
      </c>
      <c r="AC669" s="127" t="s">
        <v>100</v>
      </c>
      <c r="AD669" s="127" t="s">
        <v>100</v>
      </c>
      <c r="AE669" s="127" t="s">
        <v>1127</v>
      </c>
      <c r="AF669" s="127" t="s">
        <v>99</v>
      </c>
      <c r="AG669" s="127" t="s">
        <v>4981</v>
      </c>
      <c r="AH669" s="129" t="s">
        <v>4981</v>
      </c>
      <c r="AI669" s="127" t="s">
        <v>1127</v>
      </c>
      <c r="AJ669" s="9" t="s">
        <v>99</v>
      </c>
      <c r="AK669" s="9" t="s">
        <v>99</v>
      </c>
      <c r="AL669" s="9">
        <v>86.9</v>
      </c>
      <c r="AM669" s="9">
        <v>173</v>
      </c>
      <c r="AN669" s="10">
        <v>107</v>
      </c>
      <c r="AO669" s="9">
        <v>104</v>
      </c>
      <c r="AP669" s="9">
        <v>29.8</v>
      </c>
      <c r="AQ669" s="9">
        <v>13</v>
      </c>
      <c r="AR669" s="9">
        <v>33.200000000000003</v>
      </c>
      <c r="AS669" s="9">
        <v>56</v>
      </c>
      <c r="AT669" s="9">
        <v>29</v>
      </c>
      <c r="AU669" s="9">
        <v>129</v>
      </c>
      <c r="AV669" s="9">
        <v>75</v>
      </c>
      <c r="AW669" s="9" t="s">
        <v>110</v>
      </c>
      <c r="AX669" s="9" t="s">
        <v>2937</v>
      </c>
      <c r="AY669" s="9" t="s">
        <v>6052</v>
      </c>
      <c r="AZ669" s="9" t="s">
        <v>6053</v>
      </c>
      <c r="BA669" s="9" t="s">
        <v>110</v>
      </c>
      <c r="BB669" s="9" t="s">
        <v>346</v>
      </c>
      <c r="BC669" s="9" t="s">
        <v>5452</v>
      </c>
      <c r="BD669" s="9" t="s">
        <v>2053</v>
      </c>
      <c r="BE669" s="9" t="s">
        <v>110</v>
      </c>
      <c r="BF669" s="9" t="s">
        <v>176</v>
      </c>
      <c r="BG669" s="9" t="s">
        <v>350</v>
      </c>
      <c r="BH669" s="9" t="s">
        <v>5848</v>
      </c>
      <c r="BI669" s="9" t="s">
        <v>1469</v>
      </c>
      <c r="BJ669" s="9" t="s">
        <v>213</v>
      </c>
      <c r="BK669" s="9" t="s">
        <v>5513</v>
      </c>
      <c r="BL669" s="9" t="s">
        <v>110</v>
      </c>
      <c r="BM669" s="9" t="s">
        <v>350</v>
      </c>
      <c r="BN669" s="9" t="s">
        <v>179</v>
      </c>
      <c r="BO669" s="9" t="s">
        <v>6054</v>
      </c>
      <c r="BP669" s="9" t="s">
        <v>352</v>
      </c>
      <c r="BQ669" s="9" t="s">
        <v>99</v>
      </c>
      <c r="BR669" s="9" t="s">
        <v>500</v>
      </c>
      <c r="BS669" s="9" t="s">
        <v>500</v>
      </c>
      <c r="BT669" s="9" t="s">
        <v>500</v>
      </c>
      <c r="BU669" s="9" t="s">
        <v>99</v>
      </c>
      <c r="BV669" s="9" t="s">
        <v>500</v>
      </c>
      <c r="BW669" s="9" t="s">
        <v>500</v>
      </c>
      <c r="BX669" s="9" t="s">
        <v>500</v>
      </c>
      <c r="BY669" s="9" t="s">
        <v>350</v>
      </c>
      <c r="BZ669" s="9" t="s">
        <v>709</v>
      </c>
      <c r="CA669" s="9" t="s">
        <v>182</v>
      </c>
      <c r="CB669" s="9" t="s">
        <v>821</v>
      </c>
      <c r="CC669" s="9" t="s">
        <v>99</v>
      </c>
      <c r="CD669" s="9" t="s">
        <v>500</v>
      </c>
      <c r="CE669" s="9" t="s">
        <v>500</v>
      </c>
      <c r="CF669" s="9" t="s">
        <v>500</v>
      </c>
      <c r="CG669" s="9" t="s">
        <v>99</v>
      </c>
      <c r="CH669" s="9" t="s">
        <v>500</v>
      </c>
      <c r="CI669" s="9" t="s">
        <v>500</v>
      </c>
      <c r="CJ669" s="9" t="s">
        <v>500</v>
      </c>
      <c r="CK669" s="9" t="s">
        <v>110</v>
      </c>
      <c r="CL669" s="9" t="s">
        <v>5971</v>
      </c>
      <c r="CM669" s="9" t="s">
        <v>6055</v>
      </c>
      <c r="CN669" s="9" t="s">
        <v>500</v>
      </c>
      <c r="CO669" s="9" t="s">
        <v>176</v>
      </c>
      <c r="CP669" s="9" t="s">
        <v>362</v>
      </c>
      <c r="CQ669" s="9" t="s">
        <v>500</v>
      </c>
      <c r="CR669" s="9" t="s">
        <v>500</v>
      </c>
      <c r="CS669" s="9" t="s">
        <v>350</v>
      </c>
      <c r="CT669" s="9" t="s">
        <v>2567</v>
      </c>
      <c r="CU669" s="9" t="s">
        <v>500</v>
      </c>
      <c r="CV669" s="9" t="s">
        <v>500</v>
      </c>
      <c r="CW669" s="9">
        <v>3</v>
      </c>
      <c r="CX669" s="9" t="s">
        <v>110</v>
      </c>
      <c r="CY669" s="9" t="s">
        <v>99</v>
      </c>
      <c r="CZ669" s="9">
        <v>30</v>
      </c>
      <c r="DA669" s="9">
        <v>30</v>
      </c>
      <c r="DB669" s="9">
        <v>30</v>
      </c>
      <c r="DC669">
        <v>93.8</v>
      </c>
      <c r="DD669">
        <v>0.57999999999999996</v>
      </c>
      <c r="DE669">
        <v>186</v>
      </c>
      <c r="DF669">
        <v>158</v>
      </c>
      <c r="DG669" s="9">
        <f t="shared" si="10"/>
        <v>4.8018799445195732</v>
      </c>
      <c r="DH669">
        <v>31.6</v>
      </c>
      <c r="DI669">
        <v>7.12</v>
      </c>
      <c r="DL669">
        <v>40.700000000000003</v>
      </c>
      <c r="DM669">
        <v>113.7</v>
      </c>
      <c r="DN669" s="9"/>
      <c r="DO669" s="9"/>
      <c r="DR669">
        <v>2</v>
      </c>
    </row>
    <row r="670" spans="1:125" customFormat="1" x14ac:dyDescent="0.2">
      <c r="A670" s="127" t="s">
        <v>6056</v>
      </c>
      <c r="B670" s="128">
        <v>43803</v>
      </c>
      <c r="C670" s="127" t="s">
        <v>675</v>
      </c>
      <c r="D670" s="127">
        <v>40</v>
      </c>
      <c r="E670" s="127" t="s">
        <v>1338</v>
      </c>
      <c r="F670" s="128">
        <v>28887</v>
      </c>
      <c r="G670" s="127" t="s">
        <v>837</v>
      </c>
      <c r="H670" s="127" t="s">
        <v>5841</v>
      </c>
      <c r="I670" s="127" t="s">
        <v>500</v>
      </c>
      <c r="J670" s="127" t="s">
        <v>500</v>
      </c>
      <c r="K670" s="127" t="s">
        <v>500</v>
      </c>
      <c r="L670" s="127" t="s">
        <v>500</v>
      </c>
      <c r="M670" s="127" t="s">
        <v>500</v>
      </c>
      <c r="N670" s="127" t="s">
        <v>99</v>
      </c>
      <c r="O670" s="127" t="s">
        <v>99</v>
      </c>
      <c r="P670" s="127" t="s">
        <v>99</v>
      </c>
      <c r="Q670" s="127" t="s">
        <v>6057</v>
      </c>
      <c r="R670" s="127" t="s">
        <v>110</v>
      </c>
      <c r="S670" s="127" t="s">
        <v>99</v>
      </c>
      <c r="T670" s="127" t="s">
        <v>99</v>
      </c>
      <c r="U670" s="127" t="s">
        <v>99</v>
      </c>
      <c r="V670" s="127" t="s">
        <v>99</v>
      </c>
      <c r="W670" s="127" t="s">
        <v>99</v>
      </c>
      <c r="X670" s="127" t="s">
        <v>99</v>
      </c>
      <c r="Y670" s="127" t="s">
        <v>99</v>
      </c>
      <c r="Z670" s="127" t="s">
        <v>99</v>
      </c>
      <c r="AA670" s="127" t="s">
        <v>1338</v>
      </c>
      <c r="AB670" s="127" t="s">
        <v>1123</v>
      </c>
      <c r="AC670" s="127" t="s">
        <v>1338</v>
      </c>
      <c r="AD670" s="127" t="s">
        <v>1123</v>
      </c>
      <c r="AE670" s="127" t="s">
        <v>99</v>
      </c>
      <c r="AF670" s="127" t="s">
        <v>1127</v>
      </c>
      <c r="AG670" s="127" t="s">
        <v>99</v>
      </c>
      <c r="AH670" s="129" t="s">
        <v>99</v>
      </c>
      <c r="AI670" s="127" t="s">
        <v>99</v>
      </c>
      <c r="AJ670" s="9" t="s">
        <v>99</v>
      </c>
      <c r="AK670" s="9" t="s">
        <v>6058</v>
      </c>
      <c r="AL670" s="9">
        <v>106.7</v>
      </c>
      <c r="AM670" s="9">
        <v>180</v>
      </c>
      <c r="AN670" s="10">
        <v>112</v>
      </c>
      <c r="AO670" s="9">
        <v>118</v>
      </c>
      <c r="AP670" s="9">
        <v>40.5</v>
      </c>
      <c r="AQ670" s="9">
        <v>17</v>
      </c>
      <c r="AR670" s="9">
        <v>26.3</v>
      </c>
      <c r="AS670" s="9">
        <v>76</v>
      </c>
      <c r="AT670" s="9">
        <v>32.9</v>
      </c>
      <c r="AU670" s="9">
        <v>101</v>
      </c>
      <c r="AV670" s="9">
        <v>62</v>
      </c>
      <c r="AW670" s="9" t="s">
        <v>110</v>
      </c>
      <c r="AX670" s="9" t="s">
        <v>681</v>
      </c>
      <c r="AY670" s="9" t="s">
        <v>500</v>
      </c>
      <c r="AZ670" s="9" t="s">
        <v>500</v>
      </c>
      <c r="BA670" s="9" t="s">
        <v>110</v>
      </c>
      <c r="BB670" s="9" t="s">
        <v>176</v>
      </c>
      <c r="BC670" s="9" t="s">
        <v>500</v>
      </c>
      <c r="BD670" s="9" t="s">
        <v>500</v>
      </c>
      <c r="BE670" s="9" t="s">
        <v>110</v>
      </c>
      <c r="BF670" s="9" t="s">
        <v>176</v>
      </c>
      <c r="BG670" s="9" t="s">
        <v>350</v>
      </c>
      <c r="BH670" s="9" t="s">
        <v>350</v>
      </c>
      <c r="BI670" s="9" t="s">
        <v>350</v>
      </c>
      <c r="BJ670" s="9" t="s">
        <v>99</v>
      </c>
      <c r="BK670" s="9" t="s">
        <v>350</v>
      </c>
      <c r="BL670" s="9" t="s">
        <v>110</v>
      </c>
      <c r="BM670" s="9" t="s">
        <v>176</v>
      </c>
      <c r="BN670" s="9" t="s">
        <v>500</v>
      </c>
      <c r="BO670" s="9" t="s">
        <v>500</v>
      </c>
      <c r="BP670" s="9" t="s">
        <v>500</v>
      </c>
      <c r="BQ670" s="9" t="s">
        <v>99</v>
      </c>
      <c r="BR670" s="9" t="s">
        <v>500</v>
      </c>
      <c r="BS670" s="9" t="s">
        <v>500</v>
      </c>
      <c r="BT670" s="9" t="s">
        <v>500</v>
      </c>
      <c r="BU670" s="9" t="s">
        <v>99</v>
      </c>
      <c r="BV670" s="9" t="s">
        <v>500</v>
      </c>
      <c r="BW670" s="9" t="s">
        <v>500</v>
      </c>
      <c r="BX670" s="9" t="s">
        <v>500</v>
      </c>
      <c r="BY670" s="9" t="s">
        <v>351</v>
      </c>
      <c r="BZ670" s="9" t="s">
        <v>500</v>
      </c>
      <c r="CA670" s="9" t="s">
        <v>500</v>
      </c>
      <c r="CB670" s="9" t="s">
        <v>500</v>
      </c>
      <c r="CC670" s="9" t="s">
        <v>99</v>
      </c>
      <c r="CD670" s="9" t="s">
        <v>500</v>
      </c>
      <c r="CE670" s="9" t="s">
        <v>500</v>
      </c>
      <c r="CF670" s="9" t="s">
        <v>500</v>
      </c>
      <c r="CG670" s="9" t="s">
        <v>99</v>
      </c>
      <c r="CH670" s="9" t="s">
        <v>500</v>
      </c>
      <c r="CI670" s="9" t="s">
        <v>500</v>
      </c>
      <c r="CJ670" s="9" t="s">
        <v>500</v>
      </c>
      <c r="CK670" s="9" t="s">
        <v>176</v>
      </c>
      <c r="CL670" s="9" t="s">
        <v>579</v>
      </c>
      <c r="CM670" s="9" t="s">
        <v>500</v>
      </c>
      <c r="CN670" s="9" t="s">
        <v>500</v>
      </c>
      <c r="CO670" s="9" t="s">
        <v>110</v>
      </c>
      <c r="CP670" s="9" t="s">
        <v>6059</v>
      </c>
      <c r="CQ670" s="9" t="s">
        <v>500</v>
      </c>
      <c r="CR670" s="9" t="s">
        <v>500</v>
      </c>
      <c r="CS670" s="9" t="s">
        <v>99</v>
      </c>
      <c r="CT670" s="9" t="s">
        <v>500</v>
      </c>
      <c r="CU670" s="9" t="s">
        <v>500</v>
      </c>
      <c r="CV670" s="9" t="s">
        <v>500</v>
      </c>
      <c r="CW670" s="9">
        <v>9</v>
      </c>
      <c r="CX670" s="9" t="s">
        <v>110</v>
      </c>
      <c r="CY670" s="9" t="s">
        <v>110</v>
      </c>
      <c r="CZ670" s="9">
        <v>60</v>
      </c>
      <c r="DA670" s="9">
        <v>20</v>
      </c>
      <c r="DB670" s="9">
        <v>20</v>
      </c>
      <c r="DC670" s="9">
        <v>76.099999999999994</v>
      </c>
      <c r="DD670" s="9">
        <v>0.88</v>
      </c>
      <c r="DE670" s="9">
        <v>141</v>
      </c>
      <c r="DF670" s="9">
        <v>54</v>
      </c>
      <c r="DG670" s="9">
        <f t="shared" si="10"/>
        <v>4.1605161557159569</v>
      </c>
      <c r="DH670" s="9">
        <v>10.8</v>
      </c>
      <c r="DI670" s="9">
        <v>5.94</v>
      </c>
      <c r="DJ670" s="9"/>
      <c r="DK670" s="9"/>
      <c r="DL670" s="10">
        <v>37.700000000000003</v>
      </c>
      <c r="DM670" s="9">
        <v>92.5</v>
      </c>
      <c r="DN670" s="9"/>
      <c r="DO670" s="9"/>
      <c r="DR670">
        <v>2</v>
      </c>
    </row>
    <row r="671" spans="1:125" customFormat="1" x14ac:dyDescent="0.2">
      <c r="A671" s="163" t="s">
        <v>6060</v>
      </c>
      <c r="B671" s="69">
        <v>43802</v>
      </c>
      <c r="C671" s="136" t="s">
        <v>196</v>
      </c>
      <c r="D671" s="136">
        <v>49</v>
      </c>
      <c r="E671" s="136" t="s">
        <v>100</v>
      </c>
      <c r="F671" s="69">
        <v>43514</v>
      </c>
      <c r="G671" s="136" t="s">
        <v>500</v>
      </c>
      <c r="H671" s="136" t="s">
        <v>5520</v>
      </c>
      <c r="I671" s="136" t="s">
        <v>2020</v>
      </c>
      <c r="J671" s="136" t="s">
        <v>500</v>
      </c>
      <c r="K671" s="29">
        <v>1991</v>
      </c>
      <c r="L671" s="29">
        <v>4</v>
      </c>
      <c r="M671" s="136" t="s">
        <v>99</v>
      </c>
      <c r="N671" s="136" t="s">
        <v>99</v>
      </c>
      <c r="O671" s="136" t="s">
        <v>99</v>
      </c>
      <c r="P671" s="136" t="s">
        <v>99</v>
      </c>
      <c r="Q671" s="136" t="s">
        <v>4722</v>
      </c>
      <c r="R671" s="136" t="s">
        <v>99</v>
      </c>
      <c r="S671" s="136" t="s">
        <v>99</v>
      </c>
      <c r="T671" s="136" t="s">
        <v>99</v>
      </c>
      <c r="U671" s="136" t="s">
        <v>110</v>
      </c>
      <c r="V671" s="136" t="s">
        <v>6061</v>
      </c>
      <c r="W671" s="136" t="s">
        <v>99</v>
      </c>
      <c r="X671" s="136" t="s">
        <v>99</v>
      </c>
      <c r="Y671" s="136" t="s">
        <v>99</v>
      </c>
      <c r="Z671" s="136" t="s">
        <v>99</v>
      </c>
      <c r="AA671" s="136" t="s">
        <v>204</v>
      </c>
      <c r="AB671" s="136" t="s">
        <v>100</v>
      </c>
      <c r="AC671" s="136" t="s">
        <v>5409</v>
      </c>
      <c r="AD671" s="136" t="s">
        <v>5409</v>
      </c>
      <c r="AE671" s="136" t="s">
        <v>246</v>
      </c>
      <c r="AF671" s="136" t="s">
        <v>246</v>
      </c>
      <c r="AG671" s="136" t="s">
        <v>6062</v>
      </c>
      <c r="AH671" s="137" t="s">
        <v>246</v>
      </c>
      <c r="AI671" s="136" t="s">
        <v>1127</v>
      </c>
      <c r="AJ671" s="53" t="s">
        <v>99</v>
      </c>
      <c r="AK671" s="53" t="s">
        <v>99</v>
      </c>
      <c r="AL671" s="53">
        <v>88.6</v>
      </c>
      <c r="AM671" s="53">
        <v>165</v>
      </c>
      <c r="AN671" s="139">
        <v>105</v>
      </c>
      <c r="AO671" s="53">
        <v>120</v>
      </c>
      <c r="AP671" s="53">
        <v>49.1</v>
      </c>
      <c r="AQ671" s="53">
        <v>10</v>
      </c>
      <c r="AR671" s="53">
        <v>21.9</v>
      </c>
      <c r="AS671" s="53">
        <v>65</v>
      </c>
      <c r="AT671" s="53">
        <v>32.5</v>
      </c>
      <c r="AU671" s="53">
        <v>121</v>
      </c>
      <c r="AV671" s="53">
        <v>62</v>
      </c>
      <c r="AW671" s="53" t="s">
        <v>176</v>
      </c>
      <c r="AX671" s="53" t="s">
        <v>500</v>
      </c>
      <c r="AY671" s="53" t="s">
        <v>500</v>
      </c>
      <c r="AZ671" s="53" t="s">
        <v>500</v>
      </c>
      <c r="BA671" s="53" t="s">
        <v>351</v>
      </c>
      <c r="BB671" s="53" t="s">
        <v>500</v>
      </c>
      <c r="BC671" s="53" t="s">
        <v>500</v>
      </c>
      <c r="BD671" s="53" t="s">
        <v>500</v>
      </c>
      <c r="BE671" s="53" t="s">
        <v>110</v>
      </c>
      <c r="BF671" s="53" t="s">
        <v>5441</v>
      </c>
      <c r="BG671" s="53" t="s">
        <v>1469</v>
      </c>
      <c r="BH671" s="53" t="s">
        <v>1469</v>
      </c>
      <c r="BI671" s="53" t="s">
        <v>1469</v>
      </c>
      <c r="BJ671" s="53" t="s">
        <v>1469</v>
      </c>
      <c r="BK671" s="53" t="s">
        <v>1469</v>
      </c>
      <c r="BL671" s="53" t="s">
        <v>110</v>
      </c>
      <c r="BM671" s="53" t="s">
        <v>350</v>
      </c>
      <c r="BN671" s="53" t="s">
        <v>500</v>
      </c>
      <c r="BO671" s="53" t="s">
        <v>500</v>
      </c>
      <c r="BP671" s="53" t="s">
        <v>500</v>
      </c>
      <c r="BQ671" s="53" t="s">
        <v>99</v>
      </c>
      <c r="BR671" s="53" t="s">
        <v>500</v>
      </c>
      <c r="BS671" s="53" t="s">
        <v>500</v>
      </c>
      <c r="BT671" s="53" t="s">
        <v>500</v>
      </c>
      <c r="BU671" s="53" t="s">
        <v>99</v>
      </c>
      <c r="BV671" s="53" t="s">
        <v>500</v>
      </c>
      <c r="BW671" s="53" t="s">
        <v>500</v>
      </c>
      <c r="BX671" s="53" t="s">
        <v>500</v>
      </c>
      <c r="BY671" s="53" t="s">
        <v>350</v>
      </c>
      <c r="BZ671" s="53" t="s">
        <v>707</v>
      </c>
      <c r="CA671" s="53" t="s">
        <v>500</v>
      </c>
      <c r="CB671" s="53" t="s">
        <v>500</v>
      </c>
      <c r="CC671" s="53" t="s">
        <v>99</v>
      </c>
      <c r="CD671" s="53" t="s">
        <v>500</v>
      </c>
      <c r="CE671" s="53" t="s">
        <v>500</v>
      </c>
      <c r="CF671" s="53" t="s">
        <v>500</v>
      </c>
      <c r="CG671" s="53" t="s">
        <v>99</v>
      </c>
      <c r="CH671" s="53" t="s">
        <v>500</v>
      </c>
      <c r="CI671" s="53" t="s">
        <v>500</v>
      </c>
      <c r="CJ671" s="53" t="s">
        <v>500</v>
      </c>
      <c r="CK671" s="53" t="s">
        <v>176</v>
      </c>
      <c r="CL671" s="53" t="s">
        <v>579</v>
      </c>
      <c r="CM671" s="53" t="s">
        <v>500</v>
      </c>
      <c r="CN671" s="53" t="s">
        <v>500</v>
      </c>
      <c r="CO671" s="53" t="s">
        <v>110</v>
      </c>
      <c r="CP671" s="53" t="s">
        <v>5498</v>
      </c>
      <c r="CQ671" s="53" t="s">
        <v>500</v>
      </c>
      <c r="CR671" s="53" t="s">
        <v>500</v>
      </c>
      <c r="CS671" s="53" t="s">
        <v>350</v>
      </c>
      <c r="CT671" s="53" t="s">
        <v>2747</v>
      </c>
      <c r="CU671" s="53" t="s">
        <v>500</v>
      </c>
      <c r="CV671" s="53" t="s">
        <v>500</v>
      </c>
      <c r="CW671" s="53">
        <v>2</v>
      </c>
      <c r="CX671" s="53" t="s">
        <v>110</v>
      </c>
      <c r="CY671" s="53" t="s">
        <v>99</v>
      </c>
      <c r="CZ671" s="53">
        <v>15</v>
      </c>
      <c r="DA671" s="53">
        <v>45</v>
      </c>
      <c r="DB671" s="53">
        <v>40</v>
      </c>
      <c r="DC671" s="53">
        <v>76.2</v>
      </c>
      <c r="DD671" s="53">
        <v>0.67</v>
      </c>
      <c r="DE671" s="53">
        <v>178</v>
      </c>
      <c r="DF671" s="53">
        <v>176</v>
      </c>
      <c r="DG671" s="9">
        <f t="shared" si="10"/>
        <v>4.7519227288653765</v>
      </c>
      <c r="DH671" s="53">
        <v>35.200000000000003</v>
      </c>
      <c r="DI671" s="53">
        <v>4.82</v>
      </c>
      <c r="DJ671" s="53"/>
      <c r="DL671" s="53">
        <v>43.1</v>
      </c>
      <c r="DM671" s="29">
        <v>99.7</v>
      </c>
      <c r="DP671" s="29">
        <v>3</v>
      </c>
      <c r="DR671">
        <v>2</v>
      </c>
    </row>
    <row r="672" spans="1:125" x14ac:dyDescent="0.2">
      <c r="A672" s="9" t="s">
        <v>6063</v>
      </c>
      <c r="DG672" s="9" t="e">
        <f t="shared" si="10"/>
        <v>#NUM!</v>
      </c>
      <c r="DR672" s="9">
        <v>3</v>
      </c>
    </row>
    <row r="673" spans="1:125" customFormat="1" x14ac:dyDescent="0.2">
      <c r="A673" s="127" t="s">
        <v>6064</v>
      </c>
      <c r="B673" s="128">
        <v>43803</v>
      </c>
      <c r="C673" s="127" t="s">
        <v>675</v>
      </c>
      <c r="D673" s="127">
        <v>46</v>
      </c>
      <c r="E673" s="127" t="s">
        <v>100</v>
      </c>
      <c r="F673" s="128">
        <v>26817</v>
      </c>
      <c r="G673" s="127" t="s">
        <v>5428</v>
      </c>
      <c r="H673" s="127" t="s">
        <v>1727</v>
      </c>
      <c r="I673" s="127" t="s">
        <v>500</v>
      </c>
      <c r="J673" s="127" t="s">
        <v>500</v>
      </c>
      <c r="K673" s="127" t="s">
        <v>500</v>
      </c>
      <c r="L673" s="127" t="s">
        <v>500</v>
      </c>
      <c r="M673" s="127" t="s">
        <v>99</v>
      </c>
      <c r="N673" s="127" t="s">
        <v>99</v>
      </c>
      <c r="O673" s="127" t="s">
        <v>99</v>
      </c>
      <c r="P673" s="127" t="s">
        <v>99</v>
      </c>
      <c r="Q673" s="127" t="s">
        <v>6065</v>
      </c>
      <c r="R673" s="127" t="s">
        <v>99</v>
      </c>
      <c r="S673" s="127" t="s">
        <v>99</v>
      </c>
      <c r="T673" s="127" t="s">
        <v>99</v>
      </c>
      <c r="U673" s="127" t="s">
        <v>99</v>
      </c>
      <c r="V673" s="127" t="s">
        <v>99</v>
      </c>
      <c r="W673" s="127" t="s">
        <v>99</v>
      </c>
      <c r="X673" s="127" t="s">
        <v>99</v>
      </c>
      <c r="Y673" s="127" t="s">
        <v>99</v>
      </c>
      <c r="Z673" s="127" t="s">
        <v>99</v>
      </c>
      <c r="AA673" s="127" t="s">
        <v>500</v>
      </c>
      <c r="AB673" s="127" t="s">
        <v>500</v>
      </c>
      <c r="AC673" s="127" t="s">
        <v>500</v>
      </c>
      <c r="AD673" s="127" t="s">
        <v>500</v>
      </c>
      <c r="AE673" s="127" t="s">
        <v>99</v>
      </c>
      <c r="AF673" s="127" t="s">
        <v>99</v>
      </c>
      <c r="AG673" s="127" t="s">
        <v>99</v>
      </c>
      <c r="AH673" s="129" t="s">
        <v>99</v>
      </c>
      <c r="AI673" s="127" t="s">
        <v>99</v>
      </c>
      <c r="AJ673" s="9" t="s">
        <v>99</v>
      </c>
      <c r="AK673" s="9" t="s">
        <v>99</v>
      </c>
      <c r="AL673" s="9">
        <v>94.5</v>
      </c>
      <c r="AM673" s="9">
        <v>185</v>
      </c>
      <c r="AN673" s="10">
        <v>100</v>
      </c>
      <c r="AO673" s="9">
        <v>111</v>
      </c>
      <c r="AP673" s="9">
        <v>27</v>
      </c>
      <c r="AQ673" s="9">
        <v>11</v>
      </c>
      <c r="AR673" s="9">
        <v>33.5</v>
      </c>
      <c r="AS673" s="9">
        <v>66</v>
      </c>
      <c r="AT673" s="9">
        <v>27.6</v>
      </c>
      <c r="AU673" s="9">
        <v>125</v>
      </c>
      <c r="AV673" s="9">
        <v>87</v>
      </c>
      <c r="AW673" s="9" t="s">
        <v>110</v>
      </c>
      <c r="AX673" s="9" t="s">
        <v>679</v>
      </c>
      <c r="AY673" s="9" t="s">
        <v>3248</v>
      </c>
      <c r="AZ673" s="9" t="s">
        <v>500</v>
      </c>
      <c r="BA673" s="9" t="s">
        <v>110</v>
      </c>
      <c r="BB673" s="9" t="s">
        <v>346</v>
      </c>
      <c r="BC673" s="9" t="s">
        <v>5452</v>
      </c>
      <c r="BD673" s="9" t="s">
        <v>500</v>
      </c>
      <c r="BE673" s="9" t="s">
        <v>110</v>
      </c>
      <c r="BF673" s="9" t="s">
        <v>1979</v>
      </c>
      <c r="BG673" s="9" t="s">
        <v>350</v>
      </c>
      <c r="BH673" s="9" t="s">
        <v>350</v>
      </c>
      <c r="BI673" s="9" t="s">
        <v>350</v>
      </c>
      <c r="BJ673" s="9" t="s">
        <v>99</v>
      </c>
      <c r="BK673" s="9" t="s">
        <v>350</v>
      </c>
      <c r="BL673" s="9" t="s">
        <v>110</v>
      </c>
      <c r="BM673" s="9" t="s">
        <v>176</v>
      </c>
      <c r="BN673" s="9" t="s">
        <v>6066</v>
      </c>
      <c r="BO673" s="9" t="s">
        <v>500</v>
      </c>
      <c r="BP673" s="9" t="s">
        <v>500</v>
      </c>
      <c r="BQ673" s="9" t="s">
        <v>99</v>
      </c>
      <c r="BR673" s="9" t="s">
        <v>500</v>
      </c>
      <c r="BS673" s="9" t="s">
        <v>500</v>
      </c>
      <c r="BT673" s="9" t="s">
        <v>500</v>
      </c>
      <c r="BU673" s="9" t="s">
        <v>350</v>
      </c>
      <c r="BV673" s="9" t="s">
        <v>500</v>
      </c>
      <c r="BW673" s="9" t="s">
        <v>500</v>
      </c>
      <c r="BX673" s="9" t="s">
        <v>500</v>
      </c>
      <c r="BY673" s="9" t="s">
        <v>351</v>
      </c>
      <c r="BZ673" s="9" t="s">
        <v>182</v>
      </c>
      <c r="CA673" s="9" t="s">
        <v>183</v>
      </c>
      <c r="CB673" s="9" t="s">
        <v>577</v>
      </c>
      <c r="CC673" s="9" t="s">
        <v>99</v>
      </c>
      <c r="CD673" s="9" t="s">
        <v>500</v>
      </c>
      <c r="CE673" s="9" t="s">
        <v>500</v>
      </c>
      <c r="CF673" s="9" t="s">
        <v>500</v>
      </c>
      <c r="CG673" s="9" t="s">
        <v>99</v>
      </c>
      <c r="CH673" s="9" t="s">
        <v>500</v>
      </c>
      <c r="CI673" s="9" t="s">
        <v>500</v>
      </c>
      <c r="CJ673" s="9" t="s">
        <v>500</v>
      </c>
      <c r="CK673" s="9" t="s">
        <v>176</v>
      </c>
      <c r="CL673" s="9" t="s">
        <v>1180</v>
      </c>
      <c r="CM673" s="9" t="s">
        <v>6067</v>
      </c>
      <c r="CN673" s="9" t="s">
        <v>980</v>
      </c>
      <c r="CO673" s="9" t="s">
        <v>110</v>
      </c>
      <c r="CP673" s="9" t="s">
        <v>500</v>
      </c>
      <c r="CQ673" s="9" t="s">
        <v>500</v>
      </c>
      <c r="CR673" s="9" t="s">
        <v>500</v>
      </c>
      <c r="CS673" s="9" t="s">
        <v>110</v>
      </c>
      <c r="CT673" s="9" t="s">
        <v>2617</v>
      </c>
      <c r="CU673" s="9" t="s">
        <v>6068</v>
      </c>
      <c r="CV673" s="9" t="s">
        <v>500</v>
      </c>
      <c r="CW673" s="9">
        <v>3</v>
      </c>
      <c r="CX673" s="9" t="s">
        <v>99</v>
      </c>
      <c r="CY673" s="9" t="s">
        <v>110</v>
      </c>
      <c r="CZ673" s="9">
        <v>40</v>
      </c>
      <c r="DA673" s="9">
        <v>40</v>
      </c>
      <c r="DB673" s="9">
        <v>20</v>
      </c>
      <c r="DC673" s="9">
        <v>93.9</v>
      </c>
      <c r="DD673" s="9">
        <v>0.92</v>
      </c>
      <c r="DE673" s="10">
        <v>212</v>
      </c>
      <c r="DF673" s="9">
        <v>130</v>
      </c>
      <c r="DG673" s="9">
        <f t="shared" si="10"/>
        <v>4.7048824183348996</v>
      </c>
      <c r="DH673" s="9">
        <v>26</v>
      </c>
      <c r="DI673" s="9">
        <v>5.84</v>
      </c>
      <c r="DJ673" s="9"/>
      <c r="DK673" s="9"/>
      <c r="DL673" s="9">
        <v>45.9</v>
      </c>
      <c r="DM673" s="9">
        <v>140.1</v>
      </c>
      <c r="DN673" s="9"/>
      <c r="DO673" s="9"/>
      <c r="DR673">
        <v>2</v>
      </c>
    </row>
    <row r="674" spans="1:125" x14ac:dyDescent="0.2">
      <c r="A674" s="9" t="s">
        <v>6069</v>
      </c>
      <c r="DG674" s="9" t="e">
        <f t="shared" si="10"/>
        <v>#NUM!</v>
      </c>
    </row>
    <row r="675" spans="1:125" x14ac:dyDescent="0.2">
      <c r="A675" s="9" t="s">
        <v>6070</v>
      </c>
      <c r="DG675" s="9" t="e">
        <f t="shared" si="10"/>
        <v>#NUM!</v>
      </c>
    </row>
    <row r="676" spans="1:125" x14ac:dyDescent="0.2">
      <c r="A676" s="9" t="s">
        <v>6071</v>
      </c>
      <c r="DG676" s="9" t="e">
        <f t="shared" si="10"/>
        <v>#NUM!</v>
      </c>
      <c r="DR676" s="9">
        <v>2</v>
      </c>
    </row>
    <row r="677" spans="1:125" x14ac:dyDescent="0.2">
      <c r="A677" s="9" t="s">
        <v>6072</v>
      </c>
      <c r="DG677" s="9" t="e">
        <f t="shared" si="10"/>
        <v>#NUM!</v>
      </c>
      <c r="DR677" s="9">
        <v>2</v>
      </c>
    </row>
    <row r="678" spans="1:125" customFormat="1" x14ac:dyDescent="0.2">
      <c r="A678" s="143" t="s">
        <v>6073</v>
      </c>
      <c r="B678" s="128">
        <v>43802</v>
      </c>
      <c r="C678" s="127" t="s">
        <v>675</v>
      </c>
      <c r="D678" s="127">
        <v>22</v>
      </c>
      <c r="E678" s="127" t="s">
        <v>100</v>
      </c>
      <c r="F678" s="128">
        <v>35755</v>
      </c>
      <c r="G678" s="127" t="s">
        <v>234</v>
      </c>
      <c r="H678" s="127" t="s">
        <v>5515</v>
      </c>
      <c r="I678" s="127"/>
      <c r="J678" s="127"/>
      <c r="K678" s="127"/>
      <c r="L678" s="127"/>
      <c r="M678" s="127" t="s">
        <v>99</v>
      </c>
      <c r="N678" s="127" t="s">
        <v>99</v>
      </c>
      <c r="O678" s="127" t="s">
        <v>99</v>
      </c>
      <c r="P678" s="127" t="s">
        <v>99</v>
      </c>
      <c r="Q678" s="127" t="s">
        <v>99</v>
      </c>
      <c r="R678" s="127" t="s">
        <v>99</v>
      </c>
      <c r="S678" s="127" t="s">
        <v>5490</v>
      </c>
      <c r="T678" s="127" t="s">
        <v>99</v>
      </c>
      <c r="U678" s="127" t="s">
        <v>99</v>
      </c>
      <c r="V678" s="127" t="s">
        <v>99</v>
      </c>
      <c r="W678" s="127"/>
      <c r="X678" s="127"/>
      <c r="Y678" s="127"/>
      <c r="Z678" s="127"/>
      <c r="AA678" s="127" t="s">
        <v>100</v>
      </c>
      <c r="AB678" s="127" t="s">
        <v>100</v>
      </c>
      <c r="AC678" s="127" t="s">
        <v>204</v>
      </c>
      <c r="AD678" s="127" t="s">
        <v>100</v>
      </c>
      <c r="AE678" s="127" t="s">
        <v>6074</v>
      </c>
      <c r="AF678" s="127" t="s">
        <v>6075</v>
      </c>
      <c r="AG678" s="127" t="s">
        <v>6074</v>
      </c>
      <c r="AH678" s="129" t="s">
        <v>6075</v>
      </c>
      <c r="AI678" s="127" t="s">
        <v>99</v>
      </c>
      <c r="AJ678" s="9" t="s">
        <v>99</v>
      </c>
      <c r="AK678" s="9" t="s">
        <v>6076</v>
      </c>
      <c r="AL678" s="9">
        <v>69.099999999999994</v>
      </c>
      <c r="AM678" s="9">
        <v>173</v>
      </c>
      <c r="AN678" s="7">
        <v>80</v>
      </c>
      <c r="AO678" s="9">
        <v>102</v>
      </c>
      <c r="AP678" s="9">
        <v>23.9</v>
      </c>
      <c r="AQ678" s="9">
        <v>6</v>
      </c>
      <c r="AR678" s="9">
        <v>37.4</v>
      </c>
      <c r="AS678" s="9">
        <v>31</v>
      </c>
      <c r="AT678" s="7">
        <v>23.3</v>
      </c>
      <c r="AU678" s="9">
        <v>127</v>
      </c>
      <c r="AV678" s="9">
        <v>70</v>
      </c>
      <c r="AW678" s="9"/>
      <c r="AX678" s="9" t="s">
        <v>6077</v>
      </c>
      <c r="AY678" s="9" t="s">
        <v>4983</v>
      </c>
      <c r="AZ678" s="9" t="s">
        <v>6078</v>
      </c>
      <c r="BA678" s="9"/>
      <c r="BB678" s="9" t="s">
        <v>3031</v>
      </c>
      <c r="BC678" s="9" t="s">
        <v>749</v>
      </c>
      <c r="BD678" s="9"/>
      <c r="BE678" s="9"/>
      <c r="BF678" s="9" t="s">
        <v>1643</v>
      </c>
      <c r="BG678" s="9"/>
      <c r="BH678" s="9" t="s">
        <v>682</v>
      </c>
      <c r="BI678" s="9" t="s">
        <v>1468</v>
      </c>
      <c r="BJ678" s="9" t="s">
        <v>681</v>
      </c>
      <c r="BK678" s="9" t="s">
        <v>1134</v>
      </c>
      <c r="BL678" s="9"/>
      <c r="BM678" s="9"/>
      <c r="BN678" s="9" t="s">
        <v>6079</v>
      </c>
      <c r="BO678" s="9" t="s">
        <v>6080</v>
      </c>
      <c r="BP678" s="9" t="s">
        <v>6081</v>
      </c>
      <c r="BQ678" s="9"/>
      <c r="BR678" s="9"/>
      <c r="BS678" s="9"/>
      <c r="BT678" s="9"/>
      <c r="BU678" s="9"/>
      <c r="BV678" s="9"/>
      <c r="BW678" s="9"/>
      <c r="BX678" s="9"/>
      <c r="BY678" s="9"/>
      <c r="BZ678" s="9" t="s">
        <v>182</v>
      </c>
      <c r="CA678" s="9" t="s">
        <v>577</v>
      </c>
      <c r="CB678" s="9" t="s">
        <v>6082</v>
      </c>
      <c r="CC678" s="9"/>
      <c r="CD678" s="9"/>
      <c r="CE678" s="9"/>
      <c r="CF678" s="9"/>
      <c r="CG678" s="9"/>
      <c r="CH678" s="9"/>
      <c r="CI678" s="9"/>
      <c r="CJ678" s="9"/>
      <c r="CK678" s="9"/>
      <c r="CL678" s="9" t="s">
        <v>579</v>
      </c>
      <c r="CM678" s="9" t="s">
        <v>980</v>
      </c>
      <c r="CN678" s="9" t="s">
        <v>4015</v>
      </c>
      <c r="CO678" s="9"/>
      <c r="CP678" s="9" t="s">
        <v>6083</v>
      </c>
      <c r="CQ678" s="9" t="s">
        <v>716</v>
      </c>
      <c r="CR678" s="9" t="s">
        <v>361</v>
      </c>
      <c r="CS678" s="9"/>
      <c r="CT678" s="9" t="s">
        <v>187</v>
      </c>
      <c r="CU678" s="9" t="s">
        <v>830</v>
      </c>
      <c r="CV678" s="9"/>
      <c r="CW678" s="9">
        <v>4</v>
      </c>
      <c r="CX678" s="9" t="s">
        <v>99</v>
      </c>
      <c r="CY678" s="9" t="s">
        <v>99</v>
      </c>
      <c r="CZ678" s="9">
        <v>25</v>
      </c>
      <c r="DA678" s="9">
        <v>15</v>
      </c>
      <c r="DB678" s="9">
        <v>60</v>
      </c>
      <c r="DC678" s="9">
        <v>89</v>
      </c>
      <c r="DD678" s="9">
        <v>0.75</v>
      </c>
      <c r="DE678" s="9">
        <v>180</v>
      </c>
      <c r="DF678" s="9">
        <v>111</v>
      </c>
      <c r="DG678" s="9">
        <f t="shared" si="10"/>
        <v>4.5990832855222372</v>
      </c>
      <c r="DH678" s="9">
        <v>22.2</v>
      </c>
      <c r="DI678" s="9"/>
      <c r="DJ678" s="9"/>
      <c r="DK678" s="9"/>
      <c r="DL678" s="9">
        <v>40.200000000000003</v>
      </c>
      <c r="DM678" s="9">
        <v>117.6</v>
      </c>
      <c r="DN678" s="9"/>
      <c r="DO678" s="9"/>
      <c r="DR678">
        <v>2</v>
      </c>
      <c r="DU678">
        <v>8.1999999999999993</v>
      </c>
    </row>
    <row r="679" spans="1:125" customFormat="1" x14ac:dyDescent="0.2">
      <c r="A679" s="127" t="s">
        <v>6084</v>
      </c>
      <c r="B679" s="128">
        <v>43803</v>
      </c>
      <c r="C679" s="127" t="s">
        <v>196</v>
      </c>
      <c r="D679" s="127">
        <v>27</v>
      </c>
      <c r="E679" s="127" t="s">
        <v>500</v>
      </c>
      <c r="F679" s="128">
        <v>33679</v>
      </c>
      <c r="G679" s="127" t="s">
        <v>500</v>
      </c>
      <c r="H679" s="127" t="s">
        <v>500</v>
      </c>
      <c r="I679" s="127" t="s">
        <v>500</v>
      </c>
      <c r="J679" s="127" t="s">
        <v>500</v>
      </c>
      <c r="K679" s="128">
        <v>43602</v>
      </c>
      <c r="L679" s="127">
        <v>4</v>
      </c>
      <c r="M679" s="127" t="s">
        <v>99</v>
      </c>
      <c r="N679" s="127" t="s">
        <v>99</v>
      </c>
      <c r="O679" s="127" t="s">
        <v>99</v>
      </c>
      <c r="P679" s="127" t="s">
        <v>6085</v>
      </c>
      <c r="Q679" s="127" t="s">
        <v>6086</v>
      </c>
      <c r="R679" s="127" t="s">
        <v>99</v>
      </c>
      <c r="S679" s="127" t="s">
        <v>99</v>
      </c>
      <c r="T679" s="127" t="s">
        <v>99</v>
      </c>
      <c r="U679" s="127" t="s">
        <v>99</v>
      </c>
      <c r="V679" s="127" t="s">
        <v>99</v>
      </c>
      <c r="W679" s="127" t="s">
        <v>99</v>
      </c>
      <c r="X679" s="127" t="s">
        <v>99</v>
      </c>
      <c r="Y679" s="127" t="s">
        <v>99</v>
      </c>
      <c r="Z679" s="127" t="s">
        <v>99</v>
      </c>
      <c r="AA679" s="127" t="s">
        <v>100</v>
      </c>
      <c r="AB679" s="127" t="s">
        <v>100</v>
      </c>
      <c r="AC679" s="127" t="s">
        <v>100</v>
      </c>
      <c r="AD679" s="127" t="s">
        <v>100</v>
      </c>
      <c r="AE679" s="127" t="s">
        <v>2048</v>
      </c>
      <c r="AF679" s="127" t="s">
        <v>99</v>
      </c>
      <c r="AG679" s="127" t="s">
        <v>99</v>
      </c>
      <c r="AH679" s="129" t="s">
        <v>99</v>
      </c>
      <c r="AI679" s="127" t="s">
        <v>99</v>
      </c>
      <c r="AJ679" s="9" t="s">
        <v>99</v>
      </c>
      <c r="AK679" s="9" t="s">
        <v>99</v>
      </c>
      <c r="AL679" s="9">
        <v>68.900000000000006</v>
      </c>
      <c r="AM679" s="9">
        <v>165</v>
      </c>
      <c r="AN679" s="9">
        <v>84</v>
      </c>
      <c r="AO679" s="9">
        <v>104</v>
      </c>
      <c r="AP679" s="9">
        <v>37.200000000000003</v>
      </c>
      <c r="AQ679" s="9">
        <v>5</v>
      </c>
      <c r="AR679" s="9">
        <v>27</v>
      </c>
      <c r="AS679" s="9">
        <v>37</v>
      </c>
      <c r="AT679" s="9">
        <v>25.3</v>
      </c>
      <c r="AU679" s="9">
        <v>94</v>
      </c>
      <c r="AV679" s="9">
        <v>67</v>
      </c>
      <c r="AW679" s="9" t="s">
        <v>110</v>
      </c>
      <c r="AX679" s="9" t="s">
        <v>6087</v>
      </c>
      <c r="AY679" s="9" t="s">
        <v>6042</v>
      </c>
      <c r="AZ679" s="9" t="s">
        <v>5943</v>
      </c>
      <c r="BA679" s="9" t="s">
        <v>110</v>
      </c>
      <c r="BB679" s="9" t="s">
        <v>346</v>
      </c>
      <c r="BC679" s="9" t="s">
        <v>6088</v>
      </c>
      <c r="BD679" s="9" t="s">
        <v>6089</v>
      </c>
      <c r="BE679" s="9" t="s">
        <v>110</v>
      </c>
      <c r="BF679" s="9" t="s">
        <v>176</v>
      </c>
      <c r="BG679" s="9" t="s">
        <v>350</v>
      </c>
      <c r="BH679" s="9" t="s">
        <v>350</v>
      </c>
      <c r="BI679" s="9" t="s">
        <v>350</v>
      </c>
      <c r="BJ679" s="9" t="s">
        <v>176</v>
      </c>
      <c r="BK679" s="9" t="s">
        <v>5510</v>
      </c>
      <c r="BL679" s="9" t="s">
        <v>110</v>
      </c>
      <c r="BM679" s="9" t="s">
        <v>176</v>
      </c>
      <c r="BN679" s="9" t="s">
        <v>1664</v>
      </c>
      <c r="BO679" s="9" t="s">
        <v>2534</v>
      </c>
      <c r="BP679" s="9" t="s">
        <v>179</v>
      </c>
      <c r="BQ679" s="9" t="s">
        <v>99</v>
      </c>
      <c r="BR679" s="9" t="s">
        <v>500</v>
      </c>
      <c r="BS679" s="9" t="s">
        <v>500</v>
      </c>
      <c r="BT679" s="9" t="s">
        <v>500</v>
      </c>
      <c r="BU679" s="9" t="s">
        <v>6090</v>
      </c>
      <c r="BV679" s="9" t="s">
        <v>500</v>
      </c>
      <c r="BW679" s="9" t="s">
        <v>500</v>
      </c>
      <c r="BX679" s="9" t="s">
        <v>500</v>
      </c>
      <c r="BY679" s="9" t="s">
        <v>351</v>
      </c>
      <c r="BZ679" s="9" t="s">
        <v>183</v>
      </c>
      <c r="CA679" s="9" t="s">
        <v>6091</v>
      </c>
      <c r="CB679" s="9" t="s">
        <v>182</v>
      </c>
      <c r="CC679" s="9" t="s">
        <v>99</v>
      </c>
      <c r="CD679" s="9" t="s">
        <v>500</v>
      </c>
      <c r="CE679" s="9" t="s">
        <v>500</v>
      </c>
      <c r="CF679" s="9" t="s">
        <v>500</v>
      </c>
      <c r="CG679" s="9" t="s">
        <v>99</v>
      </c>
      <c r="CH679" s="9" t="s">
        <v>500</v>
      </c>
      <c r="CI679" s="9" t="s">
        <v>500</v>
      </c>
      <c r="CJ679" s="9" t="s">
        <v>500</v>
      </c>
      <c r="CK679" s="9" t="s">
        <v>176</v>
      </c>
      <c r="CL679" s="9" t="s">
        <v>6092</v>
      </c>
      <c r="CM679" s="9" t="s">
        <v>6093</v>
      </c>
      <c r="CN679" s="9" t="s">
        <v>6094</v>
      </c>
      <c r="CO679" s="9" t="s">
        <v>176</v>
      </c>
      <c r="CP679" s="9" t="s">
        <v>6095</v>
      </c>
      <c r="CQ679" s="9" t="s">
        <v>6096</v>
      </c>
      <c r="CR679" s="9" t="s">
        <v>2594</v>
      </c>
      <c r="CS679" s="9" t="s">
        <v>3059</v>
      </c>
      <c r="CT679" s="9" t="s">
        <v>6097</v>
      </c>
      <c r="CU679" s="9" t="s">
        <v>500</v>
      </c>
      <c r="CV679" s="9" t="s">
        <v>500</v>
      </c>
      <c r="CW679" s="9">
        <v>3</v>
      </c>
      <c r="CX679" s="9" t="s">
        <v>99</v>
      </c>
      <c r="CY679" s="9" t="s">
        <v>99</v>
      </c>
      <c r="CZ679" s="9" t="s">
        <v>500</v>
      </c>
      <c r="DA679" s="9" t="s">
        <v>500</v>
      </c>
      <c r="DB679" s="9" t="s">
        <v>500</v>
      </c>
      <c r="DC679" s="9">
        <v>66.7</v>
      </c>
      <c r="DD679" s="9">
        <v>0.33</v>
      </c>
      <c r="DE679" s="9">
        <v>120</v>
      </c>
      <c r="DF679" s="9">
        <v>44</v>
      </c>
      <c r="DG679" s="9">
        <f t="shared" si="10"/>
        <v>3.9921972934199195</v>
      </c>
      <c r="DH679" s="9">
        <v>8.8000000000000007</v>
      </c>
      <c r="DI679" s="9">
        <v>3.42</v>
      </c>
      <c r="DJ679" s="9"/>
      <c r="DK679" s="9"/>
      <c r="DL679" s="10" t="s">
        <v>6098</v>
      </c>
      <c r="DM679" s="9">
        <v>75.599999999999994</v>
      </c>
      <c r="DN679" s="9"/>
      <c r="DO679" s="9"/>
    </row>
    <row r="680" spans="1:125" customFormat="1" x14ac:dyDescent="0.2">
      <c r="A680" s="138" t="s">
        <v>6099</v>
      </c>
      <c r="B680" s="69">
        <v>43801</v>
      </c>
      <c r="C680" s="136" t="s">
        <v>675</v>
      </c>
      <c r="D680" s="136">
        <v>43</v>
      </c>
      <c r="E680" s="136" t="s">
        <v>100</v>
      </c>
      <c r="F680" s="159">
        <v>28979</v>
      </c>
      <c r="G680" s="136" t="s">
        <v>837</v>
      </c>
      <c r="H680" s="136" t="s">
        <v>500</v>
      </c>
      <c r="I680" s="136" t="s">
        <v>500</v>
      </c>
      <c r="J680" s="136" t="s">
        <v>500</v>
      </c>
      <c r="K680" s="137" t="s">
        <v>500</v>
      </c>
      <c r="L680" s="138" t="s">
        <v>500</v>
      </c>
      <c r="M680" s="136" t="s">
        <v>99</v>
      </c>
      <c r="N680" s="136" t="s">
        <v>99</v>
      </c>
      <c r="O680" s="136" t="s">
        <v>99</v>
      </c>
      <c r="P680" s="136" t="s">
        <v>99</v>
      </c>
      <c r="Q680" s="136" t="s">
        <v>4722</v>
      </c>
      <c r="R680" s="136" t="s">
        <v>500</v>
      </c>
      <c r="S680" s="136" t="s">
        <v>110</v>
      </c>
      <c r="T680" s="136" t="s">
        <v>500</v>
      </c>
      <c r="U680" s="136" t="s">
        <v>6100</v>
      </c>
      <c r="V680" s="136" t="s">
        <v>99</v>
      </c>
      <c r="W680" s="136" t="s">
        <v>99</v>
      </c>
      <c r="X680" s="136" t="s">
        <v>99</v>
      </c>
      <c r="Y680" s="136" t="s">
        <v>99</v>
      </c>
      <c r="Z680" s="136" t="s">
        <v>99</v>
      </c>
      <c r="AA680" s="136" t="s">
        <v>500</v>
      </c>
      <c r="AB680" s="136" t="s">
        <v>500</v>
      </c>
      <c r="AC680" s="136" t="s">
        <v>500</v>
      </c>
      <c r="AD680" s="136" t="s">
        <v>500</v>
      </c>
      <c r="AE680" s="136" t="s">
        <v>1127</v>
      </c>
      <c r="AF680" s="136" t="s">
        <v>246</v>
      </c>
      <c r="AG680" s="136" t="s">
        <v>1127</v>
      </c>
      <c r="AH680" s="137" t="s">
        <v>99</v>
      </c>
      <c r="AI680" s="136" t="s">
        <v>99</v>
      </c>
      <c r="AJ680" s="53" t="s">
        <v>99</v>
      </c>
      <c r="AK680" s="53" t="s">
        <v>99</v>
      </c>
      <c r="AL680" s="53">
        <v>87.6</v>
      </c>
      <c r="AM680" s="53">
        <v>1.69</v>
      </c>
      <c r="AN680" s="53">
        <v>107</v>
      </c>
      <c r="AO680" s="53">
        <v>113</v>
      </c>
      <c r="AP680" s="53">
        <v>32.799999999999997</v>
      </c>
      <c r="AQ680" s="53">
        <v>15</v>
      </c>
      <c r="AR680" s="53">
        <v>31.4</v>
      </c>
      <c r="AS680" s="53">
        <v>58</v>
      </c>
      <c r="AT680" s="53">
        <v>30.7</v>
      </c>
      <c r="AU680" s="53">
        <v>125</v>
      </c>
      <c r="AV680" s="53">
        <v>79</v>
      </c>
      <c r="AW680" s="53" t="s">
        <v>176</v>
      </c>
      <c r="AX680" s="53" t="s">
        <v>729</v>
      </c>
      <c r="AY680" s="53" t="s">
        <v>6101</v>
      </c>
      <c r="AZ680" s="53" t="s">
        <v>500</v>
      </c>
      <c r="BA680" s="53" t="s">
        <v>351</v>
      </c>
      <c r="BB680" s="53" t="s">
        <v>750</v>
      </c>
      <c r="BC680" s="53" t="s">
        <v>6102</v>
      </c>
      <c r="BD680" s="53" t="s">
        <v>500</v>
      </c>
      <c r="BE680" s="53" t="s">
        <v>110</v>
      </c>
      <c r="BF680" s="53" t="s">
        <v>176</v>
      </c>
      <c r="BG680" s="53" t="s">
        <v>176</v>
      </c>
      <c r="BH680" s="53" t="s">
        <v>350</v>
      </c>
      <c r="BI680" s="53" t="s">
        <v>5411</v>
      </c>
      <c r="BJ680" s="53" t="s">
        <v>176</v>
      </c>
      <c r="BK680" s="53" t="s">
        <v>1979</v>
      </c>
      <c r="BL680" s="53" t="s">
        <v>110</v>
      </c>
      <c r="BM680" s="53" t="s">
        <v>176</v>
      </c>
      <c r="BN680" s="53" t="s">
        <v>363</v>
      </c>
      <c r="BO680" s="53" t="s">
        <v>179</v>
      </c>
      <c r="BP680" s="53" t="s">
        <v>180</v>
      </c>
      <c r="BQ680" s="53" t="s">
        <v>350</v>
      </c>
      <c r="BR680" s="53" t="s">
        <v>500</v>
      </c>
      <c r="BS680" s="53" t="s">
        <v>500</v>
      </c>
      <c r="BT680" s="53" t="s">
        <v>500</v>
      </c>
      <c r="BU680" s="53" t="s">
        <v>350</v>
      </c>
      <c r="BV680" s="53" t="s">
        <v>500</v>
      </c>
      <c r="BW680" s="53" t="s">
        <v>500</v>
      </c>
      <c r="BX680" s="53" t="s">
        <v>500</v>
      </c>
      <c r="BY680" s="53" t="s">
        <v>351</v>
      </c>
      <c r="BZ680" s="53" t="s">
        <v>182</v>
      </c>
      <c r="CA680" s="53" t="s">
        <v>1137</v>
      </c>
      <c r="CB680" s="53" t="s">
        <v>183</v>
      </c>
      <c r="CC680" s="53" t="s">
        <v>350</v>
      </c>
      <c r="CD680" s="53" t="s">
        <v>500</v>
      </c>
      <c r="CE680" s="53" t="s">
        <v>500</v>
      </c>
      <c r="CF680" s="29" t="s">
        <v>500</v>
      </c>
      <c r="CG680" s="53" t="s">
        <v>350</v>
      </c>
      <c r="CH680" s="53" t="s">
        <v>500</v>
      </c>
      <c r="CI680" s="53" t="s">
        <v>500</v>
      </c>
      <c r="CJ680" s="53" t="s">
        <v>6103</v>
      </c>
      <c r="CK680" s="53" t="s">
        <v>176</v>
      </c>
      <c r="CL680" s="53" t="s">
        <v>580</v>
      </c>
      <c r="CM680" s="53" t="s">
        <v>500</v>
      </c>
      <c r="CN680" s="53" t="s">
        <v>500</v>
      </c>
      <c r="CO680" s="53" t="s">
        <v>350</v>
      </c>
      <c r="CP680" s="53" t="s">
        <v>500</v>
      </c>
      <c r="CQ680" s="53" t="s">
        <v>500</v>
      </c>
      <c r="CR680" s="53" t="s">
        <v>500</v>
      </c>
      <c r="CS680" s="53" t="s">
        <v>350</v>
      </c>
      <c r="CT680" s="53" t="s">
        <v>500</v>
      </c>
      <c r="CU680" s="53" t="s">
        <v>500</v>
      </c>
      <c r="CV680" s="53" t="s">
        <v>500</v>
      </c>
      <c r="CW680" s="53">
        <v>3</v>
      </c>
      <c r="CX680" s="53" t="s">
        <v>99</v>
      </c>
      <c r="CY680" s="53" t="s">
        <v>4824</v>
      </c>
      <c r="CZ680" s="29">
        <v>30</v>
      </c>
      <c r="DA680" s="29">
        <v>20</v>
      </c>
      <c r="DB680" s="29">
        <v>20</v>
      </c>
      <c r="DC680">
        <v>77</v>
      </c>
      <c r="DD680">
        <v>0.84</v>
      </c>
      <c r="DE680">
        <v>162</v>
      </c>
      <c r="DF680">
        <v>97</v>
      </c>
      <c r="DG680" s="9">
        <f t="shared" si="10"/>
        <v>4.4592582001785335</v>
      </c>
      <c r="DH680">
        <v>19.399999999999999</v>
      </c>
      <c r="DI680">
        <v>6.97</v>
      </c>
      <c r="DL680">
        <v>47.4</v>
      </c>
      <c r="DM680">
        <v>95.2</v>
      </c>
    </row>
    <row r="681" spans="1:125" customFormat="1" x14ac:dyDescent="0.2">
      <c r="A681" s="138" t="s">
        <v>6104</v>
      </c>
      <c r="B681" s="69">
        <v>43801</v>
      </c>
      <c r="C681" s="29" t="s">
        <v>675</v>
      </c>
      <c r="D681" s="136">
        <v>21</v>
      </c>
      <c r="E681" s="136" t="s">
        <v>1338</v>
      </c>
      <c r="F681" s="69">
        <v>35968</v>
      </c>
      <c r="G681" s="136" t="s">
        <v>481</v>
      </c>
      <c r="H681" s="136" t="s">
        <v>6105</v>
      </c>
      <c r="I681" s="136" t="s">
        <v>500</v>
      </c>
      <c r="J681" s="136" t="s">
        <v>500</v>
      </c>
      <c r="K681" s="137" t="s">
        <v>500</v>
      </c>
      <c r="L681" s="138" t="s">
        <v>500</v>
      </c>
      <c r="M681" s="136" t="s">
        <v>99</v>
      </c>
      <c r="N681" s="136" t="s">
        <v>99</v>
      </c>
      <c r="O681" s="136" t="s">
        <v>99</v>
      </c>
      <c r="P681" s="136" t="s">
        <v>99</v>
      </c>
      <c r="Q681" s="136" t="s">
        <v>99</v>
      </c>
      <c r="R681" s="136" t="s">
        <v>99</v>
      </c>
      <c r="S681" s="136" t="s">
        <v>99</v>
      </c>
      <c r="T681" s="136" t="s">
        <v>99</v>
      </c>
      <c r="U681" s="136" t="s">
        <v>99</v>
      </c>
      <c r="V681" s="136" t="s">
        <v>99</v>
      </c>
      <c r="W681" s="136" t="s">
        <v>99</v>
      </c>
      <c r="X681" s="136" t="s">
        <v>99</v>
      </c>
      <c r="Y681" s="136" t="s">
        <v>99</v>
      </c>
      <c r="Z681" s="136" t="s">
        <v>99</v>
      </c>
      <c r="AA681" s="136" t="s">
        <v>1338</v>
      </c>
      <c r="AB681" s="136" t="s">
        <v>204</v>
      </c>
      <c r="AC681" s="136" t="s">
        <v>1338</v>
      </c>
      <c r="AD681" s="136" t="s">
        <v>6106</v>
      </c>
      <c r="AE681" s="136" t="s">
        <v>6107</v>
      </c>
      <c r="AF681" s="136" t="s">
        <v>110</v>
      </c>
      <c r="AG681" s="136" t="s">
        <v>6108</v>
      </c>
      <c r="AH681" s="137" t="s">
        <v>99</v>
      </c>
      <c r="AI681" s="136" t="s">
        <v>99</v>
      </c>
      <c r="AJ681" s="53" t="s">
        <v>99</v>
      </c>
      <c r="AK681" s="53" t="s">
        <v>99</v>
      </c>
      <c r="AL681" s="53">
        <v>84.3</v>
      </c>
      <c r="AM681" s="53">
        <v>175</v>
      </c>
      <c r="AN681" s="53">
        <v>92</v>
      </c>
      <c r="AO681" s="53">
        <v>111</v>
      </c>
      <c r="AP681" s="53">
        <v>36.299999999999997</v>
      </c>
      <c r="AQ681" s="53">
        <v>5</v>
      </c>
      <c r="AR681" s="53">
        <v>28.7</v>
      </c>
      <c r="AS681" s="53">
        <v>34</v>
      </c>
      <c r="AT681" s="53">
        <v>27.5</v>
      </c>
      <c r="AU681" s="53">
        <v>121</v>
      </c>
      <c r="AV681" s="53">
        <v>74</v>
      </c>
      <c r="AW681" s="53" t="s">
        <v>350</v>
      </c>
      <c r="AX681" s="53" t="s">
        <v>592</v>
      </c>
      <c r="AY681" s="53" t="s">
        <v>573</v>
      </c>
      <c r="AZ681" s="53" t="s">
        <v>1656</v>
      </c>
      <c r="BA681" s="53" t="s">
        <v>350</v>
      </c>
      <c r="BB681" s="53" t="s">
        <v>1080</v>
      </c>
      <c r="BC681" s="53" t="s">
        <v>739</v>
      </c>
      <c r="BD681" s="53" t="s">
        <v>750</v>
      </c>
      <c r="BE681" s="53" t="s">
        <v>110</v>
      </c>
      <c r="BF681" s="53" t="s">
        <v>350</v>
      </c>
      <c r="BG681" s="53" t="s">
        <v>350</v>
      </c>
      <c r="BH681" s="53" t="s">
        <v>350</v>
      </c>
      <c r="BI681" s="53" t="s">
        <v>350</v>
      </c>
      <c r="BJ681" s="53" t="s">
        <v>176</v>
      </c>
      <c r="BK681" s="53" t="s">
        <v>350</v>
      </c>
      <c r="BL681" s="53" t="s">
        <v>110</v>
      </c>
      <c r="BM681" s="53" t="s">
        <v>350</v>
      </c>
      <c r="BN681" s="53" t="s">
        <v>180</v>
      </c>
      <c r="BO681" s="53" t="s">
        <v>219</v>
      </c>
      <c r="BP681" s="53" t="s">
        <v>179</v>
      </c>
      <c r="BQ681" s="53" t="s">
        <v>99</v>
      </c>
      <c r="BR681" s="53" t="s">
        <v>500</v>
      </c>
      <c r="BS681" s="53" t="s">
        <v>500</v>
      </c>
      <c r="BT681" s="53" t="s">
        <v>500</v>
      </c>
      <c r="BU681" s="53" t="s">
        <v>350</v>
      </c>
      <c r="BV681" s="53" t="s">
        <v>179</v>
      </c>
      <c r="BW681" s="53" t="s">
        <v>500</v>
      </c>
      <c r="BX681" s="53" t="s">
        <v>500</v>
      </c>
      <c r="BY681" s="53" t="s">
        <v>350</v>
      </c>
      <c r="BZ681" s="53" t="s">
        <v>183</v>
      </c>
      <c r="CA681" s="53" t="s">
        <v>182</v>
      </c>
      <c r="CB681" s="53" t="s">
        <v>357</v>
      </c>
      <c r="CC681" s="53" t="s">
        <v>350</v>
      </c>
      <c r="CD681" s="53" t="s">
        <v>821</v>
      </c>
      <c r="CE681" s="53" t="s">
        <v>500</v>
      </c>
      <c r="CF681" s="29" t="s">
        <v>500</v>
      </c>
      <c r="CG681" s="53" t="s">
        <v>99</v>
      </c>
      <c r="CH681" s="53" t="s">
        <v>500</v>
      </c>
      <c r="CI681" s="53" t="s">
        <v>500</v>
      </c>
      <c r="CJ681" s="53" t="s">
        <v>500</v>
      </c>
      <c r="CK681" s="53" t="s">
        <v>176</v>
      </c>
      <c r="CL681" s="53" t="s">
        <v>579</v>
      </c>
      <c r="CM681" s="53" t="s">
        <v>581</v>
      </c>
      <c r="CN681" s="53" t="s">
        <v>980</v>
      </c>
      <c r="CO681" s="53" t="s">
        <v>176</v>
      </c>
      <c r="CP681" s="53" t="s">
        <v>362</v>
      </c>
      <c r="CQ681" s="53" t="s">
        <v>716</v>
      </c>
      <c r="CR681" s="53" t="s">
        <v>361</v>
      </c>
      <c r="CS681" s="53" t="s">
        <v>350</v>
      </c>
      <c r="CT681" s="53" t="s">
        <v>6109</v>
      </c>
      <c r="CU681" s="53" t="s">
        <v>5414</v>
      </c>
      <c r="CV681" s="53" t="s">
        <v>187</v>
      </c>
      <c r="CW681" s="148" t="s">
        <v>6110</v>
      </c>
      <c r="CX681" s="53" t="s">
        <v>110</v>
      </c>
      <c r="CY681" s="53" t="s">
        <v>99</v>
      </c>
      <c r="CZ681" s="29">
        <v>30</v>
      </c>
      <c r="DA681" s="29">
        <v>30</v>
      </c>
      <c r="DB681" s="29">
        <v>40</v>
      </c>
      <c r="DC681">
        <v>76.2</v>
      </c>
      <c r="DD681">
        <v>1.1399999999999999</v>
      </c>
      <c r="DE681">
        <v>151</v>
      </c>
      <c r="DF681">
        <v>114</v>
      </c>
      <c r="DG681" s="9">
        <f t="shared" si="10"/>
        <v>4.5347799555435477</v>
      </c>
      <c r="DH681">
        <v>22.8</v>
      </c>
      <c r="DI681">
        <v>6.65</v>
      </c>
      <c r="DL681">
        <v>41.1</v>
      </c>
      <c r="DM681">
        <v>87.1</v>
      </c>
      <c r="DR681">
        <v>3</v>
      </c>
    </row>
    <row r="682" spans="1:125" customFormat="1" x14ac:dyDescent="0.2">
      <c r="A682" s="164" t="s">
        <v>6111</v>
      </c>
      <c r="B682" s="69">
        <v>43801</v>
      </c>
      <c r="C682" s="138" t="s">
        <v>196</v>
      </c>
      <c r="D682" s="136">
        <v>53</v>
      </c>
      <c r="E682" s="136" t="s">
        <v>2267</v>
      </c>
      <c r="F682" s="69">
        <v>24219</v>
      </c>
      <c r="G682" s="136" t="s">
        <v>837</v>
      </c>
      <c r="H682" s="136" t="s">
        <v>6112</v>
      </c>
      <c r="I682" s="136" t="s">
        <v>500</v>
      </c>
      <c r="J682" s="136" t="s">
        <v>500</v>
      </c>
      <c r="K682" s="159">
        <v>38444</v>
      </c>
      <c r="L682" s="29">
        <v>3</v>
      </c>
      <c r="M682" s="136" t="s">
        <v>99</v>
      </c>
      <c r="N682" s="136" t="s">
        <v>99</v>
      </c>
      <c r="O682" s="136" t="s">
        <v>99</v>
      </c>
      <c r="P682" s="136" t="s">
        <v>99</v>
      </c>
      <c r="Q682" s="136" t="s">
        <v>5607</v>
      </c>
      <c r="R682" s="136" t="s">
        <v>110</v>
      </c>
      <c r="S682" s="136" t="s">
        <v>110</v>
      </c>
      <c r="T682" s="136" t="s">
        <v>99</v>
      </c>
      <c r="U682" s="136" t="s">
        <v>6113</v>
      </c>
      <c r="V682" s="136" t="s">
        <v>99</v>
      </c>
      <c r="W682" s="136" t="s">
        <v>99</v>
      </c>
      <c r="X682" s="136" t="s">
        <v>99</v>
      </c>
      <c r="Y682" s="136" t="s">
        <v>99</v>
      </c>
      <c r="Z682" s="136" t="s">
        <v>6114</v>
      </c>
      <c r="AA682" s="136" t="s">
        <v>100</v>
      </c>
      <c r="AB682" s="136" t="s">
        <v>204</v>
      </c>
      <c r="AC682" s="136" t="s">
        <v>100</v>
      </c>
      <c r="AD682" s="136" t="s">
        <v>204</v>
      </c>
      <c r="AE682" s="136" t="s">
        <v>1127</v>
      </c>
      <c r="AF682" s="136" t="s">
        <v>99</v>
      </c>
      <c r="AG682" s="136" t="s">
        <v>99</v>
      </c>
      <c r="AH682" s="137" t="s">
        <v>99</v>
      </c>
      <c r="AI682" s="136" t="s">
        <v>99</v>
      </c>
      <c r="AJ682" s="53" t="s">
        <v>99</v>
      </c>
      <c r="AK682" s="53" t="s">
        <v>99</v>
      </c>
      <c r="AL682" s="53">
        <v>83.6</v>
      </c>
      <c r="AM682" s="53">
        <v>165</v>
      </c>
      <c r="AN682" s="53">
        <v>98</v>
      </c>
      <c r="AO682" s="53">
        <v>103</v>
      </c>
      <c r="AP682" s="53">
        <v>38.4</v>
      </c>
      <c r="AQ682" s="53">
        <v>9</v>
      </c>
      <c r="AR682" s="53">
        <v>27.8</v>
      </c>
      <c r="AS682" s="53">
        <v>59</v>
      </c>
      <c r="AT682" s="53">
        <v>30.7</v>
      </c>
      <c r="AU682" s="53">
        <v>114</v>
      </c>
      <c r="AV682" s="53">
        <v>62</v>
      </c>
      <c r="AW682" s="53" t="s">
        <v>176</v>
      </c>
      <c r="AX682" s="53" t="s">
        <v>729</v>
      </c>
      <c r="AY682" s="53" t="s">
        <v>1977</v>
      </c>
      <c r="AZ682" s="53" t="s">
        <v>3299</v>
      </c>
      <c r="BA682" s="53" t="s">
        <v>351</v>
      </c>
      <c r="BB682" s="53" t="s">
        <v>750</v>
      </c>
      <c r="BC682" s="53" t="s">
        <v>5452</v>
      </c>
      <c r="BD682" s="53" t="s">
        <v>6115</v>
      </c>
      <c r="BE682" s="53" t="s">
        <v>110</v>
      </c>
      <c r="BF682" s="53" t="s">
        <v>176</v>
      </c>
      <c r="BG682" s="53" t="s">
        <v>176</v>
      </c>
      <c r="BH682" s="53" t="s">
        <v>1979</v>
      </c>
      <c r="BI682" s="53" t="s">
        <v>350</v>
      </c>
      <c r="BJ682" s="53" t="s">
        <v>176</v>
      </c>
      <c r="BK682" s="53" t="s">
        <v>1979</v>
      </c>
      <c r="BL682" s="53" t="s">
        <v>110</v>
      </c>
      <c r="BM682" s="53" t="s">
        <v>350</v>
      </c>
      <c r="BN682" s="53" t="s">
        <v>179</v>
      </c>
      <c r="BO682" s="53" t="s">
        <v>219</v>
      </c>
      <c r="BP682" s="53" t="s">
        <v>180</v>
      </c>
      <c r="BQ682" s="53" t="s">
        <v>99</v>
      </c>
      <c r="BR682" s="53" t="s">
        <v>500</v>
      </c>
      <c r="BS682" s="53" t="s">
        <v>500</v>
      </c>
      <c r="BT682" s="53" t="s">
        <v>500</v>
      </c>
      <c r="BU682" s="53" t="s">
        <v>1979</v>
      </c>
      <c r="BV682" s="53" t="s">
        <v>857</v>
      </c>
      <c r="BW682" s="53" t="s">
        <v>500</v>
      </c>
      <c r="BX682" s="53" t="s">
        <v>500</v>
      </c>
      <c r="BY682" s="53" t="s">
        <v>500</v>
      </c>
      <c r="BZ682" s="53" t="s">
        <v>500</v>
      </c>
      <c r="CA682" s="53" t="s">
        <v>500</v>
      </c>
      <c r="CB682" s="53" t="s">
        <v>500</v>
      </c>
      <c r="CC682" s="53" t="s">
        <v>500</v>
      </c>
      <c r="CD682" s="53" t="s">
        <v>500</v>
      </c>
      <c r="CE682" s="53" t="s">
        <v>500</v>
      </c>
      <c r="CF682" s="29" t="s">
        <v>500</v>
      </c>
      <c r="CG682" s="53" t="s">
        <v>500</v>
      </c>
      <c r="CH682" s="53" t="s">
        <v>500</v>
      </c>
      <c r="CI682" s="53" t="s">
        <v>500</v>
      </c>
      <c r="CJ682" s="53" t="s">
        <v>500</v>
      </c>
      <c r="CK682" s="53" t="s">
        <v>176</v>
      </c>
      <c r="CL682" s="53" t="s">
        <v>579</v>
      </c>
      <c r="CM682" s="53" t="s">
        <v>980</v>
      </c>
      <c r="CN682" s="53" t="s">
        <v>6116</v>
      </c>
      <c r="CO682" s="53" t="s">
        <v>176</v>
      </c>
      <c r="CP682" s="53" t="s">
        <v>362</v>
      </c>
      <c r="CQ682" s="53" t="s">
        <v>6117</v>
      </c>
      <c r="CR682" s="53" t="s">
        <v>500</v>
      </c>
      <c r="CS682" s="53" t="s">
        <v>176</v>
      </c>
      <c r="CT682" s="53" t="s">
        <v>1729</v>
      </c>
      <c r="CU682" s="53" t="s">
        <v>2662</v>
      </c>
      <c r="CV682" s="53" t="s">
        <v>6118</v>
      </c>
      <c r="CW682" s="53" t="s">
        <v>5467</v>
      </c>
      <c r="CX682" s="53" t="s">
        <v>99</v>
      </c>
      <c r="CY682" s="53" t="s">
        <v>99</v>
      </c>
      <c r="CZ682" s="29">
        <v>20</v>
      </c>
      <c r="DA682" s="29">
        <v>20</v>
      </c>
      <c r="DB682" s="29">
        <v>60</v>
      </c>
      <c r="DC682" s="29">
        <v>77.2</v>
      </c>
      <c r="DD682" s="29">
        <v>0.73</v>
      </c>
      <c r="DE682" s="29">
        <v>134</v>
      </c>
      <c r="DF682" s="48">
        <v>166</v>
      </c>
      <c r="DG682" s="9">
        <f t="shared" si="10"/>
        <v>4.7291936226936366</v>
      </c>
      <c r="DH682" s="29">
        <v>33.200000000000003</v>
      </c>
      <c r="DI682" s="48">
        <v>6.53</v>
      </c>
      <c r="DL682" s="29">
        <v>42.8</v>
      </c>
      <c r="DM682" s="29">
        <v>58</v>
      </c>
      <c r="DP682" s="29">
        <v>3</v>
      </c>
    </row>
    <row r="683" spans="1:125" customFormat="1" x14ac:dyDescent="0.2">
      <c r="A683" s="143" t="s">
        <v>6119</v>
      </c>
      <c r="B683" s="128">
        <v>43802</v>
      </c>
      <c r="C683" s="127" t="s">
        <v>196</v>
      </c>
      <c r="D683" s="127">
        <v>37</v>
      </c>
      <c r="E683" s="127" t="s">
        <v>100</v>
      </c>
      <c r="F683" s="128">
        <v>30619</v>
      </c>
      <c r="G683" s="127" t="s">
        <v>4972</v>
      </c>
      <c r="H683" s="127" t="s">
        <v>6120</v>
      </c>
      <c r="I683" s="127" t="s">
        <v>5582</v>
      </c>
      <c r="J683" s="127"/>
      <c r="K683" s="127">
        <v>2004</v>
      </c>
      <c r="L683" s="127">
        <v>1</v>
      </c>
      <c r="M683" s="127" t="s">
        <v>99</v>
      </c>
      <c r="N683" s="127" t="s">
        <v>99</v>
      </c>
      <c r="O683" s="127" t="s">
        <v>99</v>
      </c>
      <c r="P683" s="127" t="s">
        <v>99</v>
      </c>
      <c r="Q683" s="127" t="s">
        <v>6121</v>
      </c>
      <c r="R683" s="127" t="s">
        <v>5099</v>
      </c>
      <c r="S683" s="127" t="s">
        <v>99</v>
      </c>
      <c r="T683" s="127" t="s">
        <v>6122</v>
      </c>
      <c r="U683" s="127" t="s">
        <v>6123</v>
      </c>
      <c r="V683" s="127" t="s">
        <v>99</v>
      </c>
      <c r="W683" s="127" t="s">
        <v>6124</v>
      </c>
      <c r="X683" s="127" t="s">
        <v>99</v>
      </c>
      <c r="Y683" s="127" t="s">
        <v>99</v>
      </c>
      <c r="Z683" s="127" t="s">
        <v>99</v>
      </c>
      <c r="AA683" s="127" t="s">
        <v>100</v>
      </c>
      <c r="AB683" s="127" t="s">
        <v>100</v>
      </c>
      <c r="AC683" s="127" t="s">
        <v>3194</v>
      </c>
      <c r="AD683" s="127" t="s">
        <v>6125</v>
      </c>
      <c r="AE683" s="127" t="s">
        <v>6126</v>
      </c>
      <c r="AF683" s="127" t="s">
        <v>6127</v>
      </c>
      <c r="AG683" s="127" t="s">
        <v>6128</v>
      </c>
      <c r="AH683" s="129" t="s">
        <v>99</v>
      </c>
      <c r="AI683" s="127" t="s">
        <v>99</v>
      </c>
      <c r="AJ683" s="9" t="s">
        <v>99</v>
      </c>
      <c r="AK683" s="9" t="s">
        <v>99</v>
      </c>
      <c r="AL683" s="9">
        <v>56.6</v>
      </c>
      <c r="AM683" s="9">
        <v>158</v>
      </c>
      <c r="AN683" s="7">
        <v>74</v>
      </c>
      <c r="AO683" s="9">
        <v>93</v>
      </c>
      <c r="AP683" s="9">
        <v>33</v>
      </c>
      <c r="AQ683" s="9">
        <v>5</v>
      </c>
      <c r="AR683" s="9">
        <v>27.8</v>
      </c>
      <c r="AS683" s="9">
        <v>37</v>
      </c>
      <c r="AT683" s="7">
        <v>22.7</v>
      </c>
      <c r="AU683" s="9">
        <v>111</v>
      </c>
      <c r="AV683" s="9">
        <v>64</v>
      </c>
      <c r="AW683" s="9"/>
      <c r="AX683" s="9" t="s">
        <v>6129</v>
      </c>
      <c r="AY683" s="9" t="s">
        <v>592</v>
      </c>
      <c r="AZ683" s="9" t="s">
        <v>573</v>
      </c>
      <c r="BA683" s="9" t="s">
        <v>351</v>
      </c>
      <c r="BB683" s="9" t="s">
        <v>5595</v>
      </c>
      <c r="BC683" s="9"/>
      <c r="BD683" s="9"/>
      <c r="BE683" s="9" t="s">
        <v>351</v>
      </c>
      <c r="BF683" s="9" t="s">
        <v>6130</v>
      </c>
      <c r="BG683" s="9" t="s">
        <v>350</v>
      </c>
      <c r="BH683" s="9" t="s">
        <v>1979</v>
      </c>
      <c r="BI683" s="9" t="s">
        <v>350</v>
      </c>
      <c r="BJ683" s="9" t="s">
        <v>176</v>
      </c>
      <c r="BK683" s="9" t="s">
        <v>1979</v>
      </c>
      <c r="BL683" s="9" t="s">
        <v>351</v>
      </c>
      <c r="BM683" s="9"/>
      <c r="BN683" s="9" t="s">
        <v>219</v>
      </c>
      <c r="BO683" s="9" t="s">
        <v>179</v>
      </c>
      <c r="BP683" s="9" t="s">
        <v>3236</v>
      </c>
      <c r="BQ683" s="9"/>
      <c r="BR683" s="9"/>
      <c r="BS683" s="9"/>
      <c r="BT683" s="9"/>
      <c r="BU683" s="9"/>
      <c r="BV683" s="9"/>
      <c r="BW683" s="9"/>
      <c r="BX683" s="9"/>
      <c r="BY683" s="9" t="s">
        <v>351</v>
      </c>
      <c r="BZ683" s="9" t="s">
        <v>182</v>
      </c>
      <c r="CA683" s="9" t="s">
        <v>6131</v>
      </c>
      <c r="CB683" s="9" t="s">
        <v>822</v>
      </c>
      <c r="CC683" s="9"/>
      <c r="CD683" s="9"/>
      <c r="CE683" s="9"/>
      <c r="CF683" s="9"/>
      <c r="CG683" s="9"/>
      <c r="CH683" s="9"/>
      <c r="CI683" s="9"/>
      <c r="CJ683" s="9"/>
      <c r="CK683" s="9"/>
      <c r="CL683" s="9" t="s">
        <v>1181</v>
      </c>
      <c r="CM683" s="9" t="s">
        <v>6132</v>
      </c>
      <c r="CN683" s="9"/>
      <c r="CO683" s="9" t="s">
        <v>351</v>
      </c>
      <c r="CP683" s="9" t="s">
        <v>362</v>
      </c>
      <c r="CQ683" s="9" t="s">
        <v>716</v>
      </c>
      <c r="CR683" s="9"/>
      <c r="CS683" s="9" t="s">
        <v>350</v>
      </c>
      <c r="CT683" s="9" t="s">
        <v>1732</v>
      </c>
      <c r="CU683" s="9"/>
      <c r="CV683" s="9"/>
      <c r="CW683" s="9">
        <v>5</v>
      </c>
      <c r="CX683" s="9" t="s">
        <v>5490</v>
      </c>
      <c r="CY683" s="9" t="s">
        <v>5490</v>
      </c>
      <c r="CZ683" s="9"/>
      <c r="DA683" s="9"/>
      <c r="DB683" s="9"/>
      <c r="DC683" s="9">
        <v>84.3</v>
      </c>
      <c r="DD683" s="9">
        <v>1.01</v>
      </c>
      <c r="DE683" s="9">
        <v>170</v>
      </c>
      <c r="DF683" s="9">
        <v>72</v>
      </c>
      <c r="DG683" s="9">
        <f t="shared" si="10"/>
        <v>4.3555239920119329</v>
      </c>
      <c r="DH683" s="9">
        <v>14.4</v>
      </c>
      <c r="DI683" s="9">
        <v>3.92</v>
      </c>
      <c r="DJ683" s="9"/>
      <c r="DK683" s="9"/>
      <c r="DL683" s="9">
        <v>60.8</v>
      </c>
      <c r="DM683" s="9">
        <v>94.8</v>
      </c>
      <c r="DN683" s="9"/>
      <c r="DO683" s="9"/>
      <c r="DR683">
        <v>2</v>
      </c>
      <c r="DU683">
        <v>11</v>
      </c>
    </row>
    <row r="684" spans="1:125" customFormat="1" x14ac:dyDescent="0.2">
      <c r="A684" s="165" t="s">
        <v>6133</v>
      </c>
      <c r="B684" s="69">
        <v>43801</v>
      </c>
      <c r="C684" s="138" t="s">
        <v>196</v>
      </c>
      <c r="D684" s="136">
        <v>21</v>
      </c>
      <c r="E684" s="136" t="s">
        <v>100</v>
      </c>
      <c r="F684" s="69">
        <v>35948</v>
      </c>
      <c r="G684" s="136" t="s">
        <v>1509</v>
      </c>
      <c r="H684" s="136" t="s">
        <v>6134</v>
      </c>
      <c r="I684" s="136" t="s">
        <v>5582</v>
      </c>
      <c r="J684" s="136" t="s">
        <v>500</v>
      </c>
      <c r="K684" s="137" t="s">
        <v>500</v>
      </c>
      <c r="L684" s="138" t="s">
        <v>500</v>
      </c>
      <c r="M684" s="136" t="s">
        <v>99</v>
      </c>
      <c r="N684" s="136" t="s">
        <v>99</v>
      </c>
      <c r="O684" s="136" t="s">
        <v>99</v>
      </c>
      <c r="P684" s="136" t="s">
        <v>99</v>
      </c>
      <c r="Q684" s="136" t="s">
        <v>99</v>
      </c>
      <c r="R684" s="136" t="s">
        <v>99</v>
      </c>
      <c r="S684" s="136" t="s">
        <v>99</v>
      </c>
      <c r="T684" s="136" t="s">
        <v>99</v>
      </c>
      <c r="U684" s="136" t="s">
        <v>99</v>
      </c>
      <c r="V684" s="136" t="s">
        <v>99</v>
      </c>
      <c r="W684" s="136" t="s">
        <v>99</v>
      </c>
      <c r="X684" s="136" t="s">
        <v>99</v>
      </c>
      <c r="Y684" s="136" t="s">
        <v>99</v>
      </c>
      <c r="Z684" s="136" t="s">
        <v>99</v>
      </c>
      <c r="AA684" s="136" t="s">
        <v>100</v>
      </c>
      <c r="AB684" s="136" t="s">
        <v>500</v>
      </c>
      <c r="AC684" s="136" t="s">
        <v>100</v>
      </c>
      <c r="AD684" s="136" t="s">
        <v>500</v>
      </c>
      <c r="AE684" s="136" t="s">
        <v>110</v>
      </c>
      <c r="AF684" s="136" t="s">
        <v>110</v>
      </c>
      <c r="AG684" s="136" t="s">
        <v>99</v>
      </c>
      <c r="AH684" s="137" t="s">
        <v>110</v>
      </c>
      <c r="AI684" s="136" t="s">
        <v>99</v>
      </c>
      <c r="AJ684" s="53" t="s">
        <v>99</v>
      </c>
      <c r="AK684" s="53" t="s">
        <v>99</v>
      </c>
      <c r="AL684" s="53">
        <v>50.6</v>
      </c>
      <c r="AM684" s="53">
        <v>158</v>
      </c>
      <c r="AN684" s="146">
        <v>68</v>
      </c>
      <c r="AO684" s="53">
        <v>91</v>
      </c>
      <c r="AP684" s="53">
        <v>30.5</v>
      </c>
      <c r="AQ684" s="53">
        <v>3</v>
      </c>
      <c r="AR684" s="53">
        <v>26.5</v>
      </c>
      <c r="AS684" s="53">
        <v>20</v>
      </c>
      <c r="AT684" s="146">
        <v>20.3</v>
      </c>
      <c r="AU684" s="53">
        <v>82</v>
      </c>
      <c r="AV684" s="53">
        <v>50</v>
      </c>
      <c r="AW684" s="53" t="s">
        <v>350</v>
      </c>
      <c r="AX684" s="53" t="s">
        <v>125</v>
      </c>
      <c r="AY684" s="53" t="s">
        <v>3894</v>
      </c>
      <c r="AZ684" s="53" t="s">
        <v>573</v>
      </c>
      <c r="BA684" s="53" t="s">
        <v>351</v>
      </c>
      <c r="BB684" s="53" t="s">
        <v>2652</v>
      </c>
      <c r="BC684" s="53" t="s">
        <v>750</v>
      </c>
      <c r="BD684" s="53" t="s">
        <v>2053</v>
      </c>
      <c r="BE684" s="53" t="s">
        <v>110</v>
      </c>
      <c r="BF684" s="53" t="s">
        <v>707</v>
      </c>
      <c r="BG684" s="53" t="s">
        <v>212</v>
      </c>
      <c r="BH684" s="53" t="s">
        <v>99</v>
      </c>
      <c r="BI684" s="53" t="s">
        <v>707</v>
      </c>
      <c r="BJ684" s="53" t="s">
        <v>176</v>
      </c>
      <c r="BK684" s="53" t="s">
        <v>213</v>
      </c>
      <c r="BL684" s="53" t="s">
        <v>110</v>
      </c>
      <c r="BM684" s="53" t="s">
        <v>176</v>
      </c>
      <c r="BN684" s="53" t="s">
        <v>178</v>
      </c>
      <c r="BO684" s="53" t="s">
        <v>6135</v>
      </c>
      <c r="BP684" s="53" t="s">
        <v>2534</v>
      </c>
      <c r="BQ684" s="53" t="s">
        <v>99</v>
      </c>
      <c r="BR684" s="53" t="s">
        <v>500</v>
      </c>
      <c r="BS684" s="53" t="s">
        <v>500</v>
      </c>
      <c r="BT684" s="53" t="s">
        <v>500</v>
      </c>
      <c r="BU684" s="53" t="s">
        <v>1979</v>
      </c>
      <c r="BV684" s="53" t="s">
        <v>857</v>
      </c>
      <c r="BW684" s="53" t="s">
        <v>179</v>
      </c>
      <c r="BX684" s="53" t="s">
        <v>3240</v>
      </c>
      <c r="BY684" s="53" t="s">
        <v>350</v>
      </c>
      <c r="BZ684" s="53" t="s">
        <v>822</v>
      </c>
      <c r="CA684" s="53" t="s">
        <v>182</v>
      </c>
      <c r="CB684" s="53" t="s">
        <v>6136</v>
      </c>
      <c r="CC684" s="53" t="s">
        <v>99</v>
      </c>
      <c r="CD684" s="53" t="s">
        <v>500</v>
      </c>
      <c r="CE684" s="53" t="s">
        <v>500</v>
      </c>
      <c r="CF684" s="29" t="s">
        <v>500</v>
      </c>
      <c r="CG684" s="53" t="s">
        <v>99</v>
      </c>
      <c r="CH684" s="53" t="s">
        <v>500</v>
      </c>
      <c r="CI684" s="53" t="s">
        <v>500</v>
      </c>
      <c r="CJ684" s="53" t="s">
        <v>500</v>
      </c>
      <c r="CK684" s="53" t="s">
        <v>176</v>
      </c>
      <c r="CL684" s="53" t="s">
        <v>579</v>
      </c>
      <c r="CM684" s="53" t="s">
        <v>980</v>
      </c>
      <c r="CN684" s="53" t="s">
        <v>4015</v>
      </c>
      <c r="CO684" s="53" t="s">
        <v>350</v>
      </c>
      <c r="CP684" s="53" t="s">
        <v>361</v>
      </c>
      <c r="CQ684" s="53" t="s">
        <v>716</v>
      </c>
      <c r="CR684" s="53" t="s">
        <v>362</v>
      </c>
      <c r="CS684" s="53" t="s">
        <v>350</v>
      </c>
      <c r="CT684" s="53" t="s">
        <v>363</v>
      </c>
      <c r="CU684" s="53" t="s">
        <v>500</v>
      </c>
      <c r="CV684" s="53" t="s">
        <v>500</v>
      </c>
      <c r="CW684" s="53">
        <v>3</v>
      </c>
      <c r="CX684" s="53" t="s">
        <v>110</v>
      </c>
      <c r="CY684" s="53" t="s">
        <v>99</v>
      </c>
      <c r="CZ684" s="29">
        <v>70</v>
      </c>
      <c r="DA684" s="29">
        <v>30</v>
      </c>
      <c r="DB684" s="29">
        <v>60</v>
      </c>
      <c r="DC684" s="29">
        <v>66.3</v>
      </c>
      <c r="DD684" s="29">
        <v>0.71</v>
      </c>
      <c r="DE684" s="29">
        <v>156</v>
      </c>
      <c r="DF684" s="29">
        <v>40</v>
      </c>
      <c r="DG684" s="9">
        <f t="shared" si="10"/>
        <v>3.9415346756528766</v>
      </c>
      <c r="DH684" s="29">
        <v>8</v>
      </c>
      <c r="DI684" s="29">
        <v>3.17</v>
      </c>
      <c r="DL684" s="29">
        <v>58.3</v>
      </c>
      <c r="DM684" s="29">
        <v>89.7</v>
      </c>
      <c r="DP684" s="29">
        <v>1</v>
      </c>
      <c r="DR684">
        <v>2</v>
      </c>
    </row>
    <row r="685" spans="1:125" customFormat="1" x14ac:dyDescent="0.2">
      <c r="A685" s="138" t="s">
        <v>6137</v>
      </c>
      <c r="B685" s="69">
        <v>43802</v>
      </c>
      <c r="C685" s="138" t="s">
        <v>675</v>
      </c>
      <c r="D685" s="136">
        <v>44</v>
      </c>
      <c r="E685" s="136" t="s">
        <v>100</v>
      </c>
      <c r="F685" s="142" t="s">
        <v>6138</v>
      </c>
      <c r="G685" s="136" t="s">
        <v>837</v>
      </c>
      <c r="H685" s="136" t="s">
        <v>500</v>
      </c>
      <c r="I685" s="136" t="s">
        <v>500</v>
      </c>
      <c r="J685" s="136" t="s">
        <v>500</v>
      </c>
      <c r="K685" s="137" t="s">
        <v>500</v>
      </c>
      <c r="L685" s="138" t="s">
        <v>500</v>
      </c>
      <c r="M685" s="136" t="s">
        <v>99</v>
      </c>
      <c r="N685" s="136" t="s">
        <v>99</v>
      </c>
      <c r="O685" s="136" t="s">
        <v>99</v>
      </c>
      <c r="P685" s="136" t="s">
        <v>99</v>
      </c>
      <c r="Q685" s="136" t="s">
        <v>342</v>
      </c>
      <c r="R685" s="136" t="s">
        <v>6139</v>
      </c>
      <c r="S685" s="136" t="s">
        <v>110</v>
      </c>
      <c r="T685" s="136" t="s">
        <v>110</v>
      </c>
      <c r="U685" s="136" t="s">
        <v>6140</v>
      </c>
      <c r="V685" s="136" t="s">
        <v>99</v>
      </c>
      <c r="W685" s="136" t="s">
        <v>99</v>
      </c>
      <c r="X685" s="136" t="s">
        <v>99</v>
      </c>
      <c r="Y685" s="136" t="s">
        <v>99</v>
      </c>
      <c r="Z685" s="136" t="s">
        <v>99</v>
      </c>
      <c r="AA685" s="136" t="s">
        <v>1654</v>
      </c>
      <c r="AB685" s="136" t="s">
        <v>1654</v>
      </c>
      <c r="AC685" s="136" t="s">
        <v>1654</v>
      </c>
      <c r="AD685" s="136" t="s">
        <v>1654</v>
      </c>
      <c r="AE685" s="136" t="s">
        <v>5545</v>
      </c>
      <c r="AF685" s="136" t="s">
        <v>246</v>
      </c>
      <c r="AG685" s="136" t="s">
        <v>99</v>
      </c>
      <c r="AH685" s="137" t="s">
        <v>246</v>
      </c>
      <c r="AI685" s="136" t="s">
        <v>99</v>
      </c>
      <c r="AJ685" s="53" t="s">
        <v>99</v>
      </c>
      <c r="AK685" s="53" t="s">
        <v>99</v>
      </c>
      <c r="AL685" s="53">
        <v>94.4</v>
      </c>
      <c r="AM685" s="53">
        <v>175</v>
      </c>
      <c r="AN685" s="53">
        <v>102</v>
      </c>
      <c r="AO685" s="53">
        <v>110</v>
      </c>
      <c r="AP685" s="53">
        <v>36.700000000000003</v>
      </c>
      <c r="AQ685" s="53">
        <v>16</v>
      </c>
      <c r="AR685" s="53">
        <v>28.4</v>
      </c>
      <c r="AS685" s="53">
        <v>67</v>
      </c>
      <c r="AT685" s="53">
        <v>30.8</v>
      </c>
      <c r="AU685" s="53">
        <v>126</v>
      </c>
      <c r="AV685" s="53">
        <v>81</v>
      </c>
      <c r="AW685" s="53" t="s">
        <v>350</v>
      </c>
      <c r="AX685" s="53" t="s">
        <v>573</v>
      </c>
      <c r="AY685" s="53" t="s">
        <v>500</v>
      </c>
      <c r="AZ685" s="53" t="s">
        <v>500</v>
      </c>
      <c r="BA685" s="53" t="s">
        <v>350</v>
      </c>
      <c r="BB685" s="53" t="s">
        <v>2541</v>
      </c>
      <c r="BC685" s="53" t="s">
        <v>500</v>
      </c>
      <c r="BD685" s="53" t="s">
        <v>500</v>
      </c>
      <c r="BE685" s="53" t="s">
        <v>110</v>
      </c>
      <c r="BF685" s="53" t="s">
        <v>176</v>
      </c>
      <c r="BG685" s="53" t="s">
        <v>176</v>
      </c>
      <c r="BH685" s="53" t="s">
        <v>176</v>
      </c>
      <c r="BI685" s="53" t="s">
        <v>176</v>
      </c>
      <c r="BJ685" s="53" t="s">
        <v>176</v>
      </c>
      <c r="BK685" s="53" t="s">
        <v>99</v>
      </c>
      <c r="BL685" s="53" t="s">
        <v>110</v>
      </c>
      <c r="BM685" s="53" t="s">
        <v>350</v>
      </c>
      <c r="BN685" s="53" t="s">
        <v>179</v>
      </c>
      <c r="BO685" s="53" t="s">
        <v>857</v>
      </c>
      <c r="BP685" s="53" t="s">
        <v>500</v>
      </c>
      <c r="BQ685" s="53" t="s">
        <v>99</v>
      </c>
      <c r="BR685" s="53" t="s">
        <v>500</v>
      </c>
      <c r="BS685" s="53" t="s">
        <v>500</v>
      </c>
      <c r="BT685" s="53" t="s">
        <v>500</v>
      </c>
      <c r="BU685" s="53" t="s">
        <v>1979</v>
      </c>
      <c r="BV685" s="53" t="s">
        <v>857</v>
      </c>
      <c r="BW685" s="53" t="s">
        <v>500</v>
      </c>
      <c r="BX685" s="53" t="s">
        <v>500</v>
      </c>
      <c r="BY685" s="53" t="s">
        <v>351</v>
      </c>
      <c r="BZ685" s="53" t="s">
        <v>709</v>
      </c>
      <c r="CA685" s="53" t="s">
        <v>1137</v>
      </c>
      <c r="CB685" s="53" t="s">
        <v>6141</v>
      </c>
      <c r="CC685" s="53" t="s">
        <v>99</v>
      </c>
      <c r="CD685" s="53" t="s">
        <v>500</v>
      </c>
      <c r="CE685" s="53" t="s">
        <v>500</v>
      </c>
      <c r="CF685" s="29" t="s">
        <v>500</v>
      </c>
      <c r="CG685" s="53" t="s">
        <v>99</v>
      </c>
      <c r="CH685" s="53" t="s">
        <v>500</v>
      </c>
      <c r="CI685" s="53" t="s">
        <v>500</v>
      </c>
      <c r="CJ685" s="53" t="s">
        <v>500</v>
      </c>
      <c r="CK685" s="53" t="s">
        <v>176</v>
      </c>
      <c r="CL685" s="53" t="s">
        <v>579</v>
      </c>
      <c r="CM685" s="53" t="s">
        <v>500</v>
      </c>
      <c r="CN685" s="53" t="s">
        <v>500</v>
      </c>
      <c r="CO685" s="53" t="s">
        <v>176</v>
      </c>
      <c r="CP685" s="53" t="s">
        <v>362</v>
      </c>
      <c r="CQ685" s="53" t="s">
        <v>500</v>
      </c>
      <c r="CR685" s="53" t="s">
        <v>500</v>
      </c>
      <c r="CS685" s="53" t="s">
        <v>176</v>
      </c>
      <c r="CT685" s="53" t="s">
        <v>5414</v>
      </c>
      <c r="CU685" s="53" t="s">
        <v>2615</v>
      </c>
      <c r="CV685" s="53" t="s">
        <v>983</v>
      </c>
      <c r="CW685" s="53" t="s">
        <v>6110</v>
      </c>
      <c r="CX685" s="53" t="s">
        <v>99</v>
      </c>
      <c r="CY685" s="53" t="s">
        <v>6142</v>
      </c>
      <c r="CZ685" s="29">
        <v>25</v>
      </c>
      <c r="DA685" s="29">
        <v>10</v>
      </c>
      <c r="DB685" s="29">
        <v>65</v>
      </c>
      <c r="DG685" s="9" t="e">
        <f t="shared" si="10"/>
        <v>#NUM!</v>
      </c>
      <c r="DR685">
        <v>2</v>
      </c>
    </row>
    <row r="686" spans="1:125" x14ac:dyDescent="0.2">
      <c r="A686" s="7">
        <v>599</v>
      </c>
      <c r="B686" s="166">
        <v>43283</v>
      </c>
      <c r="C686" s="9" t="s">
        <v>95</v>
      </c>
      <c r="D686" s="9">
        <v>20</v>
      </c>
      <c r="E686" s="52" t="s">
        <v>1697</v>
      </c>
      <c r="F686" s="17" t="s">
        <v>6143</v>
      </c>
      <c r="G686" s="9" t="s">
        <v>97</v>
      </c>
      <c r="H686" s="9" t="s">
        <v>6144</v>
      </c>
      <c r="I686" s="9">
        <v>2012</v>
      </c>
      <c r="J686" s="9" t="s">
        <v>162</v>
      </c>
      <c r="K686" s="9" t="s">
        <v>263</v>
      </c>
      <c r="L686" s="9" t="s">
        <v>263</v>
      </c>
      <c r="M686" s="9" t="s">
        <v>263</v>
      </c>
      <c r="N686" s="9" t="s">
        <v>263</v>
      </c>
      <c r="O686" s="9" t="s">
        <v>263</v>
      </c>
      <c r="P686" s="10" t="s">
        <v>276</v>
      </c>
      <c r="Q686" s="10" t="s">
        <v>369</v>
      </c>
      <c r="R686" s="9" t="s">
        <v>263</v>
      </c>
      <c r="S686" s="9" t="s">
        <v>6145</v>
      </c>
      <c r="T686" s="9" t="s">
        <v>6146</v>
      </c>
      <c r="U686" s="9" t="s">
        <v>263</v>
      </c>
      <c r="V686" s="9" t="s">
        <v>263</v>
      </c>
      <c r="W686" s="10" t="s">
        <v>6147</v>
      </c>
      <c r="X686" s="9" t="s">
        <v>263</v>
      </c>
      <c r="Y686" s="9" t="s">
        <v>6148</v>
      </c>
      <c r="Z686" s="9" t="s">
        <v>6149</v>
      </c>
      <c r="AA686" s="52" t="s">
        <v>1697</v>
      </c>
      <c r="AB686" s="52" t="s">
        <v>1697</v>
      </c>
      <c r="AC686" s="52" t="s">
        <v>1697</v>
      </c>
      <c r="AD686" s="52" t="s">
        <v>1697</v>
      </c>
      <c r="AE686" s="9" t="s">
        <v>263</v>
      </c>
      <c r="AF686" s="9" t="s">
        <v>263</v>
      </c>
      <c r="AG686" s="10" t="s">
        <v>6150</v>
      </c>
      <c r="AH686" s="9" t="s">
        <v>263</v>
      </c>
      <c r="AI686" s="9" t="s">
        <v>263</v>
      </c>
      <c r="AJ686" s="9" t="s">
        <v>263</v>
      </c>
      <c r="AK686" s="10" t="s">
        <v>6151</v>
      </c>
      <c r="AL686" s="9">
        <v>53.2</v>
      </c>
      <c r="AM686" s="9">
        <v>160</v>
      </c>
      <c r="AN686" s="9">
        <v>73.5</v>
      </c>
      <c r="AO686" s="9">
        <v>99.4</v>
      </c>
      <c r="AP686" s="9">
        <v>33.4</v>
      </c>
      <c r="AQ686" s="9">
        <v>3</v>
      </c>
      <c r="AR686" s="9">
        <v>24.1</v>
      </c>
      <c r="AS686" s="9">
        <v>18</v>
      </c>
      <c r="AT686" s="9">
        <v>20.8</v>
      </c>
      <c r="AU686" s="9">
        <v>86</v>
      </c>
      <c r="AV686" s="9">
        <v>65</v>
      </c>
      <c r="AX686" s="9" t="s">
        <v>391</v>
      </c>
      <c r="AY686" s="9" t="s">
        <v>390</v>
      </c>
      <c r="AZ686" s="9" t="s">
        <v>1034</v>
      </c>
      <c r="BB686" s="9" t="s">
        <v>374</v>
      </c>
      <c r="BF686" s="9" t="s">
        <v>322</v>
      </c>
      <c r="BG686" s="9" t="s">
        <v>322</v>
      </c>
      <c r="BH686" s="9" t="s">
        <v>322</v>
      </c>
      <c r="BI686" s="9" t="s">
        <v>375</v>
      </c>
      <c r="BJ686" s="9" t="s">
        <v>322</v>
      </c>
      <c r="BK686" s="9" t="s">
        <v>375</v>
      </c>
      <c r="BN686" s="9" t="s">
        <v>503</v>
      </c>
      <c r="BO686" s="9" t="s">
        <v>6152</v>
      </c>
      <c r="BP686" s="9" t="s">
        <v>6153</v>
      </c>
      <c r="BR686" s="9" t="s">
        <v>6154</v>
      </c>
      <c r="BS686" s="9" t="s">
        <v>6155</v>
      </c>
      <c r="BV686" s="9" t="s">
        <v>162</v>
      </c>
      <c r="BW686" s="9" t="s">
        <v>162</v>
      </c>
      <c r="BX686" s="9" t="s">
        <v>162</v>
      </c>
      <c r="BZ686" s="9" t="s">
        <v>502</v>
      </c>
      <c r="CA686" s="9" t="s">
        <v>4010</v>
      </c>
      <c r="CB686" s="9" t="s">
        <v>501</v>
      </c>
      <c r="CD686" s="9" t="s">
        <v>6156</v>
      </c>
      <c r="CH686" s="9" t="s">
        <v>162</v>
      </c>
      <c r="CI686" s="9" t="s">
        <v>162</v>
      </c>
      <c r="CJ686" s="9" t="s">
        <v>162</v>
      </c>
      <c r="CL686" s="9" t="s">
        <v>3912</v>
      </c>
      <c r="CM686" s="9" t="s">
        <v>6157</v>
      </c>
      <c r="CN686" s="9" t="s">
        <v>383</v>
      </c>
      <c r="CP686" s="9" t="s">
        <v>384</v>
      </c>
      <c r="CQ686" s="9" t="s">
        <v>1706</v>
      </c>
      <c r="CT686" s="9" t="s">
        <v>6158</v>
      </c>
      <c r="CU686" s="9" t="s">
        <v>6159</v>
      </c>
      <c r="CW686" s="9">
        <v>3</v>
      </c>
      <c r="CX686" s="9" t="s">
        <v>368</v>
      </c>
      <c r="CY686" s="9" t="s">
        <v>368</v>
      </c>
      <c r="CZ686" s="9">
        <v>10</v>
      </c>
      <c r="DA686" s="9">
        <v>40</v>
      </c>
      <c r="DB686" s="9">
        <v>50</v>
      </c>
      <c r="DG686" s="9" t="e">
        <f t="shared" si="10"/>
        <v>#NUM!</v>
      </c>
      <c r="DP686" s="11">
        <v>2</v>
      </c>
      <c r="DQ686" s="9">
        <v>2</v>
      </c>
      <c r="DR686" s="9">
        <v>2</v>
      </c>
    </row>
    <row r="687" spans="1:125" x14ac:dyDescent="0.2">
      <c r="A687" s="9">
        <v>600</v>
      </c>
      <c r="B687" s="8">
        <v>43279</v>
      </c>
      <c r="C687" s="9" t="s">
        <v>95</v>
      </c>
      <c r="D687" s="9">
        <v>47</v>
      </c>
      <c r="E687" s="9" t="s">
        <v>96</v>
      </c>
      <c r="F687" s="8">
        <v>26109</v>
      </c>
      <c r="G687" s="9" t="s">
        <v>314</v>
      </c>
      <c r="H687" s="9" t="s">
        <v>6160</v>
      </c>
      <c r="I687" s="9" t="s">
        <v>162</v>
      </c>
      <c r="J687" s="9" t="s">
        <v>162</v>
      </c>
      <c r="K687" s="9">
        <v>1999</v>
      </c>
      <c r="L687" s="9">
        <v>5</v>
      </c>
      <c r="M687" s="9" t="s">
        <v>263</v>
      </c>
      <c r="N687" s="9" t="s">
        <v>263</v>
      </c>
      <c r="O687" s="9" t="s">
        <v>263</v>
      </c>
      <c r="P687" s="9" t="s">
        <v>263</v>
      </c>
      <c r="Q687" s="10" t="s">
        <v>369</v>
      </c>
      <c r="R687" s="9" t="s">
        <v>162</v>
      </c>
      <c r="S687" s="9" t="s">
        <v>263</v>
      </c>
      <c r="T687" s="9" t="s">
        <v>263</v>
      </c>
      <c r="U687" s="9" t="s">
        <v>263</v>
      </c>
      <c r="V687" s="9" t="s">
        <v>263</v>
      </c>
      <c r="W687" s="9" t="s">
        <v>162</v>
      </c>
      <c r="X687" s="9" t="s">
        <v>263</v>
      </c>
      <c r="Y687" s="9" t="s">
        <v>162</v>
      </c>
      <c r="Z687" s="9" t="s">
        <v>162</v>
      </c>
      <c r="AA687" s="9" t="s">
        <v>96</v>
      </c>
      <c r="AB687" s="9" t="s">
        <v>96</v>
      </c>
      <c r="AC687" s="9" t="s">
        <v>96</v>
      </c>
      <c r="AD687" s="9" t="s">
        <v>96</v>
      </c>
      <c r="AE687" s="9" t="s">
        <v>263</v>
      </c>
      <c r="AF687" s="9" t="s">
        <v>263</v>
      </c>
      <c r="AG687" s="9" t="s">
        <v>263</v>
      </c>
      <c r="AH687" s="9" t="s">
        <v>263</v>
      </c>
      <c r="AI687" s="9" t="s">
        <v>263</v>
      </c>
      <c r="AJ687" s="9" t="s">
        <v>263</v>
      </c>
      <c r="AK687" s="9" t="s">
        <v>162</v>
      </c>
      <c r="AL687" s="9">
        <v>71.599999999999994</v>
      </c>
      <c r="AM687" s="9">
        <v>162</v>
      </c>
      <c r="AN687" s="9">
        <v>91</v>
      </c>
      <c r="AO687" s="9">
        <v>108</v>
      </c>
      <c r="AP687" s="9">
        <v>43.6</v>
      </c>
      <c r="AQ687" s="9">
        <v>8</v>
      </c>
      <c r="AR687" s="9">
        <v>23.3</v>
      </c>
      <c r="AS687" s="9">
        <v>54</v>
      </c>
      <c r="AT687" s="9">
        <v>27.3</v>
      </c>
      <c r="AU687" s="9">
        <v>104</v>
      </c>
      <c r="AV687" s="9">
        <v>71</v>
      </c>
      <c r="AX687" s="9" t="s">
        <v>5160</v>
      </c>
      <c r="AY687" s="9" t="s">
        <v>390</v>
      </c>
      <c r="AZ687" s="9" t="s">
        <v>391</v>
      </c>
      <c r="BB687" s="9" t="s">
        <v>162</v>
      </c>
      <c r="BC687" s="9" t="s">
        <v>162</v>
      </c>
      <c r="BD687" s="9" t="s">
        <v>162</v>
      </c>
      <c r="BF687" s="9" t="s">
        <v>322</v>
      </c>
      <c r="BG687" s="9" t="s">
        <v>375</v>
      </c>
      <c r="BH687" s="9" t="s">
        <v>276</v>
      </c>
      <c r="BI687" s="9" t="s">
        <v>375</v>
      </c>
      <c r="BJ687" s="9" t="s">
        <v>322</v>
      </c>
      <c r="BK687" s="9" t="s">
        <v>375</v>
      </c>
      <c r="BN687" s="9" t="s">
        <v>6161</v>
      </c>
      <c r="BO687" s="9" t="s">
        <v>6162</v>
      </c>
      <c r="BP687" s="9" t="s">
        <v>6163</v>
      </c>
      <c r="BR687" s="9" t="s">
        <v>162</v>
      </c>
      <c r="BS687" s="9" t="s">
        <v>162</v>
      </c>
      <c r="BT687" s="9" t="s">
        <v>162</v>
      </c>
      <c r="BV687" s="9" t="s">
        <v>6164</v>
      </c>
      <c r="BZ687" s="9" t="s">
        <v>162</v>
      </c>
      <c r="CA687" s="9" t="s">
        <v>162</v>
      </c>
      <c r="CB687" s="9" t="s">
        <v>162</v>
      </c>
      <c r="CD687" s="9" t="s">
        <v>5784</v>
      </c>
      <c r="CH687" s="9" t="s">
        <v>162</v>
      </c>
      <c r="CI687" s="9" t="s">
        <v>162</v>
      </c>
      <c r="CJ687" s="9" t="s">
        <v>162</v>
      </c>
      <c r="CL687" s="9" t="s">
        <v>162</v>
      </c>
      <c r="CM687" s="9" t="s">
        <v>162</v>
      </c>
      <c r="CN687" s="9" t="s">
        <v>162</v>
      </c>
      <c r="CP687" s="9" t="s">
        <v>162</v>
      </c>
      <c r="CQ687" s="9" t="s">
        <v>162</v>
      </c>
      <c r="CR687" s="9" t="s">
        <v>162</v>
      </c>
      <c r="CT687" s="9" t="s">
        <v>162</v>
      </c>
      <c r="CU687" s="9" t="s">
        <v>162</v>
      </c>
      <c r="CV687" s="9" t="s">
        <v>162</v>
      </c>
      <c r="CW687" s="9" t="s">
        <v>162</v>
      </c>
      <c r="CX687" s="9" t="s">
        <v>162</v>
      </c>
      <c r="CY687" s="9" t="s">
        <v>162</v>
      </c>
      <c r="CZ687" s="9" t="s">
        <v>162</v>
      </c>
      <c r="DA687" s="9" t="s">
        <v>162</v>
      </c>
      <c r="DB687" s="9" t="s">
        <v>162</v>
      </c>
      <c r="DC687" s="9">
        <v>79.2</v>
      </c>
      <c r="DD687" s="9">
        <v>0.59</v>
      </c>
      <c r="DE687" s="10">
        <v>228</v>
      </c>
      <c r="DF687" s="10">
        <v>151</v>
      </c>
      <c r="DG687" s="9">
        <f t="shared" si="10"/>
        <v>4.6946280678176526</v>
      </c>
      <c r="DH687" s="9">
        <v>30.2</v>
      </c>
      <c r="DI687" s="9">
        <v>4.22</v>
      </c>
      <c r="DJ687" s="9">
        <v>23.7</v>
      </c>
      <c r="DK687" s="10">
        <v>35</v>
      </c>
      <c r="DL687" s="9">
        <v>57.7</v>
      </c>
      <c r="DM687" s="9">
        <v>140.1</v>
      </c>
      <c r="DP687" s="11">
        <v>2</v>
      </c>
      <c r="DQ687" s="9">
        <v>2</v>
      </c>
    </row>
    <row r="688" spans="1:125" x14ac:dyDescent="0.2">
      <c r="A688" s="9" t="s">
        <v>6165</v>
      </c>
      <c r="DG688" s="9" t="e">
        <f t="shared" si="10"/>
        <v>#NUM!</v>
      </c>
      <c r="DQ688" s="9">
        <v>3</v>
      </c>
    </row>
    <row r="689" spans="1:125" x14ac:dyDescent="0.2">
      <c r="A689" s="36">
        <v>602</v>
      </c>
      <c r="B689" s="38">
        <v>43279</v>
      </c>
      <c r="C689" s="9" t="s">
        <v>95</v>
      </c>
      <c r="D689" s="9">
        <v>39</v>
      </c>
      <c r="E689" s="9" t="s">
        <v>96</v>
      </c>
      <c r="F689" s="8">
        <v>28674</v>
      </c>
      <c r="G689" s="9" t="s">
        <v>314</v>
      </c>
      <c r="H689" s="9" t="s">
        <v>162</v>
      </c>
      <c r="I689" s="9" t="s">
        <v>162</v>
      </c>
      <c r="J689" s="9" t="s">
        <v>162</v>
      </c>
      <c r="K689" s="9" t="s">
        <v>162</v>
      </c>
      <c r="L689" s="9" t="s">
        <v>162</v>
      </c>
      <c r="M689" s="9" t="s">
        <v>263</v>
      </c>
      <c r="N689" s="10" t="s">
        <v>368</v>
      </c>
      <c r="O689" s="9" t="s">
        <v>162</v>
      </c>
      <c r="P689" s="9" t="s">
        <v>263</v>
      </c>
      <c r="Q689" s="9" t="s">
        <v>263</v>
      </c>
      <c r="R689" s="9" t="s">
        <v>368</v>
      </c>
      <c r="S689" s="9" t="s">
        <v>3715</v>
      </c>
      <c r="T689" s="9" t="s">
        <v>162</v>
      </c>
      <c r="U689" s="9" t="s">
        <v>6166</v>
      </c>
      <c r="V689" s="9" t="s">
        <v>263</v>
      </c>
      <c r="W689" s="10" t="s">
        <v>6167</v>
      </c>
      <c r="X689" s="9" t="s">
        <v>263</v>
      </c>
      <c r="Y689" s="9" t="s">
        <v>6168</v>
      </c>
      <c r="Z689" s="9" t="s">
        <v>162</v>
      </c>
      <c r="AA689" s="9" t="s">
        <v>96</v>
      </c>
      <c r="AB689" s="9" t="s">
        <v>96</v>
      </c>
      <c r="AC689" s="9" t="s">
        <v>162</v>
      </c>
      <c r="AD689" s="9" t="s">
        <v>162</v>
      </c>
      <c r="AE689" s="10" t="s">
        <v>6169</v>
      </c>
      <c r="AF689" s="10" t="s">
        <v>6170</v>
      </c>
      <c r="AG689" s="10" t="s">
        <v>6171</v>
      </c>
      <c r="AH689" s="9" t="s">
        <v>162</v>
      </c>
      <c r="AI689" s="10" t="s">
        <v>6172</v>
      </c>
      <c r="AJ689" s="10" t="s">
        <v>6172</v>
      </c>
      <c r="AK689" s="9" t="s">
        <v>162</v>
      </c>
      <c r="AL689" s="9">
        <v>80.5</v>
      </c>
      <c r="AM689" s="9">
        <v>153</v>
      </c>
      <c r="AN689" s="10">
        <v>107</v>
      </c>
      <c r="AO689" s="9">
        <v>107.5</v>
      </c>
      <c r="AP689" s="9">
        <v>44.7</v>
      </c>
      <c r="AQ689" s="9">
        <v>10</v>
      </c>
      <c r="AR689" s="9">
        <v>25.2</v>
      </c>
      <c r="AS689" s="9">
        <v>63</v>
      </c>
      <c r="AT689" s="10">
        <v>34.5</v>
      </c>
      <c r="AU689" s="10">
        <v>130</v>
      </c>
      <c r="AV689" s="10">
        <v>97</v>
      </c>
      <c r="AX689" s="9" t="s">
        <v>427</v>
      </c>
      <c r="AY689" s="9" t="s">
        <v>6173</v>
      </c>
      <c r="AZ689" s="9" t="s">
        <v>6174</v>
      </c>
      <c r="BB689" s="9" t="s">
        <v>162</v>
      </c>
      <c r="BC689" s="9" t="s">
        <v>162</v>
      </c>
      <c r="BD689" s="9" t="s">
        <v>162</v>
      </c>
      <c r="BF689" s="9" t="s">
        <v>493</v>
      </c>
      <c r="BG689" s="9" t="s">
        <v>496</v>
      </c>
      <c r="BH689" s="9" t="s">
        <v>162</v>
      </c>
      <c r="BI689" s="9" t="s">
        <v>375</v>
      </c>
      <c r="BJ689" s="9" t="s">
        <v>375</v>
      </c>
      <c r="BK689" s="9" t="s">
        <v>375</v>
      </c>
      <c r="BN689" s="9" t="s">
        <v>519</v>
      </c>
      <c r="BO689" s="9" t="s">
        <v>6175</v>
      </c>
      <c r="BP689" s="9" t="s">
        <v>5050</v>
      </c>
      <c r="BR689" s="9" t="s">
        <v>162</v>
      </c>
      <c r="BS689" s="9" t="s">
        <v>162</v>
      </c>
      <c r="BT689" s="9" t="s">
        <v>162</v>
      </c>
      <c r="BV689" s="9" t="s">
        <v>162</v>
      </c>
      <c r="BW689" s="9" t="s">
        <v>162</v>
      </c>
      <c r="BX689" s="9" t="s">
        <v>162</v>
      </c>
      <c r="BZ689" s="9" t="s">
        <v>5782</v>
      </c>
      <c r="CA689" s="9" t="s">
        <v>6176</v>
      </c>
      <c r="CB689" s="9" t="s">
        <v>6177</v>
      </c>
      <c r="CD689" s="9" t="s">
        <v>162</v>
      </c>
      <c r="CE689" s="9" t="s">
        <v>162</v>
      </c>
      <c r="CF689" s="9" t="s">
        <v>162</v>
      </c>
      <c r="CH689" s="9" t="s">
        <v>162</v>
      </c>
      <c r="CI689" s="9" t="s">
        <v>162</v>
      </c>
      <c r="CJ689" s="9" t="s">
        <v>162</v>
      </c>
      <c r="CL689" s="9" t="s">
        <v>3912</v>
      </c>
      <c r="CM689" s="9" t="s">
        <v>6178</v>
      </c>
      <c r="CN689" s="9" t="s">
        <v>6179</v>
      </c>
      <c r="CP689" s="9" t="s">
        <v>6180</v>
      </c>
      <c r="CT689" s="9" t="s">
        <v>6180</v>
      </c>
      <c r="CW689" s="9">
        <v>3</v>
      </c>
      <c r="CX689" s="9" t="s">
        <v>263</v>
      </c>
      <c r="CY689" s="9" t="s">
        <v>263</v>
      </c>
      <c r="CZ689" s="9" t="s">
        <v>162</v>
      </c>
      <c r="DA689" s="9" t="s">
        <v>162</v>
      </c>
      <c r="DB689" s="9" t="s">
        <v>162</v>
      </c>
      <c r="DC689" s="9">
        <v>86.1</v>
      </c>
      <c r="DD689" s="9">
        <v>0.39</v>
      </c>
      <c r="DE689" s="10">
        <v>245</v>
      </c>
      <c r="DF689" s="10">
        <v>232</v>
      </c>
      <c r="DG689" s="9">
        <f t="shared" si="10"/>
        <v>4.9511233915499977</v>
      </c>
      <c r="DH689" s="9">
        <v>46.4</v>
      </c>
      <c r="DI689" s="9">
        <v>4.5599999999999996</v>
      </c>
      <c r="DJ689" s="9">
        <v>26</v>
      </c>
      <c r="DK689" s="9">
        <v>33.299999999999997</v>
      </c>
      <c r="DL689" s="9">
        <v>52.9</v>
      </c>
      <c r="DM689" s="9">
        <v>145.69999999999999</v>
      </c>
      <c r="DP689" s="11">
        <v>3</v>
      </c>
      <c r="DQ689" s="9">
        <v>2</v>
      </c>
    </row>
    <row r="690" spans="1:125" x14ac:dyDescent="0.2">
      <c r="A690" s="9">
        <v>603</v>
      </c>
      <c r="B690" s="38">
        <v>43279</v>
      </c>
      <c r="C690" s="9" t="s">
        <v>95</v>
      </c>
      <c r="D690" s="9">
        <v>50</v>
      </c>
      <c r="E690" s="9" t="s">
        <v>96</v>
      </c>
      <c r="F690" s="8">
        <v>24790</v>
      </c>
      <c r="G690" s="9" t="s">
        <v>314</v>
      </c>
      <c r="H690" s="9" t="s">
        <v>6181</v>
      </c>
      <c r="I690" s="9" t="s">
        <v>162</v>
      </c>
      <c r="J690" s="10" t="s">
        <v>6182</v>
      </c>
      <c r="K690" s="9" t="s">
        <v>162</v>
      </c>
      <c r="L690" s="9" t="s">
        <v>162</v>
      </c>
      <c r="M690" s="9" t="s">
        <v>263</v>
      </c>
      <c r="N690" s="9" t="s">
        <v>263</v>
      </c>
      <c r="O690" s="9" t="s">
        <v>263</v>
      </c>
      <c r="P690" s="9" t="s">
        <v>263</v>
      </c>
      <c r="Q690" s="10" t="s">
        <v>369</v>
      </c>
      <c r="R690" s="9" t="s">
        <v>263</v>
      </c>
      <c r="S690" s="10" t="s">
        <v>6183</v>
      </c>
      <c r="T690" s="10" t="s">
        <v>6184</v>
      </c>
      <c r="U690" s="9" t="s">
        <v>263</v>
      </c>
      <c r="V690" s="9" t="s">
        <v>263</v>
      </c>
      <c r="W690" s="9" t="s">
        <v>263</v>
      </c>
      <c r="X690" s="9" t="s">
        <v>263</v>
      </c>
      <c r="Y690" s="9" t="s">
        <v>6185</v>
      </c>
      <c r="Z690" s="9" t="s">
        <v>6186</v>
      </c>
      <c r="AA690" s="9" t="s">
        <v>96</v>
      </c>
      <c r="AB690" s="9" t="s">
        <v>96</v>
      </c>
      <c r="AC690" s="9" t="s">
        <v>96</v>
      </c>
      <c r="AD690" s="9" t="s">
        <v>96</v>
      </c>
      <c r="AE690" s="9" t="s">
        <v>263</v>
      </c>
      <c r="AF690" s="10" t="s">
        <v>35</v>
      </c>
      <c r="AG690" s="10" t="s">
        <v>36</v>
      </c>
      <c r="AH690" s="9" t="s">
        <v>263</v>
      </c>
      <c r="AI690" s="9" t="s">
        <v>263</v>
      </c>
      <c r="AJ690" s="9" t="s">
        <v>263</v>
      </c>
      <c r="AK690" s="9" t="s">
        <v>263</v>
      </c>
      <c r="AL690" s="9">
        <v>60.9</v>
      </c>
      <c r="AM690" s="9">
        <v>163</v>
      </c>
      <c r="AN690" s="9">
        <v>74.8</v>
      </c>
      <c r="AO690" s="9">
        <v>102.3</v>
      </c>
      <c r="AP690" s="9">
        <v>37.799999999999997</v>
      </c>
      <c r="AQ690" s="9">
        <v>6</v>
      </c>
      <c r="AR690" s="9">
        <v>23.7</v>
      </c>
      <c r="AS690" s="9">
        <v>43</v>
      </c>
      <c r="AT690" s="7">
        <v>22.9</v>
      </c>
      <c r="AU690" s="9">
        <v>105</v>
      </c>
      <c r="AV690" s="9">
        <v>78</v>
      </c>
      <c r="AX690" s="9" t="s">
        <v>6187</v>
      </c>
      <c r="AY690" s="9" t="s">
        <v>5758</v>
      </c>
      <c r="BB690" s="9" t="s">
        <v>6188</v>
      </c>
      <c r="BC690" s="9" t="s">
        <v>4557</v>
      </c>
      <c r="BD690" s="9" t="s">
        <v>551</v>
      </c>
      <c r="BF690" s="9" t="s">
        <v>6189</v>
      </c>
      <c r="BG690" s="9" t="s">
        <v>375</v>
      </c>
      <c r="BH690" s="9" t="s">
        <v>162</v>
      </c>
      <c r="BI690" s="9" t="s">
        <v>375</v>
      </c>
      <c r="BJ690" s="9" t="s">
        <v>375</v>
      </c>
      <c r="BK690" s="9" t="s">
        <v>276</v>
      </c>
      <c r="BN690" s="9" t="s">
        <v>6190</v>
      </c>
      <c r="BO690" s="9" t="s">
        <v>5167</v>
      </c>
      <c r="BP690" s="9" t="s">
        <v>517</v>
      </c>
      <c r="BR690" s="9" t="s">
        <v>162</v>
      </c>
      <c r="BS690" s="9" t="s">
        <v>162</v>
      </c>
      <c r="BT690" s="9" t="s">
        <v>162</v>
      </c>
      <c r="BV690" s="9" t="s">
        <v>162</v>
      </c>
      <c r="BW690" s="9" t="s">
        <v>162</v>
      </c>
      <c r="BX690" s="9" t="s">
        <v>162</v>
      </c>
      <c r="BZ690" s="9" t="s">
        <v>4010</v>
      </c>
      <c r="CA690" s="9" t="s">
        <v>526</v>
      </c>
      <c r="CB690" s="9" t="s">
        <v>5165</v>
      </c>
      <c r="CC690" s="9" t="s">
        <v>263</v>
      </c>
      <c r="CD690" s="9" t="s">
        <v>162</v>
      </c>
      <c r="CE690" s="9" t="s">
        <v>162</v>
      </c>
      <c r="CF690" s="9" t="s">
        <v>162</v>
      </c>
      <c r="CH690" s="9" t="s">
        <v>162</v>
      </c>
      <c r="CI690" s="9" t="s">
        <v>162</v>
      </c>
      <c r="CJ690" s="9" t="s">
        <v>162</v>
      </c>
      <c r="CL690" s="9" t="s">
        <v>6178</v>
      </c>
      <c r="CP690" s="9" t="s">
        <v>6191</v>
      </c>
      <c r="CT690" s="9" t="s">
        <v>6192</v>
      </c>
      <c r="CU690" s="9" t="s">
        <v>5160</v>
      </c>
      <c r="CV690" s="9" t="s">
        <v>6193</v>
      </c>
      <c r="CW690" s="9">
        <v>2</v>
      </c>
      <c r="CX690" s="9" t="s">
        <v>263</v>
      </c>
      <c r="CY690" s="9" t="s">
        <v>263</v>
      </c>
      <c r="CZ690" s="9">
        <v>80</v>
      </c>
      <c r="DA690" s="9">
        <v>80</v>
      </c>
      <c r="DB690" s="9">
        <v>80</v>
      </c>
      <c r="DC690" s="9">
        <v>82</v>
      </c>
      <c r="DD690" s="9">
        <v>0.4</v>
      </c>
      <c r="DE690" s="9">
        <v>170</v>
      </c>
      <c r="DF690" s="10">
        <v>217</v>
      </c>
      <c r="DG690" s="9">
        <f t="shared" si="10"/>
        <v>4.8933083004023565</v>
      </c>
      <c r="DH690" s="9">
        <v>43.4</v>
      </c>
      <c r="DI690" s="9">
        <v>3.81</v>
      </c>
      <c r="DJ690" s="9">
        <v>29.3</v>
      </c>
      <c r="DK690" s="9">
        <v>28.7</v>
      </c>
      <c r="DL690" s="9">
        <v>50.2</v>
      </c>
      <c r="DM690" s="9">
        <v>76.400000000000006</v>
      </c>
      <c r="DP690" s="11">
        <v>2</v>
      </c>
      <c r="DQ690" s="9">
        <v>2</v>
      </c>
      <c r="DR690" s="30">
        <v>1</v>
      </c>
      <c r="DU690" s="9">
        <v>5.3</v>
      </c>
    </row>
    <row r="691" spans="1:125" x14ac:dyDescent="0.2">
      <c r="A691" s="36">
        <v>604</v>
      </c>
      <c r="B691" s="38">
        <v>43279</v>
      </c>
      <c r="C691" s="9" t="s">
        <v>107</v>
      </c>
      <c r="D691" s="9">
        <v>36</v>
      </c>
      <c r="E691" s="9" t="s">
        <v>162</v>
      </c>
      <c r="F691" s="8">
        <v>29811</v>
      </c>
      <c r="G691" s="9" t="s">
        <v>314</v>
      </c>
      <c r="H691" s="9" t="s">
        <v>6194</v>
      </c>
      <c r="I691" s="9" t="s">
        <v>162</v>
      </c>
      <c r="J691" s="9" t="s">
        <v>162</v>
      </c>
      <c r="K691" s="9" t="s">
        <v>162</v>
      </c>
      <c r="L691" s="9" t="s">
        <v>162</v>
      </c>
      <c r="M691" s="9" t="s">
        <v>263</v>
      </c>
      <c r="N691" s="9" t="s">
        <v>263</v>
      </c>
      <c r="O691" s="9" t="s">
        <v>263</v>
      </c>
      <c r="P691" s="10" t="s">
        <v>368</v>
      </c>
      <c r="Q691" s="10" t="s">
        <v>322</v>
      </c>
      <c r="R691" s="9" t="s">
        <v>368</v>
      </c>
      <c r="S691" s="9" t="s">
        <v>263</v>
      </c>
      <c r="T691" s="9" t="s">
        <v>263</v>
      </c>
      <c r="U691" s="10" t="s">
        <v>6195</v>
      </c>
      <c r="V691" s="9">
        <v>2010</v>
      </c>
      <c r="W691" s="10" t="s">
        <v>6196</v>
      </c>
      <c r="X691" s="9" t="s">
        <v>263</v>
      </c>
      <c r="Y691" s="9" t="s">
        <v>2059</v>
      </c>
      <c r="Z691" s="9" t="s">
        <v>162</v>
      </c>
      <c r="AA691" s="52" t="s">
        <v>1697</v>
      </c>
      <c r="AB691" s="52" t="s">
        <v>1359</v>
      </c>
      <c r="AC691" s="52" t="s">
        <v>1697</v>
      </c>
      <c r="AD691" s="52" t="s">
        <v>1359</v>
      </c>
      <c r="AE691" s="10" t="s">
        <v>6197</v>
      </c>
      <c r="AF691" s="10" t="s">
        <v>6198</v>
      </c>
      <c r="AG691" s="10" t="s">
        <v>6199</v>
      </c>
      <c r="AH691" s="10" t="s">
        <v>36</v>
      </c>
      <c r="AI691" s="9" t="s">
        <v>263</v>
      </c>
      <c r="AJ691" s="9" t="s">
        <v>263</v>
      </c>
      <c r="AK691" s="9" t="s">
        <v>162</v>
      </c>
      <c r="AL691" s="9">
        <v>79.5</v>
      </c>
      <c r="AM691" s="9">
        <v>169</v>
      </c>
      <c r="AN691" s="10">
        <v>103.8</v>
      </c>
      <c r="AO691" s="9">
        <v>103.6</v>
      </c>
      <c r="AP691" s="9">
        <v>31.8</v>
      </c>
      <c r="AQ691" s="9">
        <v>12</v>
      </c>
      <c r="AR691" s="9" t="s">
        <v>162</v>
      </c>
      <c r="AS691" s="9">
        <v>50</v>
      </c>
      <c r="AT691" s="10">
        <v>27.8</v>
      </c>
      <c r="AU691" s="10">
        <v>131</v>
      </c>
      <c r="AV691" s="10">
        <v>96</v>
      </c>
      <c r="AX691" s="9" t="s">
        <v>1146</v>
      </c>
      <c r="BB691" s="9" t="s">
        <v>515</v>
      </c>
      <c r="BF691" s="9" t="s">
        <v>322</v>
      </c>
      <c r="BG691" s="9" t="s">
        <v>322</v>
      </c>
      <c r="BH691" s="9" t="s">
        <v>375</v>
      </c>
      <c r="BI691" s="9" t="s">
        <v>322</v>
      </c>
      <c r="BJ691" s="9" t="s">
        <v>162</v>
      </c>
      <c r="BK691" s="9" t="s">
        <v>162</v>
      </c>
      <c r="BN691" s="9" t="s">
        <v>6190</v>
      </c>
      <c r="BO691" s="9" t="s">
        <v>5167</v>
      </c>
      <c r="BR691" s="9" t="s">
        <v>162</v>
      </c>
      <c r="BS691" s="9" t="s">
        <v>162</v>
      </c>
      <c r="BT691" s="9" t="s">
        <v>162</v>
      </c>
      <c r="BV691" s="9" t="s">
        <v>162</v>
      </c>
      <c r="BW691" s="9" t="s">
        <v>162</v>
      </c>
      <c r="BX691" s="9" t="s">
        <v>162</v>
      </c>
      <c r="BY691" s="9" t="s">
        <v>263</v>
      </c>
      <c r="BZ691" s="9" t="s">
        <v>162</v>
      </c>
      <c r="CA691" s="9" t="s">
        <v>162</v>
      </c>
      <c r="CB691" s="9" t="s">
        <v>162</v>
      </c>
      <c r="CD691" s="9" t="s">
        <v>162</v>
      </c>
      <c r="CE691" s="9" t="s">
        <v>162</v>
      </c>
      <c r="CF691" s="9" t="s">
        <v>162</v>
      </c>
      <c r="CH691" s="9" t="s">
        <v>162</v>
      </c>
      <c r="CI691" s="9" t="s">
        <v>162</v>
      </c>
      <c r="CJ691" s="9" t="s">
        <v>162</v>
      </c>
      <c r="CL691" s="9" t="s">
        <v>162</v>
      </c>
      <c r="CM691" s="9" t="s">
        <v>162</v>
      </c>
      <c r="CN691" s="9" t="s">
        <v>162</v>
      </c>
      <c r="CP691" s="9" t="s">
        <v>384</v>
      </c>
      <c r="CQ691" s="9" t="s">
        <v>475</v>
      </c>
      <c r="CT691" s="9" t="s">
        <v>5195</v>
      </c>
      <c r="CW691" s="9">
        <v>2</v>
      </c>
      <c r="CX691" s="9" t="s">
        <v>263</v>
      </c>
      <c r="CY691" s="9" t="s">
        <v>263</v>
      </c>
      <c r="CZ691" s="9">
        <v>20</v>
      </c>
      <c r="DA691" s="9">
        <v>10</v>
      </c>
      <c r="DB691" s="9">
        <v>70</v>
      </c>
      <c r="DC691" s="9">
        <v>88.1</v>
      </c>
      <c r="DD691" s="9">
        <v>0.66</v>
      </c>
      <c r="DE691" s="10">
        <v>246</v>
      </c>
      <c r="DF691" s="10">
        <v>209</v>
      </c>
      <c r="DG691" s="9">
        <f t="shared" si="10"/>
        <v>4.910403392453472</v>
      </c>
      <c r="DH691" s="9">
        <v>41.8</v>
      </c>
      <c r="DI691" s="9">
        <v>6.65</v>
      </c>
      <c r="DJ691" s="9">
        <v>44.3</v>
      </c>
      <c r="DK691" s="10">
        <v>48</v>
      </c>
      <c r="DL691" s="10">
        <v>38.1</v>
      </c>
      <c r="DM691" s="9">
        <v>116.1</v>
      </c>
      <c r="DP691" s="11">
        <v>2</v>
      </c>
      <c r="DQ691" s="9">
        <v>3</v>
      </c>
      <c r="DT691" s="9">
        <v>7.5</v>
      </c>
      <c r="DU691" s="9">
        <v>5</v>
      </c>
    </row>
    <row r="692" spans="1:125" x14ac:dyDescent="0.2">
      <c r="A692" s="7">
        <v>605</v>
      </c>
      <c r="B692" s="38">
        <v>43279</v>
      </c>
      <c r="C692" s="9" t="s">
        <v>95</v>
      </c>
      <c r="D692" s="9">
        <v>31</v>
      </c>
      <c r="E692" s="52" t="s">
        <v>1697</v>
      </c>
      <c r="F692" s="8">
        <v>31927</v>
      </c>
      <c r="G692" s="9" t="s">
        <v>314</v>
      </c>
      <c r="H692" s="9" t="s">
        <v>6200</v>
      </c>
      <c r="I692" s="9" t="s">
        <v>162</v>
      </c>
      <c r="J692" s="9" t="s">
        <v>162</v>
      </c>
      <c r="K692" s="9" t="s">
        <v>162</v>
      </c>
      <c r="L692" s="9" t="s">
        <v>162</v>
      </c>
      <c r="M692" s="9" t="s">
        <v>263</v>
      </c>
      <c r="N692" s="9" t="s">
        <v>263</v>
      </c>
      <c r="O692" s="9" t="s">
        <v>263</v>
      </c>
      <c r="P692" s="9" t="s">
        <v>263</v>
      </c>
      <c r="Q692" s="10" t="s">
        <v>369</v>
      </c>
      <c r="R692" s="9" t="s">
        <v>368</v>
      </c>
      <c r="S692" s="9" t="s">
        <v>162</v>
      </c>
      <c r="T692" s="9" t="s">
        <v>162</v>
      </c>
      <c r="U692" s="9" t="s">
        <v>162</v>
      </c>
      <c r="V692" s="9" t="s">
        <v>162</v>
      </c>
      <c r="W692" s="9" t="s">
        <v>263</v>
      </c>
      <c r="X692" s="9" t="s">
        <v>263</v>
      </c>
      <c r="Y692" s="9" t="s">
        <v>162</v>
      </c>
      <c r="Z692" s="9" t="s">
        <v>162</v>
      </c>
      <c r="AA692" s="52" t="s">
        <v>1697</v>
      </c>
      <c r="AB692" s="49" t="s">
        <v>533</v>
      </c>
      <c r="AC692" s="52" t="s">
        <v>1697</v>
      </c>
      <c r="AD692" s="49" t="s">
        <v>533</v>
      </c>
      <c r="AE692" s="10" t="s">
        <v>6201</v>
      </c>
      <c r="AF692" s="9" t="s">
        <v>263</v>
      </c>
      <c r="AG692" s="9" t="s">
        <v>263</v>
      </c>
      <c r="AH692" s="9" t="s">
        <v>263</v>
      </c>
      <c r="AI692" s="9" t="s">
        <v>263</v>
      </c>
      <c r="AJ692" s="9" t="s">
        <v>263</v>
      </c>
      <c r="AK692" s="9" t="s">
        <v>162</v>
      </c>
      <c r="AL692" s="9">
        <v>51.7</v>
      </c>
      <c r="AM692" s="9">
        <v>160</v>
      </c>
      <c r="AN692" s="9">
        <v>68.7</v>
      </c>
      <c r="AO692" s="9">
        <v>93.5</v>
      </c>
      <c r="AP692" s="9">
        <v>31.4</v>
      </c>
      <c r="AQ692" s="9">
        <v>4</v>
      </c>
      <c r="AR692" s="9">
        <v>24.9</v>
      </c>
      <c r="AS692" s="9">
        <v>22</v>
      </c>
      <c r="AT692" s="7">
        <v>20.2</v>
      </c>
      <c r="AU692" s="9">
        <v>104</v>
      </c>
      <c r="AV692" s="9">
        <v>73</v>
      </c>
      <c r="AX692" s="9" t="s">
        <v>6202</v>
      </c>
      <c r="AY692" s="9" t="s">
        <v>6203</v>
      </c>
      <c r="AZ692" s="9" t="s">
        <v>1034</v>
      </c>
      <c r="BB692" s="9" t="s">
        <v>6188</v>
      </c>
      <c r="BC692" s="9" t="s">
        <v>6204</v>
      </c>
      <c r="BF692" s="9" t="s">
        <v>375</v>
      </c>
      <c r="BG692" s="9" t="s">
        <v>322</v>
      </c>
      <c r="BH692" s="9" t="s">
        <v>1778</v>
      </c>
      <c r="BI692" s="9" t="s">
        <v>375</v>
      </c>
      <c r="BJ692" s="9" t="s">
        <v>375</v>
      </c>
      <c r="BK692" s="9" t="s">
        <v>375</v>
      </c>
      <c r="BM692" s="9" t="s">
        <v>322</v>
      </c>
      <c r="BR692" s="9" t="s">
        <v>162</v>
      </c>
      <c r="BS692" s="9" t="s">
        <v>162</v>
      </c>
      <c r="BT692" s="9" t="s">
        <v>162</v>
      </c>
      <c r="BV692" s="9" t="s">
        <v>162</v>
      </c>
      <c r="BW692" s="9" t="s">
        <v>162</v>
      </c>
      <c r="BX692" s="9" t="s">
        <v>162</v>
      </c>
      <c r="BZ692" s="9" t="s">
        <v>6156</v>
      </c>
      <c r="CA692" s="9" t="s">
        <v>1489</v>
      </c>
      <c r="CB692" s="9" t="s">
        <v>501</v>
      </c>
      <c r="CD692" s="9" t="s">
        <v>162</v>
      </c>
      <c r="CE692" s="9" t="s">
        <v>162</v>
      </c>
      <c r="CF692" s="9" t="s">
        <v>162</v>
      </c>
      <c r="CH692" s="9" t="s">
        <v>162</v>
      </c>
      <c r="CI692" s="9" t="s">
        <v>162</v>
      </c>
      <c r="CJ692" s="9" t="s">
        <v>162</v>
      </c>
      <c r="CL692" s="9" t="s">
        <v>3912</v>
      </c>
      <c r="CM692" s="9" t="s">
        <v>383</v>
      </c>
      <c r="CN692" s="9" t="s">
        <v>6205</v>
      </c>
      <c r="CP692" s="9" t="s">
        <v>162</v>
      </c>
      <c r="CQ692" s="9" t="s">
        <v>162</v>
      </c>
      <c r="CR692" s="9" t="s">
        <v>162</v>
      </c>
      <c r="CT692" s="9" t="s">
        <v>436</v>
      </c>
      <c r="CU692" s="9" t="s">
        <v>1158</v>
      </c>
      <c r="CW692" s="9">
        <v>3</v>
      </c>
      <c r="CX692" s="9" t="s">
        <v>368</v>
      </c>
      <c r="CY692" s="9" t="s">
        <v>368</v>
      </c>
      <c r="CZ692" s="9" t="s">
        <v>162</v>
      </c>
      <c r="DA692" s="9" t="s">
        <v>162</v>
      </c>
      <c r="DB692" s="9" t="s">
        <v>162</v>
      </c>
      <c r="DC692" s="9">
        <v>68.099999999999994</v>
      </c>
      <c r="DD692" s="9">
        <v>0.38</v>
      </c>
      <c r="DE692" s="9">
        <v>153</v>
      </c>
      <c r="DF692" s="9">
        <v>56</v>
      </c>
      <c r="DG692" s="9">
        <f t="shared" si="10"/>
        <v>4.1231644519453079</v>
      </c>
      <c r="DH692" s="9">
        <v>11.2</v>
      </c>
      <c r="DI692" s="9">
        <v>4.2699999999999996</v>
      </c>
      <c r="DJ692" s="9">
        <v>16.3</v>
      </c>
      <c r="DK692" s="9">
        <v>29.3</v>
      </c>
      <c r="DL692" s="9">
        <v>66.3</v>
      </c>
      <c r="DM692" s="9">
        <v>75.5</v>
      </c>
      <c r="DP692" s="11">
        <v>2</v>
      </c>
      <c r="DQ692" s="9">
        <v>3</v>
      </c>
      <c r="DR692" s="9">
        <v>3</v>
      </c>
      <c r="DU692" s="9">
        <v>4.4000000000000004</v>
      </c>
    </row>
    <row r="693" spans="1:125" x14ac:dyDescent="0.2">
      <c r="A693" s="110">
        <v>606</v>
      </c>
      <c r="B693" s="8">
        <v>43279</v>
      </c>
      <c r="C693" s="9" t="s">
        <v>95</v>
      </c>
      <c r="D693" s="9">
        <v>38</v>
      </c>
      <c r="E693" s="9" t="s">
        <v>162</v>
      </c>
      <c r="F693" s="8">
        <v>29302</v>
      </c>
      <c r="G693" s="9" t="s">
        <v>314</v>
      </c>
      <c r="H693" s="9" t="s">
        <v>162</v>
      </c>
      <c r="I693" s="9" t="s">
        <v>162</v>
      </c>
      <c r="J693" s="9" t="s">
        <v>162</v>
      </c>
      <c r="K693" s="8">
        <v>38619</v>
      </c>
      <c r="L693" s="9" t="s">
        <v>162</v>
      </c>
      <c r="M693" s="9" t="s">
        <v>263</v>
      </c>
      <c r="N693" s="9" t="s">
        <v>263</v>
      </c>
      <c r="O693" s="9" t="s">
        <v>263</v>
      </c>
      <c r="P693" s="9" t="s">
        <v>263</v>
      </c>
      <c r="Q693" s="10" t="s">
        <v>369</v>
      </c>
      <c r="R693" s="9" t="s">
        <v>162</v>
      </c>
      <c r="S693" s="9" t="s">
        <v>263</v>
      </c>
      <c r="T693" s="9" t="s">
        <v>162</v>
      </c>
      <c r="U693" s="9" t="s">
        <v>263</v>
      </c>
      <c r="V693" s="9" t="s">
        <v>263</v>
      </c>
      <c r="W693" s="10" t="s">
        <v>6206</v>
      </c>
      <c r="X693" s="9" t="s">
        <v>162</v>
      </c>
      <c r="Y693" s="9" t="s">
        <v>162</v>
      </c>
      <c r="Z693" s="9" t="s">
        <v>162</v>
      </c>
      <c r="AA693" s="9" t="s">
        <v>96</v>
      </c>
      <c r="AB693" s="41" t="s">
        <v>461</v>
      </c>
      <c r="AC693" s="9" t="s">
        <v>96</v>
      </c>
      <c r="AD693" s="9" t="s">
        <v>96</v>
      </c>
      <c r="AE693" s="9" t="s">
        <v>263</v>
      </c>
      <c r="AF693" s="9" t="s">
        <v>368</v>
      </c>
      <c r="AG693" s="9" t="s">
        <v>368</v>
      </c>
      <c r="AH693" s="9" t="s">
        <v>368</v>
      </c>
      <c r="AI693" s="9" t="s">
        <v>263</v>
      </c>
      <c r="AJ693" s="9" t="s">
        <v>263</v>
      </c>
      <c r="AK693" s="9" t="s">
        <v>162</v>
      </c>
      <c r="AL693" s="9">
        <v>70.400000000000006</v>
      </c>
      <c r="AM693" s="9">
        <v>162</v>
      </c>
      <c r="AN693" s="9">
        <v>80.3</v>
      </c>
      <c r="AO693" s="9">
        <v>104.2</v>
      </c>
      <c r="AP693" s="9">
        <v>23.7</v>
      </c>
      <c r="AQ693" s="9">
        <v>2.7</v>
      </c>
      <c r="AR693" s="9">
        <v>51</v>
      </c>
      <c r="AS693" s="9">
        <v>44</v>
      </c>
      <c r="AT693" s="9">
        <v>26.82</v>
      </c>
      <c r="AU693" s="9">
        <v>97</v>
      </c>
      <c r="AV693" s="9">
        <v>74</v>
      </c>
      <c r="AX693" s="9" t="s">
        <v>1234</v>
      </c>
      <c r="AY693" s="9" t="s">
        <v>2028</v>
      </c>
      <c r="AZ693" s="9" t="s">
        <v>1233</v>
      </c>
      <c r="BB693" s="9" t="s">
        <v>162</v>
      </c>
      <c r="BC693" s="9" t="s">
        <v>162</v>
      </c>
      <c r="BD693" s="9" t="s">
        <v>162</v>
      </c>
      <c r="BF693" s="9" t="s">
        <v>1438</v>
      </c>
      <c r="BG693" s="9" t="s">
        <v>2032</v>
      </c>
      <c r="BH693" s="9" t="s">
        <v>162</v>
      </c>
      <c r="BI693" s="9" t="s">
        <v>162</v>
      </c>
      <c r="BJ693" s="9" t="s">
        <v>162</v>
      </c>
      <c r="BK693" s="9" t="s">
        <v>162</v>
      </c>
      <c r="BN693" s="9" t="s">
        <v>162</v>
      </c>
      <c r="BO693" s="9" t="s">
        <v>162</v>
      </c>
      <c r="BP693" s="9" t="s">
        <v>162</v>
      </c>
      <c r="BR693" s="9" t="s">
        <v>162</v>
      </c>
      <c r="BS693" s="9" t="s">
        <v>162</v>
      </c>
      <c r="BT693" s="9" t="s">
        <v>162</v>
      </c>
      <c r="BV693" s="9" t="s">
        <v>162</v>
      </c>
      <c r="BW693" s="9" t="s">
        <v>162</v>
      </c>
      <c r="BX693" s="9" t="s">
        <v>162</v>
      </c>
      <c r="BZ693" s="9" t="s">
        <v>277</v>
      </c>
      <c r="CA693" s="9" t="s">
        <v>1236</v>
      </c>
      <c r="CB693" s="9" t="s">
        <v>1764</v>
      </c>
      <c r="CD693" s="9" t="s">
        <v>162</v>
      </c>
      <c r="CE693" s="9" t="s">
        <v>162</v>
      </c>
      <c r="CF693" s="9" t="s">
        <v>162</v>
      </c>
      <c r="CH693" s="9" t="s">
        <v>162</v>
      </c>
      <c r="CI693" s="9" t="s">
        <v>162</v>
      </c>
      <c r="CJ693" s="9" t="s">
        <v>162</v>
      </c>
      <c r="CL693" s="9" t="s">
        <v>162</v>
      </c>
      <c r="CM693" s="9" t="s">
        <v>162</v>
      </c>
      <c r="CN693" s="9" t="s">
        <v>162</v>
      </c>
      <c r="CP693" s="9" t="s">
        <v>162</v>
      </c>
      <c r="CQ693" s="9" t="s">
        <v>162</v>
      </c>
      <c r="CR693" s="9" t="s">
        <v>162</v>
      </c>
      <c r="CT693" s="9" t="s">
        <v>162</v>
      </c>
      <c r="CU693" s="9" t="s">
        <v>162</v>
      </c>
      <c r="CV693" s="9" t="s">
        <v>162</v>
      </c>
      <c r="CW693" s="9">
        <v>3</v>
      </c>
      <c r="CX693" s="9" t="s">
        <v>263</v>
      </c>
      <c r="CY693" s="9" t="s">
        <v>2032</v>
      </c>
      <c r="CZ693" s="9" t="s">
        <v>162</v>
      </c>
      <c r="DA693" s="9" t="s">
        <v>162</v>
      </c>
      <c r="DB693" s="9" t="s">
        <v>162</v>
      </c>
      <c r="DC693" s="9">
        <v>78.599999999999994</v>
      </c>
      <c r="DD693" s="9">
        <v>0.69</v>
      </c>
      <c r="DE693" s="9">
        <v>240</v>
      </c>
      <c r="DF693" s="9">
        <v>53</v>
      </c>
      <c r="DG693" s="9">
        <f t="shared" si="10"/>
        <v>4.1673318064936415</v>
      </c>
      <c r="DH693" s="9">
        <v>10.6</v>
      </c>
      <c r="DI693" s="9">
        <v>6.15</v>
      </c>
      <c r="DJ693" s="9">
        <v>16.7</v>
      </c>
      <c r="DK693" s="10">
        <v>35.700000000000003</v>
      </c>
      <c r="DL693" s="9">
        <v>58.7</v>
      </c>
      <c r="DP693" s="11">
        <v>3</v>
      </c>
      <c r="DQ693" s="9">
        <v>2</v>
      </c>
      <c r="DR693" s="9">
        <v>2</v>
      </c>
      <c r="DT693" s="9">
        <v>11</v>
      </c>
    </row>
    <row r="694" spans="1:125" x14ac:dyDescent="0.2">
      <c r="A694" s="9">
        <v>607</v>
      </c>
      <c r="B694" s="8">
        <v>43279</v>
      </c>
      <c r="C694" s="9" t="s">
        <v>107</v>
      </c>
      <c r="D694" s="9">
        <v>31</v>
      </c>
      <c r="E694" s="9" t="s">
        <v>96</v>
      </c>
      <c r="F694" s="8">
        <v>31653</v>
      </c>
      <c r="G694" s="9" t="s">
        <v>314</v>
      </c>
      <c r="H694" s="9" t="s">
        <v>162</v>
      </c>
      <c r="I694" s="9" t="s">
        <v>162</v>
      </c>
      <c r="J694" s="9" t="s">
        <v>162</v>
      </c>
      <c r="K694" s="9" t="s">
        <v>162</v>
      </c>
      <c r="L694" s="9" t="s">
        <v>162</v>
      </c>
      <c r="M694" s="9" t="s">
        <v>263</v>
      </c>
      <c r="N694" s="9" t="s">
        <v>263</v>
      </c>
      <c r="O694" s="9" t="s">
        <v>263</v>
      </c>
      <c r="P694" s="9" t="s">
        <v>6207</v>
      </c>
      <c r="Q694" s="10" t="s">
        <v>369</v>
      </c>
      <c r="R694" s="9" t="s">
        <v>368</v>
      </c>
      <c r="S694" s="9" t="s">
        <v>162</v>
      </c>
      <c r="T694" s="9" t="s">
        <v>162</v>
      </c>
      <c r="U694" s="9" t="s">
        <v>162</v>
      </c>
      <c r="V694" s="9" t="s">
        <v>162</v>
      </c>
      <c r="W694" s="9" t="s">
        <v>162</v>
      </c>
      <c r="X694" s="9" t="s">
        <v>162</v>
      </c>
      <c r="Y694" s="9" t="s">
        <v>162</v>
      </c>
      <c r="Z694" s="9" t="s">
        <v>162</v>
      </c>
      <c r="AA694" s="52" t="s">
        <v>6208</v>
      </c>
      <c r="AB694" s="9" t="s">
        <v>96</v>
      </c>
      <c r="AC694" s="9" t="s">
        <v>96</v>
      </c>
      <c r="AD694" s="9" t="s">
        <v>96</v>
      </c>
      <c r="AE694" s="10" t="s">
        <v>6209</v>
      </c>
      <c r="AF694" s="9" t="s">
        <v>263</v>
      </c>
      <c r="AG694" s="9" t="s">
        <v>263</v>
      </c>
      <c r="AH694" s="9" t="s">
        <v>263</v>
      </c>
      <c r="AI694" s="10" t="s">
        <v>4123</v>
      </c>
      <c r="AJ694" s="9" t="s">
        <v>263</v>
      </c>
      <c r="AK694" s="9" t="s">
        <v>162</v>
      </c>
      <c r="AL694" s="9">
        <v>81.099999999999994</v>
      </c>
      <c r="AM694" s="9">
        <v>180</v>
      </c>
      <c r="AN694" s="30">
        <v>46.8</v>
      </c>
      <c r="AO694" s="9">
        <v>110</v>
      </c>
      <c r="AP694" s="9">
        <v>26.4</v>
      </c>
      <c r="AQ694" s="9">
        <v>8</v>
      </c>
      <c r="AR694" s="9">
        <v>35</v>
      </c>
      <c r="AS694" s="9">
        <v>47</v>
      </c>
      <c r="AT694" s="9">
        <v>25</v>
      </c>
      <c r="AU694" s="9">
        <v>116</v>
      </c>
      <c r="AV694" s="9">
        <v>77</v>
      </c>
      <c r="AX694" s="9" t="s">
        <v>162</v>
      </c>
      <c r="AY694" s="9" t="s">
        <v>162</v>
      </c>
      <c r="AZ694" s="9" t="s">
        <v>162</v>
      </c>
      <c r="BB694" s="9" t="s">
        <v>162</v>
      </c>
      <c r="BC694" s="9" t="s">
        <v>162</v>
      </c>
      <c r="BD694" s="9" t="s">
        <v>162</v>
      </c>
      <c r="BF694" s="9" t="s">
        <v>162</v>
      </c>
      <c r="BG694" s="9" t="s">
        <v>162</v>
      </c>
      <c r="BH694" s="9" t="s">
        <v>162</v>
      </c>
      <c r="BI694" s="9" t="s">
        <v>162</v>
      </c>
      <c r="BJ694" s="9" t="s">
        <v>162</v>
      </c>
      <c r="BK694" s="9" t="s">
        <v>162</v>
      </c>
      <c r="BN694" s="9" t="s">
        <v>162</v>
      </c>
      <c r="BO694" s="9" t="s">
        <v>162</v>
      </c>
      <c r="BP694" s="9" t="s">
        <v>162</v>
      </c>
      <c r="BR694" s="9" t="s">
        <v>162</v>
      </c>
      <c r="BS694" s="9" t="s">
        <v>162</v>
      </c>
      <c r="BT694" s="9" t="s">
        <v>162</v>
      </c>
      <c r="BV694" s="9" t="s">
        <v>162</v>
      </c>
      <c r="BW694" s="9" t="s">
        <v>162</v>
      </c>
      <c r="BX694" s="9" t="s">
        <v>162</v>
      </c>
      <c r="BZ694" s="9" t="s">
        <v>162</v>
      </c>
      <c r="CA694" s="9" t="s">
        <v>162</v>
      </c>
      <c r="CB694" s="9" t="s">
        <v>162</v>
      </c>
      <c r="CD694" s="9" t="s">
        <v>162</v>
      </c>
      <c r="CE694" s="9" t="s">
        <v>162</v>
      </c>
      <c r="CF694" s="9" t="s">
        <v>162</v>
      </c>
      <c r="CH694" s="9" t="s">
        <v>162</v>
      </c>
      <c r="CI694" s="9" t="s">
        <v>162</v>
      </c>
      <c r="CJ694" s="9" t="s">
        <v>162</v>
      </c>
      <c r="CL694" s="9" t="s">
        <v>162</v>
      </c>
      <c r="CM694" s="9" t="s">
        <v>162</v>
      </c>
      <c r="CN694" s="9" t="s">
        <v>162</v>
      </c>
      <c r="CP694" s="9" t="s">
        <v>162</v>
      </c>
      <c r="CQ694" s="9" t="s">
        <v>162</v>
      </c>
      <c r="CR694" s="9" t="s">
        <v>162</v>
      </c>
      <c r="CT694" s="9" t="s">
        <v>162</v>
      </c>
      <c r="CU694" s="9" t="s">
        <v>162</v>
      </c>
      <c r="CV694" s="9" t="s">
        <v>162</v>
      </c>
      <c r="CW694" s="9" t="s">
        <v>162</v>
      </c>
      <c r="CX694" s="9" t="s">
        <v>162</v>
      </c>
      <c r="CY694" s="9" t="s">
        <v>162</v>
      </c>
      <c r="CZ694" s="9" t="s">
        <v>162</v>
      </c>
      <c r="DA694" s="9" t="s">
        <v>162</v>
      </c>
      <c r="DB694" s="9" t="s">
        <v>162</v>
      </c>
      <c r="DC694" s="9">
        <v>80.900000000000006</v>
      </c>
      <c r="DD694" s="9">
        <v>0.74</v>
      </c>
      <c r="DE694" s="9">
        <v>188</v>
      </c>
      <c r="DF694" s="9">
        <v>90</v>
      </c>
      <c r="DG694" s="9">
        <f t="shared" si="10"/>
        <v>4.4465117471973556</v>
      </c>
      <c r="DH694" s="9">
        <v>18</v>
      </c>
      <c r="DI694" s="9">
        <v>6.3</v>
      </c>
      <c r="DJ694" s="9">
        <v>85</v>
      </c>
      <c r="DK694" s="10">
        <v>50.7</v>
      </c>
      <c r="DL694" s="10">
        <v>54.3</v>
      </c>
      <c r="DM694" s="9">
        <v>115.7</v>
      </c>
      <c r="DP694" s="11">
        <v>2</v>
      </c>
      <c r="DQ694" s="9">
        <v>2</v>
      </c>
      <c r="DR694" s="9">
        <v>2</v>
      </c>
    </row>
    <row r="695" spans="1:125" x14ac:dyDescent="0.2">
      <c r="A695" s="110">
        <v>608</v>
      </c>
      <c r="B695" s="166">
        <v>43279</v>
      </c>
      <c r="C695" s="9" t="s">
        <v>95</v>
      </c>
      <c r="D695" s="9">
        <v>29</v>
      </c>
      <c r="E695" s="9" t="s">
        <v>96</v>
      </c>
      <c r="F695" s="8">
        <v>32500</v>
      </c>
      <c r="G695" s="9" t="s">
        <v>314</v>
      </c>
      <c r="H695" s="9" t="s">
        <v>6210</v>
      </c>
      <c r="I695" s="9" t="s">
        <v>162</v>
      </c>
      <c r="J695" s="9" t="s">
        <v>162</v>
      </c>
      <c r="K695" s="9" t="s">
        <v>162</v>
      </c>
      <c r="L695" s="9">
        <v>0</v>
      </c>
      <c r="M695" s="9" t="s">
        <v>263</v>
      </c>
      <c r="N695" s="9" t="s">
        <v>263</v>
      </c>
      <c r="O695" s="9" t="s">
        <v>263</v>
      </c>
      <c r="P695" s="9" t="s">
        <v>263</v>
      </c>
      <c r="Q695" s="10" t="s">
        <v>369</v>
      </c>
      <c r="R695" s="9" t="s">
        <v>263</v>
      </c>
      <c r="S695" s="9" t="s">
        <v>263</v>
      </c>
      <c r="T695" s="9" t="s">
        <v>263</v>
      </c>
      <c r="U695" s="9" t="s">
        <v>263</v>
      </c>
      <c r="V695" s="9" t="s">
        <v>263</v>
      </c>
      <c r="W695" s="9" t="s">
        <v>263</v>
      </c>
      <c r="X695" s="9" t="s">
        <v>263</v>
      </c>
      <c r="Y695" s="9" t="s">
        <v>162</v>
      </c>
      <c r="Z695" s="9" t="s">
        <v>162</v>
      </c>
      <c r="AA695" s="49" t="s">
        <v>6211</v>
      </c>
      <c r="AB695" s="9" t="s">
        <v>96</v>
      </c>
      <c r="AC695" s="49" t="s">
        <v>6212</v>
      </c>
      <c r="AD695" s="9" t="s">
        <v>96</v>
      </c>
      <c r="AE695" s="10" t="s">
        <v>368</v>
      </c>
      <c r="AF695" s="9" t="s">
        <v>263</v>
      </c>
      <c r="AG695" s="9" t="s">
        <v>368</v>
      </c>
      <c r="AH695" s="9" t="s">
        <v>263</v>
      </c>
      <c r="AI695" s="9" t="s">
        <v>263</v>
      </c>
      <c r="AJ695" s="9" t="s">
        <v>263</v>
      </c>
      <c r="AK695" s="9" t="s">
        <v>263</v>
      </c>
      <c r="AL695" s="9">
        <v>60.2</v>
      </c>
      <c r="AM695" s="9">
        <v>157</v>
      </c>
      <c r="AN695" s="9">
        <v>83.6</v>
      </c>
      <c r="AO695" s="9">
        <v>100.3</v>
      </c>
      <c r="AP695" s="9">
        <v>41.6</v>
      </c>
      <c r="AQ695" s="9">
        <v>5</v>
      </c>
      <c r="AR695" s="9">
        <v>21.4</v>
      </c>
      <c r="AS695" s="9">
        <v>37</v>
      </c>
      <c r="AT695" s="7">
        <v>24.4</v>
      </c>
      <c r="AU695" s="9">
        <v>90</v>
      </c>
      <c r="AV695" s="9">
        <v>66</v>
      </c>
      <c r="AX695" s="9" t="s">
        <v>427</v>
      </c>
      <c r="AY695" s="9" t="s">
        <v>6213</v>
      </c>
      <c r="AZ695" s="9" t="s">
        <v>426</v>
      </c>
      <c r="BB695" s="9" t="s">
        <v>6214</v>
      </c>
      <c r="BF695" s="9" t="s">
        <v>6215</v>
      </c>
      <c r="BG695" s="9" t="s">
        <v>375</v>
      </c>
      <c r="BH695" s="9" t="s">
        <v>263</v>
      </c>
      <c r="BI695" s="9" t="s">
        <v>375</v>
      </c>
      <c r="BJ695" s="9" t="s">
        <v>322</v>
      </c>
      <c r="BK695" s="9" t="s">
        <v>6216</v>
      </c>
      <c r="BN695" s="9" t="s">
        <v>5188</v>
      </c>
      <c r="BO695" s="9" t="s">
        <v>6162</v>
      </c>
      <c r="BP695" s="9" t="s">
        <v>6217</v>
      </c>
      <c r="BR695" s="9" t="s">
        <v>162</v>
      </c>
      <c r="BS695" s="9" t="s">
        <v>162</v>
      </c>
      <c r="BT695" s="9" t="s">
        <v>162</v>
      </c>
      <c r="BV695" s="9" t="s">
        <v>1152</v>
      </c>
      <c r="BW695" s="9" t="s">
        <v>4564</v>
      </c>
      <c r="BZ695" s="9" t="s">
        <v>6218</v>
      </c>
      <c r="CA695" s="9" t="s">
        <v>503</v>
      </c>
      <c r="CB695" s="9" t="s">
        <v>381</v>
      </c>
      <c r="CD695" s="9" t="s">
        <v>4222</v>
      </c>
      <c r="CH695" s="9" t="s">
        <v>162</v>
      </c>
      <c r="CI695" s="9" t="s">
        <v>162</v>
      </c>
      <c r="CJ695" s="9" t="s">
        <v>162</v>
      </c>
      <c r="CL695" s="9" t="s">
        <v>3912</v>
      </c>
      <c r="CM695" s="9" t="s">
        <v>450</v>
      </c>
      <c r="CP695" s="9" t="s">
        <v>6219</v>
      </c>
      <c r="CQ695" s="9" t="s">
        <v>1706</v>
      </c>
      <c r="CT695" s="9" t="s">
        <v>6220</v>
      </c>
      <c r="CU695" s="9" t="s">
        <v>436</v>
      </c>
      <c r="CW695" s="9">
        <v>3</v>
      </c>
      <c r="CX695" s="9" t="s">
        <v>263</v>
      </c>
      <c r="CY695" s="9" t="s">
        <v>263</v>
      </c>
      <c r="CZ695" s="9">
        <v>30</v>
      </c>
      <c r="DA695" s="9">
        <v>30</v>
      </c>
      <c r="DB695" s="9">
        <v>40</v>
      </c>
      <c r="DC695" s="9">
        <v>63.9</v>
      </c>
      <c r="DD695" s="9">
        <v>0.56999999999999995</v>
      </c>
      <c r="DE695" s="9">
        <v>190</v>
      </c>
      <c r="DF695" s="9">
        <v>102</v>
      </c>
      <c r="DG695" s="9">
        <f t="shared" si="10"/>
        <v>4.3911460873338797</v>
      </c>
      <c r="DH695" s="9">
        <v>20.399999999999999</v>
      </c>
      <c r="DI695" s="9">
        <v>5.35</v>
      </c>
      <c r="DJ695" s="9">
        <v>26</v>
      </c>
      <c r="DK695" s="9">
        <v>32</v>
      </c>
      <c r="DL695" s="9">
        <v>40.6</v>
      </c>
      <c r="DQ695" s="9">
        <v>2</v>
      </c>
      <c r="DR695" s="9">
        <v>2</v>
      </c>
    </row>
    <row r="696" spans="1:125" x14ac:dyDescent="0.2">
      <c r="A696" s="7">
        <v>609</v>
      </c>
      <c r="B696" s="38">
        <v>43279</v>
      </c>
      <c r="C696" s="9" t="s">
        <v>95</v>
      </c>
      <c r="D696" s="9">
        <v>33</v>
      </c>
      <c r="E696" s="9" t="s">
        <v>96</v>
      </c>
      <c r="F696" s="8">
        <v>30867</v>
      </c>
      <c r="G696" s="9" t="s">
        <v>314</v>
      </c>
      <c r="H696" s="9" t="s">
        <v>162</v>
      </c>
      <c r="I696" s="9">
        <v>1994</v>
      </c>
      <c r="J696" s="9" t="s">
        <v>162</v>
      </c>
      <c r="K696" s="9" t="s">
        <v>162</v>
      </c>
      <c r="L696" s="9" t="s">
        <v>162</v>
      </c>
      <c r="M696" s="9" t="s">
        <v>263</v>
      </c>
      <c r="N696" s="9" t="s">
        <v>263</v>
      </c>
      <c r="O696" s="9" t="s">
        <v>263</v>
      </c>
      <c r="P696" s="9" t="s">
        <v>263</v>
      </c>
      <c r="Q696" s="9" t="s">
        <v>263</v>
      </c>
      <c r="R696" s="9" t="s">
        <v>368</v>
      </c>
      <c r="S696" s="10" t="s">
        <v>6221</v>
      </c>
      <c r="T696" s="9" t="s">
        <v>6222</v>
      </c>
      <c r="U696" s="9" t="s">
        <v>263</v>
      </c>
      <c r="V696" s="9" t="s">
        <v>263</v>
      </c>
      <c r="W696" s="9" t="s">
        <v>6223</v>
      </c>
      <c r="X696" s="9" t="s">
        <v>263</v>
      </c>
      <c r="Y696" s="9" t="s">
        <v>6224</v>
      </c>
      <c r="Z696" s="9" t="s">
        <v>6225</v>
      </c>
      <c r="AA696" s="9" t="s">
        <v>96</v>
      </c>
      <c r="AB696" s="9" t="s">
        <v>96</v>
      </c>
      <c r="AC696" s="9" t="s">
        <v>96</v>
      </c>
      <c r="AD696" s="9" t="s">
        <v>96</v>
      </c>
      <c r="AE696" s="10" t="s">
        <v>6226</v>
      </c>
      <c r="AF696" s="10" t="s">
        <v>6227</v>
      </c>
      <c r="AG696" s="10" t="s">
        <v>6228</v>
      </c>
      <c r="AH696" s="10" t="s">
        <v>6229</v>
      </c>
      <c r="AI696" s="10" t="s">
        <v>6230</v>
      </c>
      <c r="AJ696" s="9" t="s">
        <v>263</v>
      </c>
      <c r="AK696" s="9" t="s">
        <v>263</v>
      </c>
      <c r="AL696" s="9">
        <v>60.6</v>
      </c>
      <c r="AM696" s="9">
        <v>165</v>
      </c>
      <c r="AN696" s="9">
        <v>80.099999999999994</v>
      </c>
      <c r="AO696" s="9">
        <v>105.3</v>
      </c>
      <c r="AP696" s="9">
        <v>35.700000000000003</v>
      </c>
      <c r="AQ696" s="9">
        <v>5</v>
      </c>
      <c r="AR696" s="9">
        <v>25.3</v>
      </c>
      <c r="AS696" s="9">
        <v>31</v>
      </c>
      <c r="AT696" s="7">
        <v>22.3</v>
      </c>
      <c r="AU696" s="9">
        <v>108</v>
      </c>
      <c r="AV696" s="9">
        <v>81</v>
      </c>
      <c r="AX696" s="9" t="s">
        <v>162</v>
      </c>
      <c r="AY696" s="9" t="s">
        <v>162</v>
      </c>
      <c r="AZ696" s="9" t="s">
        <v>162</v>
      </c>
      <c r="BB696" s="9" t="s">
        <v>162</v>
      </c>
      <c r="BC696" s="9" t="s">
        <v>162</v>
      </c>
      <c r="BD696" s="9" t="s">
        <v>162</v>
      </c>
      <c r="BF696" s="9" t="s">
        <v>322</v>
      </c>
      <c r="BG696" s="9" t="s">
        <v>375</v>
      </c>
      <c r="BH696" s="9" t="s">
        <v>375</v>
      </c>
      <c r="BI696" s="9" t="s">
        <v>375</v>
      </c>
      <c r="BJ696" s="9" t="s">
        <v>162</v>
      </c>
      <c r="BK696" s="9" t="s">
        <v>162</v>
      </c>
      <c r="BN696" s="9" t="s">
        <v>162</v>
      </c>
      <c r="BO696" s="9" t="s">
        <v>162</v>
      </c>
      <c r="BP696" s="9" t="s">
        <v>162</v>
      </c>
      <c r="BR696" s="9" t="s">
        <v>162</v>
      </c>
      <c r="BS696" s="9" t="s">
        <v>162</v>
      </c>
      <c r="BT696" s="9" t="s">
        <v>162</v>
      </c>
      <c r="BV696" s="9" t="s">
        <v>162</v>
      </c>
      <c r="BW696" s="9" t="s">
        <v>162</v>
      </c>
      <c r="BX696" s="9" t="s">
        <v>162</v>
      </c>
      <c r="BZ696" s="9" t="s">
        <v>162</v>
      </c>
      <c r="CA696" s="9" t="s">
        <v>162</v>
      </c>
      <c r="CB696" s="9" t="s">
        <v>162</v>
      </c>
      <c r="CD696" s="9" t="s">
        <v>162</v>
      </c>
      <c r="CE696" s="9" t="s">
        <v>162</v>
      </c>
      <c r="CF696" s="9" t="s">
        <v>162</v>
      </c>
      <c r="CH696" s="9" t="s">
        <v>162</v>
      </c>
      <c r="CI696" s="9" t="s">
        <v>162</v>
      </c>
      <c r="CJ696" s="9" t="s">
        <v>162</v>
      </c>
      <c r="CL696" s="9" t="s">
        <v>162</v>
      </c>
      <c r="CM696" s="9" t="s">
        <v>162</v>
      </c>
      <c r="CN696" s="9" t="s">
        <v>162</v>
      </c>
      <c r="CP696" s="9" t="s">
        <v>162</v>
      </c>
      <c r="CQ696" s="9" t="s">
        <v>162</v>
      </c>
      <c r="CR696" s="9" t="s">
        <v>162</v>
      </c>
      <c r="CT696" s="9" t="s">
        <v>162</v>
      </c>
      <c r="CU696" s="9" t="s">
        <v>162</v>
      </c>
      <c r="CV696" s="9" t="s">
        <v>162</v>
      </c>
      <c r="CW696" s="9">
        <v>3</v>
      </c>
      <c r="CX696" s="9" t="s">
        <v>588</v>
      </c>
      <c r="CY696" s="9" t="s">
        <v>368</v>
      </c>
      <c r="CZ696" s="9" t="s">
        <v>162</v>
      </c>
      <c r="DA696" s="9" t="s">
        <v>162</v>
      </c>
      <c r="DB696" s="9" t="s">
        <v>162</v>
      </c>
      <c r="DC696" s="9">
        <v>71.5</v>
      </c>
      <c r="DD696" s="9">
        <v>0.51</v>
      </c>
      <c r="DE696" s="9">
        <v>184</v>
      </c>
      <c r="DF696" s="9">
        <v>69</v>
      </c>
      <c r="DG696" s="9">
        <f t="shared" si="10"/>
        <v>4.2519019771486111</v>
      </c>
      <c r="DH696" s="9">
        <v>13.8</v>
      </c>
      <c r="DI696" s="9">
        <v>3</v>
      </c>
      <c r="DJ696" s="9">
        <v>18</v>
      </c>
      <c r="DK696" s="9">
        <v>20.7</v>
      </c>
      <c r="DL696" s="9">
        <v>56.4</v>
      </c>
      <c r="DM696" s="9">
        <v>113.8</v>
      </c>
      <c r="DQ696" s="9">
        <v>2</v>
      </c>
      <c r="DU696" s="9">
        <v>5.5</v>
      </c>
    </row>
    <row r="697" spans="1:125" x14ac:dyDescent="0.2">
      <c r="A697" s="14">
        <v>610</v>
      </c>
      <c r="B697" s="17">
        <v>43279</v>
      </c>
      <c r="C697" s="9" t="s">
        <v>675</v>
      </c>
      <c r="D697" s="9">
        <v>57</v>
      </c>
      <c r="E697" s="9" t="s">
        <v>96</v>
      </c>
      <c r="G697" s="9" t="s">
        <v>314</v>
      </c>
      <c r="H697" s="9" t="s">
        <v>6231</v>
      </c>
      <c r="M697" s="10" t="s">
        <v>368</v>
      </c>
      <c r="N697" s="9" t="s">
        <v>263</v>
      </c>
      <c r="O697" s="9" t="s">
        <v>263</v>
      </c>
      <c r="P697" s="9" t="s">
        <v>99</v>
      </c>
      <c r="Q697" s="9" t="s">
        <v>99</v>
      </c>
      <c r="R697" s="9" t="s">
        <v>110</v>
      </c>
      <c r="S697" s="9" t="s">
        <v>6232</v>
      </c>
      <c r="T697" s="9" t="s">
        <v>6233</v>
      </c>
      <c r="U697" s="9" t="s">
        <v>99</v>
      </c>
      <c r="X697" s="9" t="s">
        <v>99</v>
      </c>
      <c r="Z697" s="9" t="s">
        <v>6234</v>
      </c>
      <c r="AA697" s="9" t="s">
        <v>96</v>
      </c>
      <c r="AB697" s="9" t="s">
        <v>96</v>
      </c>
      <c r="AC697" s="9" t="s">
        <v>96</v>
      </c>
      <c r="AD697" s="9" t="s">
        <v>96</v>
      </c>
      <c r="AE697" s="9" t="s">
        <v>263</v>
      </c>
      <c r="AF697" s="9" t="s">
        <v>263</v>
      </c>
      <c r="AG697" s="9" t="s">
        <v>99</v>
      </c>
      <c r="AH697" s="9" t="s">
        <v>6235</v>
      </c>
      <c r="AI697" s="9" t="s">
        <v>99</v>
      </c>
      <c r="AJ697" s="9" t="s">
        <v>99</v>
      </c>
      <c r="AK697" s="9" t="s">
        <v>99</v>
      </c>
      <c r="AL697" s="9">
        <v>99.3</v>
      </c>
      <c r="AM697" s="9">
        <v>185</v>
      </c>
      <c r="AN697" s="9">
        <v>109.5</v>
      </c>
      <c r="AO697" s="9">
        <v>106.5</v>
      </c>
      <c r="AP697" s="9">
        <v>30.3</v>
      </c>
      <c r="AQ697" s="9">
        <v>14</v>
      </c>
      <c r="AR697" s="9">
        <v>30.7</v>
      </c>
      <c r="AS697" s="9">
        <v>75</v>
      </c>
      <c r="AT697" s="9">
        <v>29</v>
      </c>
      <c r="AU697" s="10">
        <v>143</v>
      </c>
      <c r="AV697" s="10">
        <v>85</v>
      </c>
      <c r="AX697" s="9" t="s">
        <v>6236</v>
      </c>
      <c r="AY697" s="9" t="s">
        <v>6237</v>
      </c>
      <c r="AZ697" s="9" t="s">
        <v>6238</v>
      </c>
      <c r="BB697" s="9" t="s">
        <v>6239</v>
      </c>
      <c r="BF697" s="9" t="s">
        <v>496</v>
      </c>
      <c r="BG697" s="9" t="s">
        <v>494</v>
      </c>
      <c r="BH697" s="9" t="s">
        <v>263</v>
      </c>
      <c r="BI697" s="9" t="s">
        <v>496</v>
      </c>
      <c r="BJ697" s="9" t="s">
        <v>322</v>
      </c>
      <c r="BK697" s="9" t="s">
        <v>494</v>
      </c>
      <c r="BL697" s="9" t="s">
        <v>322</v>
      </c>
      <c r="BQ697" s="9" t="s">
        <v>500</v>
      </c>
      <c r="BU697" s="9" t="s">
        <v>500</v>
      </c>
      <c r="BZ697" s="9" t="s">
        <v>557</v>
      </c>
      <c r="CX697" s="9" t="s">
        <v>99</v>
      </c>
      <c r="CY697" s="9" t="s">
        <v>110</v>
      </c>
      <c r="DC697" s="14">
        <v>238.8</v>
      </c>
      <c r="DD697" s="9">
        <v>0.55000000000000004</v>
      </c>
      <c r="DE697" s="10">
        <v>213</v>
      </c>
      <c r="DF697" s="14">
        <v>370</v>
      </c>
      <c r="DG697" s="9">
        <f t="shared" si="10"/>
        <v>5.6945646935783589</v>
      </c>
      <c r="DH697" s="9">
        <v>74</v>
      </c>
      <c r="DI697" s="9">
        <v>4.78</v>
      </c>
      <c r="DJ697" s="10">
        <v>42</v>
      </c>
      <c r="DK697" s="10">
        <v>35</v>
      </c>
      <c r="DL697" s="10">
        <v>39</v>
      </c>
      <c r="DM697" s="9">
        <v>100</v>
      </c>
      <c r="DQ697" s="9">
        <v>2</v>
      </c>
      <c r="DR697" s="9">
        <v>2</v>
      </c>
      <c r="DT697" s="9">
        <v>13</v>
      </c>
      <c r="DU697" s="9">
        <v>2</v>
      </c>
    </row>
    <row r="698" spans="1:125" x14ac:dyDescent="0.2">
      <c r="A698" s="10">
        <v>611</v>
      </c>
      <c r="B698" s="8">
        <v>43279</v>
      </c>
      <c r="C698" s="9" t="s">
        <v>95</v>
      </c>
      <c r="D698" s="9">
        <v>40</v>
      </c>
      <c r="E698" s="9" t="s">
        <v>96</v>
      </c>
      <c r="F698" s="8">
        <v>28474</v>
      </c>
      <c r="G698" s="9" t="s">
        <v>314</v>
      </c>
      <c r="H698" s="9" t="s">
        <v>2086</v>
      </c>
      <c r="I698" s="9" t="s">
        <v>162</v>
      </c>
      <c r="J698" s="9" t="s">
        <v>162</v>
      </c>
      <c r="K698" s="9">
        <v>2009</v>
      </c>
      <c r="L698" s="9">
        <v>6</v>
      </c>
      <c r="M698" s="9" t="s">
        <v>263</v>
      </c>
      <c r="N698" s="9" t="s">
        <v>263</v>
      </c>
      <c r="O698" s="9" t="s">
        <v>263</v>
      </c>
      <c r="P698" s="10" t="s">
        <v>322</v>
      </c>
      <c r="Q698" s="9" t="s">
        <v>162</v>
      </c>
      <c r="R698" s="9" t="s">
        <v>263</v>
      </c>
      <c r="S698" s="9" t="s">
        <v>263</v>
      </c>
      <c r="T698" s="9" t="s">
        <v>263</v>
      </c>
      <c r="U698" s="9" t="s">
        <v>263</v>
      </c>
      <c r="V698" s="42">
        <v>40391</v>
      </c>
      <c r="W698" s="9" t="s">
        <v>162</v>
      </c>
      <c r="X698" s="9" t="s">
        <v>162</v>
      </c>
      <c r="Y698" s="9" t="s">
        <v>162</v>
      </c>
      <c r="Z698" s="9" t="s">
        <v>162</v>
      </c>
      <c r="AA698" s="9" t="s">
        <v>162</v>
      </c>
      <c r="AB698" s="9" t="s">
        <v>162</v>
      </c>
      <c r="AC698" s="9" t="s">
        <v>162</v>
      </c>
      <c r="AD698" s="9" t="s">
        <v>162</v>
      </c>
      <c r="AE698" s="9" t="s">
        <v>162</v>
      </c>
      <c r="AF698" s="9" t="s">
        <v>162</v>
      </c>
      <c r="AG698" s="9" t="s">
        <v>162</v>
      </c>
      <c r="AH698" s="9" t="s">
        <v>162</v>
      </c>
      <c r="AI698" s="9" t="s">
        <v>162</v>
      </c>
      <c r="AJ698" s="9" t="s">
        <v>162</v>
      </c>
      <c r="AK698" s="9" t="s">
        <v>162</v>
      </c>
      <c r="AL698" s="9">
        <v>45.5</v>
      </c>
      <c r="AM698" s="9">
        <v>150</v>
      </c>
      <c r="AN698" s="9">
        <v>75</v>
      </c>
      <c r="AO698" s="9">
        <v>90</v>
      </c>
      <c r="AP698" s="9">
        <v>28.6</v>
      </c>
      <c r="AQ698" s="9">
        <v>4</v>
      </c>
      <c r="AR698" s="9">
        <v>27.5</v>
      </c>
      <c r="AS698" s="9">
        <v>33</v>
      </c>
      <c r="AT698" s="7">
        <v>20.2</v>
      </c>
      <c r="AU698" s="10">
        <v>129</v>
      </c>
      <c r="AV698" s="10">
        <v>93</v>
      </c>
      <c r="AX698" s="9" t="s">
        <v>162</v>
      </c>
      <c r="AY698" s="9" t="s">
        <v>162</v>
      </c>
      <c r="AZ698" s="9" t="s">
        <v>162</v>
      </c>
      <c r="BB698" s="9" t="s">
        <v>162</v>
      </c>
      <c r="BC698" s="9" t="s">
        <v>162</v>
      </c>
      <c r="BD698" s="9" t="s">
        <v>162</v>
      </c>
      <c r="BF698" s="9" t="s">
        <v>162</v>
      </c>
      <c r="BG698" s="9" t="s">
        <v>162</v>
      </c>
      <c r="BH698" s="9" t="s">
        <v>162</v>
      </c>
      <c r="BI698" s="9" t="s">
        <v>162</v>
      </c>
      <c r="BJ698" s="9" t="s">
        <v>162</v>
      </c>
      <c r="BK698" s="9" t="s">
        <v>162</v>
      </c>
      <c r="BN698" s="9" t="s">
        <v>162</v>
      </c>
      <c r="BO698" s="9" t="s">
        <v>162</v>
      </c>
      <c r="BP698" s="9" t="s">
        <v>162</v>
      </c>
      <c r="BR698" s="9" t="s">
        <v>162</v>
      </c>
      <c r="BS698" s="9" t="s">
        <v>162</v>
      </c>
      <c r="BT698" s="9" t="s">
        <v>162</v>
      </c>
      <c r="BV698" s="9" t="s">
        <v>162</v>
      </c>
      <c r="BW698" s="9" t="s">
        <v>162</v>
      </c>
      <c r="BX698" s="9" t="s">
        <v>162</v>
      </c>
      <c r="BZ698" s="9" t="s">
        <v>162</v>
      </c>
      <c r="CA698" s="9" t="s">
        <v>162</v>
      </c>
      <c r="CB698" s="9" t="s">
        <v>162</v>
      </c>
      <c r="CD698" s="9" t="s">
        <v>162</v>
      </c>
      <c r="CE698" s="9" t="s">
        <v>162</v>
      </c>
      <c r="CF698" s="9" t="s">
        <v>162</v>
      </c>
      <c r="CH698" s="9" t="s">
        <v>162</v>
      </c>
      <c r="CI698" s="9" t="s">
        <v>162</v>
      </c>
      <c r="CJ698" s="9" t="s">
        <v>162</v>
      </c>
      <c r="CL698" s="9" t="s">
        <v>162</v>
      </c>
      <c r="CM698" s="9" t="s">
        <v>162</v>
      </c>
      <c r="CN698" s="9" t="s">
        <v>162</v>
      </c>
      <c r="CP698" s="9" t="s">
        <v>162</v>
      </c>
      <c r="CQ698" s="9" t="s">
        <v>162</v>
      </c>
      <c r="CR698" s="9" t="s">
        <v>162</v>
      </c>
      <c r="CT698" s="9" t="s">
        <v>162</v>
      </c>
      <c r="CU698" s="9" t="s">
        <v>162</v>
      </c>
      <c r="CV698" s="9" t="s">
        <v>162</v>
      </c>
      <c r="CW698" s="9" t="s">
        <v>162</v>
      </c>
      <c r="CX698" s="9" t="s">
        <v>162</v>
      </c>
      <c r="CY698" s="9" t="s">
        <v>162</v>
      </c>
      <c r="CZ698" s="9" t="s">
        <v>162</v>
      </c>
      <c r="DA698" s="9" t="s">
        <v>162</v>
      </c>
      <c r="DB698" s="9" t="s">
        <v>162</v>
      </c>
      <c r="DE698" s="9">
        <v>219</v>
      </c>
      <c r="DG698" s="9" t="e">
        <f t="shared" si="10"/>
        <v>#NUM!</v>
      </c>
      <c r="DI698" s="9">
        <v>3.31</v>
      </c>
      <c r="DJ698" s="9">
        <v>19.3</v>
      </c>
      <c r="DK698" s="9">
        <v>42</v>
      </c>
      <c r="DL698" s="9">
        <v>49.5</v>
      </c>
      <c r="DP698" s="11">
        <v>2</v>
      </c>
      <c r="DQ698" s="9">
        <v>2</v>
      </c>
      <c r="DR698" s="9">
        <v>2</v>
      </c>
      <c r="DU698" s="9">
        <v>9</v>
      </c>
    </row>
    <row r="699" spans="1:125" x14ac:dyDescent="0.2">
      <c r="A699" s="110">
        <v>612</v>
      </c>
      <c r="B699" s="17">
        <v>43279</v>
      </c>
      <c r="C699" s="9" t="s">
        <v>107</v>
      </c>
      <c r="D699" s="9">
        <v>37</v>
      </c>
      <c r="G699" s="9" t="s">
        <v>314</v>
      </c>
      <c r="H699" s="9" t="s">
        <v>6240</v>
      </c>
      <c r="M699" s="9" t="s">
        <v>263</v>
      </c>
      <c r="N699" s="9" t="s">
        <v>99</v>
      </c>
      <c r="O699" s="9" t="s">
        <v>263</v>
      </c>
      <c r="P699" s="10" t="s">
        <v>588</v>
      </c>
      <c r="Q699" s="10" t="s">
        <v>110</v>
      </c>
      <c r="R699" s="9" t="s">
        <v>99</v>
      </c>
      <c r="S699" s="9" t="s">
        <v>99</v>
      </c>
      <c r="T699" s="9" t="s">
        <v>99</v>
      </c>
      <c r="U699" s="9" t="s">
        <v>99</v>
      </c>
      <c r="W699" s="9" t="s">
        <v>99</v>
      </c>
      <c r="X699" s="9" t="s">
        <v>99</v>
      </c>
      <c r="AA699" s="9" t="s">
        <v>96</v>
      </c>
      <c r="AB699" s="14" t="s">
        <v>441</v>
      </c>
      <c r="AC699" s="9" t="s">
        <v>96</v>
      </c>
      <c r="AD699" s="14" t="s">
        <v>440</v>
      </c>
      <c r="AE699" s="10" t="s">
        <v>6241</v>
      </c>
      <c r="AF699" s="9" t="s">
        <v>263</v>
      </c>
      <c r="AG699" s="10" t="s">
        <v>6242</v>
      </c>
      <c r="AH699" s="10" t="s">
        <v>6243</v>
      </c>
      <c r="AI699" s="9" t="s">
        <v>99</v>
      </c>
      <c r="AJ699" s="9" t="s">
        <v>99</v>
      </c>
      <c r="AK699" s="10" t="s">
        <v>6244</v>
      </c>
      <c r="AL699" s="9">
        <v>67.7</v>
      </c>
      <c r="AM699" s="9">
        <v>169</v>
      </c>
      <c r="AN699" s="9">
        <v>85.5</v>
      </c>
      <c r="AO699" s="9">
        <v>101</v>
      </c>
      <c r="AP699" s="9">
        <v>24.4</v>
      </c>
      <c r="AQ699" s="9">
        <v>8</v>
      </c>
      <c r="AR699" s="9">
        <v>35.6</v>
      </c>
      <c r="AS699" s="9">
        <v>37</v>
      </c>
      <c r="AT699" s="7">
        <v>23.7</v>
      </c>
      <c r="AU699" s="9">
        <v>116</v>
      </c>
      <c r="AV699" s="9">
        <v>76</v>
      </c>
      <c r="DC699" s="9">
        <v>94.7</v>
      </c>
      <c r="DD699" s="9">
        <v>1.3</v>
      </c>
      <c r="DE699" s="10">
        <v>228</v>
      </c>
      <c r="DF699" s="10">
        <v>162</v>
      </c>
      <c r="DG699" s="9">
        <f t="shared" si="10"/>
        <v>4.819155167712208</v>
      </c>
      <c r="DH699" s="9">
        <v>32.4</v>
      </c>
      <c r="DI699" s="10">
        <v>7.1</v>
      </c>
      <c r="DL699" s="9">
        <v>73.400000000000006</v>
      </c>
      <c r="DM699" s="9">
        <v>122.2</v>
      </c>
      <c r="DP699" s="11">
        <v>3</v>
      </c>
      <c r="DQ699" s="9">
        <v>2</v>
      </c>
      <c r="DR699" s="30">
        <v>1</v>
      </c>
      <c r="DU699" s="9">
        <v>5</v>
      </c>
    </row>
    <row r="700" spans="1:125" x14ac:dyDescent="0.2">
      <c r="A700" s="9">
        <v>613</v>
      </c>
      <c r="B700" s="8">
        <v>43279</v>
      </c>
      <c r="C700" s="9" t="s">
        <v>95</v>
      </c>
      <c r="D700" s="9">
        <v>51</v>
      </c>
      <c r="E700" s="9" t="s">
        <v>96</v>
      </c>
      <c r="F700" s="8">
        <v>24567</v>
      </c>
      <c r="G700" s="9" t="s">
        <v>162</v>
      </c>
      <c r="H700" s="9" t="s">
        <v>6245</v>
      </c>
      <c r="I700" s="9" t="s">
        <v>162</v>
      </c>
      <c r="J700" s="10">
        <v>2014</v>
      </c>
      <c r="K700" s="9" t="s">
        <v>162</v>
      </c>
      <c r="L700" s="9" t="s">
        <v>162</v>
      </c>
      <c r="M700" s="9" t="s">
        <v>263</v>
      </c>
      <c r="N700" s="9" t="s">
        <v>263</v>
      </c>
      <c r="O700" s="9" t="s">
        <v>263</v>
      </c>
      <c r="P700" s="9" t="s">
        <v>263</v>
      </c>
      <c r="Q700" s="9" t="s">
        <v>263</v>
      </c>
      <c r="R700" s="9" t="s">
        <v>263</v>
      </c>
      <c r="S700" s="9" t="s">
        <v>263</v>
      </c>
      <c r="T700" s="9" t="s">
        <v>263</v>
      </c>
      <c r="U700" s="9" t="s">
        <v>263</v>
      </c>
      <c r="V700" s="9" t="s">
        <v>162</v>
      </c>
      <c r="W700" s="9" t="s">
        <v>162</v>
      </c>
      <c r="X700" s="9" t="s">
        <v>162</v>
      </c>
      <c r="Y700" s="9" t="s">
        <v>162</v>
      </c>
      <c r="Z700" s="9" t="s">
        <v>545</v>
      </c>
      <c r="AA700" s="9" t="s">
        <v>96</v>
      </c>
      <c r="AB700" s="9" t="s">
        <v>96</v>
      </c>
      <c r="AC700" s="9" t="s">
        <v>96</v>
      </c>
      <c r="AD700" s="9" t="s">
        <v>96</v>
      </c>
      <c r="AE700" s="10" t="s">
        <v>6246</v>
      </c>
      <c r="AF700" s="9" t="s">
        <v>263</v>
      </c>
      <c r="AG700" s="10" t="s">
        <v>6247</v>
      </c>
      <c r="AH700" s="9" t="s">
        <v>6248</v>
      </c>
      <c r="AI700" s="9" t="s">
        <v>162</v>
      </c>
      <c r="AJ700" s="9" t="s">
        <v>162</v>
      </c>
      <c r="AK700" s="9" t="s">
        <v>162</v>
      </c>
      <c r="AL700" s="9">
        <v>52.7</v>
      </c>
      <c r="AM700" s="9">
        <v>161</v>
      </c>
      <c r="AN700" s="9">
        <v>71.400000000000006</v>
      </c>
      <c r="AO700" s="9">
        <v>99.8</v>
      </c>
      <c r="AP700" s="9">
        <v>27.5</v>
      </c>
      <c r="AQ700" s="9">
        <v>1.9</v>
      </c>
      <c r="AR700" s="9">
        <v>36.200000000000003</v>
      </c>
      <c r="AS700" s="9">
        <v>26</v>
      </c>
      <c r="AT700" s="9">
        <f>-AU19854</f>
        <v>0</v>
      </c>
      <c r="AU700" s="9">
        <v>101</v>
      </c>
      <c r="AV700" s="9">
        <v>86</v>
      </c>
      <c r="AX700" s="9" t="s">
        <v>162</v>
      </c>
      <c r="AY700" s="9" t="s">
        <v>162</v>
      </c>
      <c r="AZ700" s="9" t="s">
        <v>162</v>
      </c>
      <c r="BB700" s="9" t="s">
        <v>162</v>
      </c>
      <c r="BC700" s="9" t="s">
        <v>162</v>
      </c>
      <c r="BD700" s="9" t="s">
        <v>162</v>
      </c>
      <c r="BF700" s="9" t="s">
        <v>375</v>
      </c>
      <c r="BG700" s="9" t="s">
        <v>375</v>
      </c>
      <c r="BH700" s="9" t="s">
        <v>263</v>
      </c>
      <c r="BI700" s="9" t="s">
        <v>375</v>
      </c>
      <c r="BJ700" s="9" t="s">
        <v>162</v>
      </c>
      <c r="BK700" s="9" t="s">
        <v>162</v>
      </c>
      <c r="BM700" s="9" t="s">
        <v>375</v>
      </c>
      <c r="BN700" s="9" t="s">
        <v>162</v>
      </c>
      <c r="BO700" s="9" t="s">
        <v>162</v>
      </c>
      <c r="BP700" s="9" t="s">
        <v>162</v>
      </c>
      <c r="BR700" s="9" t="s">
        <v>162</v>
      </c>
      <c r="BS700" s="9" t="s">
        <v>162</v>
      </c>
      <c r="BT700" s="9" t="s">
        <v>162</v>
      </c>
      <c r="BV700" s="9" t="s">
        <v>162</v>
      </c>
      <c r="BW700" s="9" t="s">
        <v>162</v>
      </c>
      <c r="BX700" s="9" t="s">
        <v>162</v>
      </c>
      <c r="BY700" s="9" t="s">
        <v>6249</v>
      </c>
      <c r="BZ700" s="9" t="s">
        <v>162</v>
      </c>
      <c r="CA700" s="9" t="s">
        <v>162</v>
      </c>
      <c r="CB700" s="9" t="s">
        <v>162</v>
      </c>
      <c r="CD700" s="9" t="s">
        <v>162</v>
      </c>
      <c r="CE700" s="9" t="s">
        <v>162</v>
      </c>
      <c r="CF700" s="9" t="s">
        <v>162</v>
      </c>
      <c r="CH700" s="9" t="s">
        <v>162</v>
      </c>
      <c r="CI700" s="9" t="s">
        <v>162</v>
      </c>
      <c r="CJ700" s="9" t="s">
        <v>162</v>
      </c>
      <c r="CL700" s="9" t="s">
        <v>333</v>
      </c>
      <c r="CM700" s="9" t="s">
        <v>6250</v>
      </c>
      <c r="CP700" s="9" t="s">
        <v>162</v>
      </c>
      <c r="CQ700" s="9" t="s">
        <v>162</v>
      </c>
      <c r="CR700" s="9" t="s">
        <v>162</v>
      </c>
      <c r="CS700" s="9" t="s">
        <v>375</v>
      </c>
      <c r="CT700" s="9" t="s">
        <v>162</v>
      </c>
      <c r="CU700" s="9" t="s">
        <v>162</v>
      </c>
      <c r="CV700" s="9" t="s">
        <v>162</v>
      </c>
      <c r="CW700" s="9">
        <v>3</v>
      </c>
      <c r="CX700" s="9" t="s">
        <v>263</v>
      </c>
      <c r="CY700" s="9" t="s">
        <v>368</v>
      </c>
      <c r="CZ700" s="9">
        <v>35</v>
      </c>
      <c r="DA700" s="9">
        <v>45</v>
      </c>
      <c r="DB700" s="9">
        <v>20</v>
      </c>
      <c r="DC700" s="9">
        <v>79.5</v>
      </c>
      <c r="DD700" s="9">
        <v>0.55000000000000004</v>
      </c>
      <c r="DE700" s="10">
        <v>218</v>
      </c>
      <c r="DF700" s="10">
        <v>169</v>
      </c>
      <c r="DG700" s="9">
        <f t="shared" si="10"/>
        <v>4.7528278682916802</v>
      </c>
      <c r="DH700" s="9">
        <v>33.799999999999997</v>
      </c>
      <c r="DI700" s="9">
        <v>4.0999999999999996</v>
      </c>
      <c r="DJ700" s="9">
        <v>12.7</v>
      </c>
      <c r="DK700" s="9">
        <v>30.3</v>
      </c>
      <c r="DL700" s="9">
        <v>52</v>
      </c>
      <c r="DM700" s="9">
        <v>132.19999999999999</v>
      </c>
      <c r="DP700" s="11">
        <v>2</v>
      </c>
      <c r="DQ700" s="9">
        <v>2</v>
      </c>
      <c r="DR700" s="30">
        <v>1</v>
      </c>
      <c r="DT700" s="9">
        <v>15</v>
      </c>
      <c r="DU700" s="9">
        <v>4.8</v>
      </c>
    </row>
    <row r="701" spans="1:125" x14ac:dyDescent="0.2">
      <c r="A701" s="110">
        <v>614</v>
      </c>
      <c r="B701" s="17">
        <v>43279</v>
      </c>
      <c r="C701" s="9" t="s">
        <v>675</v>
      </c>
      <c r="D701" s="9">
        <v>31</v>
      </c>
      <c r="E701" s="9" t="s">
        <v>96</v>
      </c>
      <c r="F701" s="17">
        <v>31782</v>
      </c>
      <c r="G701" s="9" t="s">
        <v>314</v>
      </c>
      <c r="H701" s="9" t="s">
        <v>6251</v>
      </c>
      <c r="M701" s="9" t="s">
        <v>500</v>
      </c>
      <c r="N701" s="9" t="s">
        <v>500</v>
      </c>
      <c r="O701" s="9" t="s">
        <v>500</v>
      </c>
      <c r="P701" s="9" t="s">
        <v>500</v>
      </c>
      <c r="Q701" s="9" t="s">
        <v>500</v>
      </c>
      <c r="R701" s="9" t="s">
        <v>500</v>
      </c>
      <c r="S701" s="9" t="s">
        <v>500</v>
      </c>
      <c r="T701" s="9" t="s">
        <v>500</v>
      </c>
      <c r="X701" s="9" t="s">
        <v>500</v>
      </c>
      <c r="AA701" s="9" t="s">
        <v>96</v>
      </c>
      <c r="AB701" s="35" t="s">
        <v>6252</v>
      </c>
      <c r="AC701" s="9" t="s">
        <v>96</v>
      </c>
      <c r="AD701" s="9" t="s">
        <v>1419</v>
      </c>
      <c r="AE701" s="10" t="s">
        <v>6241</v>
      </c>
      <c r="AF701" s="10" t="s">
        <v>6253</v>
      </c>
      <c r="AG701" s="9" t="s">
        <v>99</v>
      </c>
      <c r="AH701" s="10" t="s">
        <v>6254</v>
      </c>
      <c r="AI701" s="9" t="s">
        <v>99</v>
      </c>
      <c r="AJ701" s="9" t="s">
        <v>99</v>
      </c>
      <c r="AK701" s="9" t="s">
        <v>99</v>
      </c>
      <c r="AL701" s="9">
        <v>111.6</v>
      </c>
      <c r="AM701" s="9">
        <v>175</v>
      </c>
      <c r="AN701" s="9">
        <v>120</v>
      </c>
      <c r="AO701" s="9">
        <v>123</v>
      </c>
      <c r="AP701" s="9">
        <v>39.299999999999997</v>
      </c>
      <c r="AQ701" s="9">
        <v>18</v>
      </c>
      <c r="AR701" s="9">
        <v>28.5</v>
      </c>
      <c r="AS701" s="9">
        <v>73</v>
      </c>
      <c r="AT701" s="9">
        <v>36.4</v>
      </c>
      <c r="AU701" s="9">
        <v>121</v>
      </c>
      <c r="AV701" s="9">
        <v>85</v>
      </c>
      <c r="DC701" s="9">
        <v>98.2</v>
      </c>
      <c r="DD701" s="9">
        <v>0.83</v>
      </c>
      <c r="DE701" s="9">
        <v>115</v>
      </c>
      <c r="DF701" s="9">
        <v>119</v>
      </c>
      <c r="DG701" s="9">
        <f t="shared" si="10"/>
        <v>4.6830648542359752</v>
      </c>
      <c r="DH701" s="9">
        <v>23.8</v>
      </c>
      <c r="DI701" s="9">
        <v>6.05</v>
      </c>
      <c r="DP701" s="11">
        <v>3</v>
      </c>
      <c r="DQ701" s="9">
        <v>2</v>
      </c>
      <c r="DR701" s="30">
        <v>1</v>
      </c>
    </row>
    <row r="702" spans="1:125" x14ac:dyDescent="0.2">
      <c r="A702" s="9">
        <v>615</v>
      </c>
      <c r="B702" s="166">
        <v>43279</v>
      </c>
      <c r="C702" s="9" t="s">
        <v>95</v>
      </c>
      <c r="D702" s="9">
        <v>22</v>
      </c>
      <c r="E702" s="9" t="s">
        <v>96</v>
      </c>
      <c r="F702" s="8">
        <v>35089</v>
      </c>
      <c r="G702" s="9" t="s">
        <v>97</v>
      </c>
      <c r="H702" s="9" t="s">
        <v>6255</v>
      </c>
      <c r="I702" s="9" t="s">
        <v>162</v>
      </c>
      <c r="J702" s="9" t="s">
        <v>162</v>
      </c>
      <c r="K702" s="9" t="s">
        <v>162</v>
      </c>
      <c r="L702" s="9" t="s">
        <v>162</v>
      </c>
      <c r="M702" s="9" t="s">
        <v>263</v>
      </c>
      <c r="N702" s="9" t="s">
        <v>263</v>
      </c>
      <c r="O702" s="9" t="s">
        <v>263</v>
      </c>
      <c r="P702" s="9" t="s">
        <v>263</v>
      </c>
      <c r="Q702" s="10" t="s">
        <v>369</v>
      </c>
      <c r="R702" s="9" t="s">
        <v>263</v>
      </c>
      <c r="S702" s="9" t="s">
        <v>263</v>
      </c>
      <c r="T702" s="9" t="s">
        <v>263</v>
      </c>
      <c r="U702" s="9" t="s">
        <v>162</v>
      </c>
      <c r="V702" s="9" t="s">
        <v>162</v>
      </c>
      <c r="W702" s="9" t="s">
        <v>162</v>
      </c>
      <c r="X702" s="10" t="s">
        <v>5689</v>
      </c>
      <c r="Y702" s="9" t="s">
        <v>162</v>
      </c>
      <c r="Z702" s="9" t="s">
        <v>162</v>
      </c>
      <c r="AA702" s="52" t="s">
        <v>1697</v>
      </c>
      <c r="AB702" s="9" t="s">
        <v>96</v>
      </c>
      <c r="AC702" s="52" t="s">
        <v>1697</v>
      </c>
      <c r="AD702" s="9" t="s">
        <v>96</v>
      </c>
      <c r="AE702" s="10" t="s">
        <v>6256</v>
      </c>
      <c r="AF702" s="9" t="s">
        <v>263</v>
      </c>
      <c r="AG702" s="10" t="s">
        <v>3571</v>
      </c>
      <c r="AH702" s="9" t="s">
        <v>263</v>
      </c>
      <c r="AI702" s="9" t="s">
        <v>263</v>
      </c>
      <c r="AJ702" s="9" t="s">
        <v>263</v>
      </c>
      <c r="AK702" s="9" t="s">
        <v>263</v>
      </c>
      <c r="AL702" s="9">
        <v>46.1</v>
      </c>
      <c r="AM702" s="9">
        <v>152</v>
      </c>
      <c r="AN702" s="9">
        <v>72</v>
      </c>
      <c r="AO702" s="9">
        <v>93</v>
      </c>
      <c r="AP702" s="9">
        <v>29.8</v>
      </c>
      <c r="AQ702" s="9">
        <v>3</v>
      </c>
      <c r="AR702" s="9">
        <v>25.6</v>
      </c>
      <c r="AS702" s="9">
        <v>20</v>
      </c>
      <c r="AT702" s="7">
        <v>20</v>
      </c>
      <c r="AU702" s="9">
        <v>101</v>
      </c>
      <c r="AV702" s="9">
        <v>76</v>
      </c>
      <c r="AX702" s="9" t="s">
        <v>5160</v>
      </c>
      <c r="AY702" s="9" t="s">
        <v>6257</v>
      </c>
      <c r="AZ702" s="9" t="s">
        <v>6258</v>
      </c>
      <c r="BB702" s="9" t="s">
        <v>6214</v>
      </c>
      <c r="BC702" s="9" t="s">
        <v>492</v>
      </c>
      <c r="BF702" s="9" t="s">
        <v>375</v>
      </c>
      <c r="BG702" s="9" t="s">
        <v>322</v>
      </c>
      <c r="BH702" s="9" t="s">
        <v>375</v>
      </c>
      <c r="BI702" s="9" t="s">
        <v>375</v>
      </c>
      <c r="BJ702" s="9" t="s">
        <v>322</v>
      </c>
      <c r="BK702" s="9" t="s">
        <v>375</v>
      </c>
      <c r="BN702" s="9" t="s">
        <v>503</v>
      </c>
      <c r="BO702" s="9" t="s">
        <v>376</v>
      </c>
      <c r="BP702" s="9" t="s">
        <v>6259</v>
      </c>
      <c r="BR702" s="9" t="s">
        <v>263</v>
      </c>
      <c r="BS702" s="9" t="s">
        <v>162</v>
      </c>
      <c r="BT702" s="9" t="s">
        <v>162</v>
      </c>
      <c r="BV702" s="9" t="s">
        <v>1152</v>
      </c>
      <c r="BW702" s="9" t="s">
        <v>6260</v>
      </c>
      <c r="BX702" s="9" t="s">
        <v>162</v>
      </c>
      <c r="BZ702" s="9" t="s">
        <v>4010</v>
      </c>
      <c r="CA702" s="9" t="s">
        <v>557</v>
      </c>
      <c r="CB702" s="9" t="s">
        <v>3642</v>
      </c>
      <c r="CD702" s="9" t="s">
        <v>162</v>
      </c>
      <c r="CE702" s="9" t="s">
        <v>162</v>
      </c>
      <c r="CF702" s="9" t="s">
        <v>162</v>
      </c>
      <c r="CH702" s="9" t="s">
        <v>162</v>
      </c>
      <c r="CI702" s="9" t="s">
        <v>162</v>
      </c>
      <c r="CJ702" s="9" t="s">
        <v>162</v>
      </c>
      <c r="CL702" s="9" t="s">
        <v>504</v>
      </c>
      <c r="CM702" s="9" t="s">
        <v>6261</v>
      </c>
      <c r="CN702" s="9" t="s">
        <v>6262</v>
      </c>
      <c r="CP702" s="9" t="s">
        <v>384</v>
      </c>
      <c r="CQ702" s="9" t="s">
        <v>475</v>
      </c>
      <c r="CR702" s="9" t="s">
        <v>6263</v>
      </c>
      <c r="CT702" s="9" t="s">
        <v>6264</v>
      </c>
      <c r="CU702" s="9" t="s">
        <v>6265</v>
      </c>
      <c r="CW702" s="9">
        <v>3</v>
      </c>
      <c r="CX702" s="9" t="s">
        <v>368</v>
      </c>
      <c r="CY702" s="9" t="s">
        <v>368</v>
      </c>
      <c r="CZ702" s="9">
        <v>25</v>
      </c>
      <c r="DA702" s="9">
        <v>60</v>
      </c>
      <c r="DB702" s="9">
        <v>40</v>
      </c>
      <c r="DC702" s="9">
        <v>73</v>
      </c>
      <c r="DE702" s="9">
        <v>199</v>
      </c>
      <c r="DF702" s="9">
        <v>90</v>
      </c>
      <c r="DG702" s="9">
        <f t="shared" si="10"/>
        <v>4.395134555739328</v>
      </c>
      <c r="DH702" s="9">
        <v>18</v>
      </c>
      <c r="DI702" s="9">
        <v>5.04</v>
      </c>
      <c r="DJ702" s="9">
        <v>9.6999999999999993</v>
      </c>
      <c r="DK702" s="10">
        <v>32.700000000000003</v>
      </c>
      <c r="DL702" s="9">
        <v>104.5</v>
      </c>
      <c r="DT702" s="9">
        <v>13.4</v>
      </c>
      <c r="DU702" s="9">
        <v>4</v>
      </c>
    </row>
    <row r="703" spans="1:125" x14ac:dyDescent="0.2">
      <c r="A703" s="9">
        <v>616</v>
      </c>
      <c r="B703" s="8">
        <v>43279</v>
      </c>
      <c r="C703" s="9" t="s">
        <v>95</v>
      </c>
      <c r="D703" s="9">
        <v>50</v>
      </c>
      <c r="E703" s="9" t="s">
        <v>96</v>
      </c>
      <c r="F703" s="8">
        <v>24978</v>
      </c>
      <c r="G703" s="9" t="s">
        <v>314</v>
      </c>
      <c r="H703" s="9" t="s">
        <v>6266</v>
      </c>
      <c r="I703" s="9" t="s">
        <v>162</v>
      </c>
      <c r="J703" s="167">
        <v>35735</v>
      </c>
      <c r="K703" s="9" t="s">
        <v>162</v>
      </c>
      <c r="L703" s="9">
        <v>2</v>
      </c>
      <c r="M703" s="9" t="s">
        <v>263</v>
      </c>
      <c r="N703" s="9" t="s">
        <v>263</v>
      </c>
      <c r="O703" s="9" t="s">
        <v>263</v>
      </c>
      <c r="P703" s="9" t="s">
        <v>263</v>
      </c>
      <c r="Q703" s="10" t="s">
        <v>369</v>
      </c>
      <c r="R703" s="9" t="s">
        <v>368</v>
      </c>
      <c r="S703" s="9" t="s">
        <v>263</v>
      </c>
      <c r="T703" s="9" t="s">
        <v>263</v>
      </c>
      <c r="U703" s="9" t="s">
        <v>263</v>
      </c>
      <c r="V703" s="9" t="s">
        <v>263</v>
      </c>
      <c r="W703" s="9" t="s">
        <v>162</v>
      </c>
      <c r="X703" s="9" t="s">
        <v>162</v>
      </c>
      <c r="Y703" s="10" t="s">
        <v>1145</v>
      </c>
      <c r="Z703" s="9" t="s">
        <v>162</v>
      </c>
      <c r="AA703" s="9" t="s">
        <v>96</v>
      </c>
      <c r="AB703" s="9" t="s">
        <v>96</v>
      </c>
      <c r="AC703" s="9" t="s">
        <v>96</v>
      </c>
      <c r="AD703" s="9" t="s">
        <v>96</v>
      </c>
      <c r="AE703" s="10" t="s">
        <v>6267</v>
      </c>
      <c r="AF703" s="10" t="s">
        <v>35</v>
      </c>
      <c r="AG703" s="9" t="s">
        <v>368</v>
      </c>
      <c r="AH703" s="10" t="s">
        <v>36</v>
      </c>
      <c r="AI703" s="9" t="s">
        <v>263</v>
      </c>
      <c r="AJ703" s="9" t="s">
        <v>263</v>
      </c>
      <c r="AK703" s="9" t="s">
        <v>263</v>
      </c>
      <c r="AL703" s="9">
        <v>66.099999999999994</v>
      </c>
      <c r="AM703" s="9">
        <v>155</v>
      </c>
      <c r="AN703" s="46">
        <v>91</v>
      </c>
      <c r="AO703" s="9">
        <v>106</v>
      </c>
      <c r="AP703" s="9">
        <v>41.8</v>
      </c>
      <c r="AQ703" s="9">
        <v>8</v>
      </c>
      <c r="AR703" s="9">
        <v>24.6</v>
      </c>
      <c r="AS703" s="9">
        <v>58</v>
      </c>
      <c r="AT703" s="9">
        <v>27.5</v>
      </c>
      <c r="AU703" s="9">
        <v>93</v>
      </c>
      <c r="AV703" s="9">
        <v>63</v>
      </c>
      <c r="AX703" s="9" t="s">
        <v>162</v>
      </c>
      <c r="AY703" s="9" t="s">
        <v>162</v>
      </c>
      <c r="AZ703" s="9" t="s">
        <v>162</v>
      </c>
      <c r="BB703" s="9" t="s">
        <v>162</v>
      </c>
      <c r="BC703" s="9" t="s">
        <v>162</v>
      </c>
      <c r="BD703" s="9" t="s">
        <v>162</v>
      </c>
      <c r="BF703" s="9" t="s">
        <v>322</v>
      </c>
      <c r="BG703" s="9" t="s">
        <v>162</v>
      </c>
      <c r="BH703" s="9" t="s">
        <v>375</v>
      </c>
      <c r="BI703" s="9" t="s">
        <v>375</v>
      </c>
      <c r="BJ703" s="9" t="s">
        <v>375</v>
      </c>
      <c r="BK703" s="9" t="s">
        <v>276</v>
      </c>
      <c r="BN703" s="9" t="s">
        <v>162</v>
      </c>
      <c r="BO703" s="9" t="s">
        <v>162</v>
      </c>
      <c r="BP703" s="9" t="s">
        <v>162</v>
      </c>
      <c r="BR703" s="9" t="s">
        <v>162</v>
      </c>
      <c r="BS703" s="9" t="s">
        <v>162</v>
      </c>
      <c r="BT703" s="9" t="s">
        <v>162</v>
      </c>
      <c r="BV703" s="9" t="s">
        <v>162</v>
      </c>
      <c r="BW703" s="9" t="s">
        <v>162</v>
      </c>
      <c r="BX703" s="9" t="s">
        <v>162</v>
      </c>
      <c r="BZ703" s="9" t="s">
        <v>162</v>
      </c>
      <c r="CA703" s="9" t="s">
        <v>162</v>
      </c>
      <c r="CB703" s="9" t="s">
        <v>162</v>
      </c>
      <c r="CD703" s="9" t="s">
        <v>162</v>
      </c>
      <c r="CE703" s="9" t="s">
        <v>162</v>
      </c>
      <c r="CF703" s="9" t="s">
        <v>162</v>
      </c>
      <c r="CH703" s="9" t="s">
        <v>162</v>
      </c>
      <c r="CI703" s="9" t="s">
        <v>162</v>
      </c>
      <c r="CJ703" s="9" t="s">
        <v>162</v>
      </c>
      <c r="CL703" s="9" t="s">
        <v>162</v>
      </c>
      <c r="CM703" s="9" t="s">
        <v>162</v>
      </c>
      <c r="CN703" s="9" t="s">
        <v>162</v>
      </c>
      <c r="CP703" s="9" t="s">
        <v>162</v>
      </c>
      <c r="CQ703" s="9" t="s">
        <v>162</v>
      </c>
      <c r="CR703" s="9" t="s">
        <v>162</v>
      </c>
      <c r="CT703" s="9" t="s">
        <v>162</v>
      </c>
      <c r="CU703" s="9" t="s">
        <v>162</v>
      </c>
      <c r="CV703" s="9" t="s">
        <v>162</v>
      </c>
      <c r="CW703" s="9">
        <v>3</v>
      </c>
      <c r="CX703" s="9" t="s">
        <v>368</v>
      </c>
      <c r="CY703" s="9" t="s">
        <v>263</v>
      </c>
      <c r="CZ703" s="9">
        <v>20</v>
      </c>
      <c r="DA703" s="9">
        <v>20</v>
      </c>
      <c r="DB703" s="9">
        <v>60</v>
      </c>
      <c r="DC703" s="9">
        <v>70</v>
      </c>
      <c r="DD703" s="9">
        <v>0.71</v>
      </c>
      <c r="DE703" s="10">
        <v>213</v>
      </c>
      <c r="DF703" s="9">
        <v>73</v>
      </c>
      <c r="DG703" s="9">
        <f t="shared" si="10"/>
        <v>4.2694773415988747</v>
      </c>
      <c r="DH703" s="9">
        <v>14.6</v>
      </c>
      <c r="DI703" s="9">
        <v>4.26</v>
      </c>
      <c r="DJ703" s="9">
        <v>13</v>
      </c>
      <c r="DK703" s="9">
        <v>21</v>
      </c>
      <c r="DL703" s="9">
        <v>54</v>
      </c>
      <c r="DM703" s="9">
        <v>114.4</v>
      </c>
      <c r="DP703" s="11">
        <v>2</v>
      </c>
      <c r="DQ703" s="9">
        <v>2</v>
      </c>
    </row>
    <row r="704" spans="1:125" x14ac:dyDescent="0.2">
      <c r="A704" s="110">
        <v>617</v>
      </c>
      <c r="B704" s="8">
        <v>43279</v>
      </c>
      <c r="C704" s="9" t="s">
        <v>95</v>
      </c>
      <c r="D704" s="9">
        <v>74</v>
      </c>
      <c r="E704" s="9" t="s">
        <v>96</v>
      </c>
      <c r="F704" s="8">
        <v>16192</v>
      </c>
      <c r="G704" s="9" t="s">
        <v>6268</v>
      </c>
      <c r="H704" s="9" t="s">
        <v>6269</v>
      </c>
      <c r="I704" s="9" t="s">
        <v>162</v>
      </c>
      <c r="J704" s="9" t="s">
        <v>162</v>
      </c>
      <c r="K704" s="9" t="s">
        <v>162</v>
      </c>
      <c r="L704" s="9">
        <v>3</v>
      </c>
      <c r="M704" s="9" t="s">
        <v>263</v>
      </c>
      <c r="N704" s="9" t="s">
        <v>263</v>
      </c>
      <c r="O704" s="9" t="s">
        <v>263</v>
      </c>
      <c r="P704" s="9" t="s">
        <v>263</v>
      </c>
      <c r="Q704" s="10" t="s">
        <v>369</v>
      </c>
      <c r="R704" s="9" t="s">
        <v>162</v>
      </c>
      <c r="S704" s="10" t="s">
        <v>6270</v>
      </c>
      <c r="T704" s="9" t="s">
        <v>162</v>
      </c>
      <c r="U704" s="9" t="s">
        <v>162</v>
      </c>
      <c r="V704" s="9" t="s">
        <v>162</v>
      </c>
      <c r="W704" s="9" t="s">
        <v>6271</v>
      </c>
      <c r="X704" s="9" t="s">
        <v>162</v>
      </c>
      <c r="Y704" s="10" t="s">
        <v>6272</v>
      </c>
      <c r="Z704" s="9" t="s">
        <v>162</v>
      </c>
      <c r="AA704" s="9" t="s">
        <v>96</v>
      </c>
      <c r="AB704" s="9" t="s">
        <v>1419</v>
      </c>
      <c r="AC704" s="9" t="s">
        <v>162</v>
      </c>
      <c r="AD704" s="9" t="s">
        <v>162</v>
      </c>
      <c r="AE704" s="9" t="s">
        <v>263</v>
      </c>
      <c r="AF704" s="9" t="s">
        <v>263</v>
      </c>
      <c r="AG704" s="9" t="s">
        <v>263</v>
      </c>
      <c r="AH704" s="9" t="s">
        <v>263</v>
      </c>
      <c r="AI704" s="9" t="s">
        <v>263</v>
      </c>
      <c r="AJ704" s="9" t="s">
        <v>263</v>
      </c>
      <c r="AK704" s="9" t="s">
        <v>263</v>
      </c>
      <c r="AL704" s="9">
        <v>75.400000000000006</v>
      </c>
      <c r="AM704" s="9">
        <v>160</v>
      </c>
      <c r="AN704" s="9">
        <v>68.3</v>
      </c>
      <c r="AO704" s="9">
        <v>108.8</v>
      </c>
      <c r="AP704" s="9">
        <v>44.3</v>
      </c>
      <c r="AQ704" s="9">
        <v>12</v>
      </c>
      <c r="AR704" s="9">
        <v>23.6</v>
      </c>
      <c r="AS704" s="9">
        <v>74</v>
      </c>
      <c r="AT704" s="9">
        <v>29.5</v>
      </c>
      <c r="AU704" s="9">
        <v>126</v>
      </c>
      <c r="AV704" s="9">
        <v>84</v>
      </c>
      <c r="AX704" s="9" t="s">
        <v>6273</v>
      </c>
      <c r="AY704" s="9" t="s">
        <v>6274</v>
      </c>
      <c r="BB704" s="9" t="s">
        <v>4558</v>
      </c>
      <c r="BC704" s="9" t="s">
        <v>4585</v>
      </c>
      <c r="BD704" s="9" t="s">
        <v>6275</v>
      </c>
      <c r="BF704" s="9" t="s">
        <v>322</v>
      </c>
      <c r="BG704" s="9" t="s">
        <v>162</v>
      </c>
      <c r="BH704" s="9" t="s">
        <v>276</v>
      </c>
      <c r="BI704" s="9" t="s">
        <v>375</v>
      </c>
      <c r="BJ704" s="9" t="s">
        <v>322</v>
      </c>
      <c r="BK704" s="9" t="s">
        <v>375</v>
      </c>
      <c r="BN704" s="9" t="s">
        <v>6276</v>
      </c>
      <c r="BO704" s="9" t="s">
        <v>395</v>
      </c>
      <c r="BP704" s="9" t="s">
        <v>6277</v>
      </c>
      <c r="BR704" s="9" t="s">
        <v>162</v>
      </c>
      <c r="BS704" s="9" t="s">
        <v>162</v>
      </c>
      <c r="BT704" s="9" t="s">
        <v>162</v>
      </c>
      <c r="BV704" s="9" t="s">
        <v>162</v>
      </c>
      <c r="BW704" s="9" t="s">
        <v>162</v>
      </c>
      <c r="BX704" s="9" t="s">
        <v>162</v>
      </c>
      <c r="BZ704" s="9" t="s">
        <v>5782</v>
      </c>
      <c r="CA704" s="9" t="s">
        <v>5165</v>
      </c>
      <c r="CB704" s="9" t="s">
        <v>526</v>
      </c>
      <c r="CD704" s="9" t="s">
        <v>162</v>
      </c>
      <c r="CE704" s="9" t="s">
        <v>162</v>
      </c>
      <c r="CF704" s="9" t="s">
        <v>162</v>
      </c>
      <c r="CH704" s="9" t="s">
        <v>162</v>
      </c>
      <c r="CI704" s="9" t="s">
        <v>162</v>
      </c>
      <c r="CJ704" s="9" t="s">
        <v>162</v>
      </c>
      <c r="CL704" s="9" t="s">
        <v>450</v>
      </c>
      <c r="CM704" s="9" t="s">
        <v>162</v>
      </c>
      <c r="CN704" s="9" t="s">
        <v>162</v>
      </c>
      <c r="CP704" s="9" t="s">
        <v>6278</v>
      </c>
      <c r="CT704" s="9" t="s">
        <v>6192</v>
      </c>
      <c r="CU704" s="9" t="s">
        <v>162</v>
      </c>
      <c r="CV704" s="9" t="s">
        <v>162</v>
      </c>
      <c r="CW704" s="9">
        <v>3</v>
      </c>
      <c r="CX704" s="9" t="s">
        <v>263</v>
      </c>
      <c r="CY704" s="9" t="s">
        <v>263</v>
      </c>
      <c r="CZ704" s="9">
        <v>70</v>
      </c>
      <c r="DA704" s="9">
        <v>70</v>
      </c>
      <c r="DB704" s="9">
        <v>50</v>
      </c>
      <c r="DC704" s="9">
        <v>87.7</v>
      </c>
      <c r="DD704" s="9">
        <v>0.6</v>
      </c>
      <c r="DE704" s="10">
        <v>202</v>
      </c>
      <c r="DF704" s="9">
        <v>149</v>
      </c>
      <c r="DG704" s="9">
        <f t="shared" si="10"/>
        <v>4.7389341026617986</v>
      </c>
      <c r="DH704" s="9">
        <v>29.8</v>
      </c>
      <c r="DI704" s="9">
        <v>3.87</v>
      </c>
      <c r="DP704" s="11">
        <v>2</v>
      </c>
      <c r="DQ704" s="9">
        <v>2</v>
      </c>
      <c r="DR704" s="9">
        <v>3</v>
      </c>
    </row>
    <row r="705" spans="1:125" x14ac:dyDescent="0.2">
      <c r="A705" s="9">
        <v>618</v>
      </c>
      <c r="B705" s="8">
        <v>43279</v>
      </c>
      <c r="C705" s="9" t="s">
        <v>95</v>
      </c>
      <c r="D705" s="9">
        <v>30</v>
      </c>
      <c r="E705" s="9" t="s">
        <v>96</v>
      </c>
      <c r="F705" s="8">
        <v>31968</v>
      </c>
      <c r="G705" s="9" t="s">
        <v>314</v>
      </c>
      <c r="H705" s="9" t="s">
        <v>1544</v>
      </c>
      <c r="I705" s="9">
        <v>1999</v>
      </c>
      <c r="J705" s="9" t="s">
        <v>162</v>
      </c>
      <c r="K705" s="8">
        <v>42473</v>
      </c>
      <c r="L705" s="9">
        <v>2</v>
      </c>
      <c r="M705" s="9" t="s">
        <v>263</v>
      </c>
      <c r="N705" s="9" t="s">
        <v>263</v>
      </c>
      <c r="O705" s="9" t="s">
        <v>263</v>
      </c>
      <c r="P705" s="9" t="s">
        <v>263</v>
      </c>
      <c r="Q705" s="10" t="s">
        <v>369</v>
      </c>
      <c r="R705" s="9" t="s">
        <v>263</v>
      </c>
      <c r="S705" s="9" t="s">
        <v>263</v>
      </c>
      <c r="T705" s="10" t="s">
        <v>6279</v>
      </c>
      <c r="U705" s="10" t="s">
        <v>6280</v>
      </c>
      <c r="V705" s="9" t="s">
        <v>263</v>
      </c>
      <c r="W705" s="9" t="s">
        <v>162</v>
      </c>
      <c r="X705" s="9" t="s">
        <v>263</v>
      </c>
      <c r="Y705" s="9" t="s">
        <v>162</v>
      </c>
      <c r="Z705" s="9" t="s">
        <v>162</v>
      </c>
      <c r="AA705" s="9" t="s">
        <v>96</v>
      </c>
      <c r="AB705" s="9" t="s">
        <v>96</v>
      </c>
      <c r="AC705" s="9" t="s">
        <v>96</v>
      </c>
      <c r="AD705" s="35" t="s">
        <v>6281</v>
      </c>
      <c r="AE705" s="9" t="s">
        <v>263</v>
      </c>
      <c r="AF705" s="10" t="s">
        <v>6282</v>
      </c>
      <c r="AG705" s="10" t="s">
        <v>6256</v>
      </c>
      <c r="AH705" s="10" t="s">
        <v>6282</v>
      </c>
      <c r="AI705" s="10" t="s">
        <v>6282</v>
      </c>
      <c r="AJ705" s="9" t="s">
        <v>263</v>
      </c>
      <c r="AK705" s="9" t="s">
        <v>162</v>
      </c>
      <c r="AL705" s="9">
        <v>64.2</v>
      </c>
      <c r="AM705" s="9">
        <v>166</v>
      </c>
      <c r="AN705" s="9">
        <v>86.5</v>
      </c>
      <c r="AO705" s="9">
        <v>100</v>
      </c>
      <c r="AP705" s="9">
        <v>38.5</v>
      </c>
      <c r="AQ705" s="9">
        <v>5</v>
      </c>
      <c r="AR705" s="9">
        <v>24.1</v>
      </c>
      <c r="AS705" s="9">
        <v>33</v>
      </c>
      <c r="AT705" s="7">
        <v>23.3</v>
      </c>
      <c r="AU705" s="9">
        <v>109</v>
      </c>
      <c r="AV705" s="9">
        <v>84</v>
      </c>
      <c r="AX705" s="9" t="s">
        <v>426</v>
      </c>
      <c r="AY705" s="9" t="s">
        <v>427</v>
      </c>
      <c r="AZ705" s="9" t="s">
        <v>6283</v>
      </c>
      <c r="BB705" s="9" t="s">
        <v>5779</v>
      </c>
      <c r="BC705" s="9" t="s">
        <v>6284</v>
      </c>
      <c r="BD705" s="9" t="s">
        <v>515</v>
      </c>
      <c r="BF705" s="9" t="s">
        <v>322</v>
      </c>
      <c r="BG705" s="9" t="s">
        <v>322</v>
      </c>
      <c r="BH705" s="9" t="s">
        <v>322</v>
      </c>
      <c r="BI705" s="9" t="s">
        <v>322</v>
      </c>
      <c r="BJ705" s="9" t="s">
        <v>322</v>
      </c>
      <c r="BK705" s="9" t="s">
        <v>6285</v>
      </c>
      <c r="BN705" s="9" t="s">
        <v>6286</v>
      </c>
      <c r="BO705" s="9" t="s">
        <v>395</v>
      </c>
      <c r="BP705" s="9" t="s">
        <v>6287</v>
      </c>
      <c r="BR705" s="9" t="s">
        <v>162</v>
      </c>
      <c r="BS705" s="9" t="s">
        <v>162</v>
      </c>
      <c r="BT705" s="9" t="s">
        <v>162</v>
      </c>
      <c r="BV705" s="9" t="s">
        <v>162</v>
      </c>
      <c r="BW705" s="9" t="s">
        <v>162</v>
      </c>
      <c r="BX705" s="9" t="s">
        <v>162</v>
      </c>
      <c r="BZ705" s="9" t="s">
        <v>5782</v>
      </c>
      <c r="CA705" s="9" t="s">
        <v>6288</v>
      </c>
      <c r="CB705" s="9" t="s">
        <v>4010</v>
      </c>
      <c r="CD705" s="9" t="s">
        <v>162</v>
      </c>
      <c r="CE705" s="9" t="s">
        <v>162</v>
      </c>
      <c r="CF705" s="9" t="s">
        <v>162</v>
      </c>
      <c r="CH705" s="9" t="s">
        <v>162</v>
      </c>
      <c r="CI705" s="9" t="s">
        <v>162</v>
      </c>
      <c r="CJ705" s="9" t="s">
        <v>162</v>
      </c>
      <c r="CL705" s="9" t="s">
        <v>162</v>
      </c>
      <c r="CM705" s="9" t="s">
        <v>162</v>
      </c>
      <c r="CN705" s="9" t="s">
        <v>162</v>
      </c>
      <c r="CP705" s="9" t="s">
        <v>162</v>
      </c>
      <c r="CQ705" s="9" t="s">
        <v>162</v>
      </c>
      <c r="CR705" s="9" t="s">
        <v>162</v>
      </c>
      <c r="CT705" s="9" t="s">
        <v>6289</v>
      </c>
      <c r="CU705" s="9" t="s">
        <v>6290</v>
      </c>
      <c r="CW705" s="9">
        <v>3</v>
      </c>
      <c r="CX705" s="9" t="s">
        <v>263</v>
      </c>
      <c r="CY705" s="9" t="s">
        <v>263</v>
      </c>
      <c r="CZ705" s="9">
        <v>25</v>
      </c>
      <c r="DA705" s="9">
        <v>25</v>
      </c>
      <c r="DB705" s="9">
        <v>50</v>
      </c>
      <c r="DC705" s="9">
        <v>80.900000000000006</v>
      </c>
      <c r="DD705" s="9">
        <v>0.36</v>
      </c>
      <c r="DE705" s="10">
        <v>206</v>
      </c>
      <c r="DF705" s="9">
        <v>139</v>
      </c>
      <c r="DG705" s="9">
        <f t="shared" si="10"/>
        <v>4.6638438785975689</v>
      </c>
      <c r="DH705" s="9">
        <v>27.8</v>
      </c>
      <c r="DI705" s="9">
        <v>3.9</v>
      </c>
      <c r="DJ705" s="9">
        <v>19</v>
      </c>
      <c r="DK705" s="9">
        <v>20</v>
      </c>
      <c r="DL705" s="9">
        <v>52.8</v>
      </c>
      <c r="DM705" s="9">
        <v>125.4</v>
      </c>
      <c r="DP705" s="11">
        <v>3</v>
      </c>
      <c r="DQ705" s="9">
        <v>2</v>
      </c>
      <c r="DR705" s="9">
        <v>2</v>
      </c>
    </row>
    <row r="706" spans="1:125" x14ac:dyDescent="0.2">
      <c r="A706" s="9">
        <v>619</v>
      </c>
      <c r="B706" s="17">
        <v>43279</v>
      </c>
      <c r="C706" s="9" t="s">
        <v>95</v>
      </c>
      <c r="D706" s="9">
        <v>51</v>
      </c>
      <c r="E706" s="9" t="s">
        <v>96</v>
      </c>
      <c r="F706" s="17">
        <v>24631</v>
      </c>
      <c r="G706" s="9" t="s">
        <v>6291</v>
      </c>
      <c r="H706" s="9" t="s">
        <v>6292</v>
      </c>
      <c r="K706" s="9">
        <v>1991</v>
      </c>
      <c r="L706" s="9">
        <v>3</v>
      </c>
      <c r="M706" s="9" t="s">
        <v>99</v>
      </c>
      <c r="N706" s="9" t="s">
        <v>99</v>
      </c>
      <c r="O706" s="9" t="s">
        <v>99</v>
      </c>
      <c r="P706" s="9" t="s">
        <v>99</v>
      </c>
      <c r="Q706" s="9" t="s">
        <v>2368</v>
      </c>
      <c r="R706" s="9" t="s">
        <v>99</v>
      </c>
      <c r="U706" s="9" t="s">
        <v>6293</v>
      </c>
      <c r="W706" s="9" t="s">
        <v>6294</v>
      </c>
      <c r="X706" s="9" t="s">
        <v>99</v>
      </c>
      <c r="Y706" s="9" t="s">
        <v>6295</v>
      </c>
      <c r="AA706" s="9" t="s">
        <v>1419</v>
      </c>
      <c r="AB706" s="9" t="s">
        <v>1419</v>
      </c>
      <c r="AC706" s="9" t="s">
        <v>1419</v>
      </c>
      <c r="AD706" s="9" t="s">
        <v>1419</v>
      </c>
      <c r="AE706" s="9" t="s">
        <v>99</v>
      </c>
      <c r="AF706" s="9" t="s">
        <v>118</v>
      </c>
      <c r="AG706" s="9" t="s">
        <v>99</v>
      </c>
      <c r="AH706" s="9" t="s">
        <v>99</v>
      </c>
      <c r="AI706" s="9" t="s">
        <v>99</v>
      </c>
      <c r="AJ706" s="9" t="s">
        <v>99</v>
      </c>
      <c r="AK706" s="9" t="s">
        <v>99</v>
      </c>
      <c r="AL706" s="9">
        <v>59.8</v>
      </c>
      <c r="AM706" s="9">
        <v>150</v>
      </c>
      <c r="AN706" s="9">
        <v>81</v>
      </c>
      <c r="AO706" s="9">
        <v>98.6</v>
      </c>
      <c r="AP706" s="9">
        <v>34.6</v>
      </c>
      <c r="AQ706" s="9">
        <v>6</v>
      </c>
      <c r="AR706" s="9">
        <v>26.2</v>
      </c>
      <c r="AS706" s="9">
        <v>48</v>
      </c>
      <c r="AT706" s="7">
        <v>22.6</v>
      </c>
      <c r="AU706" s="9">
        <v>91</v>
      </c>
      <c r="AV706" s="9">
        <v>59</v>
      </c>
      <c r="AX706" s="9" t="s">
        <v>5758</v>
      </c>
      <c r="AY706" s="9" t="s">
        <v>6296</v>
      </c>
      <c r="AZ706" s="9" t="s">
        <v>427</v>
      </c>
      <c r="BE706" s="9" t="s">
        <v>375</v>
      </c>
      <c r="BF706" s="9" t="s">
        <v>6297</v>
      </c>
      <c r="BG706" s="9" t="s">
        <v>375</v>
      </c>
      <c r="BH706" s="9" t="s">
        <v>375</v>
      </c>
      <c r="BI706" s="9" t="s">
        <v>263</v>
      </c>
      <c r="BJ706" s="9" t="s">
        <v>368</v>
      </c>
      <c r="BL706" s="9" t="s">
        <v>517</v>
      </c>
      <c r="BM706" s="9" t="s">
        <v>1963</v>
      </c>
      <c r="BN706" s="9" t="s">
        <v>519</v>
      </c>
      <c r="BV706" s="9" t="s">
        <v>64</v>
      </c>
      <c r="BW706" s="9" t="s">
        <v>1536</v>
      </c>
      <c r="BZ706" s="9" t="s">
        <v>557</v>
      </c>
      <c r="CA706" s="9" t="s">
        <v>526</v>
      </c>
      <c r="CB706" s="9" t="s">
        <v>4010</v>
      </c>
      <c r="CL706" s="9" t="s">
        <v>504</v>
      </c>
      <c r="CM706" s="9" t="s">
        <v>6298</v>
      </c>
      <c r="CN706" s="9" t="s">
        <v>505</v>
      </c>
      <c r="CP706" s="9" t="s">
        <v>6191</v>
      </c>
      <c r="CQ706" s="9" t="s">
        <v>6299</v>
      </c>
      <c r="CT706" s="9" t="s">
        <v>6300</v>
      </c>
      <c r="CU706" s="9" t="s">
        <v>6301</v>
      </c>
      <c r="CW706" s="9">
        <v>3</v>
      </c>
      <c r="CX706" s="9" t="s">
        <v>6180</v>
      </c>
      <c r="CY706" s="9" t="s">
        <v>283</v>
      </c>
      <c r="DC706" s="9">
        <v>77</v>
      </c>
      <c r="DD706" s="9">
        <v>0.77</v>
      </c>
      <c r="DE706" s="9">
        <v>288</v>
      </c>
      <c r="DF706" s="9">
        <v>117</v>
      </c>
      <c r="DG706" s="9">
        <f t="shared" si="10"/>
        <v>4.5529896783257202</v>
      </c>
      <c r="DH706" s="9">
        <v>23.4</v>
      </c>
      <c r="DI706" s="9">
        <v>3.73</v>
      </c>
      <c r="DJ706" s="9">
        <v>14</v>
      </c>
      <c r="DK706" s="9">
        <v>20</v>
      </c>
      <c r="DL706" s="9">
        <v>64.599999999999994</v>
      </c>
      <c r="DQ706" s="9">
        <v>3</v>
      </c>
    </row>
    <row r="707" spans="1:125" x14ac:dyDescent="0.2">
      <c r="A707" s="9">
        <v>620</v>
      </c>
      <c r="B707" s="8">
        <v>43279</v>
      </c>
      <c r="C707" s="9" t="s">
        <v>95</v>
      </c>
      <c r="D707" s="9">
        <v>29</v>
      </c>
      <c r="E707" s="9" t="s">
        <v>96</v>
      </c>
      <c r="F707" s="8">
        <v>32607</v>
      </c>
      <c r="G707" s="9" t="s">
        <v>314</v>
      </c>
      <c r="H707" s="9" t="s">
        <v>6302</v>
      </c>
      <c r="I707" s="9" t="s">
        <v>162</v>
      </c>
      <c r="J707" s="9" t="s">
        <v>162</v>
      </c>
      <c r="K707" s="8">
        <v>40006</v>
      </c>
      <c r="L707" s="9">
        <v>1</v>
      </c>
      <c r="M707" s="9" t="s">
        <v>263</v>
      </c>
      <c r="N707" s="9" t="s">
        <v>263</v>
      </c>
      <c r="O707" s="9" t="s">
        <v>263</v>
      </c>
      <c r="P707" s="9" t="s">
        <v>263</v>
      </c>
      <c r="Q707" s="9" t="s">
        <v>263</v>
      </c>
      <c r="R707" s="9" t="s">
        <v>263</v>
      </c>
      <c r="S707" s="9" t="s">
        <v>162</v>
      </c>
      <c r="T707" s="9" t="s">
        <v>162</v>
      </c>
      <c r="U707" s="9" t="s">
        <v>263</v>
      </c>
      <c r="V707" s="9" t="s">
        <v>162</v>
      </c>
      <c r="W707" s="9" t="s">
        <v>6303</v>
      </c>
      <c r="X707" s="9" t="s">
        <v>162</v>
      </c>
      <c r="Y707" s="9" t="s">
        <v>6304</v>
      </c>
      <c r="Z707" s="9" t="s">
        <v>545</v>
      </c>
      <c r="AA707" s="41" t="s">
        <v>461</v>
      </c>
      <c r="AB707" s="41" t="s">
        <v>151</v>
      </c>
      <c r="AC707" s="41" t="s">
        <v>461</v>
      </c>
      <c r="AD707" s="41" t="s">
        <v>461</v>
      </c>
      <c r="AE707" s="9" t="s">
        <v>368</v>
      </c>
      <c r="AF707" s="9" t="s">
        <v>263</v>
      </c>
      <c r="AG707" s="9" t="s">
        <v>4123</v>
      </c>
      <c r="AH707" s="9" t="s">
        <v>263</v>
      </c>
      <c r="AI707" s="9" t="s">
        <v>35</v>
      </c>
      <c r="AJ707" s="9" t="s">
        <v>263</v>
      </c>
      <c r="AK707" s="9" t="s">
        <v>263</v>
      </c>
      <c r="AL707" s="9">
        <v>59</v>
      </c>
      <c r="AM707" s="9">
        <v>175</v>
      </c>
      <c r="AN707" s="9">
        <v>73</v>
      </c>
      <c r="AO707" s="9">
        <v>96</v>
      </c>
      <c r="AP707" s="9">
        <v>26.7</v>
      </c>
      <c r="AQ707" s="9">
        <v>3</v>
      </c>
      <c r="AR707" s="9">
        <v>29.6</v>
      </c>
      <c r="AS707" s="9">
        <v>29</v>
      </c>
      <c r="AT707" s="7">
        <v>19.3</v>
      </c>
      <c r="AU707" s="9">
        <v>106</v>
      </c>
      <c r="AV707" s="9">
        <v>70</v>
      </c>
      <c r="AX707" s="9" t="s">
        <v>162</v>
      </c>
      <c r="AY707" s="9" t="s">
        <v>162</v>
      </c>
      <c r="AZ707" s="9" t="s">
        <v>162</v>
      </c>
      <c r="BB707" s="9" t="s">
        <v>162</v>
      </c>
      <c r="BC707" s="9" t="s">
        <v>162</v>
      </c>
      <c r="BD707" s="9" t="s">
        <v>162</v>
      </c>
      <c r="BF707" s="9" t="s">
        <v>162</v>
      </c>
      <c r="BG707" s="9" t="s">
        <v>162</v>
      </c>
      <c r="BH707" s="9" t="s">
        <v>162</v>
      </c>
      <c r="BI707" s="9" t="s">
        <v>162</v>
      </c>
      <c r="BJ707" s="9" t="s">
        <v>162</v>
      </c>
      <c r="BK707" s="9" t="s">
        <v>162</v>
      </c>
      <c r="BN707" s="9" t="s">
        <v>162</v>
      </c>
      <c r="BO707" s="9" t="s">
        <v>162</v>
      </c>
      <c r="BP707" s="9" t="s">
        <v>162</v>
      </c>
      <c r="BR707" s="9" t="s">
        <v>162</v>
      </c>
      <c r="BS707" s="9" t="s">
        <v>162</v>
      </c>
      <c r="BT707" s="9" t="s">
        <v>162</v>
      </c>
      <c r="BV707" s="9" t="s">
        <v>162</v>
      </c>
      <c r="BW707" s="9" t="s">
        <v>162</v>
      </c>
      <c r="BX707" s="9" t="s">
        <v>162</v>
      </c>
      <c r="BZ707" s="9" t="s">
        <v>162</v>
      </c>
      <c r="CA707" s="9" t="s">
        <v>162</v>
      </c>
      <c r="CB707" s="9" t="s">
        <v>162</v>
      </c>
      <c r="CD707" s="9" t="s">
        <v>162</v>
      </c>
      <c r="CE707" s="9" t="s">
        <v>162</v>
      </c>
      <c r="CF707" s="9" t="s">
        <v>162</v>
      </c>
      <c r="CH707" s="9" t="s">
        <v>162</v>
      </c>
      <c r="CI707" s="9" t="s">
        <v>162</v>
      </c>
      <c r="CJ707" s="9" t="s">
        <v>162</v>
      </c>
      <c r="CL707" s="9" t="s">
        <v>162</v>
      </c>
      <c r="CM707" s="9" t="s">
        <v>162</v>
      </c>
      <c r="CN707" s="9" t="s">
        <v>162</v>
      </c>
      <c r="CP707" s="9" t="s">
        <v>162</v>
      </c>
      <c r="CQ707" s="9" t="s">
        <v>162</v>
      </c>
      <c r="CR707" s="9" t="s">
        <v>162</v>
      </c>
      <c r="CT707" s="9" t="s">
        <v>162</v>
      </c>
      <c r="CU707" s="9" t="s">
        <v>162</v>
      </c>
      <c r="CV707" s="9" t="s">
        <v>162</v>
      </c>
      <c r="CW707" s="9">
        <v>3</v>
      </c>
      <c r="CX707" s="9" t="s">
        <v>263</v>
      </c>
      <c r="CY707" s="9" t="s">
        <v>263</v>
      </c>
      <c r="CZ707" s="9">
        <v>80</v>
      </c>
      <c r="DA707" s="9">
        <v>40</v>
      </c>
      <c r="DB707" s="9">
        <v>50</v>
      </c>
      <c r="DC707" s="9">
        <v>80.2</v>
      </c>
      <c r="DE707" s="10">
        <v>209</v>
      </c>
      <c r="DF707" s="9">
        <v>110</v>
      </c>
      <c r="DG707" s="9">
        <f t="shared" ref="DG707:DG770" si="11">LN(DF707*DC707)/2</f>
        <v>4.5425019403324427</v>
      </c>
      <c r="DH707" s="9">
        <v>22</v>
      </c>
      <c r="DI707" s="9">
        <v>4.2300000000000004</v>
      </c>
      <c r="DJ707" s="9">
        <v>5.7</v>
      </c>
      <c r="DK707" s="9">
        <v>28.7</v>
      </c>
      <c r="DL707" s="9">
        <v>80.099999999999994</v>
      </c>
      <c r="DM707" s="9">
        <v>106.9</v>
      </c>
      <c r="DP707" s="11">
        <v>2</v>
      </c>
      <c r="DR707" s="9">
        <v>2</v>
      </c>
    </row>
    <row r="708" spans="1:125" x14ac:dyDescent="0.2">
      <c r="A708" s="7">
        <v>621</v>
      </c>
      <c r="B708" s="8">
        <v>43279</v>
      </c>
      <c r="C708" s="9" t="s">
        <v>95</v>
      </c>
      <c r="D708" s="9">
        <v>29</v>
      </c>
      <c r="E708" s="9" t="s">
        <v>96</v>
      </c>
      <c r="F708" s="8">
        <v>32541</v>
      </c>
      <c r="G708" s="9" t="s">
        <v>314</v>
      </c>
      <c r="H708" s="9" t="s">
        <v>162</v>
      </c>
      <c r="I708" s="9" t="s">
        <v>162</v>
      </c>
      <c r="J708" s="9" t="s">
        <v>162</v>
      </c>
      <c r="K708" s="9" t="s">
        <v>162</v>
      </c>
      <c r="L708" s="9" t="s">
        <v>162</v>
      </c>
      <c r="M708" s="9" t="s">
        <v>162</v>
      </c>
      <c r="N708" s="9" t="s">
        <v>162</v>
      </c>
      <c r="O708" s="9" t="s">
        <v>162</v>
      </c>
      <c r="P708" s="9" t="s">
        <v>162</v>
      </c>
      <c r="Q708" s="10" t="s">
        <v>322</v>
      </c>
      <c r="R708" s="9" t="s">
        <v>162</v>
      </c>
      <c r="S708" s="9" t="s">
        <v>162</v>
      </c>
      <c r="T708" s="9" t="s">
        <v>162</v>
      </c>
      <c r="U708" s="9" t="s">
        <v>162</v>
      </c>
      <c r="V708" s="9" t="s">
        <v>162</v>
      </c>
      <c r="W708" s="9" t="s">
        <v>162</v>
      </c>
      <c r="X708" s="9" t="s">
        <v>162</v>
      </c>
      <c r="Y708" s="9" t="s">
        <v>162</v>
      </c>
      <c r="Z708" s="10" t="s">
        <v>6305</v>
      </c>
      <c r="AA708" s="9" t="s">
        <v>96</v>
      </c>
      <c r="AB708" s="9" t="s">
        <v>162</v>
      </c>
      <c r="AC708" s="9" t="s">
        <v>96</v>
      </c>
      <c r="AD708" s="9" t="s">
        <v>162</v>
      </c>
      <c r="AE708" s="10" t="s">
        <v>35</v>
      </c>
      <c r="AF708" s="9" t="s">
        <v>162</v>
      </c>
      <c r="AG708" s="9" t="s">
        <v>162</v>
      </c>
      <c r="AH708" s="9" t="s">
        <v>162</v>
      </c>
      <c r="AI708" s="9" t="s">
        <v>162</v>
      </c>
      <c r="AJ708" s="9" t="s">
        <v>162</v>
      </c>
      <c r="AK708" s="9" t="s">
        <v>162</v>
      </c>
      <c r="AL708" s="9">
        <v>46.4</v>
      </c>
      <c r="AM708" s="9">
        <v>158</v>
      </c>
      <c r="AN708" s="9">
        <v>62.6</v>
      </c>
      <c r="AO708" s="9">
        <v>86.5</v>
      </c>
      <c r="AP708" s="9">
        <v>22.9</v>
      </c>
      <c r="AQ708" s="9">
        <v>3</v>
      </c>
      <c r="AR708" s="9">
        <v>30.6</v>
      </c>
      <c r="AS708" s="9">
        <v>18</v>
      </c>
      <c r="AT708" s="7">
        <v>18.600000000000001</v>
      </c>
      <c r="AU708" s="9">
        <v>111</v>
      </c>
      <c r="AV708" s="9">
        <v>71</v>
      </c>
      <c r="AX708" s="9" t="s">
        <v>162</v>
      </c>
      <c r="AY708" s="9" t="s">
        <v>162</v>
      </c>
      <c r="AZ708" s="9" t="s">
        <v>162</v>
      </c>
      <c r="BB708" s="9" t="s">
        <v>162</v>
      </c>
      <c r="BC708" s="9" t="s">
        <v>162</v>
      </c>
      <c r="BD708" s="9" t="s">
        <v>162</v>
      </c>
      <c r="BF708" s="9" t="s">
        <v>162</v>
      </c>
      <c r="BG708" s="9" t="s">
        <v>162</v>
      </c>
      <c r="BH708" s="9" t="s">
        <v>162</v>
      </c>
      <c r="BI708" s="9" t="s">
        <v>162</v>
      </c>
      <c r="BJ708" s="9" t="s">
        <v>162</v>
      </c>
      <c r="BK708" s="9" t="s">
        <v>162</v>
      </c>
      <c r="BN708" s="9" t="s">
        <v>162</v>
      </c>
      <c r="BO708" s="9" t="s">
        <v>162</v>
      </c>
      <c r="BP708" s="9" t="s">
        <v>162</v>
      </c>
      <c r="BR708" s="9" t="s">
        <v>162</v>
      </c>
      <c r="BS708" s="9" t="s">
        <v>162</v>
      </c>
      <c r="BT708" s="9" t="s">
        <v>162</v>
      </c>
      <c r="BV708" s="9" t="s">
        <v>162</v>
      </c>
      <c r="BW708" s="9" t="s">
        <v>162</v>
      </c>
      <c r="BX708" s="9" t="s">
        <v>162</v>
      </c>
      <c r="BZ708" s="9" t="s">
        <v>162</v>
      </c>
      <c r="CA708" s="9" t="s">
        <v>162</v>
      </c>
      <c r="CB708" s="9" t="s">
        <v>162</v>
      </c>
      <c r="CD708" s="9" t="s">
        <v>162</v>
      </c>
      <c r="CE708" s="9" t="s">
        <v>162</v>
      </c>
      <c r="CF708" s="9" t="s">
        <v>162</v>
      </c>
      <c r="CH708" s="9" t="s">
        <v>162</v>
      </c>
      <c r="CI708" s="9" t="s">
        <v>162</v>
      </c>
      <c r="CJ708" s="9" t="s">
        <v>162</v>
      </c>
      <c r="CL708" s="9" t="s">
        <v>162</v>
      </c>
      <c r="CM708" s="9" t="s">
        <v>162</v>
      </c>
      <c r="CN708" s="9" t="s">
        <v>162</v>
      </c>
      <c r="CP708" s="9" t="s">
        <v>162</v>
      </c>
      <c r="CQ708" s="9" t="s">
        <v>162</v>
      </c>
      <c r="CR708" s="9" t="s">
        <v>162</v>
      </c>
      <c r="CT708" s="9" t="s">
        <v>162</v>
      </c>
      <c r="CU708" s="9" t="s">
        <v>162</v>
      </c>
      <c r="CV708" s="9" t="s">
        <v>162</v>
      </c>
      <c r="CW708" s="9" t="s">
        <v>162</v>
      </c>
      <c r="CX708" s="9" t="s">
        <v>162</v>
      </c>
      <c r="CY708" s="9" t="s">
        <v>162</v>
      </c>
      <c r="CZ708" s="9" t="s">
        <v>162</v>
      </c>
      <c r="DA708" s="9" t="s">
        <v>162</v>
      </c>
      <c r="DB708" s="9" t="s">
        <v>162</v>
      </c>
      <c r="DC708" s="9">
        <v>75.5</v>
      </c>
      <c r="DD708" s="9">
        <v>0.48</v>
      </c>
      <c r="DE708" s="9">
        <v>116</v>
      </c>
      <c r="DF708" s="9">
        <v>26</v>
      </c>
      <c r="DG708" s="9">
        <f t="shared" si="11"/>
        <v>3.7911145971382307</v>
      </c>
      <c r="DH708" s="9">
        <v>5.2</v>
      </c>
      <c r="DI708" s="9">
        <v>2.86</v>
      </c>
      <c r="DJ708" s="9">
        <v>19</v>
      </c>
      <c r="DK708" s="9">
        <v>21</v>
      </c>
      <c r="DL708" s="9">
        <v>46.4</v>
      </c>
      <c r="DM708" s="9">
        <v>64.400000000000006</v>
      </c>
      <c r="DP708" s="11">
        <v>3</v>
      </c>
      <c r="DQ708" s="9">
        <v>3</v>
      </c>
      <c r="DR708" s="9">
        <v>2</v>
      </c>
      <c r="DU708" s="9">
        <v>4</v>
      </c>
    </row>
    <row r="709" spans="1:125" x14ac:dyDescent="0.2">
      <c r="A709" s="36">
        <v>622</v>
      </c>
      <c r="B709" s="8">
        <v>43279</v>
      </c>
      <c r="C709" s="9" t="s">
        <v>95</v>
      </c>
      <c r="D709" s="9">
        <v>56</v>
      </c>
      <c r="E709" s="9" t="s">
        <v>3592</v>
      </c>
      <c r="F709" s="8">
        <v>22634</v>
      </c>
      <c r="G709" s="9" t="s">
        <v>162</v>
      </c>
      <c r="H709" s="9" t="s">
        <v>162</v>
      </c>
      <c r="I709" s="9" t="s">
        <v>162</v>
      </c>
      <c r="J709" s="9">
        <v>2012</v>
      </c>
      <c r="K709" s="9">
        <v>1991</v>
      </c>
      <c r="L709" s="9">
        <v>2</v>
      </c>
      <c r="M709" s="9" t="s">
        <v>162</v>
      </c>
      <c r="N709" s="9" t="s">
        <v>162</v>
      </c>
      <c r="O709" s="9" t="s">
        <v>162</v>
      </c>
      <c r="P709" s="9" t="s">
        <v>263</v>
      </c>
      <c r="Q709" s="9" t="s">
        <v>263</v>
      </c>
      <c r="R709" s="9" t="s">
        <v>162</v>
      </c>
      <c r="S709" s="9" t="s">
        <v>6306</v>
      </c>
      <c r="T709" s="9" t="s">
        <v>6307</v>
      </c>
      <c r="U709" s="9" t="s">
        <v>162</v>
      </c>
      <c r="V709" s="9" t="s">
        <v>162</v>
      </c>
      <c r="W709" s="9" t="s">
        <v>6308</v>
      </c>
      <c r="X709" s="9" t="s">
        <v>162</v>
      </c>
      <c r="Y709" s="9" t="s">
        <v>162</v>
      </c>
      <c r="Z709" s="9" t="s">
        <v>545</v>
      </c>
      <c r="AA709" s="49" t="s">
        <v>6309</v>
      </c>
      <c r="AB709" s="35" t="s">
        <v>6281</v>
      </c>
      <c r="AC709" s="49" t="s">
        <v>6309</v>
      </c>
      <c r="AD709" s="35" t="s">
        <v>6281</v>
      </c>
      <c r="AE709" s="9" t="s">
        <v>6310</v>
      </c>
      <c r="AF709" s="9" t="s">
        <v>6198</v>
      </c>
      <c r="AG709" s="9" t="s">
        <v>162</v>
      </c>
      <c r="AH709" s="9" t="s">
        <v>36</v>
      </c>
      <c r="AI709" s="9" t="s">
        <v>162</v>
      </c>
      <c r="AJ709" s="9" t="s">
        <v>162</v>
      </c>
      <c r="AK709" s="9" t="s">
        <v>162</v>
      </c>
      <c r="AL709" s="9">
        <v>62.2</v>
      </c>
      <c r="AM709" s="9">
        <v>154</v>
      </c>
      <c r="AN709" s="9">
        <v>87</v>
      </c>
      <c r="AO709" s="9">
        <v>103</v>
      </c>
      <c r="AP709" s="9">
        <v>40.799999999999997</v>
      </c>
      <c r="AQ709" s="9">
        <v>8</v>
      </c>
      <c r="AR709" s="9">
        <v>24.3</v>
      </c>
      <c r="AS709" s="9">
        <v>59</v>
      </c>
      <c r="AT709" s="10">
        <v>26.2</v>
      </c>
      <c r="AU709" s="10">
        <v>136</v>
      </c>
      <c r="AV709" s="10">
        <v>83</v>
      </c>
      <c r="AX709" s="9" t="s">
        <v>1436</v>
      </c>
      <c r="BB709" s="9" t="s">
        <v>162</v>
      </c>
      <c r="BC709" s="9" t="s">
        <v>162</v>
      </c>
      <c r="BD709" s="9" t="s">
        <v>162</v>
      </c>
      <c r="BF709" s="9" t="s">
        <v>375</v>
      </c>
      <c r="BG709" s="9" t="s">
        <v>375</v>
      </c>
      <c r="BH709" s="9" t="s">
        <v>276</v>
      </c>
      <c r="BI709" s="9" t="s">
        <v>375</v>
      </c>
      <c r="BJ709" s="9" t="s">
        <v>162</v>
      </c>
      <c r="BK709" s="9" t="s">
        <v>276</v>
      </c>
      <c r="BN709" s="9" t="s">
        <v>162</v>
      </c>
      <c r="BO709" s="9" t="s">
        <v>162</v>
      </c>
      <c r="BP709" s="9" t="s">
        <v>162</v>
      </c>
      <c r="BR709" s="9" t="s">
        <v>162</v>
      </c>
      <c r="BS709" s="9" t="s">
        <v>162</v>
      </c>
      <c r="BT709" s="9" t="s">
        <v>162</v>
      </c>
      <c r="BV709" s="9" t="s">
        <v>162</v>
      </c>
      <c r="BW709" s="9" t="s">
        <v>162</v>
      </c>
      <c r="BX709" s="9" t="s">
        <v>162</v>
      </c>
      <c r="BZ709" s="9" t="s">
        <v>162</v>
      </c>
      <c r="CA709" s="9" t="s">
        <v>162</v>
      </c>
      <c r="CB709" s="9" t="s">
        <v>162</v>
      </c>
      <c r="CD709" s="9" t="s">
        <v>162</v>
      </c>
      <c r="CE709" s="9" t="s">
        <v>162</v>
      </c>
      <c r="CF709" s="9" t="s">
        <v>162</v>
      </c>
      <c r="CH709" s="9" t="s">
        <v>162</v>
      </c>
      <c r="CI709" s="9" t="s">
        <v>162</v>
      </c>
      <c r="CJ709" s="9" t="s">
        <v>162</v>
      </c>
      <c r="CL709" s="9" t="s">
        <v>333</v>
      </c>
      <c r="CM709" s="9" t="s">
        <v>1155</v>
      </c>
      <c r="CP709" s="9" t="s">
        <v>162</v>
      </c>
      <c r="CQ709" s="9" t="s">
        <v>162</v>
      </c>
      <c r="CR709" s="9" t="s">
        <v>162</v>
      </c>
      <c r="CT709" s="9" t="s">
        <v>6311</v>
      </c>
      <c r="CW709" s="9">
        <v>3</v>
      </c>
      <c r="CX709" s="9" t="s">
        <v>368</v>
      </c>
      <c r="CY709" s="9" t="s">
        <v>368</v>
      </c>
      <c r="CZ709" s="9">
        <v>50</v>
      </c>
      <c r="DA709" s="9">
        <v>20</v>
      </c>
      <c r="DB709" s="9">
        <v>30</v>
      </c>
      <c r="DC709" s="9">
        <v>75.2</v>
      </c>
      <c r="DD709" s="9">
        <v>0.61</v>
      </c>
      <c r="DE709" s="9">
        <v>161</v>
      </c>
      <c r="DF709" s="10">
        <v>156</v>
      </c>
      <c r="DG709" s="9">
        <f t="shared" si="11"/>
        <v>4.6850036191026661</v>
      </c>
      <c r="DH709" s="9">
        <v>31.2</v>
      </c>
      <c r="DI709" s="9">
        <v>4.7699999999999996</v>
      </c>
      <c r="DJ709" s="9">
        <v>19.7</v>
      </c>
      <c r="DK709" s="9">
        <v>28</v>
      </c>
      <c r="DL709" s="9">
        <v>46.6</v>
      </c>
      <c r="DM709" s="9">
        <v>83.2</v>
      </c>
      <c r="DP709" s="18">
        <v>1</v>
      </c>
      <c r="DQ709" s="9">
        <v>2</v>
      </c>
      <c r="DR709" s="30">
        <v>1</v>
      </c>
      <c r="DT709" s="9">
        <v>9.6</v>
      </c>
      <c r="DU709" s="9">
        <v>4.5999999999999996</v>
      </c>
    </row>
    <row r="710" spans="1:125" s="14" customFormat="1" x14ac:dyDescent="0.2">
      <c r="A710" s="39">
        <v>623</v>
      </c>
      <c r="B710" s="8">
        <v>43279</v>
      </c>
      <c r="C710" s="14" t="s">
        <v>95</v>
      </c>
      <c r="D710" s="14">
        <v>57</v>
      </c>
      <c r="E710" s="14" t="s">
        <v>162</v>
      </c>
      <c r="F710" s="106">
        <v>22400</v>
      </c>
      <c r="G710" s="14" t="s">
        <v>162</v>
      </c>
      <c r="H710" s="14" t="s">
        <v>162</v>
      </c>
      <c r="I710" s="14" t="s">
        <v>162</v>
      </c>
      <c r="J710" s="14">
        <v>2010</v>
      </c>
      <c r="K710" s="14">
        <v>1990</v>
      </c>
      <c r="L710" s="14">
        <v>6</v>
      </c>
      <c r="M710" s="14" t="s">
        <v>263</v>
      </c>
      <c r="N710" s="10" t="s">
        <v>368</v>
      </c>
      <c r="O710" s="14" t="s">
        <v>162</v>
      </c>
      <c r="P710" s="10" t="s">
        <v>6312</v>
      </c>
      <c r="Q710" s="14" t="s">
        <v>263</v>
      </c>
      <c r="R710" s="14" t="s">
        <v>368</v>
      </c>
      <c r="S710" s="14" t="s">
        <v>588</v>
      </c>
      <c r="T710" s="14" t="s">
        <v>263</v>
      </c>
      <c r="U710" s="14" t="s">
        <v>6313</v>
      </c>
      <c r="V710" s="14" t="s">
        <v>263</v>
      </c>
      <c r="W710" s="14" t="s">
        <v>6314</v>
      </c>
      <c r="X710" s="14" t="s">
        <v>263</v>
      </c>
      <c r="Y710" s="14" t="s">
        <v>6168</v>
      </c>
      <c r="Z710" s="14" t="s">
        <v>162</v>
      </c>
      <c r="AA710" s="14" t="s">
        <v>96</v>
      </c>
      <c r="AB710" s="14" t="s">
        <v>96</v>
      </c>
      <c r="AC710" s="14" t="s">
        <v>96</v>
      </c>
      <c r="AD710" s="14" t="s">
        <v>96</v>
      </c>
      <c r="AE710" s="14" t="s">
        <v>35</v>
      </c>
      <c r="AF710" s="14" t="s">
        <v>35</v>
      </c>
      <c r="AG710" s="14" t="s">
        <v>263</v>
      </c>
      <c r="AH710" s="14" t="s">
        <v>263</v>
      </c>
      <c r="AI710" s="14" t="s">
        <v>263</v>
      </c>
      <c r="AJ710" s="14" t="s">
        <v>263</v>
      </c>
      <c r="AK710" s="14" t="s">
        <v>263</v>
      </c>
      <c r="AL710" s="14">
        <v>66.2</v>
      </c>
      <c r="AM710" s="14" t="s">
        <v>162</v>
      </c>
      <c r="AN710" s="14">
        <v>91</v>
      </c>
      <c r="AO710" s="14">
        <v>111</v>
      </c>
      <c r="AP710" s="14">
        <v>14.3</v>
      </c>
      <c r="AQ710" s="14">
        <v>14.3</v>
      </c>
      <c r="AR710" s="14">
        <v>53.9</v>
      </c>
      <c r="AS710" s="14">
        <v>18</v>
      </c>
      <c r="AT710" s="14" t="s">
        <v>162</v>
      </c>
      <c r="AU710" s="14">
        <v>135</v>
      </c>
      <c r="AV710" s="14">
        <v>78</v>
      </c>
      <c r="AX710" s="14" t="s">
        <v>162</v>
      </c>
      <c r="AY710" s="14" t="s">
        <v>162</v>
      </c>
      <c r="AZ710" s="14" t="s">
        <v>162</v>
      </c>
      <c r="BB710" s="14" t="s">
        <v>162</v>
      </c>
      <c r="BC710" s="14" t="s">
        <v>162</v>
      </c>
      <c r="BD710" s="14" t="s">
        <v>162</v>
      </c>
      <c r="BF710" s="14" t="s">
        <v>322</v>
      </c>
      <c r="BG710" s="14" t="s">
        <v>322</v>
      </c>
      <c r="BH710" s="14" t="s">
        <v>322</v>
      </c>
      <c r="BI710" s="14" t="s">
        <v>375</v>
      </c>
      <c r="BJ710" s="14" t="s">
        <v>375</v>
      </c>
      <c r="BK710" s="14" t="s">
        <v>276</v>
      </c>
      <c r="BN710" s="14" t="s">
        <v>162</v>
      </c>
      <c r="BO710" s="14" t="s">
        <v>162</v>
      </c>
      <c r="BP710" s="14" t="s">
        <v>162</v>
      </c>
      <c r="BR710" s="14" t="s">
        <v>162</v>
      </c>
      <c r="BS710" s="14" t="s">
        <v>162</v>
      </c>
      <c r="BT710" s="14" t="s">
        <v>162</v>
      </c>
      <c r="BV710" s="14" t="s">
        <v>162</v>
      </c>
      <c r="BW710" s="14" t="s">
        <v>162</v>
      </c>
      <c r="BX710" s="14" t="s">
        <v>162</v>
      </c>
      <c r="BZ710" s="14" t="s">
        <v>162</v>
      </c>
      <c r="CA710" s="14" t="s">
        <v>162</v>
      </c>
      <c r="CB710" s="14" t="s">
        <v>162</v>
      </c>
      <c r="CD710" s="14" t="s">
        <v>162</v>
      </c>
      <c r="CE710" s="14" t="s">
        <v>162</v>
      </c>
      <c r="CF710" s="14" t="s">
        <v>162</v>
      </c>
      <c r="CH710" s="14" t="s">
        <v>162</v>
      </c>
      <c r="CI710" s="14" t="s">
        <v>162</v>
      </c>
      <c r="CJ710" s="14" t="s">
        <v>162</v>
      </c>
      <c r="CL710" s="14" t="s">
        <v>162</v>
      </c>
      <c r="CM710" s="14" t="s">
        <v>162</v>
      </c>
      <c r="CN710" s="14" t="s">
        <v>162</v>
      </c>
      <c r="CP710" s="14" t="s">
        <v>162</v>
      </c>
      <c r="CQ710" s="14" t="s">
        <v>162</v>
      </c>
      <c r="CR710" s="14" t="s">
        <v>162</v>
      </c>
      <c r="CT710" s="14" t="s">
        <v>162</v>
      </c>
      <c r="CU710" s="14" t="s">
        <v>162</v>
      </c>
      <c r="CV710" s="14" t="s">
        <v>162</v>
      </c>
      <c r="CW710" s="14" t="s">
        <v>162</v>
      </c>
      <c r="CX710" s="14" t="s">
        <v>162</v>
      </c>
      <c r="CY710" s="14" t="s">
        <v>162</v>
      </c>
      <c r="CZ710" s="14" t="s">
        <v>162</v>
      </c>
      <c r="DA710" s="14" t="s">
        <v>162</v>
      </c>
      <c r="DB710" s="14" t="s">
        <v>162</v>
      </c>
      <c r="DC710" s="39">
        <v>79.3</v>
      </c>
      <c r="DD710" s="39">
        <v>0.42</v>
      </c>
      <c r="DE710" s="10">
        <v>264</v>
      </c>
      <c r="DF710" s="39">
        <v>139</v>
      </c>
      <c r="DG710" s="9">
        <f t="shared" si="11"/>
        <v>4.6538560308857466</v>
      </c>
      <c r="DH710" s="39">
        <v>27.8</v>
      </c>
      <c r="DI710" s="39">
        <v>4.59</v>
      </c>
      <c r="DJ710" s="39">
        <v>18.7</v>
      </c>
      <c r="DK710" s="39">
        <v>15</v>
      </c>
      <c r="DL710" s="39">
        <v>53.3</v>
      </c>
      <c r="DM710" s="39">
        <v>182.9</v>
      </c>
      <c r="DN710" s="39"/>
      <c r="DO710" s="39"/>
      <c r="DP710" s="40">
        <v>2</v>
      </c>
      <c r="DQ710" s="14">
        <v>2</v>
      </c>
      <c r="DR710" s="14">
        <v>3</v>
      </c>
      <c r="DU710" s="14">
        <v>4.3</v>
      </c>
    </row>
    <row r="711" spans="1:125" x14ac:dyDescent="0.2">
      <c r="A711" s="9">
        <v>624</v>
      </c>
      <c r="B711" s="8">
        <v>43279</v>
      </c>
      <c r="C711" s="9" t="s">
        <v>95</v>
      </c>
      <c r="D711" s="9">
        <v>66</v>
      </c>
      <c r="E711" s="9" t="s">
        <v>96</v>
      </c>
      <c r="F711" s="8">
        <v>18923</v>
      </c>
      <c r="G711" s="9" t="s">
        <v>1892</v>
      </c>
      <c r="H711" s="9" t="s">
        <v>6302</v>
      </c>
      <c r="I711" s="9" t="s">
        <v>162</v>
      </c>
      <c r="J711" s="9">
        <v>2012</v>
      </c>
      <c r="K711" s="9">
        <v>1989</v>
      </c>
      <c r="L711" s="9" t="s">
        <v>6315</v>
      </c>
      <c r="M711" s="9" t="s">
        <v>263</v>
      </c>
      <c r="N711" s="9" t="s">
        <v>263</v>
      </c>
      <c r="O711" s="9" t="s">
        <v>263</v>
      </c>
      <c r="P711" s="9" t="s">
        <v>263</v>
      </c>
      <c r="Q711" s="9" t="s">
        <v>263</v>
      </c>
      <c r="R711" s="9" t="s">
        <v>368</v>
      </c>
      <c r="S711" s="9" t="s">
        <v>162</v>
      </c>
      <c r="T711" s="9" t="s">
        <v>162</v>
      </c>
      <c r="U711" s="9" t="s">
        <v>263</v>
      </c>
      <c r="V711" s="9" t="s">
        <v>162</v>
      </c>
      <c r="W711" s="9" t="s">
        <v>6314</v>
      </c>
      <c r="X711" s="9" t="s">
        <v>162</v>
      </c>
      <c r="Y711" s="10" t="s">
        <v>5682</v>
      </c>
      <c r="Z711" s="9" t="s">
        <v>545</v>
      </c>
      <c r="AA711" s="9" t="s">
        <v>96</v>
      </c>
      <c r="AB711" s="9" t="s">
        <v>96</v>
      </c>
      <c r="AC711" s="9" t="s">
        <v>96</v>
      </c>
      <c r="AD711" s="9" t="s">
        <v>3535</v>
      </c>
      <c r="AE711" s="9" t="s">
        <v>263</v>
      </c>
      <c r="AF711" s="9" t="s">
        <v>263</v>
      </c>
      <c r="AG711" s="9" t="s">
        <v>35</v>
      </c>
      <c r="AH711" s="9" t="s">
        <v>263</v>
      </c>
      <c r="AI711" s="9" t="s">
        <v>263</v>
      </c>
      <c r="AJ711" s="9" t="s">
        <v>263</v>
      </c>
      <c r="AK711" s="9" t="s">
        <v>263</v>
      </c>
      <c r="AL711" s="9">
        <v>81.599999999999994</v>
      </c>
      <c r="AM711" s="9">
        <v>168</v>
      </c>
      <c r="AN711" s="46">
        <v>92.2</v>
      </c>
      <c r="AO711" s="9">
        <v>116.7</v>
      </c>
      <c r="AP711" s="9">
        <v>44.5</v>
      </c>
      <c r="AQ711" s="9">
        <v>11</v>
      </c>
      <c r="AR711" s="9">
        <v>23.5</v>
      </c>
      <c r="AS711" s="9">
        <v>66</v>
      </c>
      <c r="AT711" s="9">
        <v>28.9</v>
      </c>
      <c r="AU711" s="10">
        <v>137</v>
      </c>
      <c r="AV711" s="9">
        <v>64</v>
      </c>
      <c r="AX711" s="9" t="s">
        <v>162</v>
      </c>
      <c r="AY711" s="9" t="s">
        <v>162</v>
      </c>
      <c r="AZ711" s="9" t="s">
        <v>162</v>
      </c>
      <c r="BB711" s="9" t="s">
        <v>162</v>
      </c>
      <c r="BC711" s="9" t="s">
        <v>162</v>
      </c>
      <c r="BD711" s="9" t="s">
        <v>162</v>
      </c>
      <c r="BF711" s="9" t="s">
        <v>162</v>
      </c>
      <c r="BG711" s="9" t="s">
        <v>162</v>
      </c>
      <c r="BH711" s="9" t="s">
        <v>162</v>
      </c>
      <c r="BI711" s="9" t="s">
        <v>162</v>
      </c>
      <c r="BJ711" s="9" t="s">
        <v>162</v>
      </c>
      <c r="BK711" s="9" t="s">
        <v>162</v>
      </c>
      <c r="BN711" s="9" t="s">
        <v>162</v>
      </c>
      <c r="BO711" s="9" t="s">
        <v>162</v>
      </c>
      <c r="BP711" s="9" t="s">
        <v>162</v>
      </c>
      <c r="BR711" s="9" t="s">
        <v>162</v>
      </c>
      <c r="BS711" s="9" t="s">
        <v>162</v>
      </c>
      <c r="BT711" s="9" t="s">
        <v>162</v>
      </c>
      <c r="BV711" s="9" t="s">
        <v>162</v>
      </c>
      <c r="BW711" s="9" t="s">
        <v>162</v>
      </c>
      <c r="BX711" s="9" t="s">
        <v>162</v>
      </c>
      <c r="BZ711" s="9" t="s">
        <v>162</v>
      </c>
      <c r="CA711" s="9" t="s">
        <v>162</v>
      </c>
      <c r="CB711" s="9" t="s">
        <v>162</v>
      </c>
      <c r="CD711" s="9" t="s">
        <v>162</v>
      </c>
      <c r="CE711" s="9" t="s">
        <v>162</v>
      </c>
      <c r="CF711" s="9" t="s">
        <v>162</v>
      </c>
      <c r="CH711" s="9" t="s">
        <v>162</v>
      </c>
      <c r="CI711" s="9" t="s">
        <v>162</v>
      </c>
      <c r="CJ711" s="9" t="s">
        <v>162</v>
      </c>
      <c r="CL711" s="9" t="s">
        <v>162</v>
      </c>
      <c r="CM711" s="9" t="s">
        <v>162</v>
      </c>
      <c r="CN711" s="9" t="s">
        <v>162</v>
      </c>
      <c r="CP711" s="9" t="s">
        <v>162</v>
      </c>
      <c r="CQ711" s="9" t="s">
        <v>162</v>
      </c>
      <c r="CR711" s="9" t="s">
        <v>162</v>
      </c>
      <c r="CT711" s="9" t="s">
        <v>162</v>
      </c>
      <c r="CU711" s="9" t="s">
        <v>162</v>
      </c>
      <c r="CV711" s="9" t="s">
        <v>162</v>
      </c>
      <c r="CW711" s="45" t="s">
        <v>1633</v>
      </c>
      <c r="CX711" s="9" t="s">
        <v>263</v>
      </c>
      <c r="CY711" s="9" t="s">
        <v>263</v>
      </c>
      <c r="CZ711" s="9">
        <v>90</v>
      </c>
      <c r="DA711" s="9">
        <v>20</v>
      </c>
      <c r="DB711" s="9">
        <v>50</v>
      </c>
      <c r="DC711" s="9">
        <v>77</v>
      </c>
      <c r="DD711" s="9">
        <v>0.54</v>
      </c>
      <c r="DE711" s="10">
        <v>227</v>
      </c>
      <c r="DF711" s="10">
        <v>234</v>
      </c>
      <c r="DG711" s="9">
        <f t="shared" si="11"/>
        <v>4.8995632686056929</v>
      </c>
      <c r="DH711" s="9">
        <v>46.8</v>
      </c>
      <c r="DI711" s="9">
        <v>4.0999999999999996</v>
      </c>
      <c r="DJ711" s="9">
        <v>19.7</v>
      </c>
      <c r="DK711" s="9">
        <v>52.3</v>
      </c>
      <c r="DL711" s="9">
        <v>56.5</v>
      </c>
      <c r="DM711" s="9">
        <v>123.7</v>
      </c>
      <c r="DP711" s="11">
        <v>2</v>
      </c>
      <c r="DQ711" s="9">
        <v>3</v>
      </c>
      <c r="DR711" s="9">
        <v>2</v>
      </c>
    </row>
    <row r="712" spans="1:125" x14ac:dyDescent="0.2">
      <c r="A712" s="36">
        <v>625</v>
      </c>
      <c r="B712" s="8">
        <v>43279</v>
      </c>
      <c r="C712" s="9" t="s">
        <v>107</v>
      </c>
      <c r="D712" s="9">
        <v>50</v>
      </c>
      <c r="E712" s="9" t="s">
        <v>96</v>
      </c>
      <c r="F712" s="9" t="s">
        <v>162</v>
      </c>
      <c r="G712" s="9" t="s">
        <v>6316</v>
      </c>
      <c r="H712" s="9" t="s">
        <v>6317</v>
      </c>
      <c r="I712" s="9" t="s">
        <v>162</v>
      </c>
      <c r="J712" s="9" t="s">
        <v>162</v>
      </c>
      <c r="K712" s="9" t="s">
        <v>162</v>
      </c>
      <c r="L712" s="9" t="s">
        <v>162</v>
      </c>
      <c r="M712" s="9" t="s">
        <v>263</v>
      </c>
      <c r="N712" s="9" t="s">
        <v>263</v>
      </c>
      <c r="O712" s="9" t="s">
        <v>263</v>
      </c>
      <c r="P712" s="10" t="s">
        <v>6318</v>
      </c>
      <c r="Q712" s="10" t="s">
        <v>369</v>
      </c>
      <c r="R712" s="9" t="s">
        <v>368</v>
      </c>
      <c r="S712" s="9" t="s">
        <v>368</v>
      </c>
      <c r="T712" s="9" t="s">
        <v>368</v>
      </c>
      <c r="U712" s="9" t="s">
        <v>263</v>
      </c>
      <c r="V712" s="9" t="s">
        <v>263</v>
      </c>
      <c r="W712" s="9" t="s">
        <v>1943</v>
      </c>
      <c r="X712" s="9" t="s">
        <v>162</v>
      </c>
      <c r="Y712" s="9" t="s">
        <v>545</v>
      </c>
      <c r="Z712" s="9" t="s">
        <v>162</v>
      </c>
      <c r="AA712" s="9" t="s">
        <v>96</v>
      </c>
      <c r="AB712" s="9" t="s">
        <v>96</v>
      </c>
      <c r="AC712" s="9" t="s">
        <v>96</v>
      </c>
      <c r="AD712" s="9" t="s">
        <v>96</v>
      </c>
      <c r="AE712" s="9" t="s">
        <v>36</v>
      </c>
      <c r="AF712" s="9" t="s">
        <v>162</v>
      </c>
      <c r="AG712" s="9" t="s">
        <v>162</v>
      </c>
      <c r="AH712" s="9" t="s">
        <v>162</v>
      </c>
      <c r="AI712" s="9" t="s">
        <v>162</v>
      </c>
      <c r="AJ712" s="9" t="s">
        <v>162</v>
      </c>
      <c r="AK712" s="9" t="s">
        <v>162</v>
      </c>
      <c r="AL712" s="9">
        <v>104.9</v>
      </c>
      <c r="AM712" s="9">
        <v>170</v>
      </c>
      <c r="AN712" s="10">
        <v>129</v>
      </c>
      <c r="AO712" s="9">
        <v>120</v>
      </c>
      <c r="AP712" s="9">
        <v>37.299999999999997</v>
      </c>
      <c r="AQ712" s="9">
        <v>21</v>
      </c>
      <c r="AR712" s="9">
        <v>28.4</v>
      </c>
      <c r="AS712" s="9">
        <v>74</v>
      </c>
      <c r="AT712" s="9">
        <v>36.299999999999997</v>
      </c>
      <c r="AU712" s="10">
        <v>138</v>
      </c>
      <c r="AV712" s="9">
        <v>84</v>
      </c>
      <c r="AX712" s="9" t="s">
        <v>6319</v>
      </c>
      <c r="AY712" s="9" t="s">
        <v>6320</v>
      </c>
      <c r="BB712" s="9" t="s">
        <v>162</v>
      </c>
      <c r="BC712" s="9" t="s">
        <v>162</v>
      </c>
      <c r="BD712" s="9" t="s">
        <v>162</v>
      </c>
      <c r="BF712" s="9" t="s">
        <v>322</v>
      </c>
      <c r="BG712" s="9" t="s">
        <v>325</v>
      </c>
      <c r="BH712" s="9" t="s">
        <v>162</v>
      </c>
      <c r="BI712" s="9" t="s">
        <v>322</v>
      </c>
      <c r="BJ712" s="9" t="s">
        <v>6321</v>
      </c>
      <c r="BK712" s="9" t="s">
        <v>483</v>
      </c>
      <c r="BN712" s="9" t="s">
        <v>376</v>
      </c>
      <c r="BO712" s="9" t="s">
        <v>6322</v>
      </c>
      <c r="BP712" s="9" t="s">
        <v>6323</v>
      </c>
      <c r="BR712" s="9" t="s">
        <v>6324</v>
      </c>
      <c r="BS712" s="9" t="s">
        <v>6325</v>
      </c>
      <c r="BT712" s="9" t="s">
        <v>6326</v>
      </c>
      <c r="BV712" s="9" t="s">
        <v>6327</v>
      </c>
      <c r="BW712" s="9" t="s">
        <v>6328</v>
      </c>
      <c r="BZ712" s="9" t="s">
        <v>501</v>
      </c>
      <c r="CA712" s="9" t="s">
        <v>527</v>
      </c>
      <c r="CB712" s="9" t="s">
        <v>6329</v>
      </c>
      <c r="CD712" s="9" t="s">
        <v>162</v>
      </c>
      <c r="CE712" s="9" t="s">
        <v>162</v>
      </c>
      <c r="CF712" s="9" t="s">
        <v>162</v>
      </c>
      <c r="CH712" s="9" t="s">
        <v>162</v>
      </c>
      <c r="CI712" s="9" t="s">
        <v>162</v>
      </c>
      <c r="CJ712" s="9" t="s">
        <v>162</v>
      </c>
      <c r="CL712" s="9" t="s">
        <v>450</v>
      </c>
      <c r="CM712" s="9" t="s">
        <v>504</v>
      </c>
      <c r="CN712" s="9" t="s">
        <v>162</v>
      </c>
      <c r="CP712" s="9" t="s">
        <v>162</v>
      </c>
      <c r="CQ712" s="9" t="s">
        <v>162</v>
      </c>
      <c r="CR712" s="9" t="s">
        <v>162</v>
      </c>
      <c r="CT712" s="9" t="s">
        <v>6330</v>
      </c>
      <c r="CU712" s="9" t="s">
        <v>162</v>
      </c>
      <c r="CW712" s="9" t="s">
        <v>162</v>
      </c>
      <c r="CX712" s="9" t="s">
        <v>162</v>
      </c>
      <c r="CY712" s="9" t="s">
        <v>263</v>
      </c>
      <c r="CZ712" s="9">
        <v>25</v>
      </c>
      <c r="DA712" s="9">
        <v>25</v>
      </c>
      <c r="DB712" s="9">
        <v>50</v>
      </c>
      <c r="DC712" s="9">
        <v>84.1</v>
      </c>
      <c r="DD712" s="9">
        <v>0.75</v>
      </c>
      <c r="DE712" s="10">
        <v>268</v>
      </c>
      <c r="DF712" s="10">
        <v>256</v>
      </c>
      <c r="DG712" s="9">
        <f t="shared" si="11"/>
        <v>4.9885920057292328</v>
      </c>
      <c r="DH712" s="9">
        <v>51.2</v>
      </c>
      <c r="DI712" s="10">
        <v>7.43</v>
      </c>
      <c r="DJ712" s="9">
        <v>29</v>
      </c>
      <c r="DK712" s="9">
        <v>25.3</v>
      </c>
      <c r="DL712" s="10">
        <v>35.5</v>
      </c>
      <c r="DM712" s="9">
        <v>181.3</v>
      </c>
      <c r="DP712" s="11">
        <v>3</v>
      </c>
      <c r="DQ712" s="9">
        <v>2</v>
      </c>
      <c r="DR712" s="9">
        <v>3</v>
      </c>
      <c r="DT712" s="9">
        <v>15</v>
      </c>
      <c r="DU712" s="9">
        <v>4</v>
      </c>
    </row>
    <row r="713" spans="1:125" x14ac:dyDescent="0.2">
      <c r="A713" s="9">
        <v>626</v>
      </c>
      <c r="B713" s="8">
        <v>43279</v>
      </c>
      <c r="C713" s="9" t="s">
        <v>107</v>
      </c>
      <c r="D713" s="9">
        <v>58</v>
      </c>
      <c r="E713" s="9" t="s">
        <v>96</v>
      </c>
      <c r="F713" s="8">
        <v>22016</v>
      </c>
      <c r="G713" s="9" t="s">
        <v>400</v>
      </c>
      <c r="H713" s="9" t="s">
        <v>6331</v>
      </c>
      <c r="I713" s="9" t="s">
        <v>162</v>
      </c>
      <c r="J713" s="9" t="s">
        <v>162</v>
      </c>
      <c r="K713" s="9" t="s">
        <v>162</v>
      </c>
      <c r="L713" s="9" t="s">
        <v>162</v>
      </c>
      <c r="M713" s="9" t="s">
        <v>263</v>
      </c>
      <c r="N713" s="10" t="s">
        <v>368</v>
      </c>
      <c r="O713" s="9" t="s">
        <v>162</v>
      </c>
      <c r="P713" s="9" t="s">
        <v>263</v>
      </c>
      <c r="Q713" s="10" t="s">
        <v>4497</v>
      </c>
      <c r="R713" s="9" t="s">
        <v>368</v>
      </c>
      <c r="S713" s="9" t="s">
        <v>162</v>
      </c>
      <c r="T713" s="9" t="s">
        <v>162</v>
      </c>
      <c r="U713" s="9" t="s">
        <v>6332</v>
      </c>
      <c r="V713" s="9" t="s">
        <v>162</v>
      </c>
      <c r="W713" s="9" t="s">
        <v>6333</v>
      </c>
      <c r="X713" s="9" t="s">
        <v>162</v>
      </c>
      <c r="Y713" s="10" t="s">
        <v>6334</v>
      </c>
      <c r="Z713" s="9" t="s">
        <v>162</v>
      </c>
      <c r="AA713" s="36" t="s">
        <v>6335</v>
      </c>
      <c r="AB713" s="9" t="s">
        <v>1419</v>
      </c>
      <c r="AC713" s="37" t="s">
        <v>5707</v>
      </c>
      <c r="AD713" s="9" t="s">
        <v>1419</v>
      </c>
      <c r="AE713" s="9" t="s">
        <v>162</v>
      </c>
      <c r="AF713" s="9" t="s">
        <v>6336</v>
      </c>
      <c r="AG713" s="9" t="s">
        <v>6337</v>
      </c>
      <c r="AH713" s="9" t="s">
        <v>36</v>
      </c>
      <c r="AI713" s="9" t="s">
        <v>162</v>
      </c>
      <c r="AJ713" s="9" t="s">
        <v>162</v>
      </c>
      <c r="AK713" s="9" t="s">
        <v>162</v>
      </c>
      <c r="AL713" s="9">
        <v>81.2</v>
      </c>
      <c r="AM713" s="9">
        <v>165</v>
      </c>
      <c r="AN713" s="10">
        <v>105.5</v>
      </c>
      <c r="AO713" s="9">
        <v>104</v>
      </c>
      <c r="AP713" s="9" t="s">
        <v>162</v>
      </c>
      <c r="AQ713" s="9" t="s">
        <v>162</v>
      </c>
      <c r="AR713" s="9" t="s">
        <v>162</v>
      </c>
      <c r="AS713" s="9" t="s">
        <v>162</v>
      </c>
      <c r="AT713" s="10">
        <v>29.82</v>
      </c>
      <c r="AU713" s="10">
        <v>138</v>
      </c>
      <c r="AV713" s="10">
        <v>93</v>
      </c>
      <c r="AX713" s="9" t="s">
        <v>6338</v>
      </c>
      <c r="AY713" s="9" t="s">
        <v>162</v>
      </c>
      <c r="BB713" s="9" t="s">
        <v>162</v>
      </c>
      <c r="BC713" s="9" t="s">
        <v>162</v>
      </c>
      <c r="BD713" s="9" t="s">
        <v>162</v>
      </c>
      <c r="BF713" s="9" t="s">
        <v>375</v>
      </c>
      <c r="BG713" s="9" t="s">
        <v>375</v>
      </c>
      <c r="BH713" s="9" t="s">
        <v>375</v>
      </c>
      <c r="BI713" s="9" t="s">
        <v>375</v>
      </c>
      <c r="BJ713" s="9" t="s">
        <v>375</v>
      </c>
      <c r="BK713" s="9" t="s">
        <v>375</v>
      </c>
      <c r="BN713" s="9" t="s">
        <v>6339</v>
      </c>
      <c r="BO713" s="9" t="s">
        <v>162</v>
      </c>
      <c r="BP713" s="9" t="s">
        <v>162</v>
      </c>
      <c r="BR713" s="9" t="s">
        <v>162</v>
      </c>
      <c r="BS713" s="9" t="s">
        <v>162</v>
      </c>
      <c r="BT713" s="9" t="s">
        <v>162</v>
      </c>
      <c r="BV713" s="9" t="s">
        <v>162</v>
      </c>
      <c r="BW713" s="9" t="s">
        <v>162</v>
      </c>
      <c r="BX713" s="9" t="s">
        <v>162</v>
      </c>
      <c r="BZ713" s="9" t="s">
        <v>322</v>
      </c>
      <c r="CA713" s="9" t="s">
        <v>162</v>
      </c>
      <c r="CB713" s="9" t="s">
        <v>162</v>
      </c>
      <c r="CD713" s="9" t="s">
        <v>162</v>
      </c>
      <c r="CE713" s="9" t="s">
        <v>162</v>
      </c>
      <c r="CF713" s="9" t="s">
        <v>162</v>
      </c>
      <c r="CH713" s="9" t="s">
        <v>162</v>
      </c>
      <c r="CI713" s="9" t="s">
        <v>162</v>
      </c>
      <c r="CJ713" s="9" t="s">
        <v>162</v>
      </c>
      <c r="CL713" s="9" t="s">
        <v>6340</v>
      </c>
      <c r="CM713" s="9" t="s">
        <v>162</v>
      </c>
      <c r="CN713" s="9" t="s">
        <v>162</v>
      </c>
      <c r="CP713" s="9" t="s">
        <v>162</v>
      </c>
      <c r="CQ713" s="9" t="s">
        <v>162</v>
      </c>
      <c r="CR713" s="9" t="s">
        <v>162</v>
      </c>
      <c r="CT713" s="9" t="s">
        <v>493</v>
      </c>
      <c r="CW713" s="9">
        <v>3</v>
      </c>
      <c r="CX713" s="9" t="s">
        <v>588</v>
      </c>
      <c r="CY713" s="9" t="s">
        <v>263</v>
      </c>
      <c r="CZ713" s="9">
        <v>50</v>
      </c>
      <c r="DA713" s="9">
        <v>10</v>
      </c>
      <c r="DB713" s="9">
        <v>30</v>
      </c>
      <c r="DC713" s="9">
        <v>92.1</v>
      </c>
      <c r="DD713" s="9">
        <v>0.62</v>
      </c>
      <c r="DE713" s="9">
        <v>185</v>
      </c>
      <c r="DG713" s="9" t="e">
        <f t="shared" si="11"/>
        <v>#NUM!</v>
      </c>
      <c r="DH713" s="9">
        <v>13.4</v>
      </c>
      <c r="DI713" s="9">
        <v>6.1</v>
      </c>
      <c r="DJ713" s="9">
        <v>28.7</v>
      </c>
      <c r="DK713" s="9">
        <v>26</v>
      </c>
      <c r="DL713" s="9">
        <v>47.7</v>
      </c>
      <c r="DM713" s="9">
        <v>123</v>
      </c>
      <c r="DP713" s="11">
        <v>3</v>
      </c>
      <c r="DQ713" s="9">
        <v>3</v>
      </c>
      <c r="DR713" s="9">
        <v>3</v>
      </c>
      <c r="DU713" s="9">
        <v>6</v>
      </c>
    </row>
    <row r="714" spans="1:125" x14ac:dyDescent="0.2">
      <c r="A714" s="30">
        <v>627</v>
      </c>
      <c r="B714" s="8">
        <v>43279</v>
      </c>
      <c r="C714" s="9" t="s">
        <v>107</v>
      </c>
      <c r="D714" s="9">
        <v>33</v>
      </c>
      <c r="E714" s="49" t="s">
        <v>533</v>
      </c>
      <c r="F714" s="8">
        <v>31121</v>
      </c>
      <c r="G714" s="9" t="s">
        <v>314</v>
      </c>
      <c r="H714" s="9" t="s">
        <v>6341</v>
      </c>
      <c r="I714" s="9" t="s">
        <v>162</v>
      </c>
      <c r="J714" s="9" t="s">
        <v>162</v>
      </c>
      <c r="K714" s="9" t="s">
        <v>162</v>
      </c>
      <c r="L714" s="9" t="s">
        <v>162</v>
      </c>
      <c r="M714" s="9" t="s">
        <v>263</v>
      </c>
      <c r="N714" s="9" t="s">
        <v>263</v>
      </c>
      <c r="O714" s="9" t="s">
        <v>263</v>
      </c>
      <c r="P714" s="9" t="s">
        <v>263</v>
      </c>
      <c r="Q714" s="10" t="s">
        <v>369</v>
      </c>
      <c r="R714" s="9" t="s">
        <v>263</v>
      </c>
      <c r="S714" s="9" t="s">
        <v>6342</v>
      </c>
      <c r="T714" s="9" t="s">
        <v>263</v>
      </c>
      <c r="U714" s="9" t="s">
        <v>263</v>
      </c>
      <c r="V714" s="9" t="s">
        <v>263</v>
      </c>
      <c r="W714" s="14" t="s">
        <v>6343</v>
      </c>
      <c r="Y714" s="10" t="s">
        <v>6344</v>
      </c>
      <c r="Z714" s="9" t="s">
        <v>545</v>
      </c>
      <c r="AA714" s="49" t="s">
        <v>533</v>
      </c>
      <c r="AB714" s="9" t="s">
        <v>96</v>
      </c>
      <c r="AC714" s="49" t="s">
        <v>533</v>
      </c>
      <c r="AD714" s="9" t="s">
        <v>96</v>
      </c>
      <c r="AE714" s="9" t="s">
        <v>263</v>
      </c>
      <c r="AF714" s="9" t="s">
        <v>6198</v>
      </c>
      <c r="AG714" s="9" t="s">
        <v>6345</v>
      </c>
      <c r="AH714" s="9" t="s">
        <v>263</v>
      </c>
      <c r="AI714" s="9" t="s">
        <v>263</v>
      </c>
      <c r="AJ714" s="9" t="s">
        <v>263</v>
      </c>
      <c r="AK714" s="9" t="s">
        <v>162</v>
      </c>
      <c r="AL714" s="9">
        <v>102</v>
      </c>
      <c r="AM714" s="9">
        <v>173</v>
      </c>
      <c r="AN714" s="9">
        <v>84</v>
      </c>
      <c r="AO714" s="9">
        <v>105</v>
      </c>
      <c r="AP714" s="9">
        <v>24.2</v>
      </c>
      <c r="AQ714" s="9">
        <v>7</v>
      </c>
      <c r="AR714" s="9">
        <v>35.9</v>
      </c>
      <c r="AS714" s="9">
        <v>37</v>
      </c>
      <c r="AT714" s="7">
        <v>23.5</v>
      </c>
      <c r="AU714" s="9">
        <v>119</v>
      </c>
      <c r="AV714" s="9">
        <v>84</v>
      </c>
      <c r="AX714" s="9" t="s">
        <v>426</v>
      </c>
      <c r="AY714" s="9" t="s">
        <v>1034</v>
      </c>
      <c r="AZ714" s="9" t="s">
        <v>162</v>
      </c>
      <c r="BB714" s="9" t="s">
        <v>162</v>
      </c>
      <c r="BC714" s="9" t="s">
        <v>162</v>
      </c>
      <c r="BD714" s="9" t="s">
        <v>162</v>
      </c>
      <c r="BF714" s="9" t="s">
        <v>162</v>
      </c>
      <c r="BG714" s="9" t="s">
        <v>162</v>
      </c>
      <c r="BH714" s="9" t="s">
        <v>162</v>
      </c>
      <c r="BI714" s="9" t="s">
        <v>162</v>
      </c>
      <c r="BJ714" s="9" t="s">
        <v>162</v>
      </c>
      <c r="BK714" s="9" t="s">
        <v>162</v>
      </c>
      <c r="BN714" s="9" t="s">
        <v>162</v>
      </c>
      <c r="BO714" s="9" t="s">
        <v>162</v>
      </c>
      <c r="BP714" s="9" t="s">
        <v>162</v>
      </c>
      <c r="BR714" s="9" t="s">
        <v>162</v>
      </c>
      <c r="BS714" s="9" t="s">
        <v>162</v>
      </c>
      <c r="BT714" s="9" t="s">
        <v>162</v>
      </c>
      <c r="BV714" s="9" t="s">
        <v>162</v>
      </c>
      <c r="BW714" s="9" t="s">
        <v>162</v>
      </c>
      <c r="BX714" s="9" t="s">
        <v>162</v>
      </c>
      <c r="BZ714" s="9" t="s">
        <v>162</v>
      </c>
      <c r="CA714" s="9" t="s">
        <v>162</v>
      </c>
      <c r="CB714" s="9" t="s">
        <v>162</v>
      </c>
      <c r="CD714" s="9" t="s">
        <v>162</v>
      </c>
      <c r="CE714" s="9" t="s">
        <v>162</v>
      </c>
      <c r="CF714" s="9" t="s">
        <v>162</v>
      </c>
      <c r="CH714" s="9" t="s">
        <v>162</v>
      </c>
      <c r="CI714" s="9" t="s">
        <v>162</v>
      </c>
      <c r="CJ714" s="9" t="s">
        <v>162</v>
      </c>
      <c r="CL714" s="9" t="s">
        <v>162</v>
      </c>
      <c r="CM714" s="9" t="s">
        <v>162</v>
      </c>
      <c r="CN714" s="9" t="s">
        <v>162</v>
      </c>
      <c r="CP714" s="9" t="s">
        <v>162</v>
      </c>
      <c r="CQ714" s="9" t="s">
        <v>162</v>
      </c>
      <c r="CR714" s="9" t="s">
        <v>162</v>
      </c>
      <c r="CT714" s="9" t="s">
        <v>162</v>
      </c>
      <c r="CU714" s="9" t="s">
        <v>162</v>
      </c>
      <c r="CV714" s="9" t="s">
        <v>162</v>
      </c>
      <c r="CW714" s="9" t="s">
        <v>162</v>
      </c>
      <c r="CX714" s="9" t="s">
        <v>162</v>
      </c>
      <c r="CY714" s="9" t="s">
        <v>162</v>
      </c>
      <c r="CZ714" s="9" t="s">
        <v>162</v>
      </c>
      <c r="DA714" s="9" t="s">
        <v>162</v>
      </c>
      <c r="DB714" s="9" t="s">
        <v>162</v>
      </c>
      <c r="DC714" s="9">
        <v>83.7</v>
      </c>
      <c r="DD714" s="9">
        <v>0.51</v>
      </c>
      <c r="DE714" s="10">
        <v>203</v>
      </c>
      <c r="DF714" s="9">
        <v>85</v>
      </c>
      <c r="DG714" s="9">
        <f t="shared" si="11"/>
        <v>4.4349451169928731</v>
      </c>
      <c r="DH714" s="9">
        <v>17</v>
      </c>
      <c r="DI714" s="9">
        <v>4.96</v>
      </c>
      <c r="DJ714" s="9">
        <v>17.7</v>
      </c>
      <c r="DK714" s="9">
        <v>29</v>
      </c>
      <c r="DL714" s="9">
        <v>52.9</v>
      </c>
      <c r="DM714" s="9">
        <v>133.1</v>
      </c>
      <c r="DU714" s="9">
        <v>9.2100000000000009</v>
      </c>
    </row>
    <row r="715" spans="1:125" x14ac:dyDescent="0.2">
      <c r="A715" s="36">
        <v>628</v>
      </c>
      <c r="B715" s="8">
        <v>43279</v>
      </c>
      <c r="C715" s="9" t="s">
        <v>107</v>
      </c>
      <c r="D715" s="9">
        <v>42</v>
      </c>
      <c r="E715" s="9" t="s">
        <v>96</v>
      </c>
      <c r="F715" s="8">
        <v>27762</v>
      </c>
      <c r="G715" s="9" t="s">
        <v>162</v>
      </c>
      <c r="H715" s="9" t="s">
        <v>6346</v>
      </c>
      <c r="I715" s="9" t="s">
        <v>162</v>
      </c>
      <c r="J715" s="9" t="s">
        <v>162</v>
      </c>
      <c r="K715" s="9" t="s">
        <v>162</v>
      </c>
      <c r="L715" s="9" t="s">
        <v>162</v>
      </c>
      <c r="M715" s="9" t="s">
        <v>263</v>
      </c>
      <c r="N715" s="10" t="s">
        <v>368</v>
      </c>
      <c r="O715" s="9" t="s">
        <v>263</v>
      </c>
      <c r="P715" s="9" t="s">
        <v>263</v>
      </c>
      <c r="Q715" s="10" t="s">
        <v>369</v>
      </c>
      <c r="R715" s="9" t="s">
        <v>263</v>
      </c>
      <c r="S715" s="9" t="s">
        <v>368</v>
      </c>
      <c r="T715" s="9" t="s">
        <v>368</v>
      </c>
      <c r="U715" s="9" t="s">
        <v>6347</v>
      </c>
      <c r="V715" s="9" t="s">
        <v>263</v>
      </c>
      <c r="W715" s="9" t="s">
        <v>6348</v>
      </c>
      <c r="X715" s="9" t="s">
        <v>263</v>
      </c>
      <c r="Y715" s="10" t="s">
        <v>6349</v>
      </c>
      <c r="Z715" s="9" t="s">
        <v>162</v>
      </c>
      <c r="AA715" s="9" t="s">
        <v>96</v>
      </c>
      <c r="AB715" s="9" t="s">
        <v>96</v>
      </c>
      <c r="AC715" s="9" t="s">
        <v>96</v>
      </c>
      <c r="AD715" s="9" t="s">
        <v>96</v>
      </c>
      <c r="AE715" s="9" t="s">
        <v>263</v>
      </c>
      <c r="AF715" s="9" t="s">
        <v>6350</v>
      </c>
      <c r="AG715" s="9" t="s">
        <v>263</v>
      </c>
      <c r="AH715" s="9" t="s">
        <v>263</v>
      </c>
      <c r="AI715" s="9" t="s">
        <v>263</v>
      </c>
      <c r="AJ715" s="9" t="s">
        <v>263</v>
      </c>
      <c r="AK715" s="9" t="s">
        <v>263</v>
      </c>
      <c r="AL715" s="9">
        <v>66.3</v>
      </c>
      <c r="AM715" s="9">
        <v>1.63</v>
      </c>
      <c r="AN715" s="10">
        <v>95</v>
      </c>
      <c r="AO715" s="9">
        <v>98</v>
      </c>
      <c r="AP715" s="9" t="s">
        <v>162</v>
      </c>
      <c r="AQ715" s="9" t="s">
        <v>162</v>
      </c>
      <c r="AR715" s="9" t="s">
        <v>162</v>
      </c>
      <c r="AS715" s="9" t="s">
        <v>162</v>
      </c>
      <c r="AT715" s="7">
        <v>24.95</v>
      </c>
      <c r="AU715" s="9">
        <v>120</v>
      </c>
      <c r="AV715" s="10">
        <v>88</v>
      </c>
      <c r="AX715" s="9" t="s">
        <v>6351</v>
      </c>
      <c r="AY715" s="9" t="s">
        <v>6352</v>
      </c>
      <c r="AZ715" s="9" t="s">
        <v>162</v>
      </c>
      <c r="BB715" s="9" t="s">
        <v>162</v>
      </c>
      <c r="BC715" s="9" t="s">
        <v>162</v>
      </c>
      <c r="BD715" s="9" t="s">
        <v>162</v>
      </c>
      <c r="BF715" s="9" t="s">
        <v>322</v>
      </c>
      <c r="BG715" s="9" t="s">
        <v>162</v>
      </c>
      <c r="BH715" s="9" t="s">
        <v>322</v>
      </c>
      <c r="BI715" s="9" t="s">
        <v>162</v>
      </c>
      <c r="BJ715" s="9" t="s">
        <v>322</v>
      </c>
      <c r="BK715" s="9" t="s">
        <v>322</v>
      </c>
      <c r="BN715" s="9" t="s">
        <v>6353</v>
      </c>
      <c r="BO715" s="9" t="s">
        <v>376</v>
      </c>
      <c r="BP715" s="9" t="s">
        <v>6354</v>
      </c>
      <c r="BR715" s="9" t="s">
        <v>6355</v>
      </c>
      <c r="BS715" s="9" t="s">
        <v>6356</v>
      </c>
      <c r="BV715" s="9" t="s">
        <v>5781</v>
      </c>
      <c r="BW715" s="9" t="s">
        <v>6357</v>
      </c>
      <c r="BX715" s="9" t="s">
        <v>6327</v>
      </c>
      <c r="BZ715" s="9" t="s">
        <v>6358</v>
      </c>
      <c r="CA715" s="9" t="s">
        <v>503</v>
      </c>
      <c r="CB715" s="9" t="s">
        <v>1488</v>
      </c>
      <c r="CD715" s="9" t="s">
        <v>162</v>
      </c>
      <c r="CH715" s="9" t="s">
        <v>162</v>
      </c>
      <c r="CI715" s="9" t="s">
        <v>162</v>
      </c>
      <c r="CJ715" s="9" t="s">
        <v>162</v>
      </c>
      <c r="CL715" s="9" t="s">
        <v>6340</v>
      </c>
      <c r="CM715" s="9" t="s">
        <v>162</v>
      </c>
      <c r="CN715" s="9" t="s">
        <v>162</v>
      </c>
      <c r="CP715" s="9" t="s">
        <v>162</v>
      </c>
      <c r="CQ715" s="9" t="s">
        <v>162</v>
      </c>
      <c r="CR715" s="9" t="s">
        <v>162</v>
      </c>
      <c r="CT715" s="9" t="s">
        <v>162</v>
      </c>
      <c r="CU715" s="9" t="s">
        <v>162</v>
      </c>
      <c r="CV715" s="9" t="s">
        <v>162</v>
      </c>
      <c r="CW715" s="9">
        <v>3</v>
      </c>
      <c r="CX715" s="9" t="s">
        <v>162</v>
      </c>
      <c r="CY715" s="9" t="s">
        <v>263</v>
      </c>
      <c r="CZ715" s="9">
        <v>80</v>
      </c>
      <c r="DA715" s="9">
        <v>50</v>
      </c>
      <c r="DB715" s="9">
        <v>100</v>
      </c>
      <c r="DC715" s="9">
        <v>79</v>
      </c>
      <c r="DD715" s="9">
        <v>0.54</v>
      </c>
      <c r="DE715" s="9">
        <v>169</v>
      </c>
      <c r="DF715" s="10">
        <v>519</v>
      </c>
      <c r="DG715" s="9">
        <f t="shared" si="11"/>
        <v>5.310675867816455</v>
      </c>
      <c r="DH715" s="9">
        <v>103.8</v>
      </c>
      <c r="DI715" s="10">
        <v>8.77</v>
      </c>
      <c r="DJ715" s="9">
        <v>41</v>
      </c>
      <c r="DK715" s="10">
        <v>43.3</v>
      </c>
      <c r="DL715" s="10">
        <v>36.6</v>
      </c>
      <c r="DM715" s="9">
        <v>28.6</v>
      </c>
      <c r="DQ715" s="9">
        <v>3</v>
      </c>
      <c r="DR715" s="9">
        <v>3</v>
      </c>
      <c r="DU715" s="9">
        <v>2.21</v>
      </c>
    </row>
    <row r="716" spans="1:125" x14ac:dyDescent="0.2">
      <c r="A716" s="9">
        <v>629</v>
      </c>
      <c r="B716" s="8">
        <v>43279</v>
      </c>
      <c r="C716" s="9" t="s">
        <v>95</v>
      </c>
      <c r="D716" s="9" t="s">
        <v>162</v>
      </c>
      <c r="E716" s="9" t="s">
        <v>162</v>
      </c>
      <c r="F716" s="9" t="s">
        <v>162</v>
      </c>
      <c r="G716" s="9" t="s">
        <v>162</v>
      </c>
      <c r="H716" s="9" t="s">
        <v>162</v>
      </c>
      <c r="I716" s="9" t="s">
        <v>162</v>
      </c>
      <c r="J716" s="9" t="s">
        <v>162</v>
      </c>
      <c r="K716" s="42">
        <v>40695</v>
      </c>
      <c r="L716" s="9">
        <v>4</v>
      </c>
      <c r="M716" s="9" t="s">
        <v>263</v>
      </c>
      <c r="N716" s="9" t="s">
        <v>263</v>
      </c>
      <c r="O716" s="9" t="s">
        <v>263</v>
      </c>
      <c r="P716" s="9" t="s">
        <v>6359</v>
      </c>
      <c r="Q716" s="9" t="s">
        <v>263</v>
      </c>
      <c r="R716" s="9" t="s">
        <v>368</v>
      </c>
      <c r="S716" s="9" t="s">
        <v>6360</v>
      </c>
      <c r="T716" s="9" t="s">
        <v>6361</v>
      </c>
      <c r="U716" s="9" t="s">
        <v>263</v>
      </c>
      <c r="V716" s="9" t="s">
        <v>263</v>
      </c>
      <c r="W716" s="9" t="s">
        <v>6362</v>
      </c>
      <c r="X716" s="9" t="s">
        <v>263</v>
      </c>
      <c r="Y716" s="10" t="s">
        <v>6363</v>
      </c>
      <c r="Z716" s="9" t="s">
        <v>162</v>
      </c>
      <c r="AA716" s="9" t="s">
        <v>96</v>
      </c>
      <c r="AB716" s="9" t="s">
        <v>96</v>
      </c>
      <c r="AC716" s="9" t="s">
        <v>1419</v>
      </c>
      <c r="AD716" s="35" t="s">
        <v>267</v>
      </c>
      <c r="AE716" s="9" t="s">
        <v>263</v>
      </c>
      <c r="AF716" s="9" t="s">
        <v>263</v>
      </c>
      <c r="AG716" s="9" t="s">
        <v>263</v>
      </c>
      <c r="AH716" s="9" t="s">
        <v>263</v>
      </c>
      <c r="AI716" s="9" t="s">
        <v>263</v>
      </c>
      <c r="AJ716" s="9" t="s">
        <v>263</v>
      </c>
      <c r="AK716" s="9" t="s">
        <v>263</v>
      </c>
      <c r="AL716" s="9">
        <v>90.5</v>
      </c>
      <c r="AM716" s="9">
        <v>169.5</v>
      </c>
      <c r="AN716" s="9" t="s">
        <v>162</v>
      </c>
      <c r="AO716" s="47" t="s">
        <v>162</v>
      </c>
      <c r="AP716" s="9">
        <v>45.8</v>
      </c>
      <c r="AQ716" s="9">
        <v>8</v>
      </c>
      <c r="AR716" s="9">
        <v>23.8</v>
      </c>
      <c r="AS716" s="9">
        <v>54</v>
      </c>
      <c r="AT716" s="9">
        <v>31.5</v>
      </c>
      <c r="AU716" s="9">
        <v>93</v>
      </c>
      <c r="AV716" s="9">
        <v>74</v>
      </c>
      <c r="AX716" s="9" t="s">
        <v>4026</v>
      </c>
      <c r="AY716" s="9" t="s">
        <v>5160</v>
      </c>
      <c r="BB716" s="9" t="s">
        <v>515</v>
      </c>
      <c r="BC716" s="9" t="s">
        <v>4558</v>
      </c>
      <c r="BD716" s="9" t="s">
        <v>6364</v>
      </c>
      <c r="BF716" s="9" t="s">
        <v>375</v>
      </c>
      <c r="BG716" s="9" t="s">
        <v>375</v>
      </c>
      <c r="BH716" s="9" t="s">
        <v>375</v>
      </c>
      <c r="BI716" s="9" t="s">
        <v>375</v>
      </c>
      <c r="BJ716" s="9" t="s">
        <v>276</v>
      </c>
      <c r="BK716" s="9" t="s">
        <v>276</v>
      </c>
      <c r="BN716" s="9" t="s">
        <v>6154</v>
      </c>
      <c r="BO716" s="9" t="s">
        <v>6365</v>
      </c>
      <c r="BP716" s="9" t="s">
        <v>497</v>
      </c>
      <c r="BR716" s="9" t="s">
        <v>162</v>
      </c>
      <c r="BS716" s="9" t="s">
        <v>162</v>
      </c>
      <c r="BT716" s="9" t="s">
        <v>162</v>
      </c>
      <c r="BV716" s="9" t="s">
        <v>162</v>
      </c>
      <c r="BW716" s="9" t="s">
        <v>162</v>
      </c>
      <c r="BX716" s="9" t="s">
        <v>162</v>
      </c>
      <c r="BZ716" s="9" t="s">
        <v>6366</v>
      </c>
      <c r="CA716" s="9" t="s">
        <v>6156</v>
      </c>
      <c r="CB716" s="9" t="s">
        <v>502</v>
      </c>
      <c r="CD716" s="9" t="s">
        <v>483</v>
      </c>
      <c r="CE716" s="9" t="s">
        <v>162</v>
      </c>
      <c r="CF716" s="9" t="s">
        <v>162</v>
      </c>
      <c r="CH716" s="9" t="s">
        <v>483</v>
      </c>
      <c r="CI716" s="9" t="s">
        <v>162</v>
      </c>
      <c r="CJ716" s="9" t="s">
        <v>162</v>
      </c>
      <c r="CL716" s="9" t="s">
        <v>1238</v>
      </c>
      <c r="CM716" s="9" t="s">
        <v>1155</v>
      </c>
      <c r="CN716" s="9" t="s">
        <v>1966</v>
      </c>
      <c r="CP716" s="9" t="s">
        <v>4381</v>
      </c>
      <c r="CQ716" s="9" t="s">
        <v>6367</v>
      </c>
      <c r="CT716" s="9" t="s">
        <v>6368</v>
      </c>
      <c r="CW716" s="9">
        <v>3</v>
      </c>
      <c r="CX716" s="9" t="s">
        <v>368</v>
      </c>
      <c r="CY716" s="9" t="s">
        <v>263</v>
      </c>
      <c r="CZ716" s="9" t="s">
        <v>162</v>
      </c>
      <c r="DA716" s="9" t="s">
        <v>162</v>
      </c>
      <c r="DB716" s="9" t="s">
        <v>162</v>
      </c>
      <c r="DC716" s="9">
        <v>87.9</v>
      </c>
      <c r="DD716" s="9">
        <v>0.55000000000000004</v>
      </c>
      <c r="DE716" s="9">
        <v>161</v>
      </c>
      <c r="DF716" s="9">
        <v>78</v>
      </c>
      <c r="DG716" s="9">
        <f t="shared" si="11"/>
        <v>4.4164543156903617</v>
      </c>
      <c r="DH716" s="9">
        <v>15.6</v>
      </c>
      <c r="DI716" s="9">
        <v>4</v>
      </c>
      <c r="DJ716" s="9">
        <v>13</v>
      </c>
      <c r="DK716" s="9">
        <v>19</v>
      </c>
      <c r="DL716" s="9">
        <v>42</v>
      </c>
      <c r="DM716" s="9">
        <v>103.4</v>
      </c>
      <c r="DP716" s="11">
        <v>2</v>
      </c>
      <c r="DQ716" s="9">
        <v>2</v>
      </c>
    </row>
    <row r="717" spans="1:125" x14ac:dyDescent="0.2">
      <c r="A717" s="36">
        <v>630</v>
      </c>
      <c r="B717" s="8">
        <v>43279</v>
      </c>
      <c r="C717" s="9" t="s">
        <v>95</v>
      </c>
      <c r="D717" s="9">
        <v>40</v>
      </c>
      <c r="E717" s="9" t="s">
        <v>96</v>
      </c>
      <c r="F717" s="8">
        <v>28365</v>
      </c>
      <c r="G717" s="9" t="s">
        <v>162</v>
      </c>
      <c r="H717" s="9" t="s">
        <v>6369</v>
      </c>
      <c r="I717" s="9" t="s">
        <v>162</v>
      </c>
      <c r="J717" s="9" t="s">
        <v>162</v>
      </c>
      <c r="K717" s="8">
        <v>38969</v>
      </c>
      <c r="L717" s="9">
        <v>1</v>
      </c>
      <c r="M717" s="9" t="s">
        <v>263</v>
      </c>
      <c r="N717" s="9" t="s">
        <v>263</v>
      </c>
      <c r="O717" s="9" t="s">
        <v>162</v>
      </c>
      <c r="P717" s="9" t="s">
        <v>263</v>
      </c>
      <c r="Q717" s="10" t="s">
        <v>456</v>
      </c>
      <c r="R717" s="9" t="s">
        <v>368</v>
      </c>
      <c r="S717" s="9" t="s">
        <v>368</v>
      </c>
      <c r="T717" s="9" t="s">
        <v>368</v>
      </c>
      <c r="U717" s="10" t="s">
        <v>6370</v>
      </c>
      <c r="V717" s="9" t="s">
        <v>483</v>
      </c>
      <c r="W717" s="9" t="s">
        <v>263</v>
      </c>
      <c r="X717" s="9" t="s">
        <v>263</v>
      </c>
      <c r="Y717" s="9" t="s">
        <v>162</v>
      </c>
      <c r="Z717" s="9" t="s">
        <v>162</v>
      </c>
      <c r="AA717" s="9" t="s">
        <v>162</v>
      </c>
      <c r="AB717" s="9" t="s">
        <v>162</v>
      </c>
      <c r="AC717" s="41" t="s">
        <v>461</v>
      </c>
      <c r="AD717" s="41" t="s">
        <v>461</v>
      </c>
      <c r="AE717" s="9" t="s">
        <v>6198</v>
      </c>
      <c r="AF717" s="9" t="s">
        <v>6198</v>
      </c>
      <c r="AG717" s="9" t="s">
        <v>6198</v>
      </c>
      <c r="AH717" s="9" t="s">
        <v>162</v>
      </c>
      <c r="AI717" s="9" t="s">
        <v>162</v>
      </c>
      <c r="AJ717" s="9" t="s">
        <v>162</v>
      </c>
      <c r="AK717" s="9" t="s">
        <v>162</v>
      </c>
      <c r="AL717" s="9">
        <v>102.6</v>
      </c>
      <c r="AM717" s="9">
        <v>154</v>
      </c>
      <c r="AN717" s="10">
        <v>120.4</v>
      </c>
      <c r="AO717" s="9">
        <v>140.6</v>
      </c>
      <c r="AP717" s="9">
        <v>38.4</v>
      </c>
      <c r="AQ717" s="9">
        <v>3.11</v>
      </c>
      <c r="AR717" s="9">
        <v>60.1</v>
      </c>
      <c r="AS717" s="9">
        <v>50</v>
      </c>
      <c r="AT717" s="14">
        <v>50.76</v>
      </c>
      <c r="AU717" s="10">
        <v>146</v>
      </c>
      <c r="AV717" s="10">
        <v>118</v>
      </c>
      <c r="AX717" s="9" t="s">
        <v>917</v>
      </c>
      <c r="AY717" s="9" t="s">
        <v>6371</v>
      </c>
      <c r="BB717" s="9" t="s">
        <v>6372</v>
      </c>
      <c r="BF717" s="9" t="s">
        <v>322</v>
      </c>
      <c r="BG717" s="9" t="s">
        <v>375</v>
      </c>
      <c r="BH717" s="9" t="s">
        <v>322</v>
      </c>
      <c r="BI717" s="9" t="s">
        <v>322</v>
      </c>
      <c r="BJ717" s="9" t="s">
        <v>375</v>
      </c>
      <c r="BK717" s="9" t="s">
        <v>162</v>
      </c>
      <c r="BN717" s="9" t="s">
        <v>519</v>
      </c>
      <c r="BO717" s="9" t="s">
        <v>6373</v>
      </c>
      <c r="BP717" s="9" t="s">
        <v>394</v>
      </c>
      <c r="BR717" s="9" t="s">
        <v>162</v>
      </c>
      <c r="BS717" s="9" t="s">
        <v>162</v>
      </c>
      <c r="BT717" s="9" t="s">
        <v>162</v>
      </c>
      <c r="BV717" s="9" t="s">
        <v>162</v>
      </c>
      <c r="BW717" s="9" t="s">
        <v>162</v>
      </c>
      <c r="BX717" s="9" t="s">
        <v>162</v>
      </c>
      <c r="BY717" s="9" t="s">
        <v>162</v>
      </c>
      <c r="BZ717" s="9" t="s">
        <v>6358</v>
      </c>
      <c r="CA717" s="9" t="s">
        <v>6374</v>
      </c>
      <c r="CB717" s="9" t="s">
        <v>6375</v>
      </c>
      <c r="CD717" s="9" t="s">
        <v>162</v>
      </c>
      <c r="CE717" s="9" t="s">
        <v>162</v>
      </c>
      <c r="CF717" s="9" t="s">
        <v>162</v>
      </c>
      <c r="CH717" s="9" t="s">
        <v>162</v>
      </c>
      <c r="CI717" s="9" t="s">
        <v>162</v>
      </c>
      <c r="CJ717" s="9" t="s">
        <v>162</v>
      </c>
      <c r="CL717" s="9" t="s">
        <v>922</v>
      </c>
      <c r="CM717" s="9" t="s">
        <v>472</v>
      </c>
      <c r="CN717" s="9" t="s">
        <v>383</v>
      </c>
      <c r="CP717" s="9" t="s">
        <v>791</v>
      </c>
      <c r="CQ717" s="9" t="s">
        <v>452</v>
      </c>
      <c r="CT717" s="9" t="s">
        <v>336</v>
      </c>
      <c r="CU717" s="9" t="s">
        <v>6376</v>
      </c>
      <c r="CW717" s="9" t="s">
        <v>2006</v>
      </c>
      <c r="CX717" s="9" t="s">
        <v>263</v>
      </c>
      <c r="CY717" s="9" t="s">
        <v>263</v>
      </c>
      <c r="CZ717" s="9">
        <v>40</v>
      </c>
      <c r="DA717" s="9">
        <v>30</v>
      </c>
      <c r="DB717" s="9">
        <v>30</v>
      </c>
      <c r="DC717" s="9">
        <v>61.9</v>
      </c>
      <c r="DD717" s="9">
        <v>0.46</v>
      </c>
      <c r="DE717" s="9">
        <v>175</v>
      </c>
      <c r="DF717" s="9">
        <v>75</v>
      </c>
      <c r="DG717" s="9">
        <f t="shared" si="11"/>
        <v>4.2215041466134302</v>
      </c>
      <c r="DH717" s="9">
        <v>15</v>
      </c>
      <c r="DI717" s="9">
        <v>2.25</v>
      </c>
      <c r="DJ717" s="9">
        <v>18.3</v>
      </c>
      <c r="DK717" s="9">
        <v>34.700000000000003</v>
      </c>
      <c r="DL717" s="9">
        <v>41.3</v>
      </c>
      <c r="DM717" s="9">
        <v>118.7</v>
      </c>
      <c r="DP717" s="11">
        <v>2</v>
      </c>
      <c r="DQ717" s="9">
        <v>2</v>
      </c>
      <c r="DU717" s="9">
        <v>5.8</v>
      </c>
    </row>
    <row r="718" spans="1:125" x14ac:dyDescent="0.2">
      <c r="A718" s="14">
        <v>631</v>
      </c>
      <c r="B718" s="8">
        <v>43279</v>
      </c>
      <c r="C718" s="9" t="s">
        <v>258</v>
      </c>
      <c r="D718" s="9">
        <v>57</v>
      </c>
      <c r="E718" s="9" t="s">
        <v>96</v>
      </c>
      <c r="F718" s="8">
        <v>22335</v>
      </c>
      <c r="G718" s="9" t="s">
        <v>6377</v>
      </c>
      <c r="H718" s="9" t="s">
        <v>6378</v>
      </c>
      <c r="I718" s="9" t="s">
        <v>162</v>
      </c>
      <c r="J718" s="9" t="s">
        <v>162</v>
      </c>
      <c r="K718" s="9" t="s">
        <v>162</v>
      </c>
      <c r="L718" s="9" t="s">
        <v>162</v>
      </c>
      <c r="M718" s="9" t="s">
        <v>162</v>
      </c>
      <c r="N718" s="10" t="s">
        <v>588</v>
      </c>
      <c r="O718" s="9" t="s">
        <v>162</v>
      </c>
      <c r="P718" s="9" t="s">
        <v>162</v>
      </c>
      <c r="Q718" s="10" t="s">
        <v>6379</v>
      </c>
      <c r="R718" s="9" t="s">
        <v>263</v>
      </c>
      <c r="S718" s="9" t="s">
        <v>368</v>
      </c>
      <c r="T718" s="9" t="s">
        <v>6307</v>
      </c>
      <c r="U718" s="9" t="s">
        <v>263</v>
      </c>
      <c r="V718" s="9" t="s">
        <v>263</v>
      </c>
      <c r="W718" s="9" t="s">
        <v>6380</v>
      </c>
      <c r="X718" s="9" t="s">
        <v>263</v>
      </c>
      <c r="Y718" s="10" t="s">
        <v>6381</v>
      </c>
      <c r="Z718" s="9" t="s">
        <v>6382</v>
      </c>
      <c r="AA718" s="9" t="s">
        <v>96</v>
      </c>
      <c r="AB718" s="9" t="s">
        <v>96</v>
      </c>
      <c r="AC718" s="9" t="s">
        <v>96</v>
      </c>
      <c r="AD718" s="9" t="s">
        <v>96</v>
      </c>
      <c r="AE718" s="9" t="s">
        <v>6383</v>
      </c>
      <c r="AF718" s="9" t="s">
        <v>6384</v>
      </c>
      <c r="AG718" s="9" t="s">
        <v>6385</v>
      </c>
      <c r="AH718" s="9" t="s">
        <v>407</v>
      </c>
      <c r="AI718" s="9" t="s">
        <v>263</v>
      </c>
      <c r="AJ718" s="9" t="s">
        <v>263</v>
      </c>
      <c r="AK718" s="9" t="s">
        <v>263</v>
      </c>
      <c r="AL718" s="9">
        <v>81.400000000000006</v>
      </c>
      <c r="AM718" s="9">
        <v>170</v>
      </c>
      <c r="AN718" s="10">
        <v>99</v>
      </c>
      <c r="AO718" s="9">
        <v>105</v>
      </c>
      <c r="AP718" s="9">
        <v>27.8</v>
      </c>
      <c r="AQ718" s="9">
        <v>2.9</v>
      </c>
      <c r="AR718" s="9">
        <v>55.9</v>
      </c>
      <c r="AS718" s="9">
        <v>50</v>
      </c>
      <c r="AT718" s="9">
        <v>28.17</v>
      </c>
      <c r="AU718" s="10">
        <v>194</v>
      </c>
      <c r="AV718" s="10">
        <v>103</v>
      </c>
      <c r="AX718" s="9" t="s">
        <v>162</v>
      </c>
      <c r="AY718" s="9" t="s">
        <v>162</v>
      </c>
      <c r="AZ718" s="9" t="s">
        <v>162</v>
      </c>
      <c r="BB718" s="9" t="s">
        <v>162</v>
      </c>
      <c r="BC718" s="9" t="s">
        <v>162</v>
      </c>
      <c r="BD718" s="9" t="s">
        <v>162</v>
      </c>
      <c r="BF718" s="9" t="s">
        <v>322</v>
      </c>
      <c r="BG718" s="9" t="s">
        <v>375</v>
      </c>
      <c r="BH718" s="9" t="s">
        <v>162</v>
      </c>
      <c r="BI718" s="9" t="s">
        <v>322</v>
      </c>
      <c r="BJ718" s="9" t="s">
        <v>162</v>
      </c>
      <c r="BK718" s="9" t="s">
        <v>375</v>
      </c>
      <c r="BN718" s="9" t="s">
        <v>162</v>
      </c>
      <c r="BO718" s="9" t="s">
        <v>162</v>
      </c>
      <c r="BP718" s="9" t="s">
        <v>162</v>
      </c>
      <c r="BR718" s="9" t="s">
        <v>162</v>
      </c>
      <c r="BS718" s="9" t="s">
        <v>162</v>
      </c>
      <c r="BT718" s="9" t="s">
        <v>162</v>
      </c>
      <c r="BV718" s="9" t="s">
        <v>162</v>
      </c>
      <c r="BW718" s="9" t="s">
        <v>162</v>
      </c>
      <c r="BX718" s="9" t="s">
        <v>162</v>
      </c>
      <c r="BZ718" s="9" t="s">
        <v>162</v>
      </c>
      <c r="CA718" s="9" t="s">
        <v>162</v>
      </c>
      <c r="CB718" s="9" t="s">
        <v>162</v>
      </c>
      <c r="CD718" s="9" t="s">
        <v>162</v>
      </c>
      <c r="CE718" s="9" t="s">
        <v>162</v>
      </c>
      <c r="CF718" s="9" t="s">
        <v>162</v>
      </c>
      <c r="CH718" s="9" t="s">
        <v>162</v>
      </c>
      <c r="CI718" s="9" t="s">
        <v>162</v>
      </c>
      <c r="CJ718" s="9" t="s">
        <v>162</v>
      </c>
      <c r="CL718" s="9" t="s">
        <v>162</v>
      </c>
      <c r="CM718" s="9" t="s">
        <v>162</v>
      </c>
      <c r="CN718" s="9" t="s">
        <v>162</v>
      </c>
      <c r="CP718" s="9" t="s">
        <v>162</v>
      </c>
      <c r="CQ718" s="9" t="s">
        <v>162</v>
      </c>
      <c r="CR718" s="9" t="s">
        <v>162</v>
      </c>
      <c r="CT718" s="9" t="s">
        <v>162</v>
      </c>
      <c r="CU718" s="9" t="s">
        <v>162</v>
      </c>
      <c r="CV718" s="9" t="s">
        <v>162</v>
      </c>
      <c r="CW718" s="9">
        <v>3</v>
      </c>
      <c r="CX718" s="9" t="s">
        <v>368</v>
      </c>
      <c r="CY718" s="9" t="s">
        <v>368</v>
      </c>
      <c r="CZ718" s="9">
        <v>50</v>
      </c>
      <c r="DA718" s="9">
        <v>20</v>
      </c>
      <c r="DB718" s="9">
        <v>30</v>
      </c>
      <c r="DC718" s="10">
        <v>117</v>
      </c>
      <c r="DD718" s="9">
        <v>0.86</v>
      </c>
      <c r="DE718" s="9">
        <v>76</v>
      </c>
      <c r="DF718" s="9">
        <v>82</v>
      </c>
      <c r="DG718" s="9">
        <f t="shared" si="11"/>
        <v>4.5844465910310044</v>
      </c>
      <c r="DI718" s="9">
        <v>6.96</v>
      </c>
      <c r="DJ718" s="9">
        <v>9.6999999999999993</v>
      </c>
      <c r="DK718" s="9">
        <v>17</v>
      </c>
      <c r="DL718" s="9">
        <v>59.5</v>
      </c>
      <c r="DP718" s="11">
        <v>2</v>
      </c>
      <c r="DQ718" s="9">
        <v>3</v>
      </c>
      <c r="DT718" s="9">
        <v>11</v>
      </c>
      <c r="DU718" s="9">
        <v>3.78</v>
      </c>
    </row>
    <row r="719" spans="1:125" x14ac:dyDescent="0.2">
      <c r="A719" s="110">
        <v>632</v>
      </c>
      <c r="B719" s="8">
        <v>43279</v>
      </c>
      <c r="C719" s="9" t="s">
        <v>95</v>
      </c>
      <c r="D719" s="9">
        <v>62</v>
      </c>
      <c r="E719" s="9" t="s">
        <v>5024</v>
      </c>
      <c r="F719" s="8">
        <v>20313</v>
      </c>
      <c r="G719" s="9" t="s">
        <v>6386</v>
      </c>
      <c r="H719" s="9" t="s">
        <v>6387</v>
      </c>
      <c r="I719" s="9" t="s">
        <v>162</v>
      </c>
      <c r="J719" s="9" t="s">
        <v>162</v>
      </c>
      <c r="K719" s="9">
        <v>1987</v>
      </c>
      <c r="L719" s="9">
        <v>2</v>
      </c>
      <c r="M719" s="9" t="s">
        <v>263</v>
      </c>
      <c r="N719" s="9" t="s">
        <v>162</v>
      </c>
      <c r="O719" s="9" t="s">
        <v>162</v>
      </c>
      <c r="P719" s="10" t="s">
        <v>368</v>
      </c>
      <c r="Q719" s="10" t="s">
        <v>369</v>
      </c>
      <c r="R719" s="9" t="s">
        <v>263</v>
      </c>
      <c r="S719" s="9" t="s">
        <v>162</v>
      </c>
      <c r="T719" s="9" t="s">
        <v>162</v>
      </c>
      <c r="U719" s="9" t="s">
        <v>162</v>
      </c>
      <c r="V719" s="9">
        <v>1984</v>
      </c>
      <c r="W719" s="14" t="s">
        <v>6388</v>
      </c>
      <c r="X719" s="9" t="s">
        <v>162</v>
      </c>
      <c r="Y719" s="9" t="s">
        <v>162</v>
      </c>
      <c r="Z719" s="9" t="s">
        <v>6389</v>
      </c>
      <c r="AA719" s="9" t="s">
        <v>5024</v>
      </c>
      <c r="AB719" s="9" t="s">
        <v>96</v>
      </c>
      <c r="AC719" s="9" t="s">
        <v>5024</v>
      </c>
      <c r="AD719" s="9" t="s">
        <v>162</v>
      </c>
      <c r="AE719" s="9" t="s">
        <v>6390</v>
      </c>
      <c r="AF719" s="9" t="s">
        <v>35</v>
      </c>
      <c r="AG719" s="9" t="s">
        <v>162</v>
      </c>
      <c r="AH719" s="9" t="s">
        <v>36</v>
      </c>
      <c r="AI719" s="9" t="s">
        <v>35</v>
      </c>
      <c r="AJ719" s="9" t="s">
        <v>162</v>
      </c>
      <c r="AK719" s="9" t="s">
        <v>162</v>
      </c>
      <c r="AL719" s="9">
        <v>52.8</v>
      </c>
      <c r="AM719" s="9">
        <v>160</v>
      </c>
      <c r="AN719" s="9">
        <v>79</v>
      </c>
      <c r="AO719" s="9">
        <v>86</v>
      </c>
      <c r="AP719" s="9">
        <v>30.6</v>
      </c>
      <c r="AQ719" s="9">
        <v>5</v>
      </c>
      <c r="AR719" s="9">
        <v>26.6</v>
      </c>
      <c r="AS719" s="9">
        <v>41</v>
      </c>
      <c r="AT719" s="7">
        <v>20.6</v>
      </c>
      <c r="AU719" s="10" t="s">
        <v>6391</v>
      </c>
      <c r="AV719" s="10">
        <v>85</v>
      </c>
      <c r="AX719" s="9" t="s">
        <v>162</v>
      </c>
      <c r="AY719" s="9" t="s">
        <v>162</v>
      </c>
      <c r="AZ719" s="9" t="s">
        <v>162</v>
      </c>
      <c r="BB719" s="9" t="s">
        <v>162</v>
      </c>
      <c r="BC719" s="9" t="s">
        <v>162</v>
      </c>
      <c r="BD719" s="9" t="s">
        <v>162</v>
      </c>
      <c r="BF719" s="9" t="s">
        <v>162</v>
      </c>
      <c r="BG719" s="9" t="s">
        <v>162</v>
      </c>
      <c r="BH719" s="9" t="s">
        <v>162</v>
      </c>
      <c r="BI719" s="9" t="s">
        <v>162</v>
      </c>
      <c r="BJ719" s="9" t="s">
        <v>162</v>
      </c>
      <c r="BK719" s="9" t="s">
        <v>162</v>
      </c>
      <c r="BN719" s="9" t="s">
        <v>162</v>
      </c>
      <c r="BO719" s="9" t="s">
        <v>162</v>
      </c>
      <c r="BP719" s="9" t="s">
        <v>162</v>
      </c>
      <c r="BR719" s="9" t="s">
        <v>162</v>
      </c>
      <c r="BS719" s="9" t="s">
        <v>162</v>
      </c>
      <c r="BT719" s="9" t="s">
        <v>162</v>
      </c>
      <c r="BV719" s="9" t="s">
        <v>162</v>
      </c>
      <c r="BW719" s="9" t="s">
        <v>162</v>
      </c>
      <c r="BX719" s="9" t="s">
        <v>162</v>
      </c>
      <c r="BZ719" s="9" t="s">
        <v>162</v>
      </c>
      <c r="CA719" s="9" t="s">
        <v>162</v>
      </c>
      <c r="CB719" s="9" t="s">
        <v>162</v>
      </c>
      <c r="CD719" s="9" t="s">
        <v>162</v>
      </c>
      <c r="CE719" s="9" t="s">
        <v>162</v>
      </c>
      <c r="CF719" s="9" t="s">
        <v>162</v>
      </c>
      <c r="CH719" s="9" t="s">
        <v>162</v>
      </c>
      <c r="CI719" s="9" t="s">
        <v>162</v>
      </c>
      <c r="CJ719" s="9" t="s">
        <v>162</v>
      </c>
      <c r="CL719" s="9" t="s">
        <v>162</v>
      </c>
      <c r="CM719" s="9" t="s">
        <v>162</v>
      </c>
      <c r="CN719" s="9" t="s">
        <v>162</v>
      </c>
      <c r="CP719" s="9" t="s">
        <v>162</v>
      </c>
      <c r="CQ719" s="9" t="s">
        <v>162</v>
      </c>
      <c r="CR719" s="9" t="s">
        <v>162</v>
      </c>
      <c r="CT719" s="9" t="s">
        <v>162</v>
      </c>
      <c r="CU719" s="9" t="s">
        <v>162</v>
      </c>
      <c r="CV719" s="9" t="s">
        <v>162</v>
      </c>
      <c r="CW719" s="9" t="s">
        <v>162</v>
      </c>
      <c r="CX719" s="9" t="s">
        <v>162</v>
      </c>
      <c r="CY719" s="9" t="s">
        <v>162</v>
      </c>
      <c r="CZ719" s="9" t="s">
        <v>162</v>
      </c>
      <c r="DA719" s="9" t="s">
        <v>162</v>
      </c>
      <c r="DB719" s="9" t="s">
        <v>162</v>
      </c>
      <c r="DC719" s="9">
        <v>78.3</v>
      </c>
      <c r="DD719" s="9">
        <v>0.67</v>
      </c>
      <c r="DE719" s="10">
        <v>257</v>
      </c>
      <c r="DF719" s="9">
        <v>124</v>
      </c>
      <c r="DG719" s="9">
        <f t="shared" si="11"/>
        <v>4.5904145843008974</v>
      </c>
      <c r="DH719" s="9">
        <v>24.8</v>
      </c>
      <c r="DI719" s="9">
        <v>2.99</v>
      </c>
      <c r="DP719" s="11">
        <v>2</v>
      </c>
      <c r="DQ719" s="9">
        <v>3</v>
      </c>
      <c r="DR719" s="9">
        <v>3</v>
      </c>
    </row>
    <row r="720" spans="1:125" x14ac:dyDescent="0.2">
      <c r="A720" s="39">
        <v>633</v>
      </c>
      <c r="B720" s="8">
        <v>43279</v>
      </c>
      <c r="C720" s="9" t="s">
        <v>95</v>
      </c>
      <c r="D720" s="9">
        <v>76</v>
      </c>
      <c r="E720" s="9" t="s">
        <v>96</v>
      </c>
      <c r="F720" s="8">
        <v>15406</v>
      </c>
      <c r="G720" s="9" t="s">
        <v>162</v>
      </c>
      <c r="H720" s="9" t="s">
        <v>5678</v>
      </c>
      <c r="I720" s="9">
        <v>1954</v>
      </c>
      <c r="J720" s="9">
        <v>1989</v>
      </c>
      <c r="K720" s="9">
        <v>1983</v>
      </c>
      <c r="L720" s="9">
        <v>2</v>
      </c>
      <c r="M720" s="9" t="s">
        <v>263</v>
      </c>
      <c r="N720" s="9" t="s">
        <v>263</v>
      </c>
      <c r="O720" s="9" t="s">
        <v>162</v>
      </c>
      <c r="P720" s="9" t="s">
        <v>263</v>
      </c>
      <c r="Q720" s="9" t="s">
        <v>263</v>
      </c>
      <c r="R720" s="9" t="s">
        <v>368</v>
      </c>
      <c r="S720" s="9" t="s">
        <v>6392</v>
      </c>
      <c r="T720" s="9" t="s">
        <v>6393</v>
      </c>
      <c r="U720" s="9" t="s">
        <v>162</v>
      </c>
      <c r="V720" s="9" t="s">
        <v>162</v>
      </c>
      <c r="W720" s="14" t="s">
        <v>6394</v>
      </c>
      <c r="X720" s="9" t="s">
        <v>263</v>
      </c>
      <c r="Y720" s="10" t="s">
        <v>6395</v>
      </c>
      <c r="Z720" s="9" t="s">
        <v>162</v>
      </c>
      <c r="AA720" s="9" t="s">
        <v>96</v>
      </c>
      <c r="AB720" s="9" t="s">
        <v>96</v>
      </c>
      <c r="AC720" s="9" t="s">
        <v>162</v>
      </c>
      <c r="AD720" s="9" t="s">
        <v>96</v>
      </c>
      <c r="AE720" s="9" t="s">
        <v>263</v>
      </c>
      <c r="AF720" s="9" t="s">
        <v>263</v>
      </c>
      <c r="AG720" s="9" t="s">
        <v>263</v>
      </c>
      <c r="AH720" s="9" t="s">
        <v>35</v>
      </c>
      <c r="AI720" s="9" t="s">
        <v>263</v>
      </c>
      <c r="AJ720" s="9" t="s">
        <v>162</v>
      </c>
      <c r="AK720" s="9" t="s">
        <v>6396</v>
      </c>
      <c r="AL720" s="9">
        <v>72.599999999999994</v>
      </c>
      <c r="AM720" s="9">
        <v>143</v>
      </c>
      <c r="AN720" s="10">
        <v>104</v>
      </c>
      <c r="AO720" s="9">
        <v>121</v>
      </c>
      <c r="AP720" s="9">
        <v>55</v>
      </c>
      <c r="AQ720" s="9">
        <v>16</v>
      </c>
      <c r="AR720" s="9">
        <v>17.5</v>
      </c>
      <c r="AS720" s="9">
        <v>80</v>
      </c>
      <c r="AT720" s="10">
        <v>35.5</v>
      </c>
      <c r="AU720" s="10">
        <v>148</v>
      </c>
      <c r="AV720" s="10">
        <v>86</v>
      </c>
      <c r="AX720" s="9" t="s">
        <v>426</v>
      </c>
      <c r="AY720" s="9" t="s">
        <v>5758</v>
      </c>
      <c r="BB720" s="9" t="s">
        <v>1304</v>
      </c>
      <c r="BC720" s="9" t="s">
        <v>162</v>
      </c>
      <c r="BD720" s="9" t="s">
        <v>162</v>
      </c>
      <c r="BF720" s="9" t="s">
        <v>322</v>
      </c>
      <c r="BG720" s="9" t="s">
        <v>375</v>
      </c>
      <c r="BH720" s="9" t="s">
        <v>162</v>
      </c>
      <c r="BI720" s="9" t="s">
        <v>322</v>
      </c>
      <c r="BJ720" s="9" t="s">
        <v>375</v>
      </c>
      <c r="BK720" s="9" t="s">
        <v>375</v>
      </c>
      <c r="BN720" s="9" t="s">
        <v>6286</v>
      </c>
      <c r="BO720" s="9" t="s">
        <v>517</v>
      </c>
      <c r="BP720" s="9" t="s">
        <v>3641</v>
      </c>
      <c r="BR720" s="9" t="s">
        <v>162</v>
      </c>
      <c r="BS720" s="9" t="s">
        <v>162</v>
      </c>
      <c r="BT720" s="9" t="s">
        <v>162</v>
      </c>
      <c r="BV720" s="9" t="s">
        <v>162</v>
      </c>
      <c r="BW720" s="9" t="s">
        <v>162</v>
      </c>
      <c r="BX720" s="9" t="s">
        <v>162</v>
      </c>
      <c r="BZ720" s="9" t="s">
        <v>526</v>
      </c>
      <c r="CA720" s="9" t="s">
        <v>3731</v>
      </c>
      <c r="CB720" s="9" t="s">
        <v>557</v>
      </c>
      <c r="CD720" s="9" t="s">
        <v>162</v>
      </c>
      <c r="CE720" s="9" t="s">
        <v>162</v>
      </c>
      <c r="CF720" s="9" t="s">
        <v>162</v>
      </c>
      <c r="CG720" s="9" t="s">
        <v>162</v>
      </c>
      <c r="CH720" s="9" t="s">
        <v>162</v>
      </c>
      <c r="CI720" s="9" t="s">
        <v>162</v>
      </c>
      <c r="CJ720" s="9" t="s">
        <v>162</v>
      </c>
      <c r="CL720" s="9" t="s">
        <v>6397</v>
      </c>
      <c r="CM720" s="9" t="s">
        <v>923</v>
      </c>
      <c r="CP720" s="9" t="s">
        <v>791</v>
      </c>
      <c r="CQ720" s="9" t="s">
        <v>452</v>
      </c>
      <c r="CR720" s="9" t="s">
        <v>561</v>
      </c>
      <c r="CT720" s="9" t="s">
        <v>6398</v>
      </c>
      <c r="CU720" s="9" t="s">
        <v>162</v>
      </c>
      <c r="CV720" s="47" t="s">
        <v>162</v>
      </c>
      <c r="CW720" s="9">
        <v>3</v>
      </c>
      <c r="CX720" s="9" t="s">
        <v>368</v>
      </c>
      <c r="CY720" s="9" t="s">
        <v>263</v>
      </c>
      <c r="CZ720" s="9" t="s">
        <v>162</v>
      </c>
      <c r="DA720" s="9" t="s">
        <v>162</v>
      </c>
      <c r="DB720" s="9" t="s">
        <v>162</v>
      </c>
      <c r="DC720" s="9">
        <v>77</v>
      </c>
      <c r="DD720" s="9">
        <v>0.63</v>
      </c>
      <c r="DE720" s="10">
        <v>219</v>
      </c>
      <c r="DF720" s="9">
        <v>100</v>
      </c>
      <c r="DG720" s="9">
        <f t="shared" si="11"/>
        <v>4.474487803920888</v>
      </c>
      <c r="DH720" s="9">
        <v>20</v>
      </c>
      <c r="DI720" s="9">
        <v>4.79</v>
      </c>
      <c r="DJ720" s="9">
        <v>18</v>
      </c>
      <c r="DK720" s="9">
        <v>23</v>
      </c>
      <c r="DL720" s="9">
        <v>59.4</v>
      </c>
      <c r="DM720" s="9">
        <v>139.6</v>
      </c>
      <c r="DP720" s="11">
        <v>3</v>
      </c>
      <c r="DQ720" s="9">
        <v>2</v>
      </c>
      <c r="DT720" s="9">
        <v>13.7</v>
      </c>
      <c r="DU720" s="9">
        <v>5.5</v>
      </c>
    </row>
    <row r="721" spans="1:125" x14ac:dyDescent="0.2">
      <c r="A721" s="9">
        <v>634</v>
      </c>
      <c r="B721" s="8">
        <v>43279</v>
      </c>
      <c r="C721" s="9" t="s">
        <v>95</v>
      </c>
      <c r="D721" s="9">
        <v>45</v>
      </c>
      <c r="E721" s="9" t="s">
        <v>96</v>
      </c>
      <c r="F721" s="8">
        <v>26524</v>
      </c>
      <c r="G721" s="9" t="s">
        <v>314</v>
      </c>
      <c r="H721" s="9" t="s">
        <v>162</v>
      </c>
      <c r="I721" s="9" t="s">
        <v>162</v>
      </c>
      <c r="J721" s="9" t="s">
        <v>162</v>
      </c>
      <c r="K721" s="9" t="s">
        <v>162</v>
      </c>
      <c r="L721" s="9" t="s">
        <v>162</v>
      </c>
      <c r="M721" s="9" t="s">
        <v>263</v>
      </c>
      <c r="N721" s="9" t="s">
        <v>263</v>
      </c>
      <c r="O721" s="9" t="s">
        <v>162</v>
      </c>
      <c r="P721" s="9" t="s">
        <v>263</v>
      </c>
      <c r="Q721" s="10" t="s">
        <v>456</v>
      </c>
      <c r="R721" s="9" t="s">
        <v>263</v>
      </c>
      <c r="S721" s="9" t="s">
        <v>162</v>
      </c>
      <c r="T721" s="9" t="s">
        <v>162</v>
      </c>
      <c r="U721" s="9" t="s">
        <v>162</v>
      </c>
      <c r="V721" s="9" t="s">
        <v>162</v>
      </c>
      <c r="W721" s="9" t="s">
        <v>162</v>
      </c>
      <c r="X721" s="9" t="s">
        <v>162</v>
      </c>
      <c r="Y721" s="9" t="s">
        <v>162</v>
      </c>
      <c r="Z721" s="9" t="s">
        <v>545</v>
      </c>
      <c r="AA721" s="9" t="s">
        <v>6399</v>
      </c>
      <c r="AB721" s="9" t="s">
        <v>96</v>
      </c>
      <c r="AC721" s="9" t="s">
        <v>96</v>
      </c>
      <c r="AD721" s="9" t="s">
        <v>96</v>
      </c>
      <c r="AE721" s="9" t="s">
        <v>263</v>
      </c>
      <c r="AF721" s="9" t="s">
        <v>424</v>
      </c>
      <c r="AG721" s="9" t="s">
        <v>6400</v>
      </c>
      <c r="AH721" s="9" t="s">
        <v>263</v>
      </c>
      <c r="AI721" s="9" t="s">
        <v>263</v>
      </c>
      <c r="AJ721" s="9" t="s">
        <v>263</v>
      </c>
      <c r="AK721" s="9" t="s">
        <v>263</v>
      </c>
      <c r="AL721" s="9">
        <v>57.3</v>
      </c>
      <c r="AM721" s="9">
        <v>169</v>
      </c>
      <c r="AN721" s="9">
        <v>74</v>
      </c>
      <c r="AO721" s="9">
        <v>98</v>
      </c>
      <c r="AP721" s="9">
        <v>13.9</v>
      </c>
      <c r="AQ721" s="9">
        <v>2.5</v>
      </c>
      <c r="AR721" s="9">
        <v>46.8</v>
      </c>
      <c r="AS721" s="9">
        <v>15</v>
      </c>
      <c r="AT721" s="7">
        <v>20.059999999999999</v>
      </c>
      <c r="AU721" s="9">
        <v>114</v>
      </c>
      <c r="AV721" s="9">
        <v>70</v>
      </c>
      <c r="AX721" s="9" t="s">
        <v>391</v>
      </c>
      <c r="AY721" s="9" t="s">
        <v>426</v>
      </c>
      <c r="AZ721" s="9" t="s">
        <v>6401</v>
      </c>
      <c r="BB721" s="9" t="s">
        <v>162</v>
      </c>
      <c r="BC721" s="9" t="s">
        <v>162</v>
      </c>
      <c r="BD721" s="47" t="s">
        <v>162</v>
      </c>
      <c r="BF721" s="9" t="s">
        <v>375</v>
      </c>
      <c r="BG721" s="9" t="s">
        <v>375</v>
      </c>
      <c r="BH721" s="9" t="s">
        <v>375</v>
      </c>
      <c r="BI721" s="9" t="s">
        <v>375</v>
      </c>
      <c r="BJ721" s="9" t="s">
        <v>375</v>
      </c>
      <c r="BK721" s="9" t="s">
        <v>375</v>
      </c>
      <c r="BN721" s="9" t="s">
        <v>376</v>
      </c>
      <c r="BO721" s="9" t="s">
        <v>499</v>
      </c>
      <c r="BP721" s="9" t="s">
        <v>430</v>
      </c>
      <c r="BR721" s="9" t="s">
        <v>162</v>
      </c>
      <c r="BS721" s="9" t="s">
        <v>162</v>
      </c>
      <c r="BT721" s="9" t="s">
        <v>162</v>
      </c>
      <c r="BV721" s="9" t="s">
        <v>162</v>
      </c>
      <c r="BW721" s="9" t="s">
        <v>162</v>
      </c>
      <c r="BX721" s="9" t="s">
        <v>162</v>
      </c>
      <c r="BZ721" s="9" t="s">
        <v>1053</v>
      </c>
      <c r="CA721" s="9" t="s">
        <v>2466</v>
      </c>
      <c r="CD721" s="9" t="s">
        <v>162</v>
      </c>
      <c r="CE721" s="9" t="s">
        <v>162</v>
      </c>
      <c r="CF721" s="9" t="s">
        <v>162</v>
      </c>
      <c r="CH721" s="9" t="s">
        <v>6402</v>
      </c>
      <c r="CI721" s="9" t="s">
        <v>162</v>
      </c>
      <c r="CJ721" s="9" t="s">
        <v>162</v>
      </c>
      <c r="CL721" s="9" t="s">
        <v>333</v>
      </c>
      <c r="CM721" s="9" t="s">
        <v>162</v>
      </c>
      <c r="CN721" s="9" t="s">
        <v>162</v>
      </c>
      <c r="CP721" s="9" t="s">
        <v>162</v>
      </c>
      <c r="CQ721" s="9" t="s">
        <v>162</v>
      </c>
      <c r="CR721" s="9" t="s">
        <v>162</v>
      </c>
      <c r="CT721" s="9" t="s">
        <v>162</v>
      </c>
      <c r="CU721" s="9" t="s">
        <v>162</v>
      </c>
      <c r="CV721" s="9" t="s">
        <v>162</v>
      </c>
      <c r="CW721" s="9" t="s">
        <v>1633</v>
      </c>
      <c r="CX721" s="9" t="s">
        <v>368</v>
      </c>
      <c r="CY721" s="9" t="s">
        <v>368</v>
      </c>
      <c r="CZ721" s="9" t="s">
        <v>162</v>
      </c>
      <c r="DA721" s="9" t="s">
        <v>162</v>
      </c>
      <c r="DB721" s="9" t="s">
        <v>162</v>
      </c>
      <c r="DC721" s="9">
        <v>44.6</v>
      </c>
      <c r="DD721" s="9">
        <v>0.71</v>
      </c>
      <c r="DE721" s="10">
        <v>245</v>
      </c>
      <c r="DF721" s="10">
        <v>155</v>
      </c>
      <c r="DG721" s="9">
        <f t="shared" si="11"/>
        <v>4.4205794879726321</v>
      </c>
      <c r="DH721" s="9">
        <v>31</v>
      </c>
      <c r="DI721" s="9">
        <v>4.47</v>
      </c>
      <c r="DJ721" s="9">
        <v>21</v>
      </c>
      <c r="DK721" s="9">
        <v>26</v>
      </c>
      <c r="DL721" s="9">
        <v>50.9</v>
      </c>
      <c r="DM721" s="9">
        <v>163.1</v>
      </c>
      <c r="DP721" s="11">
        <v>2</v>
      </c>
      <c r="DR721" s="9">
        <v>3</v>
      </c>
      <c r="DT721" s="9">
        <v>15</v>
      </c>
      <c r="DU721" s="9">
        <v>4.62</v>
      </c>
    </row>
    <row r="722" spans="1:125" x14ac:dyDescent="0.2">
      <c r="A722" s="110">
        <v>635</v>
      </c>
      <c r="B722" s="8">
        <v>43279</v>
      </c>
      <c r="C722" s="9" t="s">
        <v>95</v>
      </c>
      <c r="D722" s="9">
        <v>49</v>
      </c>
      <c r="E722" s="9" t="s">
        <v>96</v>
      </c>
      <c r="F722" s="8">
        <v>25262</v>
      </c>
      <c r="G722" s="9" t="s">
        <v>162</v>
      </c>
      <c r="H722" s="9" t="s">
        <v>162</v>
      </c>
      <c r="I722" s="9" t="s">
        <v>162</v>
      </c>
      <c r="J722" s="9" t="s">
        <v>162</v>
      </c>
      <c r="K722" s="9" t="s">
        <v>162</v>
      </c>
      <c r="L722" s="9" t="s">
        <v>162</v>
      </c>
      <c r="M722" s="9" t="s">
        <v>162</v>
      </c>
      <c r="N722" s="9" t="s">
        <v>162</v>
      </c>
      <c r="O722" s="9" t="s">
        <v>162</v>
      </c>
      <c r="P722" s="10" t="s">
        <v>368</v>
      </c>
      <c r="Q722" s="10" t="s">
        <v>368</v>
      </c>
      <c r="R722" s="9" t="s">
        <v>162</v>
      </c>
      <c r="S722" s="9" t="s">
        <v>162</v>
      </c>
      <c r="T722" s="9" t="s">
        <v>162</v>
      </c>
      <c r="U722" s="9" t="s">
        <v>162</v>
      </c>
      <c r="V722" s="9" t="s">
        <v>162</v>
      </c>
      <c r="W722" s="9" t="s">
        <v>162</v>
      </c>
      <c r="X722" s="9" t="s">
        <v>162</v>
      </c>
      <c r="Y722" s="9" t="s">
        <v>162</v>
      </c>
      <c r="Z722" s="9" t="s">
        <v>162</v>
      </c>
      <c r="AA722" s="9" t="s">
        <v>162</v>
      </c>
      <c r="AB722" s="9" t="s">
        <v>162</v>
      </c>
      <c r="AC722" s="9" t="s">
        <v>162</v>
      </c>
      <c r="AD722" s="9" t="s">
        <v>162</v>
      </c>
      <c r="AE722" s="9" t="s">
        <v>162</v>
      </c>
      <c r="AF722" s="9" t="s">
        <v>162</v>
      </c>
      <c r="AG722" s="9" t="s">
        <v>162</v>
      </c>
      <c r="AH722" s="9" t="s">
        <v>162</v>
      </c>
      <c r="AI722" s="9" t="s">
        <v>162</v>
      </c>
      <c r="AJ722" s="9" t="s">
        <v>162</v>
      </c>
      <c r="AK722" s="9" t="s">
        <v>162</v>
      </c>
      <c r="AL722" s="9">
        <v>76.599999999999994</v>
      </c>
      <c r="AM722" s="9">
        <v>157.5</v>
      </c>
      <c r="AN722" s="10">
        <v>115</v>
      </c>
      <c r="AO722" s="9">
        <v>118</v>
      </c>
      <c r="AP722" s="9">
        <v>50.1</v>
      </c>
      <c r="AQ722" s="9">
        <v>10</v>
      </c>
      <c r="AR722" s="9">
        <v>20</v>
      </c>
      <c r="AS722" s="9">
        <v>64</v>
      </c>
      <c r="AT722" s="9">
        <v>30.9</v>
      </c>
      <c r="AU722" s="9">
        <v>105</v>
      </c>
      <c r="AV722" s="9">
        <v>73</v>
      </c>
      <c r="AX722" s="9" t="s">
        <v>162</v>
      </c>
      <c r="AY722" s="9" t="s">
        <v>162</v>
      </c>
      <c r="AZ722" s="9" t="s">
        <v>162</v>
      </c>
      <c r="BB722" s="9" t="s">
        <v>322</v>
      </c>
      <c r="BC722" s="9" t="s">
        <v>162</v>
      </c>
      <c r="BD722" s="9" t="s">
        <v>162</v>
      </c>
      <c r="BF722" s="9" t="s">
        <v>375</v>
      </c>
      <c r="BG722" s="9" t="s">
        <v>325</v>
      </c>
      <c r="BH722" s="9" t="s">
        <v>162</v>
      </c>
      <c r="BI722" s="9" t="s">
        <v>162</v>
      </c>
      <c r="BJ722" s="9" t="s">
        <v>162</v>
      </c>
      <c r="BK722" s="9" t="s">
        <v>375</v>
      </c>
      <c r="BN722" s="9" t="s">
        <v>323</v>
      </c>
      <c r="BO722" s="9" t="s">
        <v>162</v>
      </c>
      <c r="BP722" s="9" t="s">
        <v>162</v>
      </c>
      <c r="BR722" s="9" t="s">
        <v>162</v>
      </c>
      <c r="BS722" s="9" t="s">
        <v>162</v>
      </c>
      <c r="BT722" s="9" t="s">
        <v>162</v>
      </c>
      <c r="BV722" s="9" t="s">
        <v>162</v>
      </c>
      <c r="BW722" s="9" t="s">
        <v>162</v>
      </c>
      <c r="BX722" s="9" t="s">
        <v>162</v>
      </c>
      <c r="BZ722" s="9" t="s">
        <v>1074</v>
      </c>
      <c r="CA722" s="9" t="s">
        <v>6403</v>
      </c>
      <c r="CB722" s="9" t="s">
        <v>6404</v>
      </c>
      <c r="CD722" s="9" t="s">
        <v>162</v>
      </c>
      <c r="CE722" s="9" t="s">
        <v>162</v>
      </c>
      <c r="CF722" s="9" t="s">
        <v>162</v>
      </c>
      <c r="CH722" s="9" t="s">
        <v>162</v>
      </c>
      <c r="CI722" s="9" t="s">
        <v>162</v>
      </c>
      <c r="CJ722" s="9" t="s">
        <v>162</v>
      </c>
      <c r="CL722" s="9" t="s">
        <v>537</v>
      </c>
      <c r="CM722" s="9" t="s">
        <v>162</v>
      </c>
      <c r="CN722" s="9" t="s">
        <v>162</v>
      </c>
      <c r="CP722" s="9" t="s">
        <v>162</v>
      </c>
      <c r="CQ722" s="9" t="s">
        <v>162</v>
      </c>
      <c r="CR722" s="9" t="s">
        <v>162</v>
      </c>
      <c r="CT722" s="9" t="s">
        <v>162</v>
      </c>
      <c r="CU722" s="9" t="s">
        <v>162</v>
      </c>
      <c r="CV722" s="9" t="s">
        <v>162</v>
      </c>
      <c r="CW722" s="9" t="s">
        <v>162</v>
      </c>
      <c r="CX722" s="9" t="s">
        <v>162</v>
      </c>
      <c r="CY722" s="9" t="s">
        <v>162</v>
      </c>
      <c r="CZ722" s="9" t="s">
        <v>162</v>
      </c>
      <c r="DA722" s="9" t="s">
        <v>162</v>
      </c>
      <c r="DB722" s="9" t="s">
        <v>162</v>
      </c>
      <c r="DC722" s="9">
        <v>76</v>
      </c>
      <c r="DD722" s="9">
        <v>0.64</v>
      </c>
      <c r="DE722" s="10">
        <v>220</v>
      </c>
      <c r="DF722" s="9">
        <v>140</v>
      </c>
      <c r="DG722" s="9">
        <f t="shared" si="11"/>
        <v>4.6361878814478175</v>
      </c>
      <c r="DH722" s="9">
        <v>28</v>
      </c>
      <c r="DI722" s="9">
        <v>5.89</v>
      </c>
    </row>
    <row r="723" spans="1:125" x14ac:dyDescent="0.2">
      <c r="A723" s="9">
        <v>636</v>
      </c>
      <c r="B723" s="8">
        <v>43279</v>
      </c>
      <c r="C723" s="9" t="s">
        <v>107</v>
      </c>
      <c r="D723" s="9">
        <v>32</v>
      </c>
      <c r="E723" s="9" t="s">
        <v>96</v>
      </c>
      <c r="F723" s="8">
        <v>31470</v>
      </c>
      <c r="G723" s="9" t="s">
        <v>400</v>
      </c>
      <c r="H723" s="9" t="s">
        <v>1544</v>
      </c>
      <c r="I723" s="9" t="s">
        <v>162</v>
      </c>
      <c r="J723" s="9" t="s">
        <v>162</v>
      </c>
      <c r="K723" s="9" t="s">
        <v>162</v>
      </c>
      <c r="L723" s="9" t="s">
        <v>162</v>
      </c>
      <c r="M723" s="9" t="s">
        <v>263</v>
      </c>
      <c r="N723" s="9" t="s">
        <v>263</v>
      </c>
      <c r="O723" s="9" t="s">
        <v>263</v>
      </c>
      <c r="P723" s="9" t="s">
        <v>263</v>
      </c>
      <c r="Q723" s="10" t="s">
        <v>456</v>
      </c>
      <c r="R723" s="9" t="s">
        <v>162</v>
      </c>
      <c r="S723" s="9" t="s">
        <v>263</v>
      </c>
      <c r="T723" s="9" t="s">
        <v>263</v>
      </c>
      <c r="U723" s="9" t="s">
        <v>263</v>
      </c>
      <c r="V723" s="9" t="s">
        <v>162</v>
      </c>
      <c r="W723" s="9" t="s">
        <v>162</v>
      </c>
      <c r="X723" s="9" t="s">
        <v>162</v>
      </c>
      <c r="Y723" s="9" t="s">
        <v>162</v>
      </c>
      <c r="Z723" s="9" t="s">
        <v>162</v>
      </c>
      <c r="AA723" s="9" t="s">
        <v>96</v>
      </c>
      <c r="AB723" s="9" t="s">
        <v>96</v>
      </c>
      <c r="AC723" s="9" t="s">
        <v>96</v>
      </c>
      <c r="AD723" s="41" t="s">
        <v>440</v>
      </c>
      <c r="AE723" s="9" t="s">
        <v>263</v>
      </c>
      <c r="AF723" s="9" t="s">
        <v>36</v>
      </c>
      <c r="AG723" s="9" t="s">
        <v>263</v>
      </c>
      <c r="AH723" s="9" t="s">
        <v>36</v>
      </c>
      <c r="AI723" s="9" t="s">
        <v>263</v>
      </c>
      <c r="AJ723" s="9" t="s">
        <v>263</v>
      </c>
      <c r="AK723" s="9" t="s">
        <v>162</v>
      </c>
      <c r="AL723" s="9">
        <v>78.3</v>
      </c>
      <c r="AM723" s="9">
        <v>173</v>
      </c>
      <c r="AN723" s="10">
        <v>98</v>
      </c>
      <c r="AO723" s="9">
        <v>104</v>
      </c>
      <c r="AP723" s="9">
        <v>28.3</v>
      </c>
      <c r="AQ723" s="9">
        <v>9</v>
      </c>
      <c r="AR723" s="9">
        <v>24.3</v>
      </c>
      <c r="AS723" s="9">
        <v>45</v>
      </c>
      <c r="AT723" s="9">
        <v>26.2</v>
      </c>
      <c r="AU723" s="9">
        <v>113</v>
      </c>
      <c r="AV723" s="9">
        <v>86</v>
      </c>
      <c r="AX723" s="9" t="s">
        <v>426</v>
      </c>
      <c r="AY723" s="9" t="s">
        <v>162</v>
      </c>
      <c r="AZ723" s="9" t="s">
        <v>162</v>
      </c>
      <c r="BB723" s="9" t="s">
        <v>162</v>
      </c>
      <c r="BC723" s="9" t="s">
        <v>162</v>
      </c>
      <c r="BD723" s="9" t="s">
        <v>162</v>
      </c>
      <c r="BF723" s="9" t="s">
        <v>375</v>
      </c>
      <c r="BG723" s="9" t="s">
        <v>375</v>
      </c>
      <c r="BH723" s="9" t="s">
        <v>375</v>
      </c>
      <c r="BI723" s="9" t="s">
        <v>375</v>
      </c>
      <c r="BJ723" s="9" t="s">
        <v>375</v>
      </c>
      <c r="BK723" s="9" t="s">
        <v>276</v>
      </c>
      <c r="BN723" s="9" t="s">
        <v>6259</v>
      </c>
      <c r="BO723" s="9" t="s">
        <v>6405</v>
      </c>
      <c r="BP723" s="9" t="s">
        <v>497</v>
      </c>
      <c r="BR723" s="9" t="s">
        <v>162</v>
      </c>
      <c r="BS723" s="9" t="s">
        <v>162</v>
      </c>
      <c r="BT723" s="9" t="s">
        <v>162</v>
      </c>
      <c r="BV723" s="9" t="s">
        <v>1536</v>
      </c>
      <c r="BW723" s="9" t="s">
        <v>162</v>
      </c>
      <c r="BX723" s="9" t="s">
        <v>162</v>
      </c>
      <c r="BZ723" s="9" t="s">
        <v>502</v>
      </c>
      <c r="CA723" s="9" t="s">
        <v>941</v>
      </c>
      <c r="CD723" s="9" t="s">
        <v>162</v>
      </c>
      <c r="CE723" s="9" t="s">
        <v>162</v>
      </c>
      <c r="CF723" s="9" t="s">
        <v>162</v>
      </c>
      <c r="CH723" s="9" t="s">
        <v>162</v>
      </c>
      <c r="CI723" s="9" t="s">
        <v>162</v>
      </c>
      <c r="CJ723" s="9" t="s">
        <v>162</v>
      </c>
      <c r="CL723" s="9" t="s">
        <v>450</v>
      </c>
      <c r="CM723" s="9" t="s">
        <v>434</v>
      </c>
      <c r="CP723" s="9" t="s">
        <v>791</v>
      </c>
      <c r="CQ723" s="9" t="s">
        <v>452</v>
      </c>
      <c r="CR723" s="9" t="s">
        <v>162</v>
      </c>
      <c r="CT723" s="9" t="s">
        <v>539</v>
      </c>
      <c r="CU723" s="9" t="s">
        <v>162</v>
      </c>
      <c r="CV723" s="9" t="s">
        <v>162</v>
      </c>
      <c r="CW723" s="9" t="s">
        <v>2006</v>
      </c>
      <c r="CX723" s="9" t="s">
        <v>263</v>
      </c>
      <c r="CY723" s="9" t="s">
        <v>368</v>
      </c>
      <c r="CZ723" s="9">
        <v>40</v>
      </c>
      <c r="DA723" s="9">
        <v>30</v>
      </c>
      <c r="DB723" s="9">
        <v>30</v>
      </c>
      <c r="DC723" s="9">
        <v>72.900000000000006</v>
      </c>
      <c r="DD723" s="9">
        <v>0.64</v>
      </c>
      <c r="DE723" s="9">
        <v>157</v>
      </c>
      <c r="DF723" s="9">
        <v>106</v>
      </c>
      <c r="DG723" s="9">
        <f t="shared" si="11"/>
        <v>4.4762638665633396</v>
      </c>
      <c r="DH723" s="9">
        <v>21.2</v>
      </c>
      <c r="DI723" s="9">
        <v>6.29</v>
      </c>
      <c r="DJ723" s="9">
        <v>19</v>
      </c>
      <c r="DK723" s="9">
        <v>19.7</v>
      </c>
      <c r="DL723" s="10">
        <v>36.799999999999997</v>
      </c>
      <c r="DM723" s="9">
        <v>99</v>
      </c>
      <c r="DP723" s="11">
        <v>3</v>
      </c>
      <c r="DQ723" s="9">
        <v>2</v>
      </c>
    </row>
    <row r="724" spans="1:125" x14ac:dyDescent="0.2">
      <c r="A724" s="9">
        <v>637</v>
      </c>
      <c r="B724" s="8">
        <v>43279</v>
      </c>
      <c r="C724" s="9" t="s">
        <v>95</v>
      </c>
      <c r="D724" s="9">
        <v>52</v>
      </c>
      <c r="E724" s="9" t="s">
        <v>96</v>
      </c>
      <c r="F724" s="8">
        <v>24140</v>
      </c>
      <c r="G724" s="9" t="s">
        <v>1892</v>
      </c>
      <c r="H724" s="9" t="s">
        <v>6406</v>
      </c>
      <c r="I724" s="42">
        <v>39569</v>
      </c>
      <c r="J724" s="9" t="s">
        <v>162</v>
      </c>
      <c r="K724" s="9" t="s">
        <v>162</v>
      </c>
      <c r="L724" s="9">
        <v>2</v>
      </c>
      <c r="M724" s="9" t="s">
        <v>263</v>
      </c>
      <c r="N724" s="10" t="s">
        <v>368</v>
      </c>
      <c r="O724" s="9" t="s">
        <v>263</v>
      </c>
      <c r="P724" s="9" t="s">
        <v>162</v>
      </c>
      <c r="Q724" s="10" t="s">
        <v>369</v>
      </c>
      <c r="R724" s="9" t="s">
        <v>263</v>
      </c>
      <c r="S724" s="9" t="s">
        <v>162</v>
      </c>
      <c r="T724" s="9" t="s">
        <v>162</v>
      </c>
      <c r="U724" s="9">
        <v>2009</v>
      </c>
      <c r="V724" s="9">
        <v>2008</v>
      </c>
      <c r="W724" s="9" t="s">
        <v>263</v>
      </c>
      <c r="X724" s="9" t="s">
        <v>263</v>
      </c>
      <c r="Y724" s="9" t="s">
        <v>162</v>
      </c>
      <c r="Z724" s="9" t="s">
        <v>162</v>
      </c>
      <c r="AA724" s="9" t="s">
        <v>96</v>
      </c>
      <c r="AB724" s="9" t="s">
        <v>96</v>
      </c>
      <c r="AC724" s="9" t="s">
        <v>162</v>
      </c>
      <c r="AD724" s="9" t="s">
        <v>162</v>
      </c>
      <c r="AE724" s="9" t="s">
        <v>263</v>
      </c>
      <c r="AF724" s="10" t="s">
        <v>423</v>
      </c>
      <c r="AG724" s="9" t="s">
        <v>263</v>
      </c>
      <c r="AH724" s="9" t="s">
        <v>263</v>
      </c>
      <c r="AI724" s="9" t="s">
        <v>263</v>
      </c>
      <c r="AJ724" s="9" t="s">
        <v>263</v>
      </c>
      <c r="AK724" s="9" t="s">
        <v>263</v>
      </c>
      <c r="AL724" s="9">
        <v>71.5</v>
      </c>
      <c r="AM724" s="9">
        <v>168</v>
      </c>
      <c r="AN724" s="46">
        <v>95.5</v>
      </c>
      <c r="AO724" s="9">
        <v>107</v>
      </c>
      <c r="AP724" s="9">
        <v>41.1</v>
      </c>
      <c r="AQ724" s="9">
        <v>8</v>
      </c>
      <c r="AR724" s="9">
        <v>23.9</v>
      </c>
      <c r="AS724" s="9">
        <v>51</v>
      </c>
      <c r="AT724" s="9">
        <v>25.3</v>
      </c>
      <c r="AU724" s="9">
        <v>122</v>
      </c>
      <c r="AV724" s="9">
        <v>83</v>
      </c>
      <c r="AX724" s="9" t="s">
        <v>162</v>
      </c>
      <c r="AY724" s="9" t="s">
        <v>162</v>
      </c>
      <c r="AZ724" s="9" t="s">
        <v>162</v>
      </c>
      <c r="BB724" s="9" t="s">
        <v>162</v>
      </c>
      <c r="BC724" s="9" t="s">
        <v>162</v>
      </c>
      <c r="BD724" s="9" t="s">
        <v>162</v>
      </c>
      <c r="BF724" s="9" t="s">
        <v>375</v>
      </c>
      <c r="BG724" s="9" t="s">
        <v>322</v>
      </c>
      <c r="BH724" s="9" t="s">
        <v>162</v>
      </c>
      <c r="BI724" s="9" t="s">
        <v>322</v>
      </c>
      <c r="BJ724" s="9" t="s">
        <v>322</v>
      </c>
      <c r="BK724" s="9" t="s">
        <v>375</v>
      </c>
      <c r="BN724" s="9" t="s">
        <v>394</v>
      </c>
      <c r="BO724" s="9" t="s">
        <v>6407</v>
      </c>
      <c r="BP724" s="9" t="s">
        <v>6287</v>
      </c>
      <c r="BR724" s="9" t="s">
        <v>162</v>
      </c>
      <c r="BS724" s="9" t="s">
        <v>162</v>
      </c>
      <c r="BT724" s="9" t="s">
        <v>162</v>
      </c>
      <c r="BV724" s="9" t="s">
        <v>162</v>
      </c>
      <c r="BW724" s="9" t="s">
        <v>162</v>
      </c>
      <c r="BX724" s="9" t="s">
        <v>162</v>
      </c>
      <c r="BZ724" s="9" t="s">
        <v>5782</v>
      </c>
      <c r="CA724" s="9" t="s">
        <v>5165</v>
      </c>
      <c r="CB724" s="9" t="s">
        <v>6375</v>
      </c>
      <c r="CD724" s="9" t="s">
        <v>162</v>
      </c>
      <c r="CE724" s="9" t="s">
        <v>162</v>
      </c>
      <c r="CF724" s="9" t="s">
        <v>162</v>
      </c>
      <c r="CH724" s="9" t="s">
        <v>1536</v>
      </c>
      <c r="CI724" s="9" t="s">
        <v>6408</v>
      </c>
      <c r="CJ724" s="9" t="s">
        <v>162</v>
      </c>
      <c r="CL724" s="9" t="s">
        <v>162</v>
      </c>
      <c r="CM724" s="9" t="s">
        <v>162</v>
      </c>
      <c r="CN724" s="9" t="s">
        <v>162</v>
      </c>
      <c r="CP724" s="9" t="s">
        <v>1707</v>
      </c>
      <c r="CQ724" s="9" t="s">
        <v>162</v>
      </c>
      <c r="CR724" s="9" t="s">
        <v>162</v>
      </c>
      <c r="CT724" s="9" t="s">
        <v>162</v>
      </c>
      <c r="CU724" s="9" t="s">
        <v>162</v>
      </c>
      <c r="CV724" s="9" t="s">
        <v>162</v>
      </c>
      <c r="CW724" s="9">
        <v>3</v>
      </c>
      <c r="CX724" s="9" t="s">
        <v>162</v>
      </c>
      <c r="CY724" s="9" t="s">
        <v>368</v>
      </c>
      <c r="CZ724" s="9" t="s">
        <v>162</v>
      </c>
      <c r="DA724" s="9" t="s">
        <v>162</v>
      </c>
      <c r="DB724" s="9" t="s">
        <v>162</v>
      </c>
      <c r="DC724" s="9">
        <v>89.4</v>
      </c>
      <c r="DD724" s="9">
        <v>0.5</v>
      </c>
      <c r="DE724" s="10">
        <v>241</v>
      </c>
      <c r="DF724" s="10">
        <v>155</v>
      </c>
      <c r="DG724" s="9">
        <f t="shared" si="11"/>
        <v>4.7682728995493573</v>
      </c>
      <c r="DH724" s="9">
        <v>31</v>
      </c>
      <c r="DI724" s="9">
        <v>4.3099999999999996</v>
      </c>
      <c r="DJ724" s="9">
        <v>25</v>
      </c>
      <c r="DK724" s="9">
        <v>26</v>
      </c>
      <c r="DL724" s="9">
        <v>56.8</v>
      </c>
      <c r="DM724" s="9">
        <v>153.19999999999999</v>
      </c>
      <c r="DP724" s="11">
        <v>3</v>
      </c>
      <c r="DT724" s="9">
        <v>11</v>
      </c>
      <c r="DU724" s="9">
        <v>3.69</v>
      </c>
    </row>
    <row r="725" spans="1:125" x14ac:dyDescent="0.2">
      <c r="A725" s="30">
        <v>638</v>
      </c>
      <c r="B725" s="8">
        <v>43279</v>
      </c>
      <c r="C725" s="9" t="s">
        <v>95</v>
      </c>
      <c r="D725" s="9">
        <v>45</v>
      </c>
      <c r="E725" s="9" t="s">
        <v>162</v>
      </c>
      <c r="F725" s="8">
        <v>26666</v>
      </c>
      <c r="G725" s="9" t="s">
        <v>162</v>
      </c>
      <c r="H725" s="9" t="s">
        <v>162</v>
      </c>
      <c r="I725" s="9" t="s">
        <v>162</v>
      </c>
      <c r="J725" s="9" t="s">
        <v>162</v>
      </c>
      <c r="K725" s="9">
        <v>2010</v>
      </c>
      <c r="L725" s="9">
        <v>4</v>
      </c>
      <c r="M725" s="9" t="s">
        <v>263</v>
      </c>
      <c r="N725" s="9" t="s">
        <v>263</v>
      </c>
      <c r="O725" s="9" t="s">
        <v>263</v>
      </c>
      <c r="P725" s="10" t="s">
        <v>322</v>
      </c>
      <c r="Q725" s="10" t="s">
        <v>456</v>
      </c>
      <c r="R725" s="9" t="s">
        <v>263</v>
      </c>
      <c r="S725" s="9" t="s">
        <v>263</v>
      </c>
      <c r="T725" s="9" t="s">
        <v>263</v>
      </c>
      <c r="U725" s="9" t="s">
        <v>263</v>
      </c>
      <c r="V725" s="9" t="s">
        <v>263</v>
      </c>
      <c r="W725" s="9" t="s">
        <v>6409</v>
      </c>
      <c r="X725" s="9" t="s">
        <v>263</v>
      </c>
      <c r="Y725" s="9" t="s">
        <v>162</v>
      </c>
      <c r="Z725" s="9" t="s">
        <v>162</v>
      </c>
      <c r="AA725" s="9" t="s">
        <v>96</v>
      </c>
      <c r="AB725" s="9" t="s">
        <v>96</v>
      </c>
      <c r="AC725" s="9" t="s">
        <v>96</v>
      </c>
      <c r="AD725" s="9" t="s">
        <v>96</v>
      </c>
      <c r="AE725" s="9" t="s">
        <v>263</v>
      </c>
      <c r="AF725" s="9" t="s">
        <v>263</v>
      </c>
      <c r="AG725" s="9" t="s">
        <v>263</v>
      </c>
      <c r="AH725" s="9" t="s">
        <v>263</v>
      </c>
      <c r="AI725" s="9" t="s">
        <v>263</v>
      </c>
      <c r="AJ725" s="9" t="s">
        <v>263</v>
      </c>
      <c r="AK725" s="9" t="s">
        <v>263</v>
      </c>
      <c r="AL725" s="9">
        <v>63.4</v>
      </c>
      <c r="AM725" s="9">
        <v>166</v>
      </c>
      <c r="AN725" s="9">
        <v>81</v>
      </c>
      <c r="AO725" s="9">
        <v>105</v>
      </c>
      <c r="AP725" s="9">
        <v>42.2</v>
      </c>
      <c r="AQ725" s="9">
        <v>1.9</v>
      </c>
      <c r="AR725" s="9">
        <v>34.700000000000003</v>
      </c>
      <c r="AS725" s="9">
        <v>50</v>
      </c>
      <c r="AT725" s="7">
        <v>19.09</v>
      </c>
      <c r="AU725" s="9">
        <v>103</v>
      </c>
      <c r="AV725" s="9">
        <v>74</v>
      </c>
      <c r="AX725" s="9" t="s">
        <v>162</v>
      </c>
      <c r="AY725" s="9" t="s">
        <v>162</v>
      </c>
      <c r="AZ725" s="9" t="s">
        <v>162</v>
      </c>
      <c r="BB725" s="9" t="s">
        <v>162</v>
      </c>
      <c r="BC725" s="9" t="s">
        <v>162</v>
      </c>
      <c r="BD725" s="9" t="s">
        <v>162</v>
      </c>
      <c r="BF725" s="9" t="s">
        <v>162</v>
      </c>
      <c r="BG725" s="9" t="s">
        <v>162</v>
      </c>
      <c r="BH725" s="9" t="s">
        <v>162</v>
      </c>
      <c r="BI725" s="9" t="s">
        <v>162</v>
      </c>
      <c r="BJ725" s="9" t="s">
        <v>162</v>
      </c>
      <c r="BK725" s="9" t="s">
        <v>162</v>
      </c>
      <c r="BN725" s="9" t="s">
        <v>162</v>
      </c>
      <c r="BO725" s="9" t="s">
        <v>162</v>
      </c>
      <c r="BP725" s="9" t="s">
        <v>162</v>
      </c>
      <c r="BR725" s="9" t="s">
        <v>162</v>
      </c>
      <c r="BS725" s="9" t="s">
        <v>162</v>
      </c>
      <c r="BT725" s="9" t="s">
        <v>162</v>
      </c>
      <c r="BV725" s="9" t="s">
        <v>162</v>
      </c>
      <c r="BW725" s="9" t="s">
        <v>162</v>
      </c>
      <c r="BX725" s="9" t="s">
        <v>162</v>
      </c>
      <c r="BZ725" s="9" t="s">
        <v>162</v>
      </c>
      <c r="CA725" s="9" t="s">
        <v>162</v>
      </c>
      <c r="CB725" s="9" t="s">
        <v>162</v>
      </c>
      <c r="CD725" s="9" t="s">
        <v>162</v>
      </c>
      <c r="CE725" s="9" t="s">
        <v>162</v>
      </c>
      <c r="CF725" s="9" t="s">
        <v>162</v>
      </c>
      <c r="CH725" s="9" t="s">
        <v>162</v>
      </c>
      <c r="CI725" s="9" t="s">
        <v>162</v>
      </c>
      <c r="CJ725" s="9" t="s">
        <v>162</v>
      </c>
      <c r="CL725" s="9" t="s">
        <v>162</v>
      </c>
      <c r="CM725" s="9" t="s">
        <v>162</v>
      </c>
      <c r="CN725" s="9" t="s">
        <v>162</v>
      </c>
      <c r="CP725" s="9" t="s">
        <v>162</v>
      </c>
      <c r="CQ725" s="9" t="s">
        <v>162</v>
      </c>
      <c r="CR725" s="9" t="s">
        <v>162</v>
      </c>
      <c r="CT725" s="9" t="s">
        <v>162</v>
      </c>
      <c r="CU725" s="9" t="s">
        <v>162</v>
      </c>
      <c r="CV725" s="9" t="s">
        <v>162</v>
      </c>
      <c r="CW725" s="9" t="s">
        <v>162</v>
      </c>
      <c r="CX725" s="9" t="s">
        <v>162</v>
      </c>
      <c r="CY725" s="9" t="s">
        <v>162</v>
      </c>
      <c r="CZ725" s="9" t="s">
        <v>162</v>
      </c>
      <c r="DA725" s="9" t="s">
        <v>162</v>
      </c>
      <c r="DB725" s="9" t="s">
        <v>162</v>
      </c>
      <c r="DC725" s="9">
        <v>75.5</v>
      </c>
      <c r="DD725" s="9">
        <v>0.52</v>
      </c>
      <c r="DE725" s="10">
        <v>222</v>
      </c>
      <c r="DF725" s="9">
        <v>86</v>
      </c>
      <c r="DG725" s="9">
        <f t="shared" si="11"/>
        <v>4.3892399762542436</v>
      </c>
      <c r="DH725" s="9">
        <v>17.2</v>
      </c>
      <c r="DI725" s="9">
        <v>3.19</v>
      </c>
      <c r="DJ725" s="9">
        <v>9</v>
      </c>
      <c r="DK725" s="9">
        <v>17</v>
      </c>
      <c r="DL725" s="9">
        <v>55.4</v>
      </c>
      <c r="DM725" s="9">
        <v>149.4</v>
      </c>
      <c r="DP725" s="11">
        <v>3</v>
      </c>
      <c r="DQ725" s="9">
        <v>2</v>
      </c>
      <c r="DR725" s="9">
        <v>3</v>
      </c>
    </row>
    <row r="726" spans="1:125" x14ac:dyDescent="0.2">
      <c r="A726" s="39">
        <v>639</v>
      </c>
      <c r="B726" s="8">
        <v>43279</v>
      </c>
      <c r="C726" s="9" t="s">
        <v>95</v>
      </c>
      <c r="D726" s="9" t="s">
        <v>162</v>
      </c>
      <c r="E726" s="9" t="s">
        <v>162</v>
      </c>
      <c r="F726" s="9" t="s">
        <v>162</v>
      </c>
      <c r="G726" s="9" t="s">
        <v>162</v>
      </c>
      <c r="H726" s="9" t="s">
        <v>162</v>
      </c>
      <c r="I726" s="9">
        <v>1962</v>
      </c>
      <c r="J726" s="10">
        <v>2004</v>
      </c>
      <c r="K726" s="9">
        <v>1974</v>
      </c>
      <c r="L726" s="9">
        <v>3</v>
      </c>
      <c r="M726" s="9" t="s">
        <v>162</v>
      </c>
      <c r="N726" s="9" t="s">
        <v>162</v>
      </c>
      <c r="O726" s="9" t="s">
        <v>162</v>
      </c>
      <c r="P726" s="47" t="s">
        <v>162</v>
      </c>
      <c r="Q726" s="9" t="s">
        <v>162</v>
      </c>
      <c r="R726" s="9" t="s">
        <v>162</v>
      </c>
      <c r="S726" s="9" t="s">
        <v>162</v>
      </c>
      <c r="T726" s="9" t="s">
        <v>368</v>
      </c>
      <c r="U726" s="9">
        <v>2018</v>
      </c>
      <c r="V726" s="9" t="s">
        <v>162</v>
      </c>
      <c r="W726" s="9" t="s">
        <v>162</v>
      </c>
      <c r="X726" s="9" t="s">
        <v>162</v>
      </c>
      <c r="Y726" s="9" t="s">
        <v>162</v>
      </c>
      <c r="Z726" s="9" t="s">
        <v>6410</v>
      </c>
      <c r="AA726" s="9" t="s">
        <v>96</v>
      </c>
      <c r="AB726" s="9" t="s">
        <v>96</v>
      </c>
      <c r="AC726" s="9" t="s">
        <v>96</v>
      </c>
      <c r="AD726" s="9" t="s">
        <v>96</v>
      </c>
      <c r="AE726" s="10" t="s">
        <v>35</v>
      </c>
      <c r="AF726" s="9" t="s">
        <v>162</v>
      </c>
      <c r="AG726" s="10" t="s">
        <v>6172</v>
      </c>
      <c r="AH726" s="9" t="s">
        <v>162</v>
      </c>
      <c r="AI726" s="10" t="s">
        <v>3718</v>
      </c>
      <c r="AJ726" s="9" t="s">
        <v>162</v>
      </c>
      <c r="AK726" s="9" t="s">
        <v>162</v>
      </c>
      <c r="AL726" s="9">
        <v>62.9</v>
      </c>
      <c r="AM726" s="9">
        <v>173</v>
      </c>
      <c r="AN726" s="9">
        <v>82</v>
      </c>
      <c r="AO726" s="9">
        <v>103.1</v>
      </c>
      <c r="AP726" s="9">
        <v>34.4</v>
      </c>
      <c r="AQ726" s="9">
        <v>7</v>
      </c>
      <c r="AR726" s="9">
        <v>27.4</v>
      </c>
      <c r="AS726" s="9">
        <v>54</v>
      </c>
      <c r="AT726" s="7">
        <v>23.7</v>
      </c>
      <c r="AU726" s="9">
        <v>115</v>
      </c>
      <c r="AV726" s="9">
        <v>80</v>
      </c>
      <c r="AX726" s="9" t="s">
        <v>162</v>
      </c>
      <c r="AY726" s="9" t="s">
        <v>162</v>
      </c>
      <c r="AZ726" s="9" t="s">
        <v>162</v>
      </c>
      <c r="BB726" s="9" t="s">
        <v>162</v>
      </c>
      <c r="BC726" s="9" t="s">
        <v>162</v>
      </c>
      <c r="BD726" s="9" t="s">
        <v>162</v>
      </c>
      <c r="BF726" s="9" t="s">
        <v>375</v>
      </c>
      <c r="BG726" s="9" t="s">
        <v>375</v>
      </c>
      <c r="BH726" s="9" t="s">
        <v>162</v>
      </c>
      <c r="BI726" s="9" t="s">
        <v>162</v>
      </c>
      <c r="BJ726" s="9" t="s">
        <v>162</v>
      </c>
      <c r="BK726" s="9" t="s">
        <v>162</v>
      </c>
      <c r="BN726" s="9" t="s">
        <v>6411</v>
      </c>
      <c r="BO726" s="9" t="s">
        <v>466</v>
      </c>
      <c r="BP726" s="9" t="s">
        <v>6412</v>
      </c>
      <c r="BR726" s="9" t="s">
        <v>162</v>
      </c>
      <c r="BS726" s="9" t="s">
        <v>162</v>
      </c>
      <c r="BT726" s="9" t="s">
        <v>162</v>
      </c>
      <c r="BV726" s="9" t="s">
        <v>6413</v>
      </c>
      <c r="BW726" s="9" t="s">
        <v>162</v>
      </c>
      <c r="BX726" s="9" t="s">
        <v>162</v>
      </c>
      <c r="BZ726" s="9" t="s">
        <v>526</v>
      </c>
      <c r="CA726" s="9" t="s">
        <v>433</v>
      </c>
      <c r="CB726" s="9" t="s">
        <v>432</v>
      </c>
      <c r="CD726" s="9" t="s">
        <v>162</v>
      </c>
      <c r="CE726" s="9" t="s">
        <v>162</v>
      </c>
      <c r="CF726" s="9" t="s">
        <v>162</v>
      </c>
      <c r="CH726" s="9" t="s">
        <v>162</v>
      </c>
      <c r="CI726" s="9" t="s">
        <v>162</v>
      </c>
      <c r="CJ726" s="9" t="s">
        <v>162</v>
      </c>
      <c r="CL726" s="9" t="s">
        <v>162</v>
      </c>
      <c r="CM726" s="9" t="s">
        <v>162</v>
      </c>
      <c r="CN726" s="9" t="s">
        <v>162</v>
      </c>
      <c r="CP726" s="9" t="s">
        <v>162</v>
      </c>
      <c r="CQ726" s="9" t="s">
        <v>162</v>
      </c>
      <c r="CR726" s="47" t="s">
        <v>162</v>
      </c>
      <c r="CT726" s="9" t="s">
        <v>1157</v>
      </c>
      <c r="CU726" s="9" t="s">
        <v>162</v>
      </c>
      <c r="CV726" s="9" t="s">
        <v>162</v>
      </c>
      <c r="CW726" s="9">
        <v>1</v>
      </c>
      <c r="CX726" s="9" t="s">
        <v>263</v>
      </c>
      <c r="CY726" s="9" t="s">
        <v>263</v>
      </c>
      <c r="CZ726" s="9">
        <v>100</v>
      </c>
      <c r="DA726" s="9">
        <v>0</v>
      </c>
      <c r="DB726" s="9">
        <v>45</v>
      </c>
      <c r="DC726" s="9">
        <v>84.4</v>
      </c>
      <c r="DD726" s="9">
        <v>0.55000000000000004</v>
      </c>
      <c r="DE726" s="10">
        <v>270</v>
      </c>
      <c r="DF726" s="10">
        <v>155</v>
      </c>
      <c r="DG726" s="9">
        <f t="shared" si="11"/>
        <v>4.7394962592605792</v>
      </c>
      <c r="DH726" s="9">
        <v>31</v>
      </c>
      <c r="DI726" s="9">
        <v>4.0999999999999996</v>
      </c>
      <c r="DJ726" s="9">
        <v>19</v>
      </c>
      <c r="DK726" s="9">
        <v>15.3</v>
      </c>
      <c r="DL726" s="9">
        <v>47.5</v>
      </c>
      <c r="DM726" s="9">
        <v>191.5</v>
      </c>
      <c r="DP726" s="11">
        <v>3</v>
      </c>
    </row>
    <row r="727" spans="1:125" x14ac:dyDescent="0.2">
      <c r="A727" s="7">
        <v>640</v>
      </c>
      <c r="B727" s="8">
        <v>43279</v>
      </c>
      <c r="C727" s="9" t="s">
        <v>95</v>
      </c>
      <c r="D727" s="9">
        <v>41</v>
      </c>
      <c r="E727" s="9" t="s">
        <v>96</v>
      </c>
      <c r="F727" s="8">
        <v>27996</v>
      </c>
      <c r="G727" s="9" t="s">
        <v>314</v>
      </c>
      <c r="H727" s="9" t="s">
        <v>6414</v>
      </c>
      <c r="I727" s="9" t="s">
        <v>162</v>
      </c>
      <c r="J727" s="9" t="s">
        <v>162</v>
      </c>
      <c r="K727" s="9">
        <v>2013</v>
      </c>
      <c r="L727" s="9">
        <v>1</v>
      </c>
      <c r="M727" s="9" t="s">
        <v>263</v>
      </c>
      <c r="N727" s="9" t="s">
        <v>263</v>
      </c>
      <c r="O727" s="10" t="s">
        <v>368</v>
      </c>
      <c r="P727" s="9" t="s">
        <v>263</v>
      </c>
      <c r="Q727" s="9" t="s">
        <v>263</v>
      </c>
      <c r="R727" s="9" t="s">
        <v>368</v>
      </c>
      <c r="S727" s="9" t="s">
        <v>368</v>
      </c>
      <c r="T727" s="9" t="s">
        <v>263</v>
      </c>
      <c r="U727" s="9" t="s">
        <v>263</v>
      </c>
      <c r="V727" s="9" t="s">
        <v>162</v>
      </c>
      <c r="W727" s="9" t="s">
        <v>6409</v>
      </c>
      <c r="X727" s="9" t="s">
        <v>162</v>
      </c>
      <c r="Y727" s="9" t="s">
        <v>162</v>
      </c>
      <c r="Z727" s="9" t="s">
        <v>162</v>
      </c>
      <c r="AA727" s="9" t="s">
        <v>96</v>
      </c>
      <c r="AB727" s="9" t="s">
        <v>96</v>
      </c>
      <c r="AC727" s="9" t="s">
        <v>96</v>
      </c>
      <c r="AD727" s="9" t="s">
        <v>96</v>
      </c>
      <c r="AE727" s="10" t="s">
        <v>6415</v>
      </c>
      <c r="AF727" s="10" t="s">
        <v>6416</v>
      </c>
      <c r="AG727" s="10" t="s">
        <v>6416</v>
      </c>
      <c r="AH727" s="9" t="s">
        <v>162</v>
      </c>
      <c r="AI727" s="9" t="s">
        <v>162</v>
      </c>
      <c r="AJ727" s="9" t="s">
        <v>162</v>
      </c>
      <c r="AK727" s="9" t="s">
        <v>162</v>
      </c>
      <c r="AL727" s="9">
        <v>63.2</v>
      </c>
      <c r="AM727" s="9">
        <v>160</v>
      </c>
      <c r="AN727" s="9">
        <v>85.7</v>
      </c>
      <c r="AO727" s="9">
        <v>102.3</v>
      </c>
      <c r="AP727" s="9">
        <v>35.5</v>
      </c>
      <c r="AQ727" s="9">
        <v>6</v>
      </c>
      <c r="AR727" s="9">
        <v>27.6</v>
      </c>
      <c r="AS727" s="9">
        <v>44</v>
      </c>
      <c r="AT727" s="7">
        <v>24.7</v>
      </c>
      <c r="AU727" s="39">
        <v>102</v>
      </c>
      <c r="AV727" s="9">
        <v>75</v>
      </c>
      <c r="AX727" s="9" t="s">
        <v>389</v>
      </c>
      <c r="AY727" s="9" t="s">
        <v>5160</v>
      </c>
      <c r="AZ727" s="9" t="s">
        <v>6417</v>
      </c>
      <c r="BB727" s="9" t="s">
        <v>6188</v>
      </c>
      <c r="BC727" s="9" t="s">
        <v>6418</v>
      </c>
      <c r="BD727" s="9" t="s">
        <v>162</v>
      </c>
      <c r="BF727" s="9" t="s">
        <v>322</v>
      </c>
      <c r="BG727" s="9" t="s">
        <v>325</v>
      </c>
      <c r="BH727" s="9" t="s">
        <v>483</v>
      </c>
      <c r="BI727" s="9" t="s">
        <v>322</v>
      </c>
      <c r="BJ727" s="9" t="s">
        <v>322</v>
      </c>
      <c r="BK727" s="9" t="s">
        <v>276</v>
      </c>
      <c r="BN727" s="9" t="s">
        <v>6419</v>
      </c>
      <c r="BR727" s="9" t="s">
        <v>162</v>
      </c>
      <c r="BS727" s="9" t="s">
        <v>162</v>
      </c>
      <c r="BT727" s="9" t="s">
        <v>162</v>
      </c>
      <c r="BV727" s="9" t="s">
        <v>162</v>
      </c>
      <c r="BW727" s="9" t="s">
        <v>162</v>
      </c>
      <c r="BX727" s="9" t="s">
        <v>162</v>
      </c>
      <c r="BZ727" s="9" t="s">
        <v>6420</v>
      </c>
      <c r="CA727" s="9" t="s">
        <v>162</v>
      </c>
      <c r="CB727" s="9" t="s">
        <v>162</v>
      </c>
      <c r="CD727" s="9" t="s">
        <v>162</v>
      </c>
      <c r="CE727" s="9" t="s">
        <v>162</v>
      </c>
      <c r="CF727" s="9" t="s">
        <v>162</v>
      </c>
      <c r="CH727" s="9" t="s">
        <v>162</v>
      </c>
      <c r="CI727" s="9" t="s">
        <v>162</v>
      </c>
      <c r="CJ727" s="9" t="s">
        <v>162</v>
      </c>
      <c r="CL727" s="9" t="s">
        <v>333</v>
      </c>
      <c r="CM727" s="9" t="s">
        <v>923</v>
      </c>
      <c r="CP727" s="9" t="s">
        <v>6421</v>
      </c>
      <c r="CT727" s="9" t="s">
        <v>6422</v>
      </c>
      <c r="CW727" s="9">
        <v>3</v>
      </c>
      <c r="CX727" s="9" t="s">
        <v>368</v>
      </c>
      <c r="CY727" s="9" t="s">
        <v>263</v>
      </c>
      <c r="CZ727" s="9" t="s">
        <v>162</v>
      </c>
      <c r="DA727" s="9" t="s">
        <v>162</v>
      </c>
      <c r="DB727" s="9" t="s">
        <v>162</v>
      </c>
      <c r="DC727" s="9">
        <v>80.8</v>
      </c>
      <c r="DD727" s="9">
        <v>0.67</v>
      </c>
      <c r="DE727" s="9">
        <v>173</v>
      </c>
      <c r="DF727" s="9">
        <v>101</v>
      </c>
      <c r="DG727" s="9">
        <f t="shared" si="11"/>
        <v>4.5035487411841544</v>
      </c>
      <c r="DH727" s="9">
        <v>20.2</v>
      </c>
      <c r="DI727" s="9">
        <v>3.2</v>
      </c>
      <c r="DJ727" s="9">
        <v>6.7</v>
      </c>
      <c r="DK727" s="9">
        <v>20.7</v>
      </c>
      <c r="DL727" s="9">
        <v>54.8</v>
      </c>
      <c r="DM727" s="9">
        <v>98</v>
      </c>
      <c r="DP727" s="11">
        <v>3</v>
      </c>
      <c r="DR727" s="9">
        <v>2</v>
      </c>
      <c r="DT727" s="9">
        <v>7.7</v>
      </c>
      <c r="DU727" s="9">
        <v>2.66</v>
      </c>
    </row>
    <row r="728" spans="1:125" x14ac:dyDescent="0.2">
      <c r="A728" s="39">
        <v>641</v>
      </c>
      <c r="B728" s="8">
        <v>43279</v>
      </c>
      <c r="C728" s="9" t="s">
        <v>95</v>
      </c>
      <c r="D728" s="9">
        <v>42</v>
      </c>
      <c r="E728" s="9" t="s">
        <v>96</v>
      </c>
      <c r="F728" s="8">
        <v>27611</v>
      </c>
      <c r="G728" s="9" t="s">
        <v>314</v>
      </c>
      <c r="H728" s="9" t="s">
        <v>6423</v>
      </c>
      <c r="I728" s="9">
        <v>1986</v>
      </c>
      <c r="J728" s="9" t="s">
        <v>162</v>
      </c>
      <c r="K728" s="9" t="s">
        <v>162</v>
      </c>
      <c r="L728" s="9">
        <v>0</v>
      </c>
      <c r="M728" s="9" t="s">
        <v>263</v>
      </c>
      <c r="N728" s="9" t="s">
        <v>263</v>
      </c>
      <c r="O728" s="9" t="s">
        <v>263</v>
      </c>
      <c r="P728" s="9" t="s">
        <v>263</v>
      </c>
      <c r="Q728" s="9" t="s">
        <v>263</v>
      </c>
      <c r="R728" s="9" t="s">
        <v>263</v>
      </c>
      <c r="S728" s="9" t="s">
        <v>368</v>
      </c>
      <c r="T728" s="9" t="s">
        <v>368</v>
      </c>
      <c r="U728" s="8">
        <v>42828</v>
      </c>
      <c r="V728" s="9" t="s">
        <v>263</v>
      </c>
      <c r="W728" s="9" t="s">
        <v>162</v>
      </c>
      <c r="X728" s="9" t="s">
        <v>263</v>
      </c>
      <c r="Y728" s="9" t="s">
        <v>162</v>
      </c>
      <c r="Z728" s="9" t="s">
        <v>545</v>
      </c>
      <c r="AA728" s="9" t="s">
        <v>5024</v>
      </c>
      <c r="AB728" s="9" t="s">
        <v>96</v>
      </c>
      <c r="AC728" s="9" t="s">
        <v>96</v>
      </c>
      <c r="AD728" s="9" t="s">
        <v>96</v>
      </c>
      <c r="AE728" s="9" t="s">
        <v>263</v>
      </c>
      <c r="AF728" s="9" t="s">
        <v>263</v>
      </c>
      <c r="AG728" s="10" t="s">
        <v>6424</v>
      </c>
      <c r="AH728" s="9" t="s">
        <v>263</v>
      </c>
      <c r="AI728" s="9" t="s">
        <v>263</v>
      </c>
      <c r="AJ728" s="9" t="s">
        <v>263</v>
      </c>
      <c r="AK728" s="9" t="s">
        <v>162</v>
      </c>
      <c r="AL728" s="9">
        <v>68.7</v>
      </c>
      <c r="AM728" s="9">
        <v>1.69</v>
      </c>
      <c r="AN728" s="9">
        <v>76.900000000000006</v>
      </c>
      <c r="AO728" s="9">
        <v>101</v>
      </c>
      <c r="AP728" s="9">
        <v>38</v>
      </c>
      <c r="AQ728" s="9">
        <v>6</v>
      </c>
      <c r="AR728" s="9">
        <v>25.5</v>
      </c>
      <c r="AS728" s="9">
        <v>41</v>
      </c>
      <c r="AT728" s="7">
        <v>24.1</v>
      </c>
      <c r="AU728" s="9">
        <v>100</v>
      </c>
      <c r="AV728" s="9">
        <v>73</v>
      </c>
      <c r="AX728" s="9" t="s">
        <v>1233</v>
      </c>
      <c r="AY728" s="9" t="s">
        <v>6425</v>
      </c>
      <c r="AZ728" s="9" t="s">
        <v>6426</v>
      </c>
      <c r="BB728" s="9" t="s">
        <v>162</v>
      </c>
      <c r="BC728" s="9" t="s">
        <v>162</v>
      </c>
      <c r="BD728" s="9" t="s">
        <v>162</v>
      </c>
      <c r="BF728" s="9" t="s">
        <v>322</v>
      </c>
      <c r="BG728" s="9" t="s">
        <v>322</v>
      </c>
      <c r="BH728" s="9" t="s">
        <v>263</v>
      </c>
      <c r="BI728" s="9" t="s">
        <v>375</v>
      </c>
      <c r="BJ728" s="9" t="s">
        <v>375</v>
      </c>
      <c r="BK728" s="9" t="s">
        <v>276</v>
      </c>
      <c r="BN728" s="9" t="s">
        <v>6277</v>
      </c>
      <c r="BO728" s="9" t="s">
        <v>411</v>
      </c>
      <c r="BP728" s="9" t="s">
        <v>6412</v>
      </c>
      <c r="BR728" s="9" t="s">
        <v>263</v>
      </c>
      <c r="BS728" s="9" t="s">
        <v>162</v>
      </c>
      <c r="BT728" s="9" t="s">
        <v>162</v>
      </c>
      <c r="BV728" s="9" t="s">
        <v>263</v>
      </c>
      <c r="BW728" s="9" t="s">
        <v>162</v>
      </c>
      <c r="BX728" s="9" t="s">
        <v>162</v>
      </c>
      <c r="BZ728" s="9" t="s">
        <v>5782</v>
      </c>
      <c r="CA728" s="9" t="s">
        <v>433</v>
      </c>
      <c r="CB728" s="9" t="s">
        <v>526</v>
      </c>
      <c r="CD728" s="9" t="s">
        <v>483</v>
      </c>
      <c r="CE728" s="9" t="s">
        <v>162</v>
      </c>
      <c r="CF728" s="9" t="s">
        <v>162</v>
      </c>
      <c r="CH728" s="9" t="s">
        <v>483</v>
      </c>
      <c r="CI728" s="9" t="s">
        <v>162</v>
      </c>
      <c r="CJ728" s="9" t="s">
        <v>162</v>
      </c>
      <c r="CL728" s="9" t="s">
        <v>333</v>
      </c>
      <c r="CM728" s="9" t="s">
        <v>162</v>
      </c>
      <c r="CN728" s="9" t="s">
        <v>162</v>
      </c>
      <c r="CP728" s="9" t="s">
        <v>635</v>
      </c>
      <c r="CQ728" s="9" t="s">
        <v>162</v>
      </c>
      <c r="CR728" s="9" t="s">
        <v>162</v>
      </c>
      <c r="CT728" s="9" t="s">
        <v>162</v>
      </c>
      <c r="CU728" s="9" t="s">
        <v>162</v>
      </c>
      <c r="CV728" s="9" t="s">
        <v>162</v>
      </c>
      <c r="CW728" s="9">
        <v>3</v>
      </c>
      <c r="CX728" s="9" t="s">
        <v>368</v>
      </c>
      <c r="CY728" s="9" t="s">
        <v>368</v>
      </c>
      <c r="CZ728" s="9">
        <v>100</v>
      </c>
      <c r="DA728" s="9">
        <v>40</v>
      </c>
      <c r="DB728" s="9">
        <v>40</v>
      </c>
      <c r="DC728" s="9">
        <v>77.2</v>
      </c>
      <c r="DD728" s="9">
        <v>0.56000000000000005</v>
      </c>
      <c r="DE728" s="10">
        <v>253</v>
      </c>
      <c r="DF728" s="9">
        <v>91</v>
      </c>
      <c r="DG728" s="9">
        <f t="shared" si="11"/>
        <v>4.4286294817737906</v>
      </c>
      <c r="DH728" s="9">
        <v>18.2</v>
      </c>
      <c r="DI728" s="9">
        <v>4.5</v>
      </c>
      <c r="DJ728" s="10">
        <v>80.3</v>
      </c>
      <c r="DK728" s="9">
        <v>15.7</v>
      </c>
      <c r="DL728" s="9">
        <v>55.7</v>
      </c>
      <c r="DM728" s="9">
        <v>179.1</v>
      </c>
      <c r="DP728" s="11">
        <v>3</v>
      </c>
    </row>
    <row r="729" spans="1:125" x14ac:dyDescent="0.2">
      <c r="A729" s="36">
        <v>642</v>
      </c>
      <c r="B729" s="8">
        <v>43279</v>
      </c>
      <c r="C729" s="9" t="s">
        <v>107</v>
      </c>
      <c r="D729" s="9">
        <v>64</v>
      </c>
      <c r="E729" s="9" t="s">
        <v>96</v>
      </c>
      <c r="F729" s="8">
        <v>19909</v>
      </c>
      <c r="G729" s="9" t="s">
        <v>508</v>
      </c>
      <c r="H729" s="9" t="s">
        <v>6427</v>
      </c>
      <c r="I729" s="9" t="s">
        <v>162</v>
      </c>
      <c r="J729" s="9" t="s">
        <v>162</v>
      </c>
      <c r="K729" s="9" t="s">
        <v>162</v>
      </c>
      <c r="L729" s="9" t="s">
        <v>162</v>
      </c>
      <c r="M729" s="9" t="s">
        <v>263</v>
      </c>
      <c r="N729" s="10" t="s">
        <v>368</v>
      </c>
      <c r="O729" s="9" t="s">
        <v>162</v>
      </c>
      <c r="P729" s="9" t="s">
        <v>263</v>
      </c>
      <c r="Q729" s="9" t="s">
        <v>162</v>
      </c>
      <c r="R729" s="9" t="s">
        <v>368</v>
      </c>
      <c r="S729" s="9" t="s">
        <v>368</v>
      </c>
      <c r="T729" s="9" t="s">
        <v>483</v>
      </c>
      <c r="U729" s="9" t="s">
        <v>6428</v>
      </c>
      <c r="V729" s="9" t="s">
        <v>263</v>
      </c>
      <c r="W729" s="9" t="s">
        <v>6429</v>
      </c>
      <c r="X729" s="9" t="s">
        <v>162</v>
      </c>
      <c r="Y729" s="10" t="s">
        <v>6430</v>
      </c>
      <c r="Z729" s="9" t="s">
        <v>162</v>
      </c>
      <c r="AA729" s="9" t="s">
        <v>96</v>
      </c>
      <c r="AB729" s="9" t="s">
        <v>96</v>
      </c>
      <c r="AC729" s="9" t="s">
        <v>96</v>
      </c>
      <c r="AD729" s="9" t="s">
        <v>96</v>
      </c>
      <c r="AE729" s="10" t="s">
        <v>612</v>
      </c>
      <c r="AF729" s="10" t="s">
        <v>35</v>
      </c>
      <c r="AG729" s="9" t="s">
        <v>263</v>
      </c>
      <c r="AH729" s="10" t="s">
        <v>35</v>
      </c>
      <c r="AI729" s="9" t="s">
        <v>263</v>
      </c>
      <c r="AJ729" s="9" t="s">
        <v>263</v>
      </c>
      <c r="AK729" s="9" t="s">
        <v>263</v>
      </c>
      <c r="AL729" s="9">
        <v>88.3</v>
      </c>
      <c r="AM729" s="9">
        <v>163</v>
      </c>
      <c r="AN729" s="10">
        <v>117</v>
      </c>
      <c r="AO729" s="9">
        <v>106</v>
      </c>
      <c r="AP729" s="9">
        <v>42.6</v>
      </c>
      <c r="AQ729" s="9">
        <v>23</v>
      </c>
      <c r="AR729" s="9">
        <v>21.5</v>
      </c>
      <c r="AS729" s="9">
        <v>76</v>
      </c>
      <c r="AT729" s="9">
        <v>33.200000000000003</v>
      </c>
      <c r="AU729" s="10">
        <v>167</v>
      </c>
      <c r="AV729" s="9">
        <v>70</v>
      </c>
      <c r="AX729" s="9" t="s">
        <v>162</v>
      </c>
      <c r="AY729" s="9" t="s">
        <v>162</v>
      </c>
      <c r="AZ729" s="9" t="s">
        <v>162</v>
      </c>
      <c r="BB729" s="9" t="s">
        <v>162</v>
      </c>
      <c r="BC729" s="9" t="s">
        <v>162</v>
      </c>
      <c r="BD729" s="9" t="s">
        <v>162</v>
      </c>
      <c r="BF729" s="9" t="s">
        <v>162</v>
      </c>
      <c r="BG729" s="9" t="s">
        <v>162</v>
      </c>
      <c r="BH729" s="9" t="s">
        <v>162</v>
      </c>
      <c r="BI729" s="9" t="s">
        <v>162</v>
      </c>
      <c r="BJ729" s="9" t="s">
        <v>162</v>
      </c>
      <c r="BK729" s="9" t="s">
        <v>162</v>
      </c>
      <c r="BN729" s="9" t="s">
        <v>162</v>
      </c>
      <c r="BO729" s="9" t="s">
        <v>162</v>
      </c>
      <c r="BP729" s="9" t="s">
        <v>162</v>
      </c>
      <c r="BR729" s="9" t="s">
        <v>162</v>
      </c>
      <c r="BS729" s="9" t="s">
        <v>162</v>
      </c>
      <c r="BT729" s="9" t="s">
        <v>162</v>
      </c>
      <c r="BV729" s="9" t="s">
        <v>162</v>
      </c>
      <c r="BW729" s="9" t="s">
        <v>162</v>
      </c>
      <c r="BX729" s="9" t="s">
        <v>162</v>
      </c>
      <c r="BZ729" s="9" t="s">
        <v>162</v>
      </c>
      <c r="CA729" s="9" t="s">
        <v>162</v>
      </c>
      <c r="CB729" s="9" t="s">
        <v>162</v>
      </c>
      <c r="CD729" s="9" t="s">
        <v>162</v>
      </c>
      <c r="CE729" s="9" t="s">
        <v>162</v>
      </c>
      <c r="CF729" s="9" t="s">
        <v>162</v>
      </c>
      <c r="CH729" s="9" t="s">
        <v>162</v>
      </c>
      <c r="CI729" s="9" t="s">
        <v>162</v>
      </c>
      <c r="CJ729" s="9" t="s">
        <v>162</v>
      </c>
      <c r="CL729" s="9" t="s">
        <v>162</v>
      </c>
      <c r="CM729" s="9" t="s">
        <v>162</v>
      </c>
      <c r="CN729" s="9" t="s">
        <v>162</v>
      </c>
      <c r="CP729" s="9" t="s">
        <v>162</v>
      </c>
      <c r="CQ729" s="9" t="s">
        <v>162</v>
      </c>
      <c r="CR729" s="9" t="s">
        <v>162</v>
      </c>
      <c r="CT729" s="9" t="s">
        <v>162</v>
      </c>
      <c r="CU729" s="9" t="s">
        <v>162</v>
      </c>
      <c r="CV729" s="9" t="s">
        <v>162</v>
      </c>
      <c r="CW729" s="9" t="s">
        <v>162</v>
      </c>
      <c r="CX729" s="9" t="s">
        <v>162</v>
      </c>
      <c r="CY729" s="9" t="s">
        <v>162</v>
      </c>
      <c r="CZ729" s="9" t="s">
        <v>162</v>
      </c>
      <c r="DA729" s="9" t="s">
        <v>162</v>
      </c>
      <c r="DB729" s="9" t="s">
        <v>162</v>
      </c>
      <c r="DC729" s="9">
        <v>95.8</v>
      </c>
      <c r="DD729" s="9">
        <v>0.68</v>
      </c>
      <c r="DE729" s="10">
        <v>226</v>
      </c>
      <c r="DF729" s="10">
        <v>214</v>
      </c>
      <c r="DG729" s="9">
        <f t="shared" si="11"/>
        <v>4.9641193499993328</v>
      </c>
      <c r="DH729" s="9">
        <v>42.8</v>
      </c>
      <c r="DI729" s="9">
        <v>6.16</v>
      </c>
      <c r="DJ729" s="9">
        <v>23</v>
      </c>
      <c r="DK729" s="9">
        <v>25.3</v>
      </c>
      <c r="DL729" s="9">
        <v>47.2</v>
      </c>
      <c r="DM729" s="9">
        <v>136</v>
      </c>
      <c r="DR729" s="9">
        <v>2</v>
      </c>
      <c r="DT729" s="9">
        <v>11.4</v>
      </c>
      <c r="DU729" s="9">
        <v>3.03</v>
      </c>
    </row>
    <row r="730" spans="1:125" x14ac:dyDescent="0.2">
      <c r="A730" s="110">
        <v>643</v>
      </c>
      <c r="B730" s="17">
        <v>43279</v>
      </c>
      <c r="C730" s="9" t="s">
        <v>107</v>
      </c>
      <c r="D730" s="9">
        <v>67</v>
      </c>
      <c r="E730" s="9" t="s">
        <v>96</v>
      </c>
      <c r="F730" s="9" t="s">
        <v>6431</v>
      </c>
      <c r="G730" s="9" t="s">
        <v>314</v>
      </c>
      <c r="H730" s="9" t="s">
        <v>6432</v>
      </c>
      <c r="M730" s="9" t="s">
        <v>99</v>
      </c>
      <c r="N730" s="9" t="s">
        <v>99</v>
      </c>
      <c r="O730" s="9" t="s">
        <v>6433</v>
      </c>
      <c r="P730" s="9" t="s">
        <v>99</v>
      </c>
      <c r="Q730" s="10" t="s">
        <v>6434</v>
      </c>
      <c r="R730" s="9" t="s">
        <v>99</v>
      </c>
      <c r="S730" s="9" t="s">
        <v>99</v>
      </c>
      <c r="T730" s="9" t="s">
        <v>99</v>
      </c>
      <c r="U730" s="9" t="s">
        <v>6435</v>
      </c>
      <c r="W730" s="9" t="s">
        <v>6436</v>
      </c>
      <c r="X730" s="9" t="s">
        <v>99</v>
      </c>
      <c r="Z730" s="9" t="s">
        <v>6437</v>
      </c>
      <c r="AA730" s="9" t="s">
        <v>96</v>
      </c>
      <c r="AB730" s="9" t="s">
        <v>96</v>
      </c>
      <c r="AC730" s="9" t="s">
        <v>96</v>
      </c>
      <c r="AD730" s="9" t="s">
        <v>96</v>
      </c>
      <c r="AE730" s="9" t="s">
        <v>99</v>
      </c>
      <c r="AF730" s="10" t="s">
        <v>6253</v>
      </c>
      <c r="AG730" s="10" t="s">
        <v>6438</v>
      </c>
      <c r="AH730" s="10" t="s">
        <v>6439</v>
      </c>
      <c r="AI730" s="10" t="s">
        <v>6440</v>
      </c>
      <c r="AJ730" s="9" t="s">
        <v>99</v>
      </c>
      <c r="AK730" s="9" t="s">
        <v>99</v>
      </c>
      <c r="AL730" s="9">
        <v>79.5</v>
      </c>
      <c r="AM730" s="9">
        <v>176</v>
      </c>
      <c r="AN730" s="9">
        <v>101</v>
      </c>
      <c r="AO730" s="9">
        <v>108.7</v>
      </c>
      <c r="AP730" s="9">
        <v>26.1</v>
      </c>
      <c r="AQ730" s="9">
        <v>12</v>
      </c>
      <c r="AR730" s="9">
        <v>31.7</v>
      </c>
      <c r="AS730" s="9">
        <v>62</v>
      </c>
      <c r="AT730" s="9">
        <v>25.7</v>
      </c>
      <c r="AU730" s="10">
        <v>136</v>
      </c>
      <c r="AV730" s="10">
        <v>86</v>
      </c>
      <c r="DC730" s="9">
        <v>74.900000000000006</v>
      </c>
      <c r="DD730" s="9">
        <v>1.21</v>
      </c>
      <c r="DE730" s="10">
        <v>258</v>
      </c>
      <c r="DF730" s="9">
        <v>145</v>
      </c>
      <c r="DG730" s="9">
        <f t="shared" si="11"/>
        <v>4.6464438164718738</v>
      </c>
      <c r="DH730" s="9">
        <v>29</v>
      </c>
      <c r="DI730" s="9">
        <v>5.9</v>
      </c>
      <c r="DP730" s="11">
        <v>2</v>
      </c>
      <c r="DR730" s="9">
        <v>2</v>
      </c>
    </row>
    <row r="731" spans="1:125" x14ac:dyDescent="0.2">
      <c r="A731" s="7">
        <v>644</v>
      </c>
      <c r="B731" s="8">
        <v>43279</v>
      </c>
      <c r="C731" s="9" t="s">
        <v>95</v>
      </c>
      <c r="D731" s="9">
        <v>47</v>
      </c>
      <c r="E731" s="9" t="s">
        <v>96</v>
      </c>
      <c r="F731" s="8">
        <v>25861</v>
      </c>
      <c r="G731" s="9" t="s">
        <v>162</v>
      </c>
      <c r="H731" s="9" t="s">
        <v>162</v>
      </c>
      <c r="I731" s="9" t="s">
        <v>162</v>
      </c>
      <c r="J731" s="9" t="s">
        <v>162</v>
      </c>
      <c r="K731" s="8">
        <v>43119</v>
      </c>
      <c r="L731" s="9">
        <v>3</v>
      </c>
      <c r="M731" s="9" t="s">
        <v>263</v>
      </c>
      <c r="N731" s="9" t="s">
        <v>263</v>
      </c>
      <c r="O731" s="9" t="s">
        <v>263</v>
      </c>
      <c r="P731" s="9" t="s">
        <v>263</v>
      </c>
      <c r="Q731" s="10" t="s">
        <v>369</v>
      </c>
      <c r="R731" s="9" t="s">
        <v>162</v>
      </c>
      <c r="S731" s="9" t="s">
        <v>162</v>
      </c>
      <c r="T731" s="9" t="s">
        <v>162</v>
      </c>
      <c r="U731" s="9" t="s">
        <v>162</v>
      </c>
      <c r="V731" s="9" t="s">
        <v>162</v>
      </c>
      <c r="W731" s="10" t="s">
        <v>6441</v>
      </c>
      <c r="X731" s="9" t="s">
        <v>162</v>
      </c>
      <c r="Y731" s="9" t="s">
        <v>6442</v>
      </c>
      <c r="Z731" s="9" t="s">
        <v>6443</v>
      </c>
      <c r="AA731" s="9" t="s">
        <v>96</v>
      </c>
      <c r="AB731" s="9" t="s">
        <v>96</v>
      </c>
      <c r="AC731" s="9" t="s">
        <v>162</v>
      </c>
      <c r="AD731" s="9" t="s">
        <v>162</v>
      </c>
      <c r="AE731" s="10" t="s">
        <v>35</v>
      </c>
      <c r="AF731" s="10" t="s">
        <v>35</v>
      </c>
      <c r="AG731" s="9" t="s">
        <v>263</v>
      </c>
      <c r="AH731" s="10" t="s">
        <v>6248</v>
      </c>
      <c r="AI731" s="10" t="s">
        <v>6383</v>
      </c>
      <c r="AJ731" s="9" t="s">
        <v>263</v>
      </c>
      <c r="AK731" s="9" t="s">
        <v>162</v>
      </c>
      <c r="AL731" s="9">
        <v>64.099999999999994</v>
      </c>
      <c r="AM731" s="9">
        <v>162</v>
      </c>
      <c r="AN731" s="46">
        <v>92</v>
      </c>
      <c r="AO731" s="9">
        <v>102</v>
      </c>
      <c r="AP731" s="9">
        <v>40</v>
      </c>
      <c r="AQ731" s="9">
        <v>7</v>
      </c>
      <c r="AR731" s="9">
        <v>23.6</v>
      </c>
      <c r="AS731" s="9">
        <v>47</v>
      </c>
      <c r="AT731" s="7">
        <v>24.4</v>
      </c>
      <c r="AU731" s="9">
        <v>114</v>
      </c>
      <c r="AV731" s="9">
        <v>74</v>
      </c>
      <c r="AX731" s="9" t="s">
        <v>1034</v>
      </c>
      <c r="AY731" s="9" t="s">
        <v>162</v>
      </c>
      <c r="AZ731" s="9" t="s">
        <v>162</v>
      </c>
      <c r="BB731" s="9" t="s">
        <v>322</v>
      </c>
      <c r="BC731" s="9" t="s">
        <v>162</v>
      </c>
      <c r="BD731" s="9" t="s">
        <v>162</v>
      </c>
      <c r="BF731" s="9" t="s">
        <v>322</v>
      </c>
      <c r="BG731" s="9" t="s">
        <v>322</v>
      </c>
      <c r="BH731" s="9" t="s">
        <v>162</v>
      </c>
      <c r="BI731" s="9" t="s">
        <v>322</v>
      </c>
      <c r="BJ731" s="9" t="s">
        <v>322</v>
      </c>
      <c r="BK731" s="9" t="s">
        <v>162</v>
      </c>
      <c r="BN731" s="9" t="s">
        <v>323</v>
      </c>
      <c r="BO731" s="9" t="s">
        <v>162</v>
      </c>
      <c r="BP731" s="9" t="s">
        <v>162</v>
      </c>
      <c r="BR731" s="9" t="s">
        <v>162</v>
      </c>
      <c r="BS731" s="9" t="s">
        <v>162</v>
      </c>
      <c r="BT731" s="9" t="s">
        <v>162</v>
      </c>
      <c r="BV731" s="9" t="s">
        <v>162</v>
      </c>
      <c r="BW731" s="9" t="s">
        <v>162</v>
      </c>
      <c r="BX731" s="9" t="s">
        <v>162</v>
      </c>
      <c r="BZ731" s="9" t="s">
        <v>322</v>
      </c>
      <c r="CA731" s="9" t="s">
        <v>162</v>
      </c>
      <c r="CB731" s="9" t="s">
        <v>162</v>
      </c>
      <c r="CD731" s="9" t="s">
        <v>162</v>
      </c>
      <c r="CE731" s="9" t="s">
        <v>162</v>
      </c>
      <c r="CF731" s="9" t="s">
        <v>162</v>
      </c>
      <c r="CH731" s="9" t="s">
        <v>162</v>
      </c>
      <c r="CI731" s="9" t="s">
        <v>162</v>
      </c>
      <c r="CJ731" s="9" t="s">
        <v>162</v>
      </c>
      <c r="CL731" s="9" t="s">
        <v>450</v>
      </c>
      <c r="CM731" s="9" t="s">
        <v>162</v>
      </c>
      <c r="CN731" s="9" t="s">
        <v>162</v>
      </c>
      <c r="CP731" s="9" t="s">
        <v>322</v>
      </c>
      <c r="CQ731" s="9" t="s">
        <v>162</v>
      </c>
      <c r="CR731" s="9" t="s">
        <v>162</v>
      </c>
      <c r="CT731" s="9" t="s">
        <v>375</v>
      </c>
      <c r="CU731" s="9" t="s">
        <v>162</v>
      </c>
      <c r="CV731" s="9" t="s">
        <v>162</v>
      </c>
      <c r="CW731" s="9" t="s">
        <v>969</v>
      </c>
      <c r="CX731" s="9" t="s">
        <v>263</v>
      </c>
      <c r="CY731" s="9" t="s">
        <v>263</v>
      </c>
      <c r="CZ731" s="9" t="s">
        <v>162</v>
      </c>
      <c r="DA731" s="9" t="s">
        <v>162</v>
      </c>
      <c r="DB731" s="9" t="s">
        <v>162</v>
      </c>
      <c r="DC731" s="9">
        <v>80.099999999999994</v>
      </c>
      <c r="DD731" s="9">
        <v>0.47</v>
      </c>
      <c r="DE731" s="9">
        <v>114</v>
      </c>
      <c r="DF731" s="9">
        <v>146</v>
      </c>
      <c r="DG731" s="9">
        <f t="shared" si="11"/>
        <v>4.6834412378913246</v>
      </c>
      <c r="DH731" s="9">
        <v>27.6</v>
      </c>
      <c r="DI731" s="9">
        <v>3.82</v>
      </c>
      <c r="DJ731" s="9">
        <v>18.3</v>
      </c>
      <c r="DK731" s="9">
        <v>17.3</v>
      </c>
      <c r="DL731" s="9">
        <v>51.2</v>
      </c>
      <c r="DM731" s="9">
        <v>35.200000000000003</v>
      </c>
      <c r="DP731" s="18">
        <v>1</v>
      </c>
      <c r="DR731" s="9">
        <v>2</v>
      </c>
      <c r="DT731" s="9">
        <v>11.4</v>
      </c>
      <c r="DU731" s="9">
        <v>5.5</v>
      </c>
    </row>
    <row r="732" spans="1:125" x14ac:dyDescent="0.2">
      <c r="A732" s="36">
        <v>645</v>
      </c>
      <c r="B732" s="8">
        <v>43279</v>
      </c>
      <c r="C732" s="9" t="s">
        <v>95</v>
      </c>
      <c r="D732" s="9" t="s">
        <v>162</v>
      </c>
      <c r="E732" s="9" t="s">
        <v>96</v>
      </c>
      <c r="F732" s="9" t="s">
        <v>162</v>
      </c>
      <c r="G732" s="9" t="s">
        <v>314</v>
      </c>
      <c r="H732" s="9" t="s">
        <v>162</v>
      </c>
      <c r="I732" s="9" t="s">
        <v>162</v>
      </c>
      <c r="J732" s="9" t="s">
        <v>162</v>
      </c>
      <c r="K732" s="9">
        <v>1980</v>
      </c>
      <c r="L732" s="9">
        <v>5</v>
      </c>
      <c r="M732" s="9" t="s">
        <v>263</v>
      </c>
      <c r="N732" s="10" t="s">
        <v>368</v>
      </c>
      <c r="O732" s="9" t="s">
        <v>162</v>
      </c>
      <c r="P732" s="9" t="s">
        <v>162</v>
      </c>
      <c r="Q732" s="9" t="s">
        <v>162</v>
      </c>
      <c r="R732" s="9" t="s">
        <v>162</v>
      </c>
      <c r="S732" s="9" t="s">
        <v>162</v>
      </c>
      <c r="T732" s="9" t="s">
        <v>162</v>
      </c>
      <c r="U732" s="9" t="s">
        <v>162</v>
      </c>
      <c r="V732" s="9" t="s">
        <v>263</v>
      </c>
      <c r="W732" s="9" t="s">
        <v>162</v>
      </c>
      <c r="X732" s="9" t="s">
        <v>263</v>
      </c>
      <c r="Y732" s="9" t="s">
        <v>162</v>
      </c>
      <c r="Z732" s="10" t="s">
        <v>6444</v>
      </c>
      <c r="AA732" s="9" t="s">
        <v>96</v>
      </c>
      <c r="AB732" s="9" t="s">
        <v>96</v>
      </c>
      <c r="AC732" s="9" t="s">
        <v>96</v>
      </c>
      <c r="AD732" s="9" t="s">
        <v>96</v>
      </c>
      <c r="AE732" s="9" t="s">
        <v>263</v>
      </c>
      <c r="AF732" s="10" t="s">
        <v>368</v>
      </c>
      <c r="AG732" s="10" t="s">
        <v>1105</v>
      </c>
      <c r="AH732" s="9" t="s">
        <v>263</v>
      </c>
      <c r="AI732" s="10" t="s">
        <v>6445</v>
      </c>
      <c r="AJ732" s="9" t="s">
        <v>263</v>
      </c>
      <c r="AK732" s="9" t="s">
        <v>162</v>
      </c>
      <c r="AL732" s="9">
        <v>74.599999999999994</v>
      </c>
      <c r="AM732" s="9">
        <v>157</v>
      </c>
      <c r="AN732" s="46">
        <v>98</v>
      </c>
      <c r="AO732" s="9">
        <v>108</v>
      </c>
      <c r="AP732" s="9">
        <v>43</v>
      </c>
      <c r="AQ732" s="9">
        <v>12</v>
      </c>
      <c r="AR732" s="9">
        <v>24.7</v>
      </c>
      <c r="AS732" s="9">
        <v>74</v>
      </c>
      <c r="AT732" s="9">
        <v>30.3</v>
      </c>
      <c r="AU732" s="14">
        <v>160</v>
      </c>
      <c r="AV732" s="14">
        <v>102</v>
      </c>
      <c r="AX732" s="9" t="s">
        <v>4026</v>
      </c>
      <c r="AY732" s="9" t="s">
        <v>6446</v>
      </c>
      <c r="AZ732" s="9" t="s">
        <v>6447</v>
      </c>
      <c r="BB732" s="9" t="s">
        <v>374</v>
      </c>
      <c r="BC732" s="9" t="s">
        <v>6448</v>
      </c>
      <c r="BD732" s="9" t="s">
        <v>162</v>
      </c>
      <c r="BF732" s="9" t="s">
        <v>375</v>
      </c>
      <c r="BG732" s="9" t="s">
        <v>375</v>
      </c>
      <c r="BH732" s="9" t="s">
        <v>375</v>
      </c>
      <c r="BI732" s="9" t="s">
        <v>375</v>
      </c>
      <c r="BJ732" s="9" t="s">
        <v>375</v>
      </c>
      <c r="BK732" s="9" t="s">
        <v>375</v>
      </c>
      <c r="BN732" s="9" t="s">
        <v>6190</v>
      </c>
      <c r="BO732" s="9" t="s">
        <v>5167</v>
      </c>
      <c r="BP732" s="9" t="s">
        <v>6449</v>
      </c>
      <c r="BR732" s="9" t="s">
        <v>162</v>
      </c>
      <c r="BS732" s="9" t="s">
        <v>162</v>
      </c>
      <c r="BT732" s="9" t="s">
        <v>162</v>
      </c>
      <c r="BV732" s="9" t="s">
        <v>6450</v>
      </c>
      <c r="BW732" s="9" t="s">
        <v>6451</v>
      </c>
      <c r="BX732" s="9" t="s">
        <v>6452</v>
      </c>
      <c r="BZ732" s="9" t="s">
        <v>322</v>
      </c>
      <c r="CA732" s="9" t="s">
        <v>162</v>
      </c>
      <c r="CB732" s="9" t="s">
        <v>162</v>
      </c>
      <c r="CD732" s="9" t="s">
        <v>162</v>
      </c>
      <c r="CE732" s="9" t="s">
        <v>162</v>
      </c>
      <c r="CF732" s="9" t="s">
        <v>162</v>
      </c>
      <c r="CH732" s="9" t="s">
        <v>162</v>
      </c>
      <c r="CI732" s="9" t="s">
        <v>162</v>
      </c>
      <c r="CJ732" s="9" t="s">
        <v>162</v>
      </c>
      <c r="CL732" s="9" t="s">
        <v>333</v>
      </c>
      <c r="CM732" s="9" t="s">
        <v>6261</v>
      </c>
      <c r="CN732" s="9" t="s">
        <v>473</v>
      </c>
      <c r="CP732" s="9" t="s">
        <v>451</v>
      </c>
      <c r="CQ732" s="9" t="s">
        <v>162</v>
      </c>
      <c r="CR732" s="9" t="s">
        <v>162</v>
      </c>
      <c r="CT732" s="9" t="s">
        <v>162</v>
      </c>
      <c r="CU732" s="9" t="s">
        <v>162</v>
      </c>
      <c r="CV732" s="9" t="s">
        <v>162</v>
      </c>
      <c r="CW732" s="9">
        <v>3</v>
      </c>
      <c r="CX732" s="9" t="s">
        <v>368</v>
      </c>
      <c r="CY732" s="9" t="s">
        <v>368</v>
      </c>
      <c r="CZ732" s="9" t="s">
        <v>162</v>
      </c>
      <c r="DA732" s="9" t="s">
        <v>162</v>
      </c>
      <c r="DB732" s="9" t="s">
        <v>162</v>
      </c>
      <c r="DC732" s="9">
        <v>86.2</v>
      </c>
      <c r="DD732" s="9">
        <v>0.48</v>
      </c>
      <c r="DE732" s="10">
        <v>232</v>
      </c>
      <c r="DF732" s="10">
        <v>171</v>
      </c>
      <c r="DG732" s="9">
        <f t="shared" si="11"/>
        <v>4.7991668670861536</v>
      </c>
      <c r="DH732" s="9">
        <v>34.200000000000003</v>
      </c>
      <c r="DI732" s="9">
        <v>4.41</v>
      </c>
      <c r="DJ732" s="9">
        <v>19.7</v>
      </c>
      <c r="DK732" s="9">
        <v>24</v>
      </c>
      <c r="DL732" s="10">
        <v>49.8</v>
      </c>
      <c r="DM732" s="9">
        <v>148</v>
      </c>
      <c r="DP732" s="11">
        <v>3</v>
      </c>
      <c r="DR732" s="9">
        <v>2</v>
      </c>
      <c r="DT732" s="9">
        <v>13</v>
      </c>
      <c r="DU732" s="9">
        <v>5.3</v>
      </c>
    </row>
    <row r="733" spans="1:125" x14ac:dyDescent="0.2">
      <c r="A733" s="14">
        <v>646</v>
      </c>
      <c r="B733" s="8">
        <v>43279</v>
      </c>
      <c r="C733" s="9" t="s">
        <v>95</v>
      </c>
      <c r="D733" s="9" t="s">
        <v>162</v>
      </c>
      <c r="E733" s="9" t="s">
        <v>162</v>
      </c>
      <c r="F733" s="9" t="s">
        <v>162</v>
      </c>
      <c r="G733" s="9" t="s">
        <v>162</v>
      </c>
      <c r="H733" s="9" t="s">
        <v>162</v>
      </c>
      <c r="I733" s="9" t="s">
        <v>162</v>
      </c>
      <c r="J733" s="9" t="s">
        <v>162</v>
      </c>
      <c r="K733" s="42">
        <v>33117</v>
      </c>
      <c r="L733" s="9">
        <v>4</v>
      </c>
      <c r="M733" s="10" t="s">
        <v>368</v>
      </c>
      <c r="N733" s="9" t="s">
        <v>263</v>
      </c>
      <c r="O733" s="9" t="s">
        <v>263</v>
      </c>
      <c r="P733" s="9" t="s">
        <v>263</v>
      </c>
      <c r="Q733" s="9" t="s">
        <v>162</v>
      </c>
      <c r="R733" s="9" t="s">
        <v>368</v>
      </c>
      <c r="S733" s="9" t="s">
        <v>162</v>
      </c>
      <c r="T733" s="9" t="s">
        <v>162</v>
      </c>
      <c r="U733" s="9" t="s">
        <v>263</v>
      </c>
      <c r="V733" s="8">
        <v>27924</v>
      </c>
      <c r="W733" s="9" t="s">
        <v>162</v>
      </c>
      <c r="X733" s="9" t="s">
        <v>263</v>
      </c>
      <c r="Y733" s="10" t="s">
        <v>402</v>
      </c>
      <c r="Z733" s="9" t="s">
        <v>162</v>
      </c>
      <c r="AA733" s="9" t="s">
        <v>96</v>
      </c>
      <c r="AB733" s="9" t="s">
        <v>96</v>
      </c>
      <c r="AC733" s="9" t="s">
        <v>96</v>
      </c>
      <c r="AD733" s="9" t="s">
        <v>96</v>
      </c>
      <c r="AE733" s="10" t="s">
        <v>6198</v>
      </c>
      <c r="AF733" s="9" t="s">
        <v>263</v>
      </c>
      <c r="AG733" s="9" t="s">
        <v>263</v>
      </c>
      <c r="AH733" s="9" t="s">
        <v>263</v>
      </c>
      <c r="AI733" s="9" t="s">
        <v>263</v>
      </c>
      <c r="AJ733" s="9" t="s">
        <v>263</v>
      </c>
      <c r="AK733" s="9" t="s">
        <v>263</v>
      </c>
      <c r="AL733" s="9">
        <v>73.599999999999994</v>
      </c>
      <c r="AM733" s="9">
        <v>159</v>
      </c>
      <c r="AN733" s="10">
        <v>106.7</v>
      </c>
      <c r="AO733" s="9">
        <v>106.4</v>
      </c>
      <c r="AP733" s="9">
        <v>44.3</v>
      </c>
      <c r="AQ733" s="9">
        <v>10</v>
      </c>
      <c r="AR733" s="9">
        <v>23.6</v>
      </c>
      <c r="AS733" s="9">
        <v>63</v>
      </c>
      <c r="AT733" s="9">
        <v>29.1</v>
      </c>
      <c r="AU733" s="9">
        <v>101</v>
      </c>
      <c r="AV733" s="9">
        <v>71</v>
      </c>
      <c r="AX733" s="9" t="s">
        <v>917</v>
      </c>
      <c r="AY733" s="9" t="s">
        <v>6446</v>
      </c>
      <c r="AZ733" s="9" t="s">
        <v>6371</v>
      </c>
      <c r="BB733" s="9" t="s">
        <v>3724</v>
      </c>
      <c r="BC733" s="9" t="s">
        <v>2425</v>
      </c>
      <c r="BD733" s="9" t="s">
        <v>162</v>
      </c>
      <c r="BF733" s="9" t="s">
        <v>322</v>
      </c>
      <c r="BG733" s="9" t="s">
        <v>375</v>
      </c>
      <c r="BH733" s="9" t="s">
        <v>375</v>
      </c>
      <c r="BI733" s="9" t="s">
        <v>162</v>
      </c>
      <c r="BJ733" s="9" t="s">
        <v>162</v>
      </c>
      <c r="BK733" s="9" t="s">
        <v>162</v>
      </c>
      <c r="BN733" s="9" t="s">
        <v>6453</v>
      </c>
      <c r="BO733" s="9" t="s">
        <v>5167</v>
      </c>
      <c r="BP733" s="9" t="s">
        <v>430</v>
      </c>
      <c r="BR733" s="9" t="s">
        <v>162</v>
      </c>
      <c r="BS733" s="9" t="s">
        <v>162</v>
      </c>
      <c r="BT733" s="9" t="s">
        <v>162</v>
      </c>
      <c r="BV733" s="9" t="s">
        <v>162</v>
      </c>
      <c r="BW733" s="9" t="s">
        <v>162</v>
      </c>
      <c r="BX733" s="9" t="s">
        <v>162</v>
      </c>
      <c r="BZ733" s="9" t="s">
        <v>501</v>
      </c>
      <c r="CA733" s="9" t="s">
        <v>380</v>
      </c>
      <c r="CB733" s="9" t="s">
        <v>379</v>
      </c>
      <c r="CD733" s="9" t="s">
        <v>162</v>
      </c>
      <c r="CE733" s="9" t="s">
        <v>162</v>
      </c>
      <c r="CF733" s="9" t="s">
        <v>162</v>
      </c>
      <c r="CH733" s="9" t="s">
        <v>162</v>
      </c>
      <c r="CI733" s="9" t="s">
        <v>162</v>
      </c>
      <c r="CJ733" s="9" t="s">
        <v>162</v>
      </c>
      <c r="CL733" s="9" t="s">
        <v>162</v>
      </c>
      <c r="CM733" s="9" t="s">
        <v>162</v>
      </c>
      <c r="CN733" s="9" t="s">
        <v>162</v>
      </c>
      <c r="CP733" s="9" t="s">
        <v>451</v>
      </c>
      <c r="CQ733" s="9" t="s">
        <v>6454</v>
      </c>
      <c r="CR733" s="9" t="s">
        <v>6455</v>
      </c>
      <c r="CT733" s="9" t="s">
        <v>162</v>
      </c>
      <c r="CU733" s="9" t="s">
        <v>162</v>
      </c>
      <c r="CV733" s="9" t="s">
        <v>162</v>
      </c>
      <c r="CW733" s="9">
        <v>3</v>
      </c>
      <c r="CX733" s="9" t="s">
        <v>368</v>
      </c>
      <c r="CY733" s="9" t="s">
        <v>263</v>
      </c>
      <c r="CZ733" s="9">
        <v>20</v>
      </c>
      <c r="DA733" s="9">
        <v>30</v>
      </c>
      <c r="DB733" s="9">
        <v>50</v>
      </c>
      <c r="DC733" s="14">
        <v>223.1</v>
      </c>
      <c r="DD733" s="9">
        <v>0.32</v>
      </c>
      <c r="DE733" s="10">
        <v>279</v>
      </c>
      <c r="DF733" s="14">
        <v>293</v>
      </c>
      <c r="DG733" s="9">
        <f t="shared" si="11"/>
        <v>5.5438963552277771</v>
      </c>
      <c r="DH733" s="9">
        <v>58.6</v>
      </c>
      <c r="DI733" s="9">
        <v>6</v>
      </c>
      <c r="DJ733" s="10">
        <v>42.3</v>
      </c>
      <c r="DK733" s="9">
        <v>26</v>
      </c>
      <c r="DL733" s="9">
        <v>52.7</v>
      </c>
      <c r="DM733" s="9">
        <v>167.7</v>
      </c>
      <c r="DP733" s="11">
        <v>2</v>
      </c>
      <c r="DR733" s="9">
        <v>3</v>
      </c>
      <c r="DU733" s="9">
        <v>5.5</v>
      </c>
    </row>
    <row r="734" spans="1:125" x14ac:dyDescent="0.2">
      <c r="A734" s="9">
        <v>647</v>
      </c>
      <c r="B734" s="8">
        <v>43279</v>
      </c>
      <c r="C734" s="9" t="s">
        <v>107</v>
      </c>
      <c r="D734" s="9">
        <v>30</v>
      </c>
      <c r="E734" s="9" t="s">
        <v>96</v>
      </c>
      <c r="F734" s="8">
        <v>32077</v>
      </c>
      <c r="G734" s="9" t="s">
        <v>400</v>
      </c>
      <c r="H734" s="9" t="s">
        <v>6423</v>
      </c>
      <c r="I734" s="9" t="s">
        <v>162</v>
      </c>
      <c r="J734" s="9" t="s">
        <v>162</v>
      </c>
      <c r="K734" s="9" t="s">
        <v>162</v>
      </c>
      <c r="L734" s="9" t="s">
        <v>162</v>
      </c>
      <c r="M734" s="9" t="s">
        <v>263</v>
      </c>
      <c r="N734" s="9" t="s">
        <v>263</v>
      </c>
      <c r="O734" s="9" t="s">
        <v>263</v>
      </c>
      <c r="P734" s="9" t="s">
        <v>263</v>
      </c>
      <c r="Q734" s="10" t="s">
        <v>456</v>
      </c>
      <c r="R734" s="9" t="s">
        <v>263</v>
      </c>
      <c r="S734" s="9" t="s">
        <v>263</v>
      </c>
      <c r="T734" s="9" t="s">
        <v>263</v>
      </c>
      <c r="U734" s="9" t="s">
        <v>263</v>
      </c>
      <c r="V734" s="9" t="s">
        <v>162</v>
      </c>
      <c r="W734" s="9" t="s">
        <v>263</v>
      </c>
      <c r="X734" s="9" t="s">
        <v>263</v>
      </c>
      <c r="Y734" s="9" t="s">
        <v>162</v>
      </c>
      <c r="Z734" s="9" t="s">
        <v>162</v>
      </c>
      <c r="AA734" s="9" t="s">
        <v>96</v>
      </c>
      <c r="AB734" s="9" t="s">
        <v>96</v>
      </c>
      <c r="AC734" s="9" t="s">
        <v>96</v>
      </c>
      <c r="AD734" s="9" t="s">
        <v>96</v>
      </c>
      <c r="AE734" s="9" t="s">
        <v>263</v>
      </c>
      <c r="AF734" s="9" t="s">
        <v>263</v>
      </c>
      <c r="AG734" s="9" t="s">
        <v>263</v>
      </c>
      <c r="AH734" s="9" t="s">
        <v>263</v>
      </c>
      <c r="AI734" s="9" t="s">
        <v>263</v>
      </c>
      <c r="AJ734" s="9" t="s">
        <v>263</v>
      </c>
      <c r="AK734" s="9" t="s">
        <v>263</v>
      </c>
      <c r="AL734" s="9">
        <v>68.900000000000006</v>
      </c>
      <c r="AM734" s="9">
        <v>170</v>
      </c>
      <c r="AN734" s="10">
        <v>89</v>
      </c>
      <c r="AO734" s="9">
        <v>95</v>
      </c>
      <c r="AP734" s="9">
        <v>23.8</v>
      </c>
      <c r="AQ734" s="9">
        <v>7</v>
      </c>
      <c r="AR734" s="9">
        <v>37</v>
      </c>
      <c r="AS734" s="9">
        <v>33</v>
      </c>
      <c r="AT734" s="9">
        <v>23.8</v>
      </c>
      <c r="AU734" s="10">
        <v>132</v>
      </c>
      <c r="AV734" s="10">
        <v>85</v>
      </c>
      <c r="AX734" s="9" t="s">
        <v>1034</v>
      </c>
      <c r="AY734" s="9" t="s">
        <v>6456</v>
      </c>
      <c r="AZ734" s="9" t="s">
        <v>6457</v>
      </c>
      <c r="BB734" s="9" t="s">
        <v>409</v>
      </c>
      <c r="BC734" s="9" t="s">
        <v>6458</v>
      </c>
      <c r="BD734" s="9" t="s">
        <v>162</v>
      </c>
      <c r="BF734" s="9" t="s">
        <v>375</v>
      </c>
      <c r="BG734" s="9" t="s">
        <v>375</v>
      </c>
      <c r="BH734" s="9" t="s">
        <v>375</v>
      </c>
      <c r="BI734" s="9" t="s">
        <v>325</v>
      </c>
      <c r="BJ734" s="9" t="s">
        <v>276</v>
      </c>
      <c r="BK734" s="9" t="s">
        <v>375</v>
      </c>
      <c r="BN734" s="9" t="s">
        <v>503</v>
      </c>
      <c r="BO734" s="9" t="s">
        <v>1850</v>
      </c>
      <c r="BP734" s="9" t="s">
        <v>6459</v>
      </c>
      <c r="BR734" s="9" t="s">
        <v>162</v>
      </c>
      <c r="BS734" s="9" t="s">
        <v>162</v>
      </c>
      <c r="BT734" s="9" t="s">
        <v>162</v>
      </c>
      <c r="BV734" s="9" t="s">
        <v>554</v>
      </c>
      <c r="BW734" s="9" t="s">
        <v>6460</v>
      </c>
      <c r="BX734" s="9" t="s">
        <v>6461</v>
      </c>
      <c r="BZ734" s="9" t="s">
        <v>6462</v>
      </c>
      <c r="CA734" s="9" t="s">
        <v>6375</v>
      </c>
      <c r="CB734" s="9" t="s">
        <v>4112</v>
      </c>
      <c r="CD734" s="9" t="s">
        <v>162</v>
      </c>
      <c r="CE734" s="9" t="s">
        <v>162</v>
      </c>
      <c r="CF734" s="9" t="s">
        <v>162</v>
      </c>
      <c r="CH734" s="9" t="s">
        <v>162</v>
      </c>
      <c r="CI734" s="9" t="s">
        <v>162</v>
      </c>
      <c r="CJ734" s="9" t="s">
        <v>162</v>
      </c>
      <c r="CL734" s="9" t="s">
        <v>472</v>
      </c>
      <c r="CM734" s="9" t="s">
        <v>449</v>
      </c>
      <c r="CN734" s="9" t="s">
        <v>383</v>
      </c>
      <c r="CP734" s="9" t="s">
        <v>6463</v>
      </c>
      <c r="CQ734" s="9" t="s">
        <v>6464</v>
      </c>
      <c r="CR734" s="9" t="s">
        <v>385</v>
      </c>
      <c r="CT734" s="9" t="s">
        <v>793</v>
      </c>
      <c r="CU734" s="9" t="s">
        <v>6465</v>
      </c>
      <c r="CV734" s="9" t="s">
        <v>6466</v>
      </c>
      <c r="CW734" s="9">
        <v>4</v>
      </c>
      <c r="CX734" s="9" t="s">
        <v>368</v>
      </c>
      <c r="CY734" s="9" t="s">
        <v>368</v>
      </c>
      <c r="CZ734" s="9">
        <v>40</v>
      </c>
      <c r="DA734" s="9">
        <v>20</v>
      </c>
      <c r="DB734" s="9">
        <v>40</v>
      </c>
      <c r="DC734" s="9">
        <v>73.8</v>
      </c>
      <c r="DD734" s="9">
        <v>0.61</v>
      </c>
      <c r="DE734" s="9">
        <v>192</v>
      </c>
      <c r="DF734" s="9">
        <v>133</v>
      </c>
      <c r="DG734" s="9">
        <f t="shared" si="11"/>
        <v>4.5958539299140906</v>
      </c>
      <c r="DH734" s="9">
        <v>26.6</v>
      </c>
      <c r="DI734" s="9">
        <v>7.15</v>
      </c>
      <c r="DJ734" s="9">
        <v>32</v>
      </c>
      <c r="DK734" s="9">
        <v>23.3</v>
      </c>
      <c r="DL734" s="9">
        <v>54.3</v>
      </c>
      <c r="DM734" s="9">
        <v>111.1</v>
      </c>
      <c r="DQ734" s="9">
        <v>3</v>
      </c>
    </row>
    <row r="735" spans="1:125" x14ac:dyDescent="0.2">
      <c r="A735" s="36">
        <v>648</v>
      </c>
      <c r="B735" s="17">
        <v>43286</v>
      </c>
      <c r="C735" s="9" t="s">
        <v>95</v>
      </c>
      <c r="D735" s="9">
        <v>65</v>
      </c>
      <c r="E735" s="37" t="s">
        <v>2072</v>
      </c>
      <c r="F735" s="17">
        <v>19463</v>
      </c>
      <c r="G735" s="9" t="s">
        <v>197</v>
      </c>
      <c r="I735" s="9">
        <v>1966</v>
      </c>
      <c r="J735" s="9" t="s">
        <v>588</v>
      </c>
      <c r="K735" s="9">
        <v>1990</v>
      </c>
      <c r="L735" s="9">
        <v>4</v>
      </c>
      <c r="M735" s="10" t="s">
        <v>6467</v>
      </c>
      <c r="N735" s="10" t="s">
        <v>6468</v>
      </c>
      <c r="O735" s="9" t="s">
        <v>99</v>
      </c>
      <c r="P735" s="9" t="s">
        <v>99</v>
      </c>
      <c r="Q735" s="9" t="s">
        <v>99</v>
      </c>
      <c r="R735" s="9" t="s">
        <v>110</v>
      </c>
      <c r="S735" s="9" t="s">
        <v>99</v>
      </c>
      <c r="T735" s="9" t="s">
        <v>99</v>
      </c>
      <c r="U735" s="9" t="s">
        <v>99</v>
      </c>
      <c r="V735" s="9" t="s">
        <v>99</v>
      </c>
      <c r="W735" s="9" t="s">
        <v>2010</v>
      </c>
      <c r="X735" s="9" t="s">
        <v>99</v>
      </c>
      <c r="Y735" s="10" t="s">
        <v>6469</v>
      </c>
      <c r="Z735" s="10" t="s">
        <v>6470</v>
      </c>
      <c r="AA735" s="37" t="s">
        <v>403</v>
      </c>
      <c r="AB735" s="37" t="s">
        <v>403</v>
      </c>
      <c r="AC735" s="37" t="s">
        <v>403</v>
      </c>
      <c r="AD735" s="37" t="s">
        <v>403</v>
      </c>
      <c r="AE735" s="10" t="s">
        <v>6471</v>
      </c>
      <c r="AF735" s="9" t="s">
        <v>263</v>
      </c>
      <c r="AG735" s="10" t="s">
        <v>6472</v>
      </c>
      <c r="AH735" s="9" t="s">
        <v>263</v>
      </c>
      <c r="AI735" s="9" t="s">
        <v>263</v>
      </c>
      <c r="AJ735" s="9" t="s">
        <v>263</v>
      </c>
      <c r="AK735" s="9" t="s">
        <v>263</v>
      </c>
      <c r="AL735" s="9">
        <v>105.8</v>
      </c>
      <c r="AM735" s="9">
        <v>1.62</v>
      </c>
      <c r="AN735" s="9">
        <v>121</v>
      </c>
      <c r="AO735" s="9">
        <v>139</v>
      </c>
      <c r="AP735" s="9">
        <v>20.7</v>
      </c>
      <c r="AQ735" s="9">
        <v>15</v>
      </c>
      <c r="AR735" s="9">
        <v>52.9</v>
      </c>
      <c r="AS735" s="9">
        <v>80</v>
      </c>
      <c r="AT735" s="9">
        <v>38.9</v>
      </c>
      <c r="AU735" s="10">
        <v>131</v>
      </c>
      <c r="AV735" s="10">
        <v>91</v>
      </c>
      <c r="AX735" s="9" t="s">
        <v>6473</v>
      </c>
      <c r="BB735" s="9" t="s">
        <v>6474</v>
      </c>
      <c r="BF735" s="9" t="s">
        <v>6475</v>
      </c>
      <c r="BG735" s="9" t="s">
        <v>368</v>
      </c>
      <c r="BH735" s="9" t="s">
        <v>263</v>
      </c>
      <c r="BI735" s="9" t="s">
        <v>6476</v>
      </c>
      <c r="BJ735" s="9" t="s">
        <v>6476</v>
      </c>
      <c r="BK735" s="9" t="s">
        <v>6477</v>
      </c>
      <c r="BO735" s="9" t="s">
        <v>6478</v>
      </c>
      <c r="CA735" s="9" t="s">
        <v>6479</v>
      </c>
      <c r="CM735" s="9" t="s">
        <v>6480</v>
      </c>
      <c r="CQ735" s="9" t="s">
        <v>6481</v>
      </c>
      <c r="CT735" s="9" t="s">
        <v>263</v>
      </c>
      <c r="CW735" s="9">
        <v>4</v>
      </c>
      <c r="CX735" s="9" t="s">
        <v>368</v>
      </c>
      <c r="CY735" s="9" t="s">
        <v>368</v>
      </c>
      <c r="CZ735" s="9">
        <v>40</v>
      </c>
      <c r="DA735" s="9">
        <v>20</v>
      </c>
      <c r="DB735" s="9">
        <v>40</v>
      </c>
      <c r="DC735" s="9">
        <v>93.1</v>
      </c>
      <c r="DD735" s="9">
        <v>0.41</v>
      </c>
      <c r="DE735" s="9">
        <v>193</v>
      </c>
      <c r="DF735" s="10">
        <v>195</v>
      </c>
      <c r="DG735" s="9">
        <f t="shared" si="11"/>
        <v>4.9033368714233845</v>
      </c>
      <c r="DH735" s="9">
        <v>39</v>
      </c>
      <c r="DI735" s="9">
        <v>4.71</v>
      </c>
      <c r="DJ735" s="9">
        <v>15</v>
      </c>
      <c r="DK735" s="9">
        <v>19.3</v>
      </c>
      <c r="DL735" s="10">
        <v>47.5</v>
      </c>
      <c r="DM735" s="9">
        <v>106.5</v>
      </c>
      <c r="DP735" s="11">
        <v>3</v>
      </c>
      <c r="DQ735" s="9">
        <v>2</v>
      </c>
      <c r="DU735" s="9">
        <v>4.3499999999999996</v>
      </c>
    </row>
    <row r="736" spans="1:125" x14ac:dyDescent="0.2">
      <c r="A736" s="9" t="s">
        <v>6482</v>
      </c>
      <c r="DG736" s="9" t="e">
        <f t="shared" si="11"/>
        <v>#NUM!</v>
      </c>
    </row>
    <row r="737" spans="1:125" x14ac:dyDescent="0.2">
      <c r="A737" s="7">
        <v>650</v>
      </c>
      <c r="B737" s="8">
        <v>43279</v>
      </c>
      <c r="C737" s="9" t="s">
        <v>95</v>
      </c>
      <c r="D737" s="9">
        <v>43</v>
      </c>
      <c r="E737" s="9" t="s">
        <v>96</v>
      </c>
      <c r="F737" s="8">
        <v>27334</v>
      </c>
      <c r="G737" s="9" t="s">
        <v>4268</v>
      </c>
      <c r="H737" s="9" t="s">
        <v>162</v>
      </c>
      <c r="I737" s="9" t="s">
        <v>162</v>
      </c>
      <c r="J737" s="9" t="s">
        <v>162</v>
      </c>
      <c r="K737" s="8">
        <v>36150</v>
      </c>
      <c r="L737" s="9">
        <v>2</v>
      </c>
      <c r="M737" s="9" t="s">
        <v>263</v>
      </c>
      <c r="N737" s="9" t="s">
        <v>263</v>
      </c>
      <c r="O737" s="9" t="s">
        <v>263</v>
      </c>
      <c r="P737" s="9" t="s">
        <v>162</v>
      </c>
      <c r="Q737" s="10" t="s">
        <v>369</v>
      </c>
      <c r="R737" s="9" t="s">
        <v>263</v>
      </c>
      <c r="S737" s="9" t="s">
        <v>263</v>
      </c>
      <c r="T737" s="9" t="s">
        <v>263</v>
      </c>
      <c r="U737" s="9" t="s">
        <v>263</v>
      </c>
      <c r="V737" s="9" t="s">
        <v>263</v>
      </c>
      <c r="W737" s="9" t="s">
        <v>263</v>
      </c>
      <c r="X737" s="9" t="s">
        <v>263</v>
      </c>
      <c r="Y737" s="9" t="s">
        <v>162</v>
      </c>
      <c r="Z737" s="9" t="s">
        <v>6443</v>
      </c>
      <c r="AA737" s="9" t="s">
        <v>96</v>
      </c>
      <c r="AB737" s="9" t="s">
        <v>3535</v>
      </c>
      <c r="AC737" s="9" t="s">
        <v>96</v>
      </c>
      <c r="AD737" s="52" t="s">
        <v>1697</v>
      </c>
      <c r="AE737" s="10" t="s">
        <v>6416</v>
      </c>
      <c r="AF737" s="10" t="s">
        <v>901</v>
      </c>
      <c r="AG737" s="10" t="s">
        <v>424</v>
      </c>
      <c r="AH737" s="10" t="s">
        <v>6400</v>
      </c>
      <c r="AI737" s="9" t="s">
        <v>263</v>
      </c>
      <c r="AJ737" s="10" t="s">
        <v>6483</v>
      </c>
      <c r="AK737" s="10" t="s">
        <v>6484</v>
      </c>
      <c r="AL737" s="9">
        <v>69.7</v>
      </c>
      <c r="AM737" s="9">
        <v>170</v>
      </c>
      <c r="AN737" s="9">
        <v>83.1</v>
      </c>
      <c r="AO737" s="9">
        <v>106</v>
      </c>
      <c r="AP737" s="9">
        <v>38.200000000000003</v>
      </c>
      <c r="AQ737" s="9">
        <v>6</v>
      </c>
      <c r="AR737" s="9">
        <v>25.4</v>
      </c>
      <c r="AS737" s="9">
        <v>42</v>
      </c>
      <c r="AT737" s="7">
        <v>24.1</v>
      </c>
      <c r="AU737" s="9">
        <v>94</v>
      </c>
      <c r="AV737" s="9">
        <v>66</v>
      </c>
      <c r="AX737" s="9" t="s">
        <v>426</v>
      </c>
      <c r="AY737" s="9" t="s">
        <v>6485</v>
      </c>
      <c r="AZ737" s="9" t="s">
        <v>6486</v>
      </c>
      <c r="BB737" s="9" t="s">
        <v>5714</v>
      </c>
      <c r="BC737" s="9" t="s">
        <v>5713</v>
      </c>
      <c r="BD737" s="9" t="s">
        <v>446</v>
      </c>
      <c r="BF737" s="9" t="s">
        <v>375</v>
      </c>
      <c r="BG737" s="9" t="s">
        <v>375</v>
      </c>
      <c r="BH737" s="9" t="s">
        <v>263</v>
      </c>
      <c r="BI737" s="9" t="s">
        <v>375</v>
      </c>
      <c r="BJ737" s="9" t="s">
        <v>276</v>
      </c>
      <c r="BK737" s="9" t="s">
        <v>375</v>
      </c>
      <c r="BN737" s="9" t="s">
        <v>6487</v>
      </c>
      <c r="BO737" s="9" t="s">
        <v>6488</v>
      </c>
      <c r="BP737" s="9" t="s">
        <v>5646</v>
      </c>
      <c r="BR737" s="9" t="s">
        <v>162</v>
      </c>
      <c r="BS737" s="9" t="s">
        <v>162</v>
      </c>
      <c r="BT737" s="9" t="s">
        <v>162</v>
      </c>
      <c r="BV737" s="9" t="s">
        <v>2465</v>
      </c>
      <c r="BW737" s="9" t="s">
        <v>6489</v>
      </c>
      <c r="BX737" s="9" t="s">
        <v>3984</v>
      </c>
      <c r="BZ737" s="9" t="s">
        <v>2721</v>
      </c>
      <c r="CA737" s="9" t="s">
        <v>6490</v>
      </c>
      <c r="CB737" s="9" t="s">
        <v>6491</v>
      </c>
      <c r="CD737" s="9" t="s">
        <v>162</v>
      </c>
      <c r="CE737" s="9" t="s">
        <v>162</v>
      </c>
      <c r="CF737" s="9" t="s">
        <v>162</v>
      </c>
      <c r="CH737" s="9" t="s">
        <v>162</v>
      </c>
      <c r="CI737" s="9" t="s">
        <v>162</v>
      </c>
      <c r="CJ737" s="9" t="s">
        <v>162</v>
      </c>
      <c r="CL737" s="9" t="s">
        <v>333</v>
      </c>
      <c r="CM737" s="9" t="s">
        <v>472</v>
      </c>
      <c r="CN737" s="9" t="s">
        <v>560</v>
      </c>
      <c r="CP737" s="9" t="s">
        <v>637</v>
      </c>
      <c r="CQ737" s="9" t="s">
        <v>636</v>
      </c>
      <c r="CR737" s="9" t="s">
        <v>6492</v>
      </c>
      <c r="CT737" s="9" t="s">
        <v>998</v>
      </c>
      <c r="CU737" s="9" t="s">
        <v>6493</v>
      </c>
      <c r="CV737" s="9" t="s">
        <v>1269</v>
      </c>
      <c r="CW737" s="9">
        <v>3</v>
      </c>
      <c r="CX737" s="9" t="s">
        <v>162</v>
      </c>
      <c r="CY737" s="9" t="s">
        <v>368</v>
      </c>
      <c r="CZ737" s="9" t="s">
        <v>162</v>
      </c>
      <c r="DA737" s="9" t="s">
        <v>162</v>
      </c>
      <c r="DB737" s="9" t="s">
        <v>162</v>
      </c>
      <c r="DC737" s="9">
        <v>89.2</v>
      </c>
      <c r="DD737" s="9">
        <v>0.26</v>
      </c>
      <c r="DE737" s="10">
        <v>230</v>
      </c>
      <c r="DF737" s="10">
        <v>197</v>
      </c>
      <c r="DG737" s="9">
        <f t="shared" si="11"/>
        <v>4.8870423841619761</v>
      </c>
      <c r="DH737" s="9">
        <v>39.4</v>
      </c>
      <c r="DI737" s="9">
        <v>4.76</v>
      </c>
      <c r="DJ737" s="9">
        <v>17</v>
      </c>
      <c r="DK737" s="10">
        <v>32.299999999999997</v>
      </c>
      <c r="DL737" s="10">
        <v>43</v>
      </c>
      <c r="DM737" s="9">
        <v>147.6</v>
      </c>
      <c r="DP737" s="11">
        <v>2</v>
      </c>
      <c r="DT737" s="9">
        <v>13</v>
      </c>
      <c r="DU737" s="9">
        <v>6</v>
      </c>
    </row>
    <row r="738" spans="1:125" x14ac:dyDescent="0.2">
      <c r="A738" s="9">
        <v>651</v>
      </c>
      <c r="B738" s="17">
        <v>43285</v>
      </c>
      <c r="C738" s="9" t="s">
        <v>95</v>
      </c>
      <c r="D738" s="9">
        <v>45</v>
      </c>
      <c r="F738" s="17">
        <v>26811</v>
      </c>
      <c r="G738" s="9" t="s">
        <v>234</v>
      </c>
      <c r="H738" s="9" t="s">
        <v>6494</v>
      </c>
      <c r="K738" s="9">
        <v>2008</v>
      </c>
      <c r="L738" s="9">
        <v>6</v>
      </c>
      <c r="M738" s="9" t="s">
        <v>99</v>
      </c>
      <c r="N738" s="9" t="s">
        <v>99</v>
      </c>
      <c r="O738" s="9" t="s">
        <v>99</v>
      </c>
      <c r="P738" s="9" t="s">
        <v>99</v>
      </c>
      <c r="Q738" s="9" t="s">
        <v>99</v>
      </c>
      <c r="AA738" s="9" t="s">
        <v>96</v>
      </c>
      <c r="AB738" s="9" t="s">
        <v>96</v>
      </c>
      <c r="AC738" s="9" t="s">
        <v>96</v>
      </c>
      <c r="AD738" s="9" t="s">
        <v>96</v>
      </c>
      <c r="AE738" s="10" t="s">
        <v>6495</v>
      </c>
      <c r="AF738" s="10" t="s">
        <v>6495</v>
      </c>
      <c r="AG738" s="9" t="s">
        <v>500</v>
      </c>
      <c r="AH738" s="9" t="s">
        <v>500</v>
      </c>
      <c r="AI738" s="9" t="s">
        <v>500</v>
      </c>
      <c r="AJ738" s="9" t="s">
        <v>500</v>
      </c>
      <c r="AK738" s="9" t="s">
        <v>500</v>
      </c>
      <c r="AL738" s="9">
        <v>80.400000000000006</v>
      </c>
      <c r="AM738" s="9">
        <v>1.51</v>
      </c>
      <c r="AN738" s="9" t="s">
        <v>6496</v>
      </c>
      <c r="AO738" s="9" t="s">
        <v>500</v>
      </c>
      <c r="AP738" s="9">
        <v>51.5</v>
      </c>
      <c r="AQ738" s="9">
        <v>11</v>
      </c>
      <c r="AR738" s="9">
        <v>20.9</v>
      </c>
      <c r="AS738" s="9">
        <v>71</v>
      </c>
      <c r="AT738" s="10">
        <v>35.299999999999997</v>
      </c>
      <c r="AU738" s="9">
        <v>104</v>
      </c>
      <c r="AV738" s="9">
        <v>69</v>
      </c>
      <c r="AX738" s="9" t="s">
        <v>6476</v>
      </c>
      <c r="BB738" s="9" t="s">
        <v>6475</v>
      </c>
      <c r="BF738" s="9" t="s">
        <v>6475</v>
      </c>
      <c r="BG738" s="9" t="s">
        <v>6475</v>
      </c>
      <c r="BH738" s="9" t="s">
        <v>6476</v>
      </c>
      <c r="BI738" s="9" t="s">
        <v>6475</v>
      </c>
      <c r="BJ738" s="9" t="s">
        <v>6475</v>
      </c>
      <c r="BK738" s="9" t="s">
        <v>6476</v>
      </c>
      <c r="BN738" s="9" t="s">
        <v>6476</v>
      </c>
      <c r="BV738" s="9" t="s">
        <v>6476</v>
      </c>
      <c r="DC738" s="9">
        <v>89.1</v>
      </c>
      <c r="DE738" s="9">
        <v>189</v>
      </c>
      <c r="DF738" s="9">
        <v>88</v>
      </c>
      <c r="DG738" s="9">
        <f t="shared" si="11"/>
        <v>4.4835480744774854</v>
      </c>
      <c r="DH738" s="9">
        <v>17.600000000000001</v>
      </c>
      <c r="DI738" s="9">
        <v>5.7</v>
      </c>
      <c r="DJ738" s="9">
        <v>14.7</v>
      </c>
      <c r="DK738" s="9">
        <v>17</v>
      </c>
      <c r="DL738" s="9">
        <v>67.400000000000006</v>
      </c>
      <c r="DM738" s="9">
        <v>104</v>
      </c>
      <c r="DR738" s="9">
        <v>3</v>
      </c>
    </row>
    <row r="739" spans="1:125" x14ac:dyDescent="0.2">
      <c r="A739" s="36">
        <v>652</v>
      </c>
      <c r="B739" s="8">
        <v>43279</v>
      </c>
      <c r="C739" s="9" t="s">
        <v>107</v>
      </c>
      <c r="D739" s="9">
        <v>32</v>
      </c>
      <c r="E739" s="9" t="s">
        <v>96</v>
      </c>
      <c r="F739" s="8">
        <v>31348</v>
      </c>
      <c r="G739" s="9" t="s">
        <v>314</v>
      </c>
      <c r="H739" s="9" t="s">
        <v>6497</v>
      </c>
      <c r="I739" s="9" t="s">
        <v>162</v>
      </c>
      <c r="J739" s="9" t="s">
        <v>162</v>
      </c>
      <c r="K739" s="9" t="s">
        <v>162</v>
      </c>
      <c r="L739" s="9" t="s">
        <v>162</v>
      </c>
      <c r="M739" s="9" t="s">
        <v>263</v>
      </c>
      <c r="N739" s="9" t="s">
        <v>263</v>
      </c>
      <c r="O739" s="9" t="s">
        <v>162</v>
      </c>
      <c r="P739" s="9" t="s">
        <v>263</v>
      </c>
      <c r="Q739" s="10" t="s">
        <v>456</v>
      </c>
      <c r="R739" s="9" t="s">
        <v>368</v>
      </c>
      <c r="S739" s="9" t="s">
        <v>263</v>
      </c>
      <c r="T739" s="9" t="s">
        <v>263</v>
      </c>
      <c r="U739" s="9" t="s">
        <v>162</v>
      </c>
      <c r="V739" s="9" t="s">
        <v>162</v>
      </c>
      <c r="W739" s="9" t="s">
        <v>6498</v>
      </c>
      <c r="X739" s="9" t="s">
        <v>263</v>
      </c>
      <c r="Y739" s="10" t="s">
        <v>5682</v>
      </c>
      <c r="Z739" s="9" t="s">
        <v>162</v>
      </c>
      <c r="AA739" s="52" t="s">
        <v>6499</v>
      </c>
      <c r="AB739" s="37" t="s">
        <v>2072</v>
      </c>
      <c r="AC739" s="37" t="s">
        <v>2072</v>
      </c>
      <c r="AD739" s="9" t="s">
        <v>1419</v>
      </c>
      <c r="AE739" s="10" t="s">
        <v>36</v>
      </c>
      <c r="AF739" s="10" t="s">
        <v>6198</v>
      </c>
      <c r="AG739" s="9" t="s">
        <v>263</v>
      </c>
      <c r="AH739" s="10" t="s">
        <v>6198</v>
      </c>
      <c r="AI739" s="10" t="s">
        <v>6198</v>
      </c>
      <c r="AJ739" s="9" t="s">
        <v>263</v>
      </c>
      <c r="AK739" s="9" t="s">
        <v>162</v>
      </c>
      <c r="AL739" s="9">
        <v>127.8</v>
      </c>
      <c r="AM739" s="9">
        <v>174</v>
      </c>
      <c r="AN739" s="10">
        <v>132.1</v>
      </c>
      <c r="AO739" s="9">
        <v>120.7</v>
      </c>
      <c r="AP739" s="9">
        <v>43.5</v>
      </c>
      <c r="AQ739" s="9">
        <v>22</v>
      </c>
      <c r="AR739" s="9">
        <v>26</v>
      </c>
      <c r="AS739" s="9">
        <v>80</v>
      </c>
      <c r="AT739" s="14">
        <v>41.7</v>
      </c>
      <c r="AU739" s="9">
        <v>117</v>
      </c>
      <c r="AV739" s="9">
        <v>96</v>
      </c>
      <c r="AX739" s="9" t="s">
        <v>168</v>
      </c>
      <c r="AY739" s="9" t="s">
        <v>426</v>
      </c>
      <c r="AZ739" s="9" t="s">
        <v>6485</v>
      </c>
      <c r="BB739" s="9" t="s">
        <v>3974</v>
      </c>
      <c r="BC739" s="9" t="s">
        <v>6500</v>
      </c>
      <c r="BD739" s="9" t="s">
        <v>446</v>
      </c>
      <c r="BF739" s="9" t="s">
        <v>322</v>
      </c>
      <c r="BG739" s="9" t="s">
        <v>322</v>
      </c>
      <c r="BH739" s="9" t="s">
        <v>375</v>
      </c>
      <c r="BI739" s="9" t="s">
        <v>375</v>
      </c>
      <c r="BJ739" s="9" t="s">
        <v>375</v>
      </c>
      <c r="BK739" s="9" t="s">
        <v>276</v>
      </c>
      <c r="BN739" s="9" t="s">
        <v>3729</v>
      </c>
      <c r="BO739" s="9" t="s">
        <v>467</v>
      </c>
      <c r="BR739" s="9" t="s">
        <v>162</v>
      </c>
      <c r="BS739" s="9" t="s">
        <v>162</v>
      </c>
      <c r="BT739" s="9" t="s">
        <v>162</v>
      </c>
      <c r="BV739" s="9" t="s">
        <v>6501</v>
      </c>
      <c r="BW739" s="9" t="s">
        <v>162</v>
      </c>
      <c r="BX739" s="9" t="s">
        <v>162</v>
      </c>
      <c r="BZ739" s="9" t="s">
        <v>6502</v>
      </c>
      <c r="CA739" s="9" t="s">
        <v>6503</v>
      </c>
      <c r="CB739" s="9" t="s">
        <v>943</v>
      </c>
      <c r="CD739" s="9" t="s">
        <v>5716</v>
      </c>
      <c r="CE739" s="9" t="s">
        <v>942</v>
      </c>
      <c r="CF739" s="9" t="s">
        <v>162</v>
      </c>
      <c r="CH739" s="9" t="s">
        <v>6504</v>
      </c>
      <c r="CI739" s="9" t="s">
        <v>162</v>
      </c>
      <c r="CJ739" s="9" t="s">
        <v>162</v>
      </c>
      <c r="CL739" s="9" t="s">
        <v>450</v>
      </c>
      <c r="CM739" s="9" t="s">
        <v>306</v>
      </c>
      <c r="CN739" s="9" t="s">
        <v>162</v>
      </c>
      <c r="CP739" s="9" t="s">
        <v>791</v>
      </c>
      <c r="CQ739" s="9" t="s">
        <v>162</v>
      </c>
      <c r="CR739" s="9" t="s">
        <v>162</v>
      </c>
      <c r="CT739" s="9" t="s">
        <v>6505</v>
      </c>
      <c r="CU739" s="9" t="s">
        <v>162</v>
      </c>
      <c r="CV739" s="9" t="s">
        <v>162</v>
      </c>
      <c r="CW739" s="9">
        <v>3</v>
      </c>
      <c r="CX739" s="9" t="s">
        <v>162</v>
      </c>
      <c r="CY739" s="9" t="s">
        <v>263</v>
      </c>
      <c r="CZ739" s="9">
        <v>10</v>
      </c>
      <c r="DA739" s="9">
        <v>30</v>
      </c>
      <c r="DB739" s="9">
        <v>60</v>
      </c>
      <c r="DC739" s="9">
        <v>83.7</v>
      </c>
      <c r="DD739" s="9">
        <v>0.51</v>
      </c>
      <c r="DE739" s="9">
        <v>132</v>
      </c>
      <c r="DF739" s="10">
        <v>244</v>
      </c>
      <c r="DG739" s="9">
        <f t="shared" si="11"/>
        <v>4.9622036013943154</v>
      </c>
      <c r="DH739" s="9">
        <v>48.8</v>
      </c>
      <c r="DI739" s="10">
        <v>10.050000000000001</v>
      </c>
      <c r="DJ739" s="10">
        <v>56.3</v>
      </c>
      <c r="DK739" s="10">
        <v>55.3</v>
      </c>
      <c r="DL739" s="10">
        <v>31.9</v>
      </c>
      <c r="DM739" s="9">
        <v>51.3</v>
      </c>
      <c r="DP739" s="11">
        <v>2</v>
      </c>
      <c r="DT739" s="9">
        <v>13.5</v>
      </c>
    </row>
    <row r="740" spans="1:125" x14ac:dyDescent="0.2">
      <c r="A740" s="9">
        <v>653</v>
      </c>
      <c r="B740" s="8">
        <v>43279</v>
      </c>
      <c r="C740" s="9" t="s">
        <v>107</v>
      </c>
      <c r="D740" s="9">
        <v>43</v>
      </c>
      <c r="E740" s="9" t="s">
        <v>96</v>
      </c>
      <c r="F740" s="8">
        <v>27397</v>
      </c>
      <c r="G740" s="9" t="s">
        <v>162</v>
      </c>
      <c r="H740" s="9" t="s">
        <v>162</v>
      </c>
      <c r="I740" s="9" t="s">
        <v>162</v>
      </c>
      <c r="J740" s="9" t="s">
        <v>162</v>
      </c>
      <c r="K740" s="9" t="s">
        <v>162</v>
      </c>
      <c r="L740" s="9" t="s">
        <v>162</v>
      </c>
      <c r="M740" s="9" t="s">
        <v>263</v>
      </c>
      <c r="N740" s="9" t="s">
        <v>263</v>
      </c>
      <c r="O740" s="9" t="s">
        <v>263</v>
      </c>
      <c r="P740" s="9" t="s">
        <v>263</v>
      </c>
      <c r="Q740" s="9" t="s">
        <v>263</v>
      </c>
      <c r="R740" s="9" t="s">
        <v>162</v>
      </c>
      <c r="S740" s="9" t="s">
        <v>263</v>
      </c>
      <c r="T740" s="9" t="s">
        <v>263</v>
      </c>
      <c r="U740" s="9" t="s">
        <v>263</v>
      </c>
      <c r="V740" s="9" t="s">
        <v>263</v>
      </c>
      <c r="W740" s="9" t="s">
        <v>263</v>
      </c>
      <c r="X740" s="9" t="s">
        <v>263</v>
      </c>
      <c r="Y740" s="9" t="s">
        <v>162</v>
      </c>
      <c r="Z740" s="9" t="s">
        <v>162</v>
      </c>
      <c r="AA740" s="9" t="s">
        <v>96</v>
      </c>
      <c r="AB740" s="9" t="s">
        <v>96</v>
      </c>
      <c r="AC740" s="41" t="s">
        <v>151</v>
      </c>
      <c r="AD740" s="49" t="s">
        <v>6211</v>
      </c>
      <c r="AE740" s="9" t="s">
        <v>263</v>
      </c>
      <c r="AF740" s="9" t="s">
        <v>263</v>
      </c>
      <c r="AG740" s="9" t="s">
        <v>263</v>
      </c>
      <c r="AH740" s="9" t="s">
        <v>263</v>
      </c>
      <c r="AI740" s="9" t="s">
        <v>263</v>
      </c>
      <c r="AJ740" s="9" t="s">
        <v>263</v>
      </c>
      <c r="AK740" s="9" t="s">
        <v>263</v>
      </c>
      <c r="AL740" s="9">
        <v>90.2</v>
      </c>
      <c r="AM740" s="9">
        <v>167</v>
      </c>
      <c r="AN740" s="10">
        <v>109</v>
      </c>
      <c r="AO740" s="9">
        <v>115</v>
      </c>
      <c r="AP740" s="9">
        <v>28.1</v>
      </c>
      <c r="AQ740" s="9">
        <v>3.2</v>
      </c>
      <c r="AR740" s="9">
        <v>61.7</v>
      </c>
      <c r="AS740" s="9">
        <v>50</v>
      </c>
      <c r="AT740" s="9" t="s">
        <v>162</v>
      </c>
      <c r="AU740" s="10">
        <v>134</v>
      </c>
      <c r="AV740" s="10">
        <v>87</v>
      </c>
      <c r="AX740" s="9" t="s">
        <v>917</v>
      </c>
      <c r="AY740" s="9" t="s">
        <v>6446</v>
      </c>
      <c r="BB740" s="9" t="s">
        <v>3974</v>
      </c>
      <c r="BC740" s="9" t="s">
        <v>6506</v>
      </c>
      <c r="BF740" s="9" t="s">
        <v>322</v>
      </c>
      <c r="BG740" s="9" t="s">
        <v>375</v>
      </c>
      <c r="BH740" s="9" t="s">
        <v>162</v>
      </c>
      <c r="BI740" s="9" t="s">
        <v>375</v>
      </c>
      <c r="BJ740" s="9" t="s">
        <v>322</v>
      </c>
      <c r="BK740" s="9" t="s">
        <v>375</v>
      </c>
      <c r="BN740" s="9" t="s">
        <v>1228</v>
      </c>
      <c r="BO740" s="9" t="s">
        <v>6507</v>
      </c>
      <c r="BP740" s="9" t="s">
        <v>162</v>
      </c>
      <c r="BR740" s="9" t="s">
        <v>162</v>
      </c>
      <c r="BS740" s="9" t="s">
        <v>162</v>
      </c>
      <c r="BT740" s="9" t="s">
        <v>162</v>
      </c>
      <c r="BV740" s="9" t="s">
        <v>162</v>
      </c>
      <c r="BW740" s="9" t="s">
        <v>162</v>
      </c>
      <c r="BX740" s="9" t="s">
        <v>162</v>
      </c>
      <c r="BZ740" s="9" t="s">
        <v>330</v>
      </c>
      <c r="CA740" s="9" t="s">
        <v>6508</v>
      </c>
      <c r="CB740" s="9" t="s">
        <v>162</v>
      </c>
      <c r="CD740" s="9" t="s">
        <v>162</v>
      </c>
      <c r="CE740" s="9" t="s">
        <v>162</v>
      </c>
      <c r="CF740" s="9" t="s">
        <v>162</v>
      </c>
      <c r="CH740" s="9" t="s">
        <v>162</v>
      </c>
      <c r="CI740" s="9" t="s">
        <v>162</v>
      </c>
      <c r="CJ740" s="9" t="s">
        <v>162</v>
      </c>
      <c r="CL740" s="9" t="s">
        <v>450</v>
      </c>
      <c r="CM740" s="9" t="s">
        <v>162</v>
      </c>
      <c r="CN740" s="9" t="s">
        <v>162</v>
      </c>
      <c r="CP740" s="9" t="s">
        <v>162</v>
      </c>
      <c r="CQ740" s="9" t="s">
        <v>162</v>
      </c>
      <c r="CR740" s="9" t="s">
        <v>162</v>
      </c>
      <c r="CT740" s="9" t="s">
        <v>6509</v>
      </c>
      <c r="CU740" s="9" t="s">
        <v>6510</v>
      </c>
      <c r="CV740" s="9" t="s">
        <v>162</v>
      </c>
      <c r="CW740" s="9">
        <v>3</v>
      </c>
      <c r="CX740" s="9" t="s">
        <v>263</v>
      </c>
      <c r="CY740" s="9" t="s">
        <v>368</v>
      </c>
      <c r="CZ740" s="9" t="s">
        <v>162</v>
      </c>
      <c r="DA740" s="9" t="s">
        <v>162</v>
      </c>
      <c r="DB740" s="9" t="s">
        <v>162</v>
      </c>
      <c r="DC740" s="9">
        <v>86.5</v>
      </c>
      <c r="DD740" s="9">
        <v>0.65</v>
      </c>
      <c r="DE740" s="10">
        <v>206</v>
      </c>
      <c r="DF740" s="9">
        <v>83</v>
      </c>
      <c r="DG740" s="9">
        <f t="shared" si="11"/>
        <v>4.4394925108672156</v>
      </c>
      <c r="DH740" s="9">
        <v>16.600000000000001</v>
      </c>
      <c r="DI740" s="10">
        <v>7.66</v>
      </c>
      <c r="DJ740" s="9">
        <v>25.3</v>
      </c>
      <c r="DK740" s="9">
        <v>19.3</v>
      </c>
      <c r="DL740" s="10">
        <v>39.799999999999997</v>
      </c>
      <c r="DM740" s="9">
        <v>149.6</v>
      </c>
    </row>
    <row r="741" spans="1:125" x14ac:dyDescent="0.2">
      <c r="A741" s="9">
        <v>654</v>
      </c>
      <c r="B741" s="8">
        <v>43279</v>
      </c>
      <c r="C741" s="9" t="s">
        <v>107</v>
      </c>
      <c r="D741" s="9">
        <v>33</v>
      </c>
      <c r="E741" s="9" t="s">
        <v>96</v>
      </c>
      <c r="F741" s="8">
        <v>30689</v>
      </c>
      <c r="G741" s="9" t="s">
        <v>314</v>
      </c>
      <c r="H741" s="9" t="s">
        <v>6511</v>
      </c>
      <c r="I741" s="9" t="s">
        <v>162</v>
      </c>
      <c r="J741" s="9" t="s">
        <v>162</v>
      </c>
      <c r="K741" s="47" t="s">
        <v>162</v>
      </c>
      <c r="L741" s="9" t="s">
        <v>162</v>
      </c>
      <c r="M741" s="9" t="s">
        <v>263</v>
      </c>
      <c r="N741" s="9" t="s">
        <v>263</v>
      </c>
      <c r="O741" s="9" t="s">
        <v>263</v>
      </c>
      <c r="P741" s="9" t="s">
        <v>263</v>
      </c>
      <c r="Q741" s="9" t="s">
        <v>263</v>
      </c>
      <c r="R741" s="9" t="s">
        <v>162</v>
      </c>
      <c r="S741" s="9" t="s">
        <v>162</v>
      </c>
      <c r="T741" s="9" t="s">
        <v>162</v>
      </c>
      <c r="U741" s="9" t="s">
        <v>162</v>
      </c>
      <c r="V741" s="9" t="s">
        <v>162</v>
      </c>
      <c r="W741" s="9" t="s">
        <v>162</v>
      </c>
      <c r="X741" s="9" t="s">
        <v>162</v>
      </c>
      <c r="Y741" s="9" t="s">
        <v>162</v>
      </c>
      <c r="Z741" s="9" t="s">
        <v>162</v>
      </c>
      <c r="AA741" s="9" t="s">
        <v>96</v>
      </c>
      <c r="AB741" s="41" t="s">
        <v>151</v>
      </c>
      <c r="AC741" s="9" t="s">
        <v>96</v>
      </c>
      <c r="AD741" s="41" t="s">
        <v>151</v>
      </c>
      <c r="AE741" s="10" t="s">
        <v>35</v>
      </c>
      <c r="AF741" s="10" t="s">
        <v>35</v>
      </c>
      <c r="AG741" s="10" t="s">
        <v>35</v>
      </c>
      <c r="AH741" s="10" t="s">
        <v>36</v>
      </c>
      <c r="AI741" s="9" t="s">
        <v>162</v>
      </c>
      <c r="AJ741" s="9" t="s">
        <v>162</v>
      </c>
      <c r="AK741" s="9" t="s">
        <v>162</v>
      </c>
      <c r="AL741" s="9">
        <v>86</v>
      </c>
      <c r="AM741" s="9">
        <v>182</v>
      </c>
      <c r="AN741" s="10">
        <v>86.7</v>
      </c>
      <c r="AO741" s="9">
        <v>110.5</v>
      </c>
      <c r="AP741" s="9">
        <v>23.7</v>
      </c>
      <c r="AQ741" s="9">
        <v>8</v>
      </c>
      <c r="AR741" s="9">
        <v>36.700000000000003</v>
      </c>
      <c r="AS741" s="9">
        <v>51</v>
      </c>
      <c r="AT741" s="10">
        <v>26</v>
      </c>
      <c r="AU741" s="9">
        <v>115</v>
      </c>
      <c r="AV741" s="9">
        <v>75</v>
      </c>
      <c r="AX741" s="9" t="s">
        <v>1034</v>
      </c>
      <c r="AY741" s="9" t="s">
        <v>426</v>
      </c>
      <c r="AZ741" s="9" t="s">
        <v>6512</v>
      </c>
      <c r="BB741" s="9" t="s">
        <v>162</v>
      </c>
      <c r="BC741" s="9" t="s">
        <v>162</v>
      </c>
      <c r="BD741" s="9" t="s">
        <v>162</v>
      </c>
      <c r="BF741" s="9" t="s">
        <v>375</v>
      </c>
      <c r="BG741" s="9" t="s">
        <v>375</v>
      </c>
      <c r="BH741" s="9" t="s">
        <v>375</v>
      </c>
      <c r="BI741" s="9" t="s">
        <v>375</v>
      </c>
      <c r="BJ741" s="9" t="s">
        <v>322</v>
      </c>
      <c r="BK741" s="9" t="s">
        <v>276</v>
      </c>
      <c r="BN741" s="9" t="s">
        <v>6513</v>
      </c>
      <c r="BO741" s="9" t="s">
        <v>6405</v>
      </c>
      <c r="BP741" s="9" t="s">
        <v>497</v>
      </c>
      <c r="BR741" s="9" t="s">
        <v>162</v>
      </c>
      <c r="BS741" s="9" t="s">
        <v>162</v>
      </c>
      <c r="BT741" s="9" t="s">
        <v>162</v>
      </c>
      <c r="BV741" s="9" t="s">
        <v>6514</v>
      </c>
      <c r="BW741" s="9" t="s">
        <v>1274</v>
      </c>
      <c r="BX741" s="9" t="s">
        <v>162</v>
      </c>
      <c r="BZ741" s="9" t="s">
        <v>397</v>
      </c>
      <c r="CA741" s="9" t="s">
        <v>5716</v>
      </c>
      <c r="CB741" s="9" t="s">
        <v>6515</v>
      </c>
      <c r="CD741" s="9" t="s">
        <v>162</v>
      </c>
      <c r="CE741" s="9" t="s">
        <v>162</v>
      </c>
      <c r="CF741" s="9" t="s">
        <v>162</v>
      </c>
      <c r="CH741" s="9" t="s">
        <v>162</v>
      </c>
      <c r="CI741" s="9" t="s">
        <v>162</v>
      </c>
      <c r="CJ741" s="9" t="s">
        <v>162</v>
      </c>
      <c r="CL741" s="9" t="s">
        <v>333</v>
      </c>
      <c r="CM741" s="9" t="s">
        <v>434</v>
      </c>
      <c r="CN741" s="9" t="s">
        <v>909</v>
      </c>
      <c r="CP741" s="9" t="s">
        <v>384</v>
      </c>
      <c r="CQ741" s="9" t="s">
        <v>1285</v>
      </c>
      <c r="CT741" s="9" t="s">
        <v>539</v>
      </c>
      <c r="CU741" s="9" t="s">
        <v>6290</v>
      </c>
      <c r="CV741" s="9" t="s">
        <v>6376</v>
      </c>
      <c r="CW741" s="9">
        <v>4</v>
      </c>
      <c r="CX741" s="9" t="s">
        <v>368</v>
      </c>
      <c r="CY741" s="9" t="s">
        <v>368</v>
      </c>
      <c r="CZ741" s="9">
        <v>40</v>
      </c>
      <c r="DA741" s="9">
        <v>20</v>
      </c>
      <c r="DB741" s="9" t="s">
        <v>162</v>
      </c>
      <c r="DC741" s="9">
        <v>95.5</v>
      </c>
      <c r="DD741" s="9">
        <v>0.71</v>
      </c>
      <c r="DE741" s="9">
        <v>189</v>
      </c>
      <c r="DF741" s="9">
        <v>70</v>
      </c>
      <c r="DG741" s="9">
        <f t="shared" si="11"/>
        <v>4.4038107447680215</v>
      </c>
      <c r="DH741" s="9">
        <v>14</v>
      </c>
      <c r="DI741" s="9">
        <v>3.87</v>
      </c>
      <c r="DJ741" s="9">
        <v>22.7</v>
      </c>
      <c r="DK741" s="9">
        <v>17</v>
      </c>
      <c r="DL741" s="9">
        <v>45.4</v>
      </c>
      <c r="DM741" s="9">
        <v>129.6</v>
      </c>
      <c r="DP741" s="11">
        <v>2</v>
      </c>
      <c r="DR741" s="9">
        <v>2</v>
      </c>
    </row>
    <row r="742" spans="1:125" x14ac:dyDescent="0.2">
      <c r="A742" s="36">
        <v>655</v>
      </c>
      <c r="B742" s="17">
        <v>43279</v>
      </c>
      <c r="C742" s="9" t="s">
        <v>95</v>
      </c>
      <c r="D742" s="9">
        <v>41</v>
      </c>
      <c r="E742" s="9" t="s">
        <v>96</v>
      </c>
      <c r="G742" s="9" t="s">
        <v>314</v>
      </c>
      <c r="H742" s="9" t="s">
        <v>6516</v>
      </c>
      <c r="L742" s="9">
        <v>2</v>
      </c>
      <c r="M742" s="9" t="s">
        <v>263</v>
      </c>
      <c r="N742" s="9" t="s">
        <v>263</v>
      </c>
      <c r="O742" s="9" t="s">
        <v>263</v>
      </c>
      <c r="P742" s="9" t="s">
        <v>588</v>
      </c>
      <c r="Q742" s="9" t="s">
        <v>263</v>
      </c>
      <c r="S742" s="9" t="s">
        <v>263</v>
      </c>
      <c r="T742" s="9" t="s">
        <v>263</v>
      </c>
      <c r="U742" s="9" t="s">
        <v>263</v>
      </c>
      <c r="W742" s="9" t="s">
        <v>6517</v>
      </c>
      <c r="X742" s="9" t="s">
        <v>99</v>
      </c>
      <c r="Z742" s="9" t="s">
        <v>6518</v>
      </c>
      <c r="AA742" s="9" t="s">
        <v>96</v>
      </c>
      <c r="AB742" s="9" t="s">
        <v>96</v>
      </c>
      <c r="AC742" s="9" t="s">
        <v>96</v>
      </c>
      <c r="AD742" s="9" t="s">
        <v>96</v>
      </c>
      <c r="AE742" s="10" t="s">
        <v>6519</v>
      </c>
      <c r="AF742" s="10" t="s">
        <v>6519</v>
      </c>
      <c r="AG742" s="9" t="s">
        <v>99</v>
      </c>
      <c r="AH742" s="9" t="s">
        <v>263</v>
      </c>
      <c r="AI742" s="9" t="s">
        <v>99</v>
      </c>
      <c r="AJ742" s="9" t="s">
        <v>99</v>
      </c>
      <c r="AK742" s="10" t="s">
        <v>6520</v>
      </c>
      <c r="AL742" s="9">
        <v>105.1</v>
      </c>
      <c r="AM742" s="9">
        <v>167</v>
      </c>
      <c r="AN742" s="9">
        <v>120</v>
      </c>
      <c r="AO742" s="9">
        <v>123</v>
      </c>
      <c r="AP742" s="9">
        <v>46</v>
      </c>
      <c r="AQ742" s="9">
        <v>10</v>
      </c>
      <c r="AR742" s="9">
        <v>24.6</v>
      </c>
      <c r="AS742" s="9">
        <v>63</v>
      </c>
      <c r="AT742" s="9">
        <v>37.700000000000003</v>
      </c>
      <c r="AU742" s="9">
        <v>124</v>
      </c>
      <c r="AV742" s="9">
        <v>83</v>
      </c>
      <c r="DC742" s="9">
        <v>70.900000000000006</v>
      </c>
      <c r="DD742" s="9">
        <v>0.64</v>
      </c>
      <c r="DE742" s="9">
        <v>129</v>
      </c>
      <c r="DF742" s="10">
        <v>186</v>
      </c>
      <c r="DG742" s="9">
        <f t="shared" si="11"/>
        <v>4.7435085536256416</v>
      </c>
      <c r="DH742" s="9">
        <v>37.200000000000003</v>
      </c>
      <c r="DI742" s="9">
        <v>3.43</v>
      </c>
      <c r="DJ742" s="9">
        <v>29</v>
      </c>
      <c r="DK742" s="9">
        <v>52</v>
      </c>
      <c r="DL742" s="10">
        <v>34</v>
      </c>
      <c r="DM742" s="9">
        <v>57.8</v>
      </c>
      <c r="DU742" s="9">
        <v>7</v>
      </c>
    </row>
    <row r="743" spans="1:125" x14ac:dyDescent="0.2">
      <c r="A743" s="9">
        <v>656</v>
      </c>
      <c r="B743" s="17">
        <v>43279</v>
      </c>
      <c r="C743" s="9" t="s">
        <v>95</v>
      </c>
      <c r="D743" s="9">
        <v>56</v>
      </c>
      <c r="H743" s="9" t="s">
        <v>1957</v>
      </c>
      <c r="L743" s="9">
        <v>3</v>
      </c>
      <c r="M743" s="9" t="s">
        <v>263</v>
      </c>
      <c r="N743" s="10" t="s">
        <v>368</v>
      </c>
      <c r="O743" s="9" t="s">
        <v>500</v>
      </c>
      <c r="P743" s="9" t="s">
        <v>263</v>
      </c>
      <c r="Q743" s="9" t="s">
        <v>263</v>
      </c>
      <c r="S743" s="9" t="s">
        <v>500</v>
      </c>
      <c r="T743" s="9" t="s">
        <v>500</v>
      </c>
      <c r="U743" s="9" t="s">
        <v>500</v>
      </c>
      <c r="W743" s="9" t="s">
        <v>500</v>
      </c>
      <c r="X743" s="9" t="s">
        <v>99</v>
      </c>
      <c r="AA743" s="9" t="s">
        <v>96</v>
      </c>
      <c r="AB743" s="9" t="s">
        <v>96</v>
      </c>
      <c r="AE743" s="10" t="s">
        <v>6521</v>
      </c>
      <c r="AF743" s="9" t="s">
        <v>500</v>
      </c>
      <c r="AG743" s="10" t="s">
        <v>5129</v>
      </c>
      <c r="AH743" s="10" t="s">
        <v>6235</v>
      </c>
      <c r="AI743" s="9" t="s">
        <v>99</v>
      </c>
      <c r="AJ743" s="9" t="s">
        <v>99</v>
      </c>
      <c r="AK743" s="9" t="s">
        <v>99</v>
      </c>
      <c r="AL743" s="9">
        <v>71.5</v>
      </c>
      <c r="AM743" s="9">
        <v>163</v>
      </c>
      <c r="AN743" s="9">
        <v>94</v>
      </c>
      <c r="AO743" s="9">
        <v>103.5</v>
      </c>
      <c r="AP743" s="9">
        <v>43.8</v>
      </c>
      <c r="AQ743" s="9">
        <v>2.5</v>
      </c>
      <c r="AR743" s="9">
        <v>41.5</v>
      </c>
      <c r="AS743" s="9">
        <v>50</v>
      </c>
      <c r="AT743" s="9">
        <v>26.91</v>
      </c>
      <c r="AU743" s="9">
        <v>120</v>
      </c>
      <c r="AV743" s="9">
        <v>82</v>
      </c>
      <c r="AX743" s="9" t="s">
        <v>391</v>
      </c>
      <c r="BB743" s="9" t="s">
        <v>5760</v>
      </c>
      <c r="BF743" s="9" t="s">
        <v>322</v>
      </c>
      <c r="BG743" s="9" t="s">
        <v>322</v>
      </c>
      <c r="BH743" s="9" t="s">
        <v>375</v>
      </c>
      <c r="BI743" s="9" t="s">
        <v>375</v>
      </c>
      <c r="BJ743" s="9" t="s">
        <v>500</v>
      </c>
      <c r="BK743" s="9" t="s">
        <v>276</v>
      </c>
      <c r="BN743" s="9" t="s">
        <v>395</v>
      </c>
      <c r="BO743" s="9" t="s">
        <v>517</v>
      </c>
      <c r="BP743" s="9" t="s">
        <v>6287</v>
      </c>
      <c r="BQ743" s="9" t="s">
        <v>500</v>
      </c>
      <c r="BU743" s="9" t="s">
        <v>500</v>
      </c>
      <c r="BZ743" s="9" t="s">
        <v>278</v>
      </c>
      <c r="CA743" s="9" t="s">
        <v>1110</v>
      </c>
      <c r="CB743" s="9" t="s">
        <v>6522</v>
      </c>
      <c r="CL743" s="9" t="s">
        <v>537</v>
      </c>
      <c r="CM743" s="9" t="s">
        <v>504</v>
      </c>
      <c r="CP743" s="9" t="s">
        <v>561</v>
      </c>
      <c r="CW743" s="9">
        <v>3</v>
      </c>
      <c r="CX743" s="9" t="s">
        <v>6523</v>
      </c>
      <c r="CY743" s="9" t="s">
        <v>263</v>
      </c>
      <c r="DC743" s="9">
        <v>85.4</v>
      </c>
      <c r="DD743" s="9">
        <v>0.63</v>
      </c>
      <c r="DE743" s="10">
        <v>238</v>
      </c>
      <c r="DF743" s="10">
        <v>176</v>
      </c>
      <c r="DG743" s="9">
        <f t="shared" si="11"/>
        <v>4.8089150479163383</v>
      </c>
      <c r="DH743" s="9">
        <v>35.200000000000003</v>
      </c>
      <c r="DI743" s="9">
        <v>4.6100000000000003</v>
      </c>
      <c r="DJ743" s="9">
        <v>16.7</v>
      </c>
      <c r="DK743" s="9">
        <v>17.3</v>
      </c>
      <c r="DL743" s="9">
        <v>59.9</v>
      </c>
      <c r="DM743" s="9">
        <v>142.9</v>
      </c>
      <c r="DP743" s="11">
        <v>2</v>
      </c>
      <c r="DQ743" s="9" t="s">
        <v>112</v>
      </c>
      <c r="DT743" s="9">
        <v>11.6</v>
      </c>
    </row>
    <row r="744" spans="1:125" x14ac:dyDescent="0.2">
      <c r="A744" s="9">
        <v>657</v>
      </c>
      <c r="B744" s="17">
        <v>43279</v>
      </c>
      <c r="C744" s="9" t="s">
        <v>95</v>
      </c>
      <c r="D744" s="9">
        <v>44</v>
      </c>
      <c r="E744" s="9" t="s">
        <v>96</v>
      </c>
      <c r="G744" s="9" t="s">
        <v>314</v>
      </c>
      <c r="H744" s="9" t="s">
        <v>500</v>
      </c>
      <c r="L744" s="9">
        <v>3</v>
      </c>
      <c r="M744" s="9" t="s">
        <v>263</v>
      </c>
      <c r="N744" s="9" t="s">
        <v>263</v>
      </c>
      <c r="O744" s="9" t="s">
        <v>263</v>
      </c>
      <c r="P744" s="9" t="s">
        <v>368</v>
      </c>
      <c r="Q744" s="9" t="s">
        <v>263</v>
      </c>
      <c r="S744" s="9" t="s">
        <v>263</v>
      </c>
      <c r="T744" s="9" t="s">
        <v>263</v>
      </c>
      <c r="U744" s="9" t="s">
        <v>388</v>
      </c>
      <c r="W744" s="9" t="s">
        <v>263</v>
      </c>
      <c r="X744" s="9" t="s">
        <v>99</v>
      </c>
      <c r="Z744" s="9" t="s">
        <v>263</v>
      </c>
      <c r="AA744" s="14" t="s">
        <v>151</v>
      </c>
      <c r="AB744" s="9" t="s">
        <v>96</v>
      </c>
      <c r="AC744" s="14" t="s">
        <v>6524</v>
      </c>
      <c r="AD744" s="9" t="s">
        <v>96</v>
      </c>
      <c r="AE744" s="9" t="s">
        <v>263</v>
      </c>
      <c r="AF744" s="9" t="s">
        <v>263</v>
      </c>
      <c r="AG744" s="9" t="s">
        <v>263</v>
      </c>
      <c r="AH744" s="9" t="s">
        <v>263</v>
      </c>
      <c r="AI744" s="9" t="s">
        <v>99</v>
      </c>
      <c r="AJ744" s="9" t="s">
        <v>99</v>
      </c>
      <c r="AK744" s="9" t="s">
        <v>99</v>
      </c>
      <c r="AL744" s="9">
        <v>68.3</v>
      </c>
      <c r="AM744" s="9">
        <v>162</v>
      </c>
      <c r="AN744" s="30">
        <v>58.5</v>
      </c>
      <c r="AO744" s="9">
        <v>104</v>
      </c>
      <c r="AP744" s="9">
        <v>36.9</v>
      </c>
      <c r="AQ744" s="9">
        <v>7</v>
      </c>
      <c r="AR744" s="9">
        <v>27.4</v>
      </c>
      <c r="AS744" s="9">
        <v>48</v>
      </c>
      <c r="AT744" s="30">
        <v>26</v>
      </c>
      <c r="AU744" s="9">
        <v>96</v>
      </c>
      <c r="AV744" s="9">
        <v>63</v>
      </c>
      <c r="DC744" s="9">
        <v>70.2</v>
      </c>
      <c r="DD744" s="9">
        <v>0.8</v>
      </c>
      <c r="DE744" s="9">
        <v>190</v>
      </c>
      <c r="DF744" s="9">
        <v>115</v>
      </c>
      <c r="DG744" s="9">
        <f t="shared" si="11"/>
        <v>4.4981402196975075</v>
      </c>
      <c r="DH744" s="9">
        <v>23</v>
      </c>
      <c r="DI744" s="9">
        <v>3</v>
      </c>
      <c r="DJ744" s="9">
        <v>12</v>
      </c>
      <c r="DK744" s="9">
        <v>16.3</v>
      </c>
      <c r="DL744" s="9">
        <v>53.9</v>
      </c>
      <c r="DM744" s="9">
        <v>113.1</v>
      </c>
      <c r="DP744" s="11">
        <v>2</v>
      </c>
      <c r="DR744" s="9">
        <v>3</v>
      </c>
    </row>
    <row r="745" spans="1:125" x14ac:dyDescent="0.2">
      <c r="A745" s="7">
        <v>658</v>
      </c>
      <c r="B745" s="8">
        <v>43279</v>
      </c>
      <c r="C745" s="9" t="s">
        <v>95</v>
      </c>
      <c r="D745" s="9">
        <v>43</v>
      </c>
      <c r="E745" s="9" t="s">
        <v>96</v>
      </c>
      <c r="F745" s="8">
        <v>27413</v>
      </c>
      <c r="G745" s="9" t="s">
        <v>162</v>
      </c>
      <c r="H745" s="9" t="s">
        <v>5766</v>
      </c>
      <c r="I745" s="9">
        <v>1989</v>
      </c>
      <c r="J745" s="9" t="s">
        <v>162</v>
      </c>
      <c r="K745" s="9">
        <v>2002</v>
      </c>
      <c r="L745" s="9">
        <v>1</v>
      </c>
      <c r="M745" s="9" t="s">
        <v>263</v>
      </c>
      <c r="N745" s="9" t="s">
        <v>263</v>
      </c>
      <c r="O745" s="9" t="s">
        <v>263</v>
      </c>
      <c r="P745" s="10" t="s">
        <v>368</v>
      </c>
      <c r="Q745" s="10" t="s">
        <v>368</v>
      </c>
      <c r="R745" s="9" t="s">
        <v>263</v>
      </c>
      <c r="S745" s="9" t="s">
        <v>4006</v>
      </c>
      <c r="T745" s="9" t="s">
        <v>6525</v>
      </c>
      <c r="U745" s="9" t="s">
        <v>263</v>
      </c>
      <c r="V745" s="9" t="s">
        <v>263</v>
      </c>
      <c r="W745" s="9" t="s">
        <v>263</v>
      </c>
      <c r="X745" s="9" t="s">
        <v>263</v>
      </c>
      <c r="Y745" s="9" t="s">
        <v>162</v>
      </c>
      <c r="Z745" s="9" t="s">
        <v>162</v>
      </c>
      <c r="AA745" s="9" t="s">
        <v>1419</v>
      </c>
      <c r="AB745" s="9" t="s">
        <v>162</v>
      </c>
      <c r="AC745" s="9" t="s">
        <v>1419</v>
      </c>
      <c r="AD745" s="9" t="s">
        <v>162</v>
      </c>
      <c r="AE745" s="10" t="s">
        <v>6526</v>
      </c>
      <c r="AF745" s="10" t="s">
        <v>35</v>
      </c>
      <c r="AG745" s="9" t="s">
        <v>263</v>
      </c>
      <c r="AH745" s="9" t="s">
        <v>263</v>
      </c>
      <c r="AI745" s="10" t="s">
        <v>6350</v>
      </c>
      <c r="AJ745" s="9" t="s">
        <v>162</v>
      </c>
      <c r="AK745" s="10" t="s">
        <v>6527</v>
      </c>
      <c r="AL745" s="9">
        <v>36.700000000000003</v>
      </c>
      <c r="AM745" s="9">
        <v>145</v>
      </c>
      <c r="AN745" s="9">
        <v>66</v>
      </c>
      <c r="AO745" s="9">
        <v>84</v>
      </c>
      <c r="AP745" s="9">
        <v>20</v>
      </c>
      <c r="AQ745" s="9">
        <v>3</v>
      </c>
      <c r="AR745" s="9">
        <v>24.4</v>
      </c>
      <c r="AS745" s="9">
        <v>18</v>
      </c>
      <c r="AT745" s="7">
        <v>17.5</v>
      </c>
      <c r="AU745" s="9">
        <v>82</v>
      </c>
      <c r="AV745" s="9">
        <v>59</v>
      </c>
      <c r="AX745" s="9" t="s">
        <v>162</v>
      </c>
      <c r="AY745" s="9" t="s">
        <v>162</v>
      </c>
      <c r="AZ745" s="9" t="s">
        <v>162</v>
      </c>
      <c r="BB745" s="9" t="s">
        <v>162</v>
      </c>
      <c r="BC745" s="9" t="s">
        <v>162</v>
      </c>
      <c r="BD745" s="9" t="s">
        <v>162</v>
      </c>
      <c r="BF745" s="9" t="s">
        <v>162</v>
      </c>
      <c r="BG745" s="9" t="s">
        <v>162</v>
      </c>
      <c r="BH745" s="9" t="s">
        <v>162</v>
      </c>
      <c r="BI745" s="9" t="s">
        <v>162</v>
      </c>
      <c r="BJ745" s="9" t="s">
        <v>162</v>
      </c>
      <c r="BK745" s="9" t="s">
        <v>162</v>
      </c>
      <c r="BN745" s="9" t="s">
        <v>162</v>
      </c>
      <c r="BO745" s="9" t="s">
        <v>162</v>
      </c>
      <c r="BP745" s="9" t="s">
        <v>162</v>
      </c>
      <c r="BR745" s="9" t="s">
        <v>162</v>
      </c>
      <c r="BS745" s="9" t="s">
        <v>162</v>
      </c>
      <c r="BT745" s="9" t="s">
        <v>162</v>
      </c>
      <c r="BV745" s="9" t="s">
        <v>162</v>
      </c>
      <c r="BW745" s="9" t="s">
        <v>162</v>
      </c>
      <c r="BX745" s="9" t="s">
        <v>162</v>
      </c>
      <c r="BZ745" s="9" t="s">
        <v>162</v>
      </c>
      <c r="CA745" s="9" t="s">
        <v>162</v>
      </c>
      <c r="CB745" s="9" t="s">
        <v>162</v>
      </c>
      <c r="CD745" s="9" t="s">
        <v>162</v>
      </c>
      <c r="CE745" s="9" t="s">
        <v>162</v>
      </c>
      <c r="CF745" s="9" t="s">
        <v>162</v>
      </c>
      <c r="CH745" s="9" t="s">
        <v>162</v>
      </c>
      <c r="CI745" s="9" t="s">
        <v>162</v>
      </c>
      <c r="CJ745" s="9" t="s">
        <v>162</v>
      </c>
      <c r="CL745" s="9" t="s">
        <v>162</v>
      </c>
      <c r="CM745" s="9" t="s">
        <v>162</v>
      </c>
      <c r="CN745" s="9" t="s">
        <v>162</v>
      </c>
      <c r="CP745" s="9" t="s">
        <v>162</v>
      </c>
      <c r="CQ745" s="9" t="s">
        <v>162</v>
      </c>
      <c r="CR745" s="9" t="s">
        <v>162</v>
      </c>
      <c r="CT745" s="9" t="s">
        <v>162</v>
      </c>
      <c r="CU745" s="9" t="s">
        <v>162</v>
      </c>
      <c r="CV745" s="9" t="s">
        <v>162</v>
      </c>
      <c r="CW745" s="9" t="s">
        <v>162</v>
      </c>
      <c r="CX745" s="9" t="s">
        <v>162</v>
      </c>
      <c r="CY745" s="9" t="s">
        <v>162</v>
      </c>
      <c r="CZ745" s="9" t="s">
        <v>162</v>
      </c>
      <c r="DA745" s="9" t="s">
        <v>162</v>
      </c>
      <c r="DB745" s="9" t="s">
        <v>162</v>
      </c>
      <c r="DC745" s="30">
        <v>100</v>
      </c>
      <c r="DD745" s="9">
        <v>0.4</v>
      </c>
      <c r="DE745" s="9">
        <v>128</v>
      </c>
      <c r="DF745" s="9">
        <v>99</v>
      </c>
      <c r="DG745" s="9">
        <f t="shared" si="11"/>
        <v>4.6001450180613404</v>
      </c>
      <c r="DH745" s="9">
        <v>19.8</v>
      </c>
      <c r="DI745" s="9">
        <v>4.21</v>
      </c>
      <c r="DL745" s="9">
        <v>60.7</v>
      </c>
      <c r="DM745" s="9">
        <v>47.5</v>
      </c>
      <c r="DU745" s="9">
        <v>6</v>
      </c>
    </row>
    <row r="746" spans="1:125" x14ac:dyDescent="0.2">
      <c r="A746" s="7">
        <v>659</v>
      </c>
      <c r="B746" s="8">
        <v>43279</v>
      </c>
      <c r="C746" s="9" t="s">
        <v>95</v>
      </c>
      <c r="D746" s="9">
        <v>46</v>
      </c>
      <c r="E746" s="9" t="s">
        <v>96</v>
      </c>
      <c r="F746" s="8">
        <v>26265</v>
      </c>
      <c r="G746" s="9" t="s">
        <v>400</v>
      </c>
      <c r="H746" s="9" t="s">
        <v>162</v>
      </c>
      <c r="I746" s="9">
        <v>1985</v>
      </c>
      <c r="J746" s="9" t="s">
        <v>162</v>
      </c>
      <c r="K746" s="9">
        <v>2008</v>
      </c>
      <c r="L746" s="9">
        <v>2</v>
      </c>
      <c r="M746" s="9" t="s">
        <v>263</v>
      </c>
      <c r="N746" s="9" t="s">
        <v>263</v>
      </c>
      <c r="O746" s="9" t="s">
        <v>162</v>
      </c>
      <c r="P746" s="9" t="s">
        <v>263</v>
      </c>
      <c r="Q746" s="9" t="s">
        <v>263</v>
      </c>
      <c r="R746" s="9" t="s">
        <v>162</v>
      </c>
      <c r="S746" s="9" t="s">
        <v>162</v>
      </c>
      <c r="T746" s="9" t="s">
        <v>162</v>
      </c>
      <c r="U746" s="9" t="s">
        <v>162</v>
      </c>
      <c r="V746" s="9" t="s">
        <v>162</v>
      </c>
      <c r="W746" s="9" t="s">
        <v>162</v>
      </c>
      <c r="X746" s="9" t="s">
        <v>162</v>
      </c>
      <c r="Y746" s="9" t="s">
        <v>162</v>
      </c>
      <c r="Z746" s="9" t="s">
        <v>162</v>
      </c>
      <c r="AA746" s="9" t="s">
        <v>96</v>
      </c>
      <c r="AB746" s="52" t="s">
        <v>6499</v>
      </c>
      <c r="AC746" s="9" t="s">
        <v>96</v>
      </c>
      <c r="AD746" s="52" t="s">
        <v>6499</v>
      </c>
      <c r="AE746" s="10" t="s">
        <v>6528</v>
      </c>
      <c r="AF746" s="10" t="s">
        <v>6528</v>
      </c>
      <c r="AG746" s="10" t="s">
        <v>6529</v>
      </c>
      <c r="AH746" s="9" t="s">
        <v>263</v>
      </c>
      <c r="AI746" s="10" t="s">
        <v>35</v>
      </c>
      <c r="AJ746" s="9" t="s">
        <v>263</v>
      </c>
      <c r="AK746" s="9" t="s">
        <v>263</v>
      </c>
      <c r="AL746" s="9">
        <v>60.3</v>
      </c>
      <c r="AM746" s="9">
        <v>158</v>
      </c>
      <c r="AN746" s="9">
        <v>83.6</v>
      </c>
      <c r="AO746" s="9">
        <v>99.7</v>
      </c>
      <c r="AP746" s="9">
        <v>39.700000000000003</v>
      </c>
      <c r="AQ746" s="9">
        <v>6</v>
      </c>
      <c r="AR746" s="9">
        <v>23.3</v>
      </c>
      <c r="AS746" s="9">
        <v>46</v>
      </c>
      <c r="AT746" s="7">
        <v>24.2</v>
      </c>
      <c r="AU746" s="9">
        <v>97</v>
      </c>
      <c r="AV746" s="9">
        <v>69</v>
      </c>
      <c r="AX746" s="9" t="s">
        <v>162</v>
      </c>
      <c r="AY746" s="9" t="s">
        <v>162</v>
      </c>
      <c r="AZ746" s="9" t="s">
        <v>162</v>
      </c>
      <c r="BB746" s="9" t="s">
        <v>162</v>
      </c>
      <c r="BC746" s="9" t="s">
        <v>162</v>
      </c>
      <c r="BD746" s="9" t="s">
        <v>162</v>
      </c>
      <c r="BF746" s="9" t="s">
        <v>162</v>
      </c>
      <c r="BG746" s="9" t="s">
        <v>162</v>
      </c>
      <c r="BH746" s="9" t="s">
        <v>162</v>
      </c>
      <c r="BI746" s="9" t="s">
        <v>162</v>
      </c>
      <c r="BJ746" s="9" t="s">
        <v>162</v>
      </c>
      <c r="BK746" s="9" t="s">
        <v>162</v>
      </c>
      <c r="BN746" s="9" t="s">
        <v>162</v>
      </c>
      <c r="BO746" s="9" t="s">
        <v>162</v>
      </c>
      <c r="BP746" s="9" t="s">
        <v>162</v>
      </c>
      <c r="BR746" s="9" t="s">
        <v>162</v>
      </c>
      <c r="BS746" s="9" t="s">
        <v>162</v>
      </c>
      <c r="BT746" s="9" t="s">
        <v>162</v>
      </c>
      <c r="BV746" s="9" t="s">
        <v>162</v>
      </c>
      <c r="BW746" s="9" t="s">
        <v>162</v>
      </c>
      <c r="BX746" s="9" t="s">
        <v>162</v>
      </c>
      <c r="BZ746" s="9" t="s">
        <v>162</v>
      </c>
      <c r="CA746" s="9" t="s">
        <v>162</v>
      </c>
      <c r="CB746" s="9" t="s">
        <v>162</v>
      </c>
      <c r="CD746" s="9" t="s">
        <v>162</v>
      </c>
      <c r="CE746" s="9" t="s">
        <v>162</v>
      </c>
      <c r="CF746" s="9" t="s">
        <v>162</v>
      </c>
      <c r="CH746" s="9" t="s">
        <v>162</v>
      </c>
      <c r="CI746" s="9" t="s">
        <v>162</v>
      </c>
      <c r="CJ746" s="9" t="s">
        <v>162</v>
      </c>
      <c r="CL746" s="9" t="s">
        <v>162</v>
      </c>
      <c r="CM746" s="9" t="s">
        <v>162</v>
      </c>
      <c r="CN746" s="9" t="s">
        <v>162</v>
      </c>
      <c r="CP746" s="9" t="s">
        <v>162</v>
      </c>
      <c r="CQ746" s="9" t="s">
        <v>162</v>
      </c>
      <c r="CR746" s="9" t="s">
        <v>162</v>
      </c>
      <c r="CT746" s="9" t="s">
        <v>162</v>
      </c>
      <c r="CU746" s="9" t="s">
        <v>162</v>
      </c>
      <c r="CV746" s="9" t="s">
        <v>162</v>
      </c>
      <c r="CW746" s="9" t="s">
        <v>162</v>
      </c>
      <c r="CX746" s="9" t="s">
        <v>162</v>
      </c>
      <c r="CY746" s="9" t="s">
        <v>162</v>
      </c>
      <c r="CZ746" s="9" t="s">
        <v>162</v>
      </c>
      <c r="DA746" s="9" t="s">
        <v>162</v>
      </c>
      <c r="DB746" s="9" t="s">
        <v>162</v>
      </c>
      <c r="DC746" s="9">
        <v>75.400000000000006</v>
      </c>
      <c r="DD746" s="9">
        <v>0.56000000000000005</v>
      </c>
      <c r="DE746" s="9">
        <v>222</v>
      </c>
      <c r="DF746" s="9">
        <v>89</v>
      </c>
      <c r="DG746" s="9">
        <f t="shared" si="11"/>
        <v>4.4057218223730255</v>
      </c>
      <c r="DH746" s="9">
        <v>17.8</v>
      </c>
      <c r="DI746" s="9">
        <v>4.8</v>
      </c>
      <c r="DJ746" s="9">
        <v>23</v>
      </c>
      <c r="DK746" s="9">
        <v>26</v>
      </c>
      <c r="DL746" s="9">
        <v>69.3</v>
      </c>
      <c r="DM746" s="9">
        <v>134.9</v>
      </c>
      <c r="DP746" s="11">
        <v>2</v>
      </c>
      <c r="DQ746" s="9">
        <v>2</v>
      </c>
      <c r="DU746" s="9">
        <v>5</v>
      </c>
    </row>
    <row r="747" spans="1:125" x14ac:dyDescent="0.2">
      <c r="A747" s="9" t="s">
        <v>6530</v>
      </c>
      <c r="DG747" s="9" t="e">
        <f t="shared" si="11"/>
        <v>#NUM!</v>
      </c>
    </row>
    <row r="748" spans="1:125" x14ac:dyDescent="0.2">
      <c r="A748" s="9" t="s">
        <v>6531</v>
      </c>
      <c r="DG748" s="9" t="e">
        <f t="shared" si="11"/>
        <v>#NUM!</v>
      </c>
    </row>
    <row r="749" spans="1:125" x14ac:dyDescent="0.2">
      <c r="A749" s="110">
        <v>662</v>
      </c>
      <c r="B749" s="17">
        <v>43300</v>
      </c>
      <c r="C749" s="9" t="s">
        <v>95</v>
      </c>
      <c r="D749" s="9">
        <v>63</v>
      </c>
      <c r="E749" s="9" t="s">
        <v>6532</v>
      </c>
      <c r="F749" s="17">
        <v>20167</v>
      </c>
      <c r="G749" s="9" t="s">
        <v>1320</v>
      </c>
      <c r="H749" s="9" t="s">
        <v>6533</v>
      </c>
      <c r="I749" s="9">
        <v>15</v>
      </c>
      <c r="J749" s="10">
        <v>50</v>
      </c>
      <c r="K749" s="9">
        <v>1995</v>
      </c>
      <c r="L749" s="9">
        <v>6</v>
      </c>
      <c r="M749" s="9" t="s">
        <v>483</v>
      </c>
      <c r="N749" s="9" t="s">
        <v>483</v>
      </c>
      <c r="O749" s="10" t="s">
        <v>588</v>
      </c>
      <c r="P749" s="9" t="s">
        <v>483</v>
      </c>
      <c r="Q749" s="9" t="s">
        <v>483</v>
      </c>
      <c r="R749" s="9" t="s">
        <v>588</v>
      </c>
      <c r="S749" s="9" t="s">
        <v>483</v>
      </c>
      <c r="T749" s="9" t="s">
        <v>483</v>
      </c>
      <c r="U749" s="9" t="s">
        <v>483</v>
      </c>
      <c r="V749" s="9" t="s">
        <v>483</v>
      </c>
      <c r="W749" s="9" t="s">
        <v>483</v>
      </c>
      <c r="X749" s="9" t="s">
        <v>483</v>
      </c>
      <c r="Y749" s="9" t="s">
        <v>483</v>
      </c>
      <c r="Z749" s="10" t="s">
        <v>6534</v>
      </c>
      <c r="AA749" s="9" t="s">
        <v>6535</v>
      </c>
      <c r="AB749" s="9" t="s">
        <v>6535</v>
      </c>
      <c r="AC749" s="9" t="s">
        <v>6535</v>
      </c>
      <c r="AD749" s="9" t="s">
        <v>6535</v>
      </c>
      <c r="AE749" s="10" t="s">
        <v>423</v>
      </c>
      <c r="AF749" s="10" t="s">
        <v>423</v>
      </c>
      <c r="AG749" s="9" t="s">
        <v>483</v>
      </c>
      <c r="AH749" s="10" t="s">
        <v>423</v>
      </c>
      <c r="AI749" s="9" t="s">
        <v>483</v>
      </c>
      <c r="AJ749" s="9" t="s">
        <v>483</v>
      </c>
      <c r="AK749" s="9" t="s">
        <v>483</v>
      </c>
      <c r="AL749" s="9">
        <v>64</v>
      </c>
      <c r="AM749" s="9">
        <v>1.62</v>
      </c>
      <c r="AN749" s="10">
        <v>90</v>
      </c>
      <c r="AO749" s="9">
        <v>100</v>
      </c>
      <c r="AP749" s="9">
        <v>40</v>
      </c>
      <c r="AQ749" s="9">
        <v>10</v>
      </c>
      <c r="AR749" s="9">
        <v>25.7</v>
      </c>
      <c r="AS749" s="9">
        <v>66</v>
      </c>
      <c r="AT749" s="9">
        <v>27.7</v>
      </c>
      <c r="AU749" s="10">
        <v>172</v>
      </c>
      <c r="AV749" s="10">
        <v>96</v>
      </c>
      <c r="AX749" s="9" t="s">
        <v>6536</v>
      </c>
      <c r="AY749" s="9" t="s">
        <v>6537</v>
      </c>
      <c r="AZ749" s="9" t="s">
        <v>6538</v>
      </c>
      <c r="BB749" s="9" t="s">
        <v>3974</v>
      </c>
      <c r="BC749" s="9" t="s">
        <v>6539</v>
      </c>
      <c r="BD749" s="9" t="s">
        <v>6540</v>
      </c>
      <c r="BE749" s="9" t="s">
        <v>6541</v>
      </c>
      <c r="BF749" s="9" t="s">
        <v>635</v>
      </c>
      <c r="BG749" s="9" t="s">
        <v>323</v>
      </c>
      <c r="BH749" s="9" t="s">
        <v>483</v>
      </c>
      <c r="BI749" s="9" t="s">
        <v>635</v>
      </c>
      <c r="BJ749" s="9" t="s">
        <v>635</v>
      </c>
      <c r="BK749" s="9" t="s">
        <v>325</v>
      </c>
      <c r="BN749" s="9" t="s">
        <v>6513</v>
      </c>
      <c r="BO749" s="9" t="s">
        <v>467</v>
      </c>
      <c r="BP749" s="9" t="s">
        <v>430</v>
      </c>
      <c r="BZ749" s="9" t="s">
        <v>6542</v>
      </c>
      <c r="CA749" s="9" t="s">
        <v>432</v>
      </c>
      <c r="CB749" s="9" t="s">
        <v>6462</v>
      </c>
      <c r="CL749" s="9" t="s">
        <v>6543</v>
      </c>
      <c r="CM749" s="9" t="s">
        <v>449</v>
      </c>
      <c r="CN749" s="9" t="s">
        <v>6544</v>
      </c>
      <c r="CP749" s="9" t="s">
        <v>1200</v>
      </c>
      <c r="CQ749" s="9" t="s">
        <v>451</v>
      </c>
      <c r="CR749" s="9" t="s">
        <v>385</v>
      </c>
      <c r="CW749" s="9">
        <v>3</v>
      </c>
      <c r="CX749" s="9" t="s">
        <v>588</v>
      </c>
      <c r="CY749" s="9" t="s">
        <v>588</v>
      </c>
      <c r="CZ749" s="9">
        <v>33.299999999999997</v>
      </c>
      <c r="DA749" s="9">
        <v>33.299999999999997</v>
      </c>
      <c r="DB749" s="9">
        <v>33.299999999999997</v>
      </c>
      <c r="DC749" s="9">
        <v>84</v>
      </c>
      <c r="DD749" s="9">
        <v>0.47</v>
      </c>
      <c r="DE749" s="9">
        <v>186</v>
      </c>
      <c r="DF749" s="9">
        <v>82</v>
      </c>
      <c r="DG749" s="9">
        <f t="shared" si="11"/>
        <v>4.4187680230537838</v>
      </c>
      <c r="DH749" s="9">
        <v>16.399999999999999</v>
      </c>
      <c r="DI749" s="9">
        <v>4.09</v>
      </c>
      <c r="DP749" s="11">
        <v>2</v>
      </c>
      <c r="DR749" s="9">
        <v>2</v>
      </c>
      <c r="DT749" s="9">
        <v>10</v>
      </c>
    </row>
    <row r="750" spans="1:125" x14ac:dyDescent="0.2">
      <c r="A750" s="9" t="s">
        <v>6545</v>
      </c>
      <c r="DG750" s="9" t="e">
        <f t="shared" si="11"/>
        <v>#NUM!</v>
      </c>
    </row>
    <row r="751" spans="1:125" x14ac:dyDescent="0.2">
      <c r="A751" s="10">
        <v>664</v>
      </c>
      <c r="B751" s="17">
        <v>43286</v>
      </c>
      <c r="C751" s="9" t="s">
        <v>95</v>
      </c>
      <c r="D751" s="9">
        <v>86</v>
      </c>
      <c r="G751" s="9" t="s">
        <v>6546</v>
      </c>
      <c r="J751" s="10" t="s">
        <v>110</v>
      </c>
      <c r="L751" s="9">
        <v>8</v>
      </c>
      <c r="M751" s="9" t="s">
        <v>263</v>
      </c>
      <c r="N751" s="9" t="s">
        <v>263</v>
      </c>
      <c r="O751" s="10" t="s">
        <v>6547</v>
      </c>
      <c r="P751" s="9" t="s">
        <v>263</v>
      </c>
      <c r="Q751" s="9" t="s">
        <v>263</v>
      </c>
      <c r="R751" s="9" t="s">
        <v>588</v>
      </c>
      <c r="S751" s="9" t="s">
        <v>263</v>
      </c>
      <c r="T751" s="9" t="s">
        <v>263</v>
      </c>
      <c r="U751" s="9" t="s">
        <v>99</v>
      </c>
      <c r="W751" s="9" t="s">
        <v>99</v>
      </c>
      <c r="Z751" s="9" t="s">
        <v>6548</v>
      </c>
      <c r="AA751" s="9" t="s">
        <v>96</v>
      </c>
      <c r="AB751" s="9" t="s">
        <v>96</v>
      </c>
      <c r="AC751" s="9" t="s">
        <v>96</v>
      </c>
      <c r="AD751" s="9" t="s">
        <v>96</v>
      </c>
      <c r="AE751" s="9" t="s">
        <v>6549</v>
      </c>
      <c r="AF751" s="9" t="s">
        <v>263</v>
      </c>
      <c r="AG751" s="9" t="s">
        <v>99</v>
      </c>
      <c r="AH751" s="9" t="s">
        <v>263</v>
      </c>
      <c r="AI751" s="9" t="s">
        <v>263</v>
      </c>
      <c r="AJ751" s="9" t="s">
        <v>263</v>
      </c>
      <c r="AK751" s="9" t="s">
        <v>263</v>
      </c>
      <c r="AL751" s="9">
        <v>60.3</v>
      </c>
      <c r="AM751" s="9">
        <v>1.5</v>
      </c>
      <c r="AN751" s="9">
        <v>96</v>
      </c>
      <c r="AO751" s="9">
        <v>97</v>
      </c>
      <c r="AP751" s="9">
        <v>12</v>
      </c>
      <c r="AQ751" s="9">
        <v>12</v>
      </c>
      <c r="AR751" s="9">
        <v>43</v>
      </c>
      <c r="AS751" s="9">
        <v>74</v>
      </c>
      <c r="AT751" s="9">
        <v>26.8</v>
      </c>
      <c r="AU751" s="10">
        <v>139</v>
      </c>
      <c r="AV751" s="10">
        <v>108</v>
      </c>
      <c r="AX751" s="9" t="s">
        <v>6550</v>
      </c>
      <c r="BB751" s="9" t="s">
        <v>6551</v>
      </c>
      <c r="BF751" s="9" t="s">
        <v>6475</v>
      </c>
      <c r="BG751" s="9" t="s">
        <v>6475</v>
      </c>
      <c r="BH751" s="9" t="s">
        <v>263</v>
      </c>
      <c r="BI751" s="9" t="s">
        <v>6552</v>
      </c>
      <c r="BJ751" s="9" t="s">
        <v>6475</v>
      </c>
      <c r="BK751" s="9" t="s">
        <v>6475</v>
      </c>
      <c r="BN751" s="9" t="s">
        <v>6553</v>
      </c>
      <c r="BZ751" s="9" t="s">
        <v>6554</v>
      </c>
      <c r="CL751" s="9" t="s">
        <v>6555</v>
      </c>
      <c r="CP751" s="9" t="s">
        <v>368</v>
      </c>
      <c r="CT751" s="9" t="s">
        <v>263</v>
      </c>
      <c r="CW751" s="9">
        <v>3</v>
      </c>
      <c r="CX751" s="9" t="s">
        <v>368</v>
      </c>
      <c r="CY751" s="9" t="s">
        <v>368</v>
      </c>
      <c r="CZ751" s="9">
        <v>33</v>
      </c>
      <c r="DA751" s="9">
        <v>33</v>
      </c>
      <c r="DB751" s="9">
        <v>33</v>
      </c>
      <c r="DC751" s="9">
        <v>78.5</v>
      </c>
      <c r="DD751" s="9">
        <v>0.71</v>
      </c>
      <c r="DE751" s="9">
        <v>254</v>
      </c>
      <c r="DF751" s="10">
        <v>217</v>
      </c>
      <c r="DG751" s="9">
        <f t="shared" si="11"/>
        <v>4.8714979891644115</v>
      </c>
      <c r="DH751" s="9">
        <v>43.4</v>
      </c>
      <c r="DI751" s="9">
        <v>6.36</v>
      </c>
      <c r="DJ751" s="9">
        <v>10</v>
      </c>
      <c r="DK751" s="9">
        <v>26</v>
      </c>
      <c r="DL751" s="10">
        <v>43.5</v>
      </c>
      <c r="DM751" s="9">
        <v>167.1</v>
      </c>
      <c r="DP751" s="11">
        <v>2</v>
      </c>
      <c r="DR751" s="9">
        <v>3</v>
      </c>
    </row>
    <row r="752" spans="1:125" x14ac:dyDescent="0.2">
      <c r="A752" s="110">
        <v>665</v>
      </c>
      <c r="B752" s="8">
        <v>43279</v>
      </c>
      <c r="C752" s="9" t="s">
        <v>107</v>
      </c>
      <c r="D752" s="9">
        <v>42</v>
      </c>
      <c r="E752" s="52" t="s">
        <v>1697</v>
      </c>
      <c r="F752" s="8">
        <v>27590</v>
      </c>
      <c r="G752" s="9" t="s">
        <v>162</v>
      </c>
      <c r="H752" s="9" t="s">
        <v>162</v>
      </c>
      <c r="I752" s="9" t="s">
        <v>162</v>
      </c>
      <c r="J752" s="9" t="s">
        <v>162</v>
      </c>
      <c r="K752" s="9" t="s">
        <v>162</v>
      </c>
      <c r="L752" s="9" t="s">
        <v>162</v>
      </c>
      <c r="M752" s="9" t="s">
        <v>263</v>
      </c>
      <c r="N752" s="9" t="s">
        <v>263</v>
      </c>
      <c r="O752" s="10" t="s">
        <v>368</v>
      </c>
      <c r="P752" s="10" t="s">
        <v>368</v>
      </c>
      <c r="Q752" s="10" t="s">
        <v>369</v>
      </c>
      <c r="R752" s="9" t="s">
        <v>368</v>
      </c>
      <c r="S752" s="9" t="s">
        <v>368</v>
      </c>
      <c r="T752" s="9" t="s">
        <v>162</v>
      </c>
      <c r="U752" s="9" t="s">
        <v>162</v>
      </c>
      <c r="V752" s="9" t="s">
        <v>162</v>
      </c>
      <c r="W752" s="10" t="s">
        <v>6556</v>
      </c>
      <c r="X752" s="9" t="s">
        <v>162</v>
      </c>
      <c r="Y752" s="10" t="s">
        <v>6557</v>
      </c>
      <c r="Z752" s="10" t="s">
        <v>6558</v>
      </c>
      <c r="AA752" s="52" t="s">
        <v>1697</v>
      </c>
      <c r="AB752" s="52" t="s">
        <v>1697</v>
      </c>
      <c r="AC752" s="52" t="s">
        <v>1697</v>
      </c>
      <c r="AD752" s="52" t="s">
        <v>1697</v>
      </c>
      <c r="AE752" s="10" t="s">
        <v>6199</v>
      </c>
      <c r="AF752" s="10" t="s">
        <v>6199</v>
      </c>
      <c r="AG752" s="9" t="s">
        <v>263</v>
      </c>
      <c r="AH752" s="10" t="s">
        <v>6199</v>
      </c>
      <c r="AI752" s="10" t="s">
        <v>6199</v>
      </c>
      <c r="AJ752" s="9" t="s">
        <v>263</v>
      </c>
      <c r="AK752" s="10" t="s">
        <v>6559</v>
      </c>
      <c r="AL752" s="9">
        <v>81.8</v>
      </c>
      <c r="AM752" s="9">
        <v>172</v>
      </c>
      <c r="AN752" s="9">
        <v>99.6</v>
      </c>
      <c r="AO752" s="9">
        <v>101.3</v>
      </c>
      <c r="AP752" s="9">
        <v>28.4</v>
      </c>
      <c r="AQ752" s="9">
        <v>12</v>
      </c>
      <c r="AR752" s="9">
        <v>33.700000000000003</v>
      </c>
      <c r="AS752" s="9">
        <v>52</v>
      </c>
      <c r="AT752" s="9">
        <v>27.7</v>
      </c>
      <c r="AU752" s="9">
        <v>119</v>
      </c>
      <c r="AV752" s="9">
        <v>73</v>
      </c>
      <c r="AX752" s="9" t="s">
        <v>162</v>
      </c>
      <c r="AY752" s="9" t="s">
        <v>162</v>
      </c>
      <c r="AZ752" s="9" t="s">
        <v>162</v>
      </c>
      <c r="BB752" s="9" t="s">
        <v>3974</v>
      </c>
      <c r="BC752" s="9" t="s">
        <v>162</v>
      </c>
      <c r="BD752" s="9" t="s">
        <v>162</v>
      </c>
      <c r="BF752" s="9" t="s">
        <v>322</v>
      </c>
      <c r="BG752" s="9" t="s">
        <v>375</v>
      </c>
      <c r="BH752" s="9" t="s">
        <v>322</v>
      </c>
      <c r="BI752" s="9" t="s">
        <v>322</v>
      </c>
      <c r="BJ752" s="9" t="s">
        <v>162</v>
      </c>
      <c r="BK752" s="9" t="s">
        <v>162</v>
      </c>
      <c r="BN752" s="9" t="s">
        <v>6560</v>
      </c>
      <c r="BO752" s="9" t="s">
        <v>162</v>
      </c>
      <c r="BP752" s="9" t="s">
        <v>162</v>
      </c>
      <c r="BR752" s="9" t="s">
        <v>162</v>
      </c>
      <c r="BS752" s="9" t="s">
        <v>162</v>
      </c>
      <c r="BT752" s="9" t="s">
        <v>162</v>
      </c>
      <c r="BV752" s="9" t="s">
        <v>162</v>
      </c>
      <c r="BW752" s="9" t="s">
        <v>162</v>
      </c>
      <c r="BX752" s="9" t="s">
        <v>162</v>
      </c>
      <c r="BZ752" s="9" t="s">
        <v>276</v>
      </c>
      <c r="CA752" s="9" t="s">
        <v>162</v>
      </c>
      <c r="CB752" s="9" t="s">
        <v>162</v>
      </c>
      <c r="CD752" s="9" t="s">
        <v>162</v>
      </c>
      <c r="CE752" s="9" t="s">
        <v>162</v>
      </c>
      <c r="CF752" s="9" t="s">
        <v>162</v>
      </c>
      <c r="CH752" s="9" t="s">
        <v>162</v>
      </c>
      <c r="CI752" s="9" t="s">
        <v>162</v>
      </c>
      <c r="CJ752" s="9" t="s">
        <v>162</v>
      </c>
      <c r="CL752" s="9" t="s">
        <v>308</v>
      </c>
      <c r="CM752" s="9" t="s">
        <v>162</v>
      </c>
      <c r="CN752" s="9" t="s">
        <v>162</v>
      </c>
      <c r="CP752" s="9" t="s">
        <v>1200</v>
      </c>
      <c r="CQ752" s="9" t="s">
        <v>6561</v>
      </c>
      <c r="CR752" s="9" t="s">
        <v>451</v>
      </c>
      <c r="CT752" s="9" t="s">
        <v>937</v>
      </c>
      <c r="CU752" s="9" t="s">
        <v>6509</v>
      </c>
      <c r="CV752" s="9" t="s">
        <v>162</v>
      </c>
      <c r="CW752" s="9">
        <v>3</v>
      </c>
      <c r="CX752" s="9" t="s">
        <v>263</v>
      </c>
      <c r="CY752" s="9" t="s">
        <v>162</v>
      </c>
      <c r="CZ752" s="9" t="s">
        <v>162</v>
      </c>
      <c r="DA752" s="9" t="s">
        <v>162</v>
      </c>
      <c r="DB752" s="9" t="s">
        <v>162</v>
      </c>
      <c r="DC752" s="30">
        <v>47.6</v>
      </c>
      <c r="DD752" s="9">
        <v>1.06</v>
      </c>
      <c r="DE752" s="10">
        <v>286</v>
      </c>
      <c r="DF752" s="9">
        <v>72</v>
      </c>
      <c r="DG752" s="9">
        <f t="shared" si="11"/>
        <v>4.0697494401267145</v>
      </c>
      <c r="DH752" s="9">
        <v>14.4</v>
      </c>
      <c r="DI752" s="9">
        <v>5.82</v>
      </c>
      <c r="DP752" s="11">
        <v>3</v>
      </c>
      <c r="DR752" s="9">
        <v>2</v>
      </c>
      <c r="DU752" s="9">
        <v>7.21</v>
      </c>
    </row>
    <row r="753" spans="1:125" x14ac:dyDescent="0.2">
      <c r="A753" s="9" t="s">
        <v>6562</v>
      </c>
      <c r="DG753" s="9" t="e">
        <f t="shared" si="11"/>
        <v>#NUM!</v>
      </c>
    </row>
    <row r="754" spans="1:125" x14ac:dyDescent="0.2">
      <c r="A754" s="9" t="s">
        <v>6563</v>
      </c>
      <c r="DG754" s="9" t="e">
        <f t="shared" si="11"/>
        <v>#NUM!</v>
      </c>
    </row>
    <row r="755" spans="1:125" x14ac:dyDescent="0.2">
      <c r="A755" s="9">
        <v>668</v>
      </c>
      <c r="B755" s="8">
        <v>43279</v>
      </c>
      <c r="C755" s="9" t="s">
        <v>95</v>
      </c>
      <c r="D755" s="9">
        <v>28</v>
      </c>
      <c r="E755" s="9" t="s">
        <v>96</v>
      </c>
      <c r="F755" s="8">
        <v>32795</v>
      </c>
      <c r="G755" s="9" t="s">
        <v>162</v>
      </c>
      <c r="H755" s="9" t="s">
        <v>6564</v>
      </c>
      <c r="I755" s="9" t="s">
        <v>162</v>
      </c>
      <c r="J755" s="9" t="s">
        <v>162</v>
      </c>
      <c r="K755" s="9" t="s">
        <v>162</v>
      </c>
      <c r="L755" s="9" t="s">
        <v>162</v>
      </c>
      <c r="M755" s="9" t="s">
        <v>263</v>
      </c>
      <c r="N755" s="9" t="s">
        <v>263</v>
      </c>
      <c r="O755" s="9" t="s">
        <v>263</v>
      </c>
      <c r="P755" s="9" t="s">
        <v>263</v>
      </c>
      <c r="Q755" s="9" t="s">
        <v>263</v>
      </c>
      <c r="R755" s="9" t="s">
        <v>263</v>
      </c>
      <c r="S755" s="9" t="s">
        <v>162</v>
      </c>
      <c r="T755" s="9" t="s">
        <v>162</v>
      </c>
      <c r="U755" s="9" t="s">
        <v>263</v>
      </c>
      <c r="V755" s="9" t="s">
        <v>162</v>
      </c>
      <c r="W755" s="9" t="s">
        <v>162</v>
      </c>
      <c r="X755" s="9" t="s">
        <v>162</v>
      </c>
      <c r="Y755" s="9" t="s">
        <v>162</v>
      </c>
      <c r="Z755" s="9" t="s">
        <v>162</v>
      </c>
      <c r="AA755" s="9" t="s">
        <v>96</v>
      </c>
      <c r="AB755" s="9" t="s">
        <v>96</v>
      </c>
      <c r="AC755" s="9" t="s">
        <v>96</v>
      </c>
      <c r="AD755" s="9" t="s">
        <v>96</v>
      </c>
      <c r="AE755" s="10" t="s">
        <v>611</v>
      </c>
      <c r="AF755" s="10" t="s">
        <v>611</v>
      </c>
      <c r="AG755" s="9" t="s">
        <v>162</v>
      </c>
      <c r="AH755" s="10" t="s">
        <v>611</v>
      </c>
      <c r="AI755" s="9" t="s">
        <v>162</v>
      </c>
      <c r="AJ755" s="9" t="s">
        <v>162</v>
      </c>
      <c r="AK755" s="9" t="s">
        <v>162</v>
      </c>
      <c r="AL755" s="9">
        <v>69.599999999999994</v>
      </c>
      <c r="AM755" s="9">
        <v>168</v>
      </c>
      <c r="AN755" s="9">
        <v>83.8</v>
      </c>
      <c r="AO755" s="9">
        <v>106.6</v>
      </c>
      <c r="AP755" s="9">
        <v>26.9</v>
      </c>
      <c r="AQ755" s="9">
        <v>2.6</v>
      </c>
      <c r="AR755" s="9">
        <v>48.3</v>
      </c>
      <c r="AS755" s="9">
        <v>50</v>
      </c>
      <c r="AT755" s="9" t="s">
        <v>162</v>
      </c>
      <c r="AU755" s="9">
        <v>106</v>
      </c>
      <c r="AV755" s="9">
        <v>79</v>
      </c>
      <c r="AX755" s="9" t="s">
        <v>162</v>
      </c>
      <c r="AY755" s="9" t="s">
        <v>162</v>
      </c>
      <c r="AZ755" s="9" t="s">
        <v>162</v>
      </c>
      <c r="BB755" s="9" t="s">
        <v>162</v>
      </c>
      <c r="BC755" s="9" t="s">
        <v>162</v>
      </c>
      <c r="BD755" s="9" t="s">
        <v>162</v>
      </c>
      <c r="BF755" s="9" t="s">
        <v>162</v>
      </c>
      <c r="BG755" s="9" t="s">
        <v>162</v>
      </c>
      <c r="BH755" s="9" t="s">
        <v>162</v>
      </c>
      <c r="BI755" s="9" t="s">
        <v>162</v>
      </c>
      <c r="BJ755" s="9" t="s">
        <v>162</v>
      </c>
      <c r="BK755" s="9" t="s">
        <v>162</v>
      </c>
      <c r="BN755" s="9" t="s">
        <v>162</v>
      </c>
      <c r="BO755" s="9" t="s">
        <v>162</v>
      </c>
      <c r="BP755" s="9" t="s">
        <v>162</v>
      </c>
      <c r="BR755" s="9" t="s">
        <v>162</v>
      </c>
      <c r="BS755" s="9" t="s">
        <v>162</v>
      </c>
      <c r="BT755" s="9" t="s">
        <v>162</v>
      </c>
      <c r="BV755" s="9" t="s">
        <v>162</v>
      </c>
      <c r="BW755" s="9" t="s">
        <v>162</v>
      </c>
      <c r="BX755" s="9" t="s">
        <v>162</v>
      </c>
      <c r="BZ755" s="9" t="s">
        <v>162</v>
      </c>
      <c r="CA755" s="9" t="s">
        <v>162</v>
      </c>
      <c r="CB755" s="9" t="s">
        <v>162</v>
      </c>
      <c r="CD755" s="9" t="s">
        <v>162</v>
      </c>
      <c r="CE755" s="9" t="s">
        <v>162</v>
      </c>
      <c r="CF755" s="9" t="s">
        <v>162</v>
      </c>
      <c r="CH755" s="9" t="s">
        <v>162</v>
      </c>
      <c r="CI755" s="9" t="s">
        <v>162</v>
      </c>
      <c r="CJ755" s="9" t="s">
        <v>162</v>
      </c>
      <c r="CL755" s="9" t="s">
        <v>162</v>
      </c>
      <c r="CM755" s="9" t="s">
        <v>162</v>
      </c>
      <c r="CN755" s="9" t="s">
        <v>162</v>
      </c>
      <c r="CP755" s="9" t="s">
        <v>162</v>
      </c>
      <c r="CQ755" s="9" t="s">
        <v>162</v>
      </c>
      <c r="CR755" s="9" t="s">
        <v>162</v>
      </c>
      <c r="CT755" s="9" t="s">
        <v>162</v>
      </c>
      <c r="CU755" s="9" t="s">
        <v>162</v>
      </c>
      <c r="CV755" s="9" t="s">
        <v>162</v>
      </c>
      <c r="CW755" s="9" t="s">
        <v>162</v>
      </c>
      <c r="CX755" s="9" t="s">
        <v>162</v>
      </c>
      <c r="CY755" s="9" t="s">
        <v>162</v>
      </c>
      <c r="CZ755" s="9" t="s">
        <v>162</v>
      </c>
      <c r="DA755" s="9" t="s">
        <v>162</v>
      </c>
      <c r="DB755" s="9" t="s">
        <v>162</v>
      </c>
      <c r="DC755" s="9">
        <v>78.599999999999994</v>
      </c>
      <c r="DD755" s="9">
        <v>0.4</v>
      </c>
      <c r="DE755" s="9">
        <v>164</v>
      </c>
      <c r="DF755" s="9">
        <v>80</v>
      </c>
      <c r="DG755" s="9">
        <f t="shared" si="11"/>
        <v>4.3731991670545209</v>
      </c>
      <c r="DH755" s="9">
        <v>16</v>
      </c>
      <c r="DI755" s="9">
        <v>3.66</v>
      </c>
      <c r="DJ755" s="9">
        <v>8.6999999999999993</v>
      </c>
      <c r="DK755" s="9">
        <v>13</v>
      </c>
      <c r="DL755" s="10">
        <v>48.4</v>
      </c>
      <c r="DM755" s="9">
        <v>99.6</v>
      </c>
      <c r="DP755" s="11">
        <v>3</v>
      </c>
    </row>
    <row r="756" spans="1:125" x14ac:dyDescent="0.2">
      <c r="A756" s="9">
        <v>669</v>
      </c>
      <c r="B756" s="17">
        <v>43286</v>
      </c>
      <c r="C756" s="9" t="s">
        <v>95</v>
      </c>
      <c r="D756" s="9">
        <v>53</v>
      </c>
      <c r="E756" s="9" t="s">
        <v>96</v>
      </c>
      <c r="F756" s="17">
        <v>23754</v>
      </c>
      <c r="G756" s="9" t="s">
        <v>197</v>
      </c>
      <c r="H756" s="9" t="s">
        <v>6565</v>
      </c>
      <c r="I756" s="9">
        <v>12</v>
      </c>
      <c r="J756" s="9" t="s">
        <v>6566</v>
      </c>
      <c r="K756" s="9">
        <v>1989</v>
      </c>
      <c r="L756" s="9">
        <v>2</v>
      </c>
      <c r="Q756" s="9" t="s">
        <v>6567</v>
      </c>
      <c r="AA756" s="9" t="s">
        <v>96</v>
      </c>
      <c r="AB756" s="9" t="s">
        <v>96</v>
      </c>
      <c r="AE756" s="9" t="s">
        <v>99</v>
      </c>
      <c r="AF756" s="9" t="s">
        <v>99</v>
      </c>
      <c r="AG756" s="9" t="s">
        <v>99</v>
      </c>
      <c r="AH756" s="9" t="s">
        <v>99</v>
      </c>
      <c r="AI756" s="9" t="s">
        <v>99</v>
      </c>
      <c r="AJ756" s="9" t="s">
        <v>99</v>
      </c>
      <c r="AK756" s="9" t="s">
        <v>99</v>
      </c>
      <c r="AL756" s="9">
        <v>66</v>
      </c>
      <c r="AM756" s="9">
        <v>1.55</v>
      </c>
      <c r="AN756" s="9">
        <v>93.5</v>
      </c>
      <c r="AO756" s="9">
        <v>109</v>
      </c>
      <c r="AP756" s="9">
        <v>45.6</v>
      </c>
      <c r="AQ756" s="9">
        <v>9</v>
      </c>
      <c r="AR756" s="9">
        <v>21.9</v>
      </c>
      <c r="AS756" s="9">
        <v>59</v>
      </c>
      <c r="AT756" s="9">
        <v>27.5</v>
      </c>
      <c r="AU756" s="9">
        <v>101</v>
      </c>
      <c r="AV756" s="9">
        <v>72</v>
      </c>
      <c r="AX756" s="9" t="s">
        <v>350</v>
      </c>
      <c r="BB756" s="9" t="s">
        <v>176</v>
      </c>
      <c r="BF756" s="9" t="s">
        <v>350</v>
      </c>
      <c r="BG756" s="9" t="s">
        <v>176</v>
      </c>
      <c r="BH756" s="9" t="s">
        <v>350</v>
      </c>
      <c r="BI756" s="9" t="s">
        <v>350</v>
      </c>
      <c r="BK756" s="9" t="s">
        <v>375</v>
      </c>
      <c r="BN756" s="9" t="s">
        <v>176</v>
      </c>
      <c r="BZ756" s="9" t="s">
        <v>176</v>
      </c>
      <c r="CL756" s="9" t="s">
        <v>351</v>
      </c>
      <c r="CP756" s="9" t="s">
        <v>351</v>
      </c>
      <c r="CW756" s="9">
        <v>3</v>
      </c>
      <c r="CX756" s="9" t="s">
        <v>110</v>
      </c>
      <c r="CY756" s="9" t="s">
        <v>99</v>
      </c>
      <c r="DC756" s="9">
        <v>96.4</v>
      </c>
      <c r="DD756" s="9">
        <v>0.42</v>
      </c>
      <c r="DE756" s="10">
        <v>322</v>
      </c>
      <c r="DF756" s="10">
        <v>219</v>
      </c>
      <c r="DG756" s="9">
        <f t="shared" si="11"/>
        <v>4.9787889657165003</v>
      </c>
      <c r="DH756" s="9">
        <v>43.8</v>
      </c>
      <c r="DI756" s="9">
        <v>4.5199999999999996</v>
      </c>
      <c r="DJ756" s="9">
        <v>17</v>
      </c>
      <c r="DK756" s="9">
        <v>19.3</v>
      </c>
      <c r="DL756" s="10">
        <v>43.3</v>
      </c>
      <c r="DM756" s="9">
        <v>234.9</v>
      </c>
      <c r="DP756" s="11">
        <v>3</v>
      </c>
      <c r="DR756" s="9">
        <v>3</v>
      </c>
      <c r="DT756" s="9">
        <v>13.7</v>
      </c>
      <c r="DU756" s="9">
        <v>3.26</v>
      </c>
    </row>
    <row r="757" spans="1:125" x14ac:dyDescent="0.2">
      <c r="A757" s="39">
        <v>670</v>
      </c>
      <c r="B757" s="8">
        <v>43279</v>
      </c>
      <c r="C757" s="9" t="s">
        <v>107</v>
      </c>
      <c r="D757" s="9">
        <v>43</v>
      </c>
      <c r="E757" s="9" t="s">
        <v>96</v>
      </c>
      <c r="F757" s="8">
        <v>27511</v>
      </c>
      <c r="G757" s="9" t="s">
        <v>366</v>
      </c>
      <c r="H757" s="9" t="s">
        <v>6266</v>
      </c>
      <c r="I757" s="9" t="s">
        <v>162</v>
      </c>
      <c r="J757" s="9" t="s">
        <v>162</v>
      </c>
      <c r="K757" s="9" t="s">
        <v>162</v>
      </c>
      <c r="L757" s="9" t="s">
        <v>162</v>
      </c>
      <c r="M757" s="9" t="s">
        <v>263</v>
      </c>
      <c r="N757" s="9" t="s">
        <v>263</v>
      </c>
      <c r="O757" s="9" t="s">
        <v>162</v>
      </c>
      <c r="P757" s="9" t="s">
        <v>263</v>
      </c>
      <c r="Q757" s="10" t="s">
        <v>456</v>
      </c>
      <c r="R757" s="9" t="s">
        <v>162</v>
      </c>
      <c r="S757" s="9" t="s">
        <v>162</v>
      </c>
      <c r="T757" s="9" t="s">
        <v>162</v>
      </c>
      <c r="U757" s="9" t="s">
        <v>6568</v>
      </c>
      <c r="V757" s="9">
        <v>1988</v>
      </c>
      <c r="W757" s="9" t="s">
        <v>162</v>
      </c>
      <c r="X757" s="9" t="s">
        <v>162</v>
      </c>
      <c r="Y757" s="10" t="s">
        <v>6569</v>
      </c>
      <c r="Z757" s="9" t="s">
        <v>162</v>
      </c>
      <c r="AA757" s="9" t="s">
        <v>96</v>
      </c>
      <c r="AB757" s="9" t="s">
        <v>96</v>
      </c>
      <c r="AC757" s="9" t="s">
        <v>96</v>
      </c>
      <c r="AD757" s="9" t="s">
        <v>96</v>
      </c>
      <c r="AE757" s="9" t="s">
        <v>263</v>
      </c>
      <c r="AF757" s="10" t="s">
        <v>3915</v>
      </c>
      <c r="AG757" s="10" t="s">
        <v>6570</v>
      </c>
      <c r="AH757" s="10" t="s">
        <v>6571</v>
      </c>
      <c r="AI757" s="10" t="s">
        <v>6400</v>
      </c>
      <c r="AJ757" s="9" t="s">
        <v>263</v>
      </c>
      <c r="AK757" s="9" t="s">
        <v>162</v>
      </c>
      <c r="AL757" s="9">
        <v>77.400000000000006</v>
      </c>
      <c r="AM757" s="9">
        <v>179</v>
      </c>
      <c r="AN757" s="9">
        <v>93</v>
      </c>
      <c r="AO757" s="9">
        <v>104</v>
      </c>
      <c r="AP757" s="9">
        <v>43.7</v>
      </c>
      <c r="AQ757" s="9">
        <v>2.2000000000000002</v>
      </c>
      <c r="AR757" s="9">
        <v>41.4</v>
      </c>
      <c r="AS757" s="9">
        <v>50</v>
      </c>
      <c r="AT757" s="7">
        <v>24.16</v>
      </c>
      <c r="AU757" s="9">
        <v>110</v>
      </c>
      <c r="AV757" s="9">
        <v>85</v>
      </c>
      <c r="AX757" s="9" t="s">
        <v>321</v>
      </c>
      <c r="AY757" s="9" t="s">
        <v>6572</v>
      </c>
      <c r="AZ757" s="9" t="s">
        <v>162</v>
      </c>
      <c r="BB757" s="9" t="s">
        <v>162</v>
      </c>
      <c r="BC757" s="9" t="s">
        <v>162</v>
      </c>
      <c r="BD757" s="9" t="s">
        <v>162</v>
      </c>
      <c r="BF757" s="9" t="s">
        <v>375</v>
      </c>
      <c r="BG757" s="9" t="s">
        <v>325</v>
      </c>
      <c r="BH757" s="9" t="s">
        <v>276</v>
      </c>
      <c r="BI757" s="9" t="s">
        <v>325</v>
      </c>
      <c r="BJ757" s="9" t="s">
        <v>375</v>
      </c>
      <c r="BK757" s="9" t="s">
        <v>276</v>
      </c>
      <c r="BN757" s="9" t="s">
        <v>380</v>
      </c>
      <c r="BO757" s="9" t="s">
        <v>379</v>
      </c>
      <c r="BP757" s="9" t="s">
        <v>6503</v>
      </c>
      <c r="BR757" s="9" t="s">
        <v>162</v>
      </c>
      <c r="BS757" s="9" t="s">
        <v>162</v>
      </c>
      <c r="BT757" s="9" t="s">
        <v>162</v>
      </c>
      <c r="BV757" s="9" t="s">
        <v>6573</v>
      </c>
      <c r="BW757" s="9" t="s">
        <v>162</v>
      </c>
      <c r="BX757" s="9" t="s">
        <v>162</v>
      </c>
      <c r="BZ757" s="9" t="s">
        <v>162</v>
      </c>
      <c r="CA757" s="9" t="s">
        <v>162</v>
      </c>
      <c r="CB757" s="9" t="s">
        <v>162</v>
      </c>
      <c r="CD757" s="9" t="s">
        <v>162</v>
      </c>
      <c r="CE757" s="9" t="s">
        <v>162</v>
      </c>
      <c r="CF757" s="9" t="s">
        <v>162</v>
      </c>
      <c r="CH757" s="9" t="s">
        <v>162</v>
      </c>
      <c r="CI757" s="9" t="s">
        <v>162</v>
      </c>
      <c r="CJ757" s="9" t="s">
        <v>162</v>
      </c>
      <c r="CL757" s="9" t="s">
        <v>162</v>
      </c>
      <c r="CM757" s="9" t="s">
        <v>162</v>
      </c>
      <c r="CN757" s="9" t="s">
        <v>162</v>
      </c>
      <c r="CP757" s="9" t="s">
        <v>1285</v>
      </c>
      <c r="CQ757" s="9" t="s">
        <v>6574</v>
      </c>
      <c r="CR757" s="9" t="s">
        <v>162</v>
      </c>
      <c r="CT757" s="9" t="s">
        <v>162</v>
      </c>
      <c r="CU757" s="9" t="s">
        <v>162</v>
      </c>
      <c r="CV757" s="9" t="s">
        <v>162</v>
      </c>
      <c r="CW757" s="9">
        <v>3</v>
      </c>
      <c r="CX757" s="9" t="s">
        <v>368</v>
      </c>
      <c r="CY757" s="9" t="s">
        <v>368</v>
      </c>
      <c r="CZ757" s="9">
        <v>30</v>
      </c>
      <c r="DA757" s="9">
        <v>40</v>
      </c>
      <c r="DB757" s="9">
        <v>60</v>
      </c>
      <c r="DC757" s="9">
        <v>87.1</v>
      </c>
      <c r="DD757" s="9">
        <v>0.78</v>
      </c>
      <c r="DE757" s="10">
        <v>235</v>
      </c>
      <c r="DF757" s="9">
        <v>114</v>
      </c>
      <c r="DG757" s="9">
        <f t="shared" si="11"/>
        <v>4.6016276661264763</v>
      </c>
      <c r="DH757" s="9">
        <v>22.8</v>
      </c>
      <c r="DI757" s="9">
        <v>6.35</v>
      </c>
      <c r="DJ757" s="9">
        <v>16.3</v>
      </c>
      <c r="DK757" s="9">
        <v>22.3</v>
      </c>
      <c r="DL757" s="10">
        <v>31.3</v>
      </c>
      <c r="DM757" s="9">
        <v>180.9</v>
      </c>
      <c r="DP757" s="11">
        <v>2</v>
      </c>
      <c r="DQ757" s="9">
        <v>2</v>
      </c>
    </row>
    <row r="758" spans="1:125" x14ac:dyDescent="0.2">
      <c r="A758" s="7">
        <v>671</v>
      </c>
      <c r="B758" s="17">
        <v>43285</v>
      </c>
      <c r="C758" s="9" t="s">
        <v>675</v>
      </c>
      <c r="D758" s="9">
        <v>83</v>
      </c>
      <c r="E758" s="9" t="s">
        <v>96</v>
      </c>
      <c r="F758" s="17">
        <v>11505</v>
      </c>
      <c r="H758" s="9" t="s">
        <v>6575</v>
      </c>
      <c r="M758" s="9" t="s">
        <v>483</v>
      </c>
      <c r="N758" s="9" t="s">
        <v>483</v>
      </c>
      <c r="O758" s="9" t="s">
        <v>483</v>
      </c>
      <c r="P758" s="9" t="s">
        <v>483</v>
      </c>
      <c r="Q758" s="9" t="s">
        <v>6576</v>
      </c>
      <c r="R758" s="9" t="s">
        <v>588</v>
      </c>
      <c r="S758" s="9" t="s">
        <v>588</v>
      </c>
      <c r="T758" s="9" t="s">
        <v>588</v>
      </c>
      <c r="U758" s="9" t="s">
        <v>6577</v>
      </c>
      <c r="V758" s="9" t="s">
        <v>99</v>
      </c>
      <c r="Y758" s="9" t="s">
        <v>6578</v>
      </c>
      <c r="Z758" s="9" t="s">
        <v>99</v>
      </c>
      <c r="AA758" s="9" t="s">
        <v>100</v>
      </c>
      <c r="AB758" s="9" t="s">
        <v>100</v>
      </c>
      <c r="AC758" s="9" t="s">
        <v>100</v>
      </c>
      <c r="AD758" s="9" t="s">
        <v>100</v>
      </c>
      <c r="AE758" s="9" t="s">
        <v>99</v>
      </c>
      <c r="AF758" s="9" t="s">
        <v>99</v>
      </c>
      <c r="AG758" s="9" t="s">
        <v>99</v>
      </c>
      <c r="AH758" s="9" t="s">
        <v>6579</v>
      </c>
      <c r="AI758" s="9" t="s">
        <v>99</v>
      </c>
      <c r="AJ758" s="9" t="s">
        <v>99</v>
      </c>
      <c r="AK758" s="9" t="s">
        <v>6580</v>
      </c>
      <c r="AL758" s="9">
        <v>58.5</v>
      </c>
      <c r="AM758" s="9">
        <v>1.7</v>
      </c>
      <c r="AN758" s="9" t="s">
        <v>500</v>
      </c>
      <c r="AO758" s="9" t="s">
        <v>500</v>
      </c>
      <c r="AP758" s="9" t="s">
        <v>500</v>
      </c>
      <c r="AQ758" s="9" t="s">
        <v>500</v>
      </c>
      <c r="AR758" s="9" t="s">
        <v>500</v>
      </c>
      <c r="AS758" s="9" t="s">
        <v>500</v>
      </c>
      <c r="AT758" s="7">
        <v>20.239999999999998</v>
      </c>
      <c r="AU758" s="9">
        <v>125</v>
      </c>
      <c r="AV758" s="9">
        <v>59</v>
      </c>
      <c r="DC758" s="9">
        <v>86.3</v>
      </c>
      <c r="DD758" s="9">
        <v>0.73</v>
      </c>
      <c r="DE758" s="9">
        <v>163</v>
      </c>
      <c r="DF758" s="9">
        <v>75</v>
      </c>
      <c r="DG758" s="9">
        <f t="shared" si="11"/>
        <v>4.3876588558128464</v>
      </c>
      <c r="DH758" s="9">
        <v>15</v>
      </c>
      <c r="DI758" s="9">
        <v>6.09</v>
      </c>
      <c r="DK758" s="9">
        <v>22</v>
      </c>
      <c r="DL758" s="9">
        <v>60.3</v>
      </c>
      <c r="DM758" s="9">
        <v>87.7</v>
      </c>
      <c r="DP758" s="11">
        <v>3</v>
      </c>
      <c r="DQ758" s="9">
        <v>3</v>
      </c>
      <c r="DU758" s="9">
        <v>6</v>
      </c>
    </row>
    <row r="759" spans="1:125" x14ac:dyDescent="0.2">
      <c r="A759" s="9" t="s">
        <v>6581</v>
      </c>
      <c r="DG759" s="9" t="e">
        <f t="shared" si="11"/>
        <v>#NUM!</v>
      </c>
    </row>
    <row r="760" spans="1:125" s="39" customFormat="1" x14ac:dyDescent="0.2">
      <c r="A760" s="7">
        <v>673</v>
      </c>
      <c r="B760" s="38">
        <v>43279</v>
      </c>
      <c r="C760" s="39" t="s">
        <v>95</v>
      </c>
      <c r="D760" s="39">
        <v>35</v>
      </c>
      <c r="E760" s="39" t="s">
        <v>96</v>
      </c>
      <c r="F760" s="38">
        <v>30342</v>
      </c>
      <c r="G760" s="39" t="s">
        <v>314</v>
      </c>
      <c r="H760" s="39" t="s">
        <v>98</v>
      </c>
      <c r="I760" s="39" t="s">
        <v>162</v>
      </c>
      <c r="J760" s="39">
        <v>2018</v>
      </c>
      <c r="K760" s="39" t="s">
        <v>6582</v>
      </c>
      <c r="L760" s="39">
        <v>2</v>
      </c>
      <c r="M760" s="39" t="s">
        <v>263</v>
      </c>
      <c r="N760" s="39" t="s">
        <v>263</v>
      </c>
      <c r="O760" s="39" t="s">
        <v>263</v>
      </c>
      <c r="P760" s="39" t="s">
        <v>263</v>
      </c>
      <c r="Q760" s="10" t="s">
        <v>369</v>
      </c>
      <c r="R760" s="39" t="s">
        <v>263</v>
      </c>
      <c r="S760" s="39" t="s">
        <v>263</v>
      </c>
      <c r="T760" s="39" t="s">
        <v>263</v>
      </c>
      <c r="U760" s="39" t="s">
        <v>263</v>
      </c>
      <c r="V760" s="39" t="s">
        <v>263</v>
      </c>
      <c r="W760" s="39" t="s">
        <v>263</v>
      </c>
      <c r="X760" s="39" t="s">
        <v>263</v>
      </c>
      <c r="Y760" s="39" t="s">
        <v>162</v>
      </c>
      <c r="Z760" s="10" t="s">
        <v>6583</v>
      </c>
      <c r="AA760" s="35" t="s">
        <v>155</v>
      </c>
      <c r="AB760" s="39" t="s">
        <v>96</v>
      </c>
      <c r="AC760" s="39" t="s">
        <v>162</v>
      </c>
      <c r="AD760" s="39" t="s">
        <v>162</v>
      </c>
      <c r="AE760" s="10" t="s">
        <v>425</v>
      </c>
      <c r="AF760" s="39" t="s">
        <v>263</v>
      </c>
      <c r="AG760" s="10" t="s">
        <v>425</v>
      </c>
      <c r="AH760" s="39" t="s">
        <v>263</v>
      </c>
      <c r="AI760" s="39" t="s">
        <v>263</v>
      </c>
      <c r="AJ760" s="39" t="s">
        <v>263</v>
      </c>
      <c r="AK760" s="39" t="s">
        <v>162</v>
      </c>
      <c r="AL760" s="39">
        <v>59.7</v>
      </c>
      <c r="AM760" s="39">
        <v>162</v>
      </c>
      <c r="AN760" s="39">
        <v>87</v>
      </c>
      <c r="AO760" s="39">
        <v>99</v>
      </c>
      <c r="AP760" s="39">
        <v>37.799999999999997</v>
      </c>
      <c r="AQ760" s="39">
        <v>5</v>
      </c>
      <c r="AR760" s="39">
        <v>23.4</v>
      </c>
      <c r="AS760" s="39">
        <v>34</v>
      </c>
      <c r="AT760" s="7">
        <v>22.7</v>
      </c>
      <c r="AU760" s="39">
        <v>96</v>
      </c>
      <c r="AV760" s="39">
        <v>69</v>
      </c>
      <c r="AX760" s="39" t="s">
        <v>162</v>
      </c>
      <c r="AY760" s="39" t="s">
        <v>162</v>
      </c>
      <c r="AZ760" s="39" t="s">
        <v>162</v>
      </c>
      <c r="BA760" s="39" t="s">
        <v>162</v>
      </c>
      <c r="BB760" s="39" t="s">
        <v>162</v>
      </c>
      <c r="BC760" s="39" t="s">
        <v>162</v>
      </c>
      <c r="BD760" s="39" t="s">
        <v>162</v>
      </c>
      <c r="BF760" s="39" t="s">
        <v>375</v>
      </c>
      <c r="BG760" s="39" t="s">
        <v>162</v>
      </c>
      <c r="BH760" s="39" t="s">
        <v>162</v>
      </c>
      <c r="BI760" s="39" t="s">
        <v>162</v>
      </c>
      <c r="BJ760" s="39" t="s">
        <v>162</v>
      </c>
      <c r="BK760" s="39" t="s">
        <v>276</v>
      </c>
      <c r="BN760" s="39" t="s">
        <v>162</v>
      </c>
      <c r="BO760" s="39" t="s">
        <v>162</v>
      </c>
      <c r="BP760" s="55" t="s">
        <v>162</v>
      </c>
      <c r="BR760" s="39" t="s">
        <v>162</v>
      </c>
      <c r="BS760" s="39" t="s">
        <v>162</v>
      </c>
      <c r="BT760" s="39" t="s">
        <v>162</v>
      </c>
      <c r="BV760" s="39" t="s">
        <v>162</v>
      </c>
      <c r="BW760" s="39" t="s">
        <v>162</v>
      </c>
      <c r="BX760" s="39" t="s">
        <v>162</v>
      </c>
      <c r="BZ760" s="39" t="s">
        <v>162</v>
      </c>
      <c r="CA760" s="39" t="s">
        <v>162</v>
      </c>
      <c r="CB760" s="39" t="s">
        <v>162</v>
      </c>
      <c r="CD760" s="39" t="s">
        <v>162</v>
      </c>
      <c r="CE760" s="39" t="s">
        <v>162</v>
      </c>
      <c r="CF760" s="39" t="s">
        <v>162</v>
      </c>
      <c r="CH760" s="39" t="s">
        <v>162</v>
      </c>
      <c r="CI760" s="39" t="s">
        <v>162</v>
      </c>
      <c r="CJ760" s="39" t="s">
        <v>162</v>
      </c>
      <c r="CL760" s="39" t="s">
        <v>162</v>
      </c>
      <c r="CM760" s="39" t="s">
        <v>162</v>
      </c>
      <c r="CN760" s="39" t="s">
        <v>162</v>
      </c>
      <c r="CP760" s="39" t="s">
        <v>162</v>
      </c>
      <c r="CQ760" s="39" t="s">
        <v>162</v>
      </c>
      <c r="CR760" s="39" t="s">
        <v>162</v>
      </c>
      <c r="CT760" s="39" t="s">
        <v>162</v>
      </c>
      <c r="CU760" s="39" t="s">
        <v>162</v>
      </c>
      <c r="CV760" s="39" t="s">
        <v>162</v>
      </c>
      <c r="CW760" s="39" t="s">
        <v>162</v>
      </c>
      <c r="CX760" s="39" t="s">
        <v>162</v>
      </c>
      <c r="CY760" s="39" t="s">
        <v>162</v>
      </c>
      <c r="CZ760" s="39" t="s">
        <v>162</v>
      </c>
      <c r="DA760" s="39" t="s">
        <v>162</v>
      </c>
      <c r="DB760" s="39" t="s">
        <v>162</v>
      </c>
      <c r="DC760" s="39">
        <v>79</v>
      </c>
      <c r="DD760" s="39">
        <v>0.49</v>
      </c>
      <c r="DE760" s="39">
        <v>191</v>
      </c>
      <c r="DF760" s="39">
        <v>115</v>
      </c>
      <c r="DG760" s="9">
        <f t="shared" si="11"/>
        <v>4.5571899904151358</v>
      </c>
      <c r="DH760" s="39">
        <v>23</v>
      </c>
      <c r="DI760" s="39">
        <v>3.17</v>
      </c>
      <c r="DJ760" s="39">
        <v>18</v>
      </c>
      <c r="DK760" s="39">
        <v>18.7</v>
      </c>
      <c r="DL760" s="39">
        <v>50.4</v>
      </c>
      <c r="DM760" s="39">
        <v>117</v>
      </c>
      <c r="DP760" s="40">
        <v>2</v>
      </c>
      <c r="DQ760" s="30" t="s">
        <v>774</v>
      </c>
      <c r="DR760" s="39">
        <v>3</v>
      </c>
      <c r="DU760" s="39">
        <v>4.5</v>
      </c>
    </row>
    <row r="761" spans="1:125" x14ac:dyDescent="0.2">
      <c r="A761" s="9">
        <v>674</v>
      </c>
      <c r="B761" s="8">
        <v>43279</v>
      </c>
      <c r="C761" s="9" t="s">
        <v>107</v>
      </c>
      <c r="D761" s="9">
        <v>43</v>
      </c>
      <c r="E761" s="41" t="s">
        <v>5730</v>
      </c>
      <c r="F761" s="8">
        <v>27389</v>
      </c>
      <c r="G761" s="9" t="s">
        <v>314</v>
      </c>
      <c r="H761" s="9" t="s">
        <v>6584</v>
      </c>
      <c r="I761" s="9" t="s">
        <v>162</v>
      </c>
      <c r="J761" s="9" t="s">
        <v>162</v>
      </c>
      <c r="K761" s="9" t="s">
        <v>162</v>
      </c>
      <c r="L761" s="9" t="s">
        <v>162</v>
      </c>
      <c r="M761" s="9" t="s">
        <v>263</v>
      </c>
      <c r="N761" s="9" t="s">
        <v>263</v>
      </c>
      <c r="O761" s="9" t="s">
        <v>263</v>
      </c>
      <c r="P761" s="9" t="s">
        <v>263</v>
      </c>
      <c r="Q761" s="10" t="s">
        <v>456</v>
      </c>
      <c r="R761" s="9" t="s">
        <v>263</v>
      </c>
      <c r="S761" s="9" t="s">
        <v>263</v>
      </c>
      <c r="T761" s="9" t="s">
        <v>263</v>
      </c>
      <c r="U761" s="9" t="s">
        <v>263</v>
      </c>
      <c r="V761" s="9" t="s">
        <v>263</v>
      </c>
      <c r="W761" s="9" t="s">
        <v>162</v>
      </c>
      <c r="X761" s="9" t="s">
        <v>162</v>
      </c>
      <c r="Y761" s="9" t="s">
        <v>162</v>
      </c>
      <c r="Z761" s="9" t="s">
        <v>6585</v>
      </c>
      <c r="AA761" s="41" t="s">
        <v>441</v>
      </c>
      <c r="AB761" s="41" t="s">
        <v>5730</v>
      </c>
      <c r="AC761" s="41" t="s">
        <v>440</v>
      </c>
      <c r="AD761" s="41" t="s">
        <v>5730</v>
      </c>
      <c r="AE761" s="10" t="s">
        <v>6571</v>
      </c>
      <c r="AF761" s="9" t="s">
        <v>263</v>
      </c>
      <c r="AG761" s="10" t="s">
        <v>425</v>
      </c>
      <c r="AH761" s="9" t="s">
        <v>263</v>
      </c>
      <c r="AI761" s="9" t="s">
        <v>263</v>
      </c>
      <c r="AJ761" s="9" t="s">
        <v>263</v>
      </c>
      <c r="AK761" s="9" t="s">
        <v>162</v>
      </c>
      <c r="AL761" s="9">
        <v>70.2</v>
      </c>
      <c r="AM761" s="9">
        <v>169</v>
      </c>
      <c r="AN761" s="9">
        <v>93</v>
      </c>
      <c r="AO761" s="9">
        <v>105</v>
      </c>
      <c r="AP761" s="9">
        <v>25.3</v>
      </c>
      <c r="AQ761" s="9">
        <v>9</v>
      </c>
      <c r="AR761" s="9">
        <v>34.700000000000003</v>
      </c>
      <c r="AS761" s="9">
        <v>42</v>
      </c>
      <c r="AT761" s="7">
        <v>24.6</v>
      </c>
      <c r="AU761" s="9">
        <v>126</v>
      </c>
      <c r="AV761" s="9">
        <v>84</v>
      </c>
      <c r="AX761" s="9" t="s">
        <v>162</v>
      </c>
      <c r="AY761" s="9" t="s">
        <v>162</v>
      </c>
      <c r="AZ761" s="9" t="s">
        <v>162</v>
      </c>
      <c r="BB761" s="9" t="s">
        <v>162</v>
      </c>
      <c r="BC761" s="9" t="s">
        <v>162</v>
      </c>
      <c r="BD761" s="9" t="s">
        <v>162</v>
      </c>
      <c r="BF761" s="9" t="s">
        <v>162</v>
      </c>
      <c r="BG761" s="9" t="s">
        <v>162</v>
      </c>
      <c r="BH761" s="9" t="s">
        <v>162</v>
      </c>
      <c r="BI761" s="9" t="s">
        <v>162</v>
      </c>
      <c r="BJ761" s="9" t="s">
        <v>162</v>
      </c>
      <c r="BK761" s="9" t="s">
        <v>162</v>
      </c>
      <c r="BN761" s="9" t="s">
        <v>162</v>
      </c>
      <c r="BO761" s="9" t="s">
        <v>162</v>
      </c>
      <c r="BP761" s="9" t="s">
        <v>162</v>
      </c>
      <c r="BR761" s="9" t="s">
        <v>162</v>
      </c>
      <c r="BS761" s="9" t="s">
        <v>162</v>
      </c>
      <c r="BT761" s="9" t="s">
        <v>162</v>
      </c>
      <c r="BV761" s="9" t="s">
        <v>162</v>
      </c>
      <c r="BW761" s="9" t="s">
        <v>162</v>
      </c>
      <c r="BX761" s="9" t="s">
        <v>162</v>
      </c>
      <c r="BZ761" s="9" t="s">
        <v>162</v>
      </c>
      <c r="CA761" s="9" t="s">
        <v>162</v>
      </c>
      <c r="CB761" s="9" t="s">
        <v>162</v>
      </c>
      <c r="CD761" s="9" t="s">
        <v>162</v>
      </c>
      <c r="CE761" s="9" t="s">
        <v>162</v>
      </c>
      <c r="CF761" s="9" t="s">
        <v>162</v>
      </c>
      <c r="CH761" s="9" t="s">
        <v>162</v>
      </c>
      <c r="CI761" s="9" t="s">
        <v>162</v>
      </c>
      <c r="CJ761" s="9" t="s">
        <v>162</v>
      </c>
      <c r="CL761" s="9" t="s">
        <v>162</v>
      </c>
      <c r="CM761" s="9" t="s">
        <v>162</v>
      </c>
      <c r="CN761" s="9" t="s">
        <v>162</v>
      </c>
      <c r="CP761" s="9" t="s">
        <v>162</v>
      </c>
      <c r="CQ761" s="9" t="s">
        <v>162</v>
      </c>
      <c r="CR761" s="9" t="s">
        <v>162</v>
      </c>
      <c r="CT761" s="9" t="s">
        <v>162</v>
      </c>
      <c r="CU761" s="9" t="s">
        <v>162</v>
      </c>
      <c r="CV761" s="9" t="s">
        <v>162</v>
      </c>
      <c r="CW761" s="9" t="s">
        <v>162</v>
      </c>
      <c r="CX761" s="9" t="s">
        <v>162</v>
      </c>
      <c r="CY761" s="9" t="s">
        <v>162</v>
      </c>
      <c r="CZ761" s="9" t="s">
        <v>162</v>
      </c>
      <c r="DA761" s="9" t="s">
        <v>162</v>
      </c>
      <c r="DB761" s="9" t="s">
        <v>162</v>
      </c>
      <c r="DC761" s="9">
        <v>84.1</v>
      </c>
      <c r="DD761" s="9">
        <v>0.77</v>
      </c>
      <c r="DE761" s="10">
        <v>214</v>
      </c>
      <c r="DF761" s="10">
        <v>181</v>
      </c>
      <c r="DG761" s="9">
        <f t="shared" si="11"/>
        <v>4.8152517991223638</v>
      </c>
      <c r="DH761" s="9">
        <v>36.200000000000003</v>
      </c>
      <c r="DI761" s="10">
        <v>8.2200000000000006</v>
      </c>
      <c r="DJ761" s="9">
        <v>28</v>
      </c>
      <c r="DK761" s="9">
        <v>25</v>
      </c>
      <c r="DL761" s="9">
        <v>53.1</v>
      </c>
      <c r="DM761" s="9">
        <v>124.7</v>
      </c>
      <c r="DP761" s="11">
        <v>3</v>
      </c>
      <c r="DQ761" s="9">
        <v>2</v>
      </c>
      <c r="DR761" s="9">
        <v>3</v>
      </c>
    </row>
    <row r="762" spans="1:125" x14ac:dyDescent="0.2">
      <c r="A762" s="14">
        <v>675</v>
      </c>
      <c r="B762" s="17">
        <v>43286</v>
      </c>
      <c r="C762" s="9" t="s">
        <v>95</v>
      </c>
      <c r="D762" s="9">
        <v>63</v>
      </c>
      <c r="F762" s="45">
        <v>19940</v>
      </c>
      <c r="G762" s="9" t="s">
        <v>1892</v>
      </c>
      <c r="H762" s="9" t="s">
        <v>6494</v>
      </c>
      <c r="I762" s="9">
        <v>11</v>
      </c>
      <c r="J762" s="9">
        <v>2002</v>
      </c>
      <c r="K762" s="9">
        <v>1994</v>
      </c>
      <c r="L762" s="9">
        <v>6</v>
      </c>
      <c r="M762" s="10" t="s">
        <v>6586</v>
      </c>
      <c r="N762" s="9" t="s">
        <v>99</v>
      </c>
      <c r="O762" s="9" t="s">
        <v>99</v>
      </c>
      <c r="P762" s="9" t="s">
        <v>6587</v>
      </c>
      <c r="Q762" s="9" t="s">
        <v>6588</v>
      </c>
      <c r="S762" s="9" t="s">
        <v>110</v>
      </c>
      <c r="T762" s="9" t="s">
        <v>110</v>
      </c>
      <c r="W762" s="9" t="s">
        <v>6589</v>
      </c>
      <c r="X762" s="9" t="s">
        <v>99</v>
      </c>
      <c r="Z762" s="9" t="s">
        <v>6590</v>
      </c>
      <c r="AA762" s="9" t="s">
        <v>100</v>
      </c>
      <c r="AB762" s="9" t="s">
        <v>100</v>
      </c>
      <c r="AC762" s="9" t="s">
        <v>96</v>
      </c>
      <c r="AD762" s="9" t="s">
        <v>96</v>
      </c>
      <c r="AE762" s="9" t="s">
        <v>118</v>
      </c>
      <c r="AF762" s="9" t="s">
        <v>99</v>
      </c>
      <c r="AG762" s="9" t="s">
        <v>99</v>
      </c>
      <c r="AH762" s="9" t="s">
        <v>99</v>
      </c>
      <c r="AI762" s="9" t="s">
        <v>99</v>
      </c>
      <c r="AJ762" s="9" t="s">
        <v>99</v>
      </c>
      <c r="AK762" s="9" t="s">
        <v>99</v>
      </c>
      <c r="AL762" s="9">
        <v>83.9</v>
      </c>
      <c r="AM762" s="9">
        <v>1.64</v>
      </c>
      <c r="AN762" s="9">
        <v>104</v>
      </c>
      <c r="AO762" s="9">
        <v>114</v>
      </c>
      <c r="AP762" s="9">
        <v>48.8</v>
      </c>
      <c r="AQ762" s="9">
        <v>22.6</v>
      </c>
      <c r="AR762" s="9">
        <v>14</v>
      </c>
      <c r="AS762" s="9">
        <v>78</v>
      </c>
      <c r="AT762" s="9">
        <v>35.4</v>
      </c>
      <c r="AU762" s="9">
        <v>120</v>
      </c>
      <c r="AV762" s="9">
        <v>87</v>
      </c>
      <c r="DC762" s="10">
        <v>109.2</v>
      </c>
      <c r="DE762" s="10">
        <v>222</v>
      </c>
      <c r="DF762" s="10">
        <v>172</v>
      </c>
      <c r="DG762" s="9">
        <f t="shared" si="11"/>
        <v>4.9203377700621287</v>
      </c>
      <c r="DH762" s="9">
        <v>34.4</v>
      </c>
      <c r="DI762" s="9">
        <v>5.28</v>
      </c>
      <c r="DJ762" s="9">
        <v>19</v>
      </c>
      <c r="DK762" s="9">
        <v>19</v>
      </c>
      <c r="DL762" s="10">
        <v>45.3</v>
      </c>
      <c r="DM762" s="9">
        <v>142.30000000000001</v>
      </c>
      <c r="DP762" s="11">
        <v>3</v>
      </c>
      <c r="DQ762" s="9">
        <v>2</v>
      </c>
      <c r="DU762" s="9">
        <v>3.77</v>
      </c>
    </row>
    <row r="763" spans="1:125" x14ac:dyDescent="0.2">
      <c r="A763" s="9" t="s">
        <v>6591</v>
      </c>
      <c r="DC763" s="10">
        <v>303</v>
      </c>
      <c r="DD763" s="9">
        <v>0.5</v>
      </c>
      <c r="DE763" s="10">
        <v>207</v>
      </c>
      <c r="DF763" s="9">
        <v>97</v>
      </c>
      <c r="DG763" s="9">
        <f t="shared" si="11"/>
        <v>5.1442218920063763</v>
      </c>
      <c r="DH763" s="9">
        <v>19.399999999999999</v>
      </c>
      <c r="DI763" s="9">
        <v>2.76</v>
      </c>
      <c r="DL763" s="9">
        <v>60.4</v>
      </c>
      <c r="DM763" s="9">
        <v>127.2</v>
      </c>
    </row>
    <row r="764" spans="1:125" x14ac:dyDescent="0.2">
      <c r="A764" s="9" t="s">
        <v>6592</v>
      </c>
      <c r="DG764" s="9" t="e">
        <f t="shared" si="11"/>
        <v>#NUM!</v>
      </c>
    </row>
    <row r="765" spans="1:125" x14ac:dyDescent="0.2">
      <c r="A765" s="14">
        <v>678</v>
      </c>
      <c r="B765" s="8">
        <v>43279</v>
      </c>
      <c r="C765" s="9" t="s">
        <v>107</v>
      </c>
      <c r="D765" s="9">
        <v>72</v>
      </c>
      <c r="E765" s="9" t="s">
        <v>96</v>
      </c>
      <c r="F765" s="8">
        <v>16875</v>
      </c>
      <c r="G765" s="9" t="s">
        <v>314</v>
      </c>
      <c r="H765" s="9" t="s">
        <v>6593</v>
      </c>
      <c r="I765" s="9" t="s">
        <v>162</v>
      </c>
      <c r="J765" s="9" t="s">
        <v>162</v>
      </c>
      <c r="K765" s="9" t="s">
        <v>162</v>
      </c>
      <c r="L765" s="9" t="s">
        <v>162</v>
      </c>
      <c r="M765" s="10" t="s">
        <v>368</v>
      </c>
      <c r="N765" s="9" t="s">
        <v>263</v>
      </c>
      <c r="O765" s="9" t="s">
        <v>263</v>
      </c>
      <c r="P765" s="9" t="s">
        <v>263</v>
      </c>
      <c r="Q765" s="10" t="s">
        <v>369</v>
      </c>
      <c r="R765" s="9" t="s">
        <v>162</v>
      </c>
      <c r="S765" s="9" t="s">
        <v>162</v>
      </c>
      <c r="T765" s="9" t="s">
        <v>162</v>
      </c>
      <c r="U765" s="9" t="s">
        <v>162</v>
      </c>
      <c r="V765" s="9" t="s">
        <v>263</v>
      </c>
      <c r="W765" s="9" t="s">
        <v>263</v>
      </c>
      <c r="X765" s="9" t="s">
        <v>162</v>
      </c>
      <c r="Y765" s="10" t="s">
        <v>6594</v>
      </c>
      <c r="Z765" s="9" t="s">
        <v>162</v>
      </c>
      <c r="AA765" s="9" t="s">
        <v>96</v>
      </c>
      <c r="AB765" s="9" t="s">
        <v>96</v>
      </c>
      <c r="AC765" s="9" t="s">
        <v>96</v>
      </c>
      <c r="AD765" s="9" t="s">
        <v>96</v>
      </c>
      <c r="AE765" s="9" t="s">
        <v>263</v>
      </c>
      <c r="AF765" s="9" t="s">
        <v>263</v>
      </c>
      <c r="AG765" s="9" t="s">
        <v>263</v>
      </c>
      <c r="AH765" s="9" t="s">
        <v>263</v>
      </c>
      <c r="AI765" s="9" t="s">
        <v>263</v>
      </c>
      <c r="AJ765" s="9" t="s">
        <v>263</v>
      </c>
      <c r="AK765" s="9" t="s">
        <v>263</v>
      </c>
      <c r="AL765" s="9">
        <v>86.6</v>
      </c>
      <c r="AM765" s="9">
        <v>177</v>
      </c>
      <c r="AN765" s="10">
        <v>112.5</v>
      </c>
      <c r="AO765" s="9">
        <v>110</v>
      </c>
      <c r="AP765" s="9">
        <v>28.3</v>
      </c>
      <c r="AQ765" s="9">
        <v>14</v>
      </c>
      <c r="AR765" s="9">
        <v>30.4</v>
      </c>
      <c r="AS765" s="9">
        <v>61</v>
      </c>
      <c r="AT765" s="9">
        <v>27.6</v>
      </c>
      <c r="AU765" s="10">
        <v>151</v>
      </c>
      <c r="AV765" s="10">
        <v>99</v>
      </c>
      <c r="AX765" s="9" t="s">
        <v>162</v>
      </c>
      <c r="AY765" s="9" t="s">
        <v>162</v>
      </c>
      <c r="AZ765" s="9" t="s">
        <v>162</v>
      </c>
      <c r="BB765" s="9" t="s">
        <v>162</v>
      </c>
      <c r="BC765" s="9" t="s">
        <v>162</v>
      </c>
      <c r="BD765" s="9" t="s">
        <v>162</v>
      </c>
      <c r="BF765" s="9" t="s">
        <v>162</v>
      </c>
      <c r="BG765" s="9" t="s">
        <v>162</v>
      </c>
      <c r="BH765" s="9" t="s">
        <v>162</v>
      </c>
      <c r="BI765" s="9" t="s">
        <v>162</v>
      </c>
      <c r="BJ765" s="9" t="s">
        <v>162</v>
      </c>
      <c r="BK765" s="9" t="s">
        <v>162</v>
      </c>
      <c r="BN765" s="9" t="s">
        <v>162</v>
      </c>
      <c r="BO765" s="9" t="s">
        <v>162</v>
      </c>
      <c r="BP765" s="9" t="s">
        <v>162</v>
      </c>
      <c r="BR765" s="9" t="s">
        <v>162</v>
      </c>
      <c r="BS765" s="9" t="s">
        <v>162</v>
      </c>
      <c r="BT765" s="9" t="s">
        <v>162</v>
      </c>
      <c r="BV765" s="9" t="s">
        <v>162</v>
      </c>
      <c r="BW765" s="9" t="s">
        <v>162</v>
      </c>
      <c r="BX765" s="9" t="s">
        <v>162</v>
      </c>
      <c r="BZ765" s="9" t="s">
        <v>162</v>
      </c>
      <c r="CA765" s="9" t="s">
        <v>162</v>
      </c>
      <c r="CB765" s="9" t="s">
        <v>162</v>
      </c>
      <c r="CD765" s="9" t="s">
        <v>162</v>
      </c>
      <c r="CE765" s="9" t="s">
        <v>162</v>
      </c>
      <c r="CF765" s="9" t="s">
        <v>162</v>
      </c>
      <c r="CH765" s="9" t="s">
        <v>162</v>
      </c>
      <c r="CI765" s="9" t="s">
        <v>162</v>
      </c>
      <c r="CJ765" s="9" t="s">
        <v>162</v>
      </c>
      <c r="CL765" s="9" t="s">
        <v>162</v>
      </c>
      <c r="CM765" s="9" t="s">
        <v>162</v>
      </c>
      <c r="CN765" s="9" t="s">
        <v>162</v>
      </c>
      <c r="CP765" s="9" t="s">
        <v>162</v>
      </c>
      <c r="CQ765" s="9" t="s">
        <v>162</v>
      </c>
      <c r="CR765" s="9" t="s">
        <v>162</v>
      </c>
      <c r="CT765" s="9" t="s">
        <v>162</v>
      </c>
      <c r="CU765" s="9" t="s">
        <v>162</v>
      </c>
      <c r="CV765" s="9" t="s">
        <v>162</v>
      </c>
      <c r="CW765" s="9">
        <v>3</v>
      </c>
      <c r="CX765" s="9" t="s">
        <v>368</v>
      </c>
      <c r="CY765" s="9" t="s">
        <v>368</v>
      </c>
      <c r="CZ765" s="9" t="s">
        <v>162</v>
      </c>
      <c r="DA765" s="9" t="s">
        <v>162</v>
      </c>
      <c r="DB765" s="9" t="s">
        <v>162</v>
      </c>
      <c r="DC765" s="14">
        <v>289</v>
      </c>
      <c r="DD765" s="9">
        <v>0.65</v>
      </c>
      <c r="DE765" s="9">
        <v>187</v>
      </c>
      <c r="DF765" s="10">
        <v>156</v>
      </c>
      <c r="DG765" s="9">
        <f t="shared" si="11"/>
        <v>5.3581413476809843</v>
      </c>
      <c r="DH765" s="9">
        <v>31.2</v>
      </c>
      <c r="DI765" s="9">
        <v>3.91</v>
      </c>
      <c r="DJ765" s="9">
        <v>23</v>
      </c>
      <c r="DK765" s="9">
        <v>21</v>
      </c>
      <c r="DL765" s="9">
        <v>43.2</v>
      </c>
      <c r="DM765" s="9">
        <v>112.6</v>
      </c>
      <c r="DP765" s="11">
        <v>2</v>
      </c>
      <c r="DT765" s="9">
        <v>13.4</v>
      </c>
      <c r="DU765" s="9">
        <v>3.4</v>
      </c>
    </row>
    <row r="766" spans="1:125" x14ac:dyDescent="0.2">
      <c r="A766" s="14">
        <v>679</v>
      </c>
      <c r="B766" s="8">
        <v>43279</v>
      </c>
      <c r="C766" s="9" t="s">
        <v>95</v>
      </c>
      <c r="D766" s="9">
        <v>54</v>
      </c>
      <c r="E766" s="52" t="s">
        <v>1697</v>
      </c>
      <c r="F766" s="8">
        <v>23355</v>
      </c>
      <c r="G766" s="9" t="s">
        <v>400</v>
      </c>
      <c r="H766" s="9" t="s">
        <v>6255</v>
      </c>
      <c r="I766" s="9" t="s">
        <v>162</v>
      </c>
      <c r="J766" s="167">
        <v>41214</v>
      </c>
      <c r="K766" s="9">
        <v>1996</v>
      </c>
      <c r="L766" s="9">
        <v>1</v>
      </c>
      <c r="M766" s="9" t="s">
        <v>263</v>
      </c>
      <c r="N766" s="9" t="s">
        <v>263</v>
      </c>
      <c r="O766" s="9" t="s">
        <v>263</v>
      </c>
      <c r="P766" s="9" t="s">
        <v>263</v>
      </c>
      <c r="Q766" s="9" t="s">
        <v>263</v>
      </c>
      <c r="R766" s="9" t="s">
        <v>263</v>
      </c>
      <c r="S766" s="9" t="s">
        <v>162</v>
      </c>
      <c r="T766" s="9" t="s">
        <v>162</v>
      </c>
      <c r="U766" s="9" t="s">
        <v>162</v>
      </c>
      <c r="V766" s="9" t="s">
        <v>162</v>
      </c>
      <c r="W766" s="10" t="s">
        <v>6595</v>
      </c>
      <c r="X766" s="9" t="s">
        <v>162</v>
      </c>
      <c r="Y766" s="9" t="s">
        <v>162</v>
      </c>
      <c r="Z766" s="9" t="s">
        <v>162</v>
      </c>
      <c r="AA766" s="52" t="s">
        <v>1697</v>
      </c>
      <c r="AB766" s="9" t="s">
        <v>96</v>
      </c>
      <c r="AC766" s="52" t="s">
        <v>1697</v>
      </c>
      <c r="AD766" s="9" t="s">
        <v>96</v>
      </c>
      <c r="AE766" s="10" t="s">
        <v>406</v>
      </c>
      <c r="AF766" s="9" t="s">
        <v>263</v>
      </c>
      <c r="AG766" s="9" t="s">
        <v>263</v>
      </c>
      <c r="AH766" s="9" t="s">
        <v>263</v>
      </c>
      <c r="AI766" s="9" t="s">
        <v>263</v>
      </c>
      <c r="AJ766" s="9" t="s">
        <v>263</v>
      </c>
      <c r="AK766" s="9" t="s">
        <v>162</v>
      </c>
      <c r="AL766" s="9">
        <v>56.2</v>
      </c>
      <c r="AM766" s="9">
        <v>152</v>
      </c>
      <c r="AN766" s="9">
        <v>83</v>
      </c>
      <c r="AO766" s="9">
        <v>98</v>
      </c>
      <c r="AP766" s="9">
        <v>31.6</v>
      </c>
      <c r="AQ766" s="9">
        <v>2</v>
      </c>
      <c r="AR766" s="9">
        <v>36.5</v>
      </c>
      <c r="AS766" s="9">
        <v>36</v>
      </c>
      <c r="AT766" s="7">
        <v>24.32</v>
      </c>
      <c r="AU766" s="10">
        <v>148</v>
      </c>
      <c r="AV766" s="10">
        <v>86</v>
      </c>
      <c r="AX766" s="9" t="s">
        <v>371</v>
      </c>
      <c r="AY766" s="9" t="s">
        <v>6596</v>
      </c>
      <c r="AZ766" s="9" t="s">
        <v>162</v>
      </c>
      <c r="BB766" s="9" t="s">
        <v>409</v>
      </c>
      <c r="BC766" s="9" t="s">
        <v>492</v>
      </c>
      <c r="BD766" s="9" t="s">
        <v>162</v>
      </c>
      <c r="BF766" s="9" t="s">
        <v>162</v>
      </c>
      <c r="BG766" s="9" t="s">
        <v>162</v>
      </c>
      <c r="BH766" s="9" t="s">
        <v>375</v>
      </c>
      <c r="BI766" s="9" t="s">
        <v>322</v>
      </c>
      <c r="BJ766" s="9" t="s">
        <v>375</v>
      </c>
      <c r="BK766" s="9" t="s">
        <v>375</v>
      </c>
      <c r="BN766" s="9" t="s">
        <v>553</v>
      </c>
      <c r="BO766" s="9" t="s">
        <v>6374</v>
      </c>
      <c r="BP766" s="9" t="s">
        <v>6507</v>
      </c>
      <c r="BR766" s="9" t="s">
        <v>162</v>
      </c>
      <c r="BS766" s="9" t="s">
        <v>162</v>
      </c>
      <c r="BT766" s="9" t="s">
        <v>162</v>
      </c>
      <c r="BV766" s="9" t="s">
        <v>6597</v>
      </c>
      <c r="BW766" s="9" t="s">
        <v>6598</v>
      </c>
      <c r="BX766" s="9" t="s">
        <v>6452</v>
      </c>
      <c r="BZ766" s="9" t="s">
        <v>6508</v>
      </c>
      <c r="CA766" s="9" t="s">
        <v>432</v>
      </c>
      <c r="CB766" s="9" t="s">
        <v>433</v>
      </c>
      <c r="CD766" s="9" t="s">
        <v>162</v>
      </c>
      <c r="CE766" s="9" t="s">
        <v>162</v>
      </c>
      <c r="CF766" s="9" t="s">
        <v>162</v>
      </c>
      <c r="CH766" s="9" t="s">
        <v>162</v>
      </c>
      <c r="CI766" s="9" t="s">
        <v>162</v>
      </c>
      <c r="CJ766" s="9" t="s">
        <v>162</v>
      </c>
      <c r="CL766" s="9" t="s">
        <v>333</v>
      </c>
      <c r="CM766" s="9" t="s">
        <v>6250</v>
      </c>
      <c r="CN766" s="9" t="s">
        <v>162</v>
      </c>
      <c r="CP766" s="9" t="s">
        <v>637</v>
      </c>
      <c r="CQ766" s="9" t="s">
        <v>636</v>
      </c>
      <c r="CR766" s="9" t="s">
        <v>6599</v>
      </c>
      <c r="CT766" s="9" t="s">
        <v>539</v>
      </c>
      <c r="CW766" s="9">
        <v>3</v>
      </c>
      <c r="CX766" s="9" t="s">
        <v>368</v>
      </c>
      <c r="CY766" s="9" t="s">
        <v>368</v>
      </c>
      <c r="CZ766" s="9" t="s">
        <v>162</v>
      </c>
      <c r="DA766" s="9" t="s">
        <v>162</v>
      </c>
      <c r="DB766" s="9" t="s">
        <v>162</v>
      </c>
      <c r="DC766" s="9">
        <v>83.5</v>
      </c>
      <c r="DD766" s="9">
        <v>0.42</v>
      </c>
      <c r="DE766" s="10">
        <v>321</v>
      </c>
      <c r="DF766" s="10">
        <v>178</v>
      </c>
      <c r="DG766" s="9">
        <f t="shared" si="11"/>
        <v>4.8033150910744471</v>
      </c>
      <c r="DH766" s="9">
        <v>35.6</v>
      </c>
      <c r="DI766" s="9">
        <v>4.7699999999999996</v>
      </c>
      <c r="DJ766" s="9">
        <v>16</v>
      </c>
      <c r="DK766" s="9">
        <v>17.7</v>
      </c>
      <c r="DL766" s="9">
        <v>64.099999999999994</v>
      </c>
      <c r="DM766" s="9">
        <v>221.3</v>
      </c>
      <c r="DP766" s="11">
        <v>2</v>
      </c>
      <c r="DQ766" s="9">
        <v>2</v>
      </c>
      <c r="DT766" s="9">
        <v>10</v>
      </c>
      <c r="DU766" s="9">
        <v>3.3</v>
      </c>
    </row>
    <row r="767" spans="1:125" x14ac:dyDescent="0.2">
      <c r="A767" s="39">
        <v>680</v>
      </c>
      <c r="B767" s="8">
        <v>43279</v>
      </c>
      <c r="C767" s="9" t="s">
        <v>95</v>
      </c>
      <c r="D767" s="9">
        <v>53</v>
      </c>
      <c r="E767" s="49" t="s">
        <v>533</v>
      </c>
      <c r="F767" s="8">
        <v>23789</v>
      </c>
      <c r="G767" s="9" t="s">
        <v>314</v>
      </c>
      <c r="H767" s="9" t="s">
        <v>6600</v>
      </c>
      <c r="I767" s="9">
        <v>1980</v>
      </c>
      <c r="J767" s="10">
        <v>2010</v>
      </c>
      <c r="K767" s="9">
        <v>2000</v>
      </c>
      <c r="L767" s="9">
        <v>4</v>
      </c>
      <c r="M767" s="9" t="s">
        <v>263</v>
      </c>
      <c r="N767" s="9" t="s">
        <v>263</v>
      </c>
      <c r="O767" s="9" t="s">
        <v>263</v>
      </c>
      <c r="P767" s="9" t="s">
        <v>263</v>
      </c>
      <c r="Q767" s="10" t="s">
        <v>369</v>
      </c>
      <c r="R767" s="9" t="s">
        <v>368</v>
      </c>
      <c r="S767" s="9" t="s">
        <v>162</v>
      </c>
      <c r="T767" s="47" t="s">
        <v>6601</v>
      </c>
      <c r="U767" s="9" t="s">
        <v>6602</v>
      </c>
      <c r="V767" s="9">
        <v>2000</v>
      </c>
      <c r="W767" s="10" t="s">
        <v>6603</v>
      </c>
      <c r="X767" s="9" t="s">
        <v>162</v>
      </c>
      <c r="Y767" s="10" t="s">
        <v>6604</v>
      </c>
      <c r="Z767" s="9" t="s">
        <v>162</v>
      </c>
      <c r="AA767" s="9" t="s">
        <v>96</v>
      </c>
      <c r="AB767" s="52" t="s">
        <v>1359</v>
      </c>
      <c r="AC767" s="36" t="s">
        <v>6605</v>
      </c>
      <c r="AD767" s="52" t="s">
        <v>1359</v>
      </c>
      <c r="AE767" s="10" t="s">
        <v>6606</v>
      </c>
      <c r="AF767" s="9" t="s">
        <v>263</v>
      </c>
      <c r="AG767" s="9" t="s">
        <v>263</v>
      </c>
      <c r="AH767" s="9" t="s">
        <v>263</v>
      </c>
      <c r="AI767" s="10" t="s">
        <v>901</v>
      </c>
      <c r="AJ767" s="10" t="s">
        <v>1105</v>
      </c>
      <c r="AK767" s="9" t="s">
        <v>263</v>
      </c>
      <c r="AL767" s="9">
        <v>58.5</v>
      </c>
      <c r="AM767" s="9">
        <v>148</v>
      </c>
      <c r="AN767" s="9">
        <v>88</v>
      </c>
      <c r="AO767" s="9">
        <v>100</v>
      </c>
      <c r="AP767" s="9">
        <v>43.5</v>
      </c>
      <c r="AQ767" s="9">
        <v>9</v>
      </c>
      <c r="AR767" s="9">
        <v>22.1</v>
      </c>
      <c r="AS767" s="9">
        <v>60</v>
      </c>
      <c r="AT767" s="10">
        <v>26.7</v>
      </c>
      <c r="AU767" s="9">
        <v>117</v>
      </c>
      <c r="AV767" s="9">
        <v>83</v>
      </c>
      <c r="AX767" s="9" t="s">
        <v>535</v>
      </c>
      <c r="AY767" s="9" t="s">
        <v>6371</v>
      </c>
      <c r="AZ767" s="9" t="s">
        <v>162</v>
      </c>
      <c r="BB767" s="9" t="s">
        <v>5714</v>
      </c>
      <c r="BC767" s="9" t="s">
        <v>6607</v>
      </c>
      <c r="BD767" s="9" t="s">
        <v>162</v>
      </c>
      <c r="BF767" s="9" t="s">
        <v>375</v>
      </c>
      <c r="BG767" s="9" t="s">
        <v>375</v>
      </c>
      <c r="BH767" s="9" t="s">
        <v>276</v>
      </c>
      <c r="BI767" s="9" t="s">
        <v>375</v>
      </c>
      <c r="BJ767" s="9" t="s">
        <v>322</v>
      </c>
      <c r="BK767" s="9" t="s">
        <v>375</v>
      </c>
      <c r="BN767" s="9" t="s">
        <v>6608</v>
      </c>
      <c r="BO767" s="9" t="s">
        <v>466</v>
      </c>
      <c r="BP767" s="9" t="s">
        <v>6539</v>
      </c>
      <c r="BR767" s="9" t="s">
        <v>162</v>
      </c>
      <c r="BS767" s="9" t="s">
        <v>162</v>
      </c>
      <c r="BT767" s="9" t="s">
        <v>162</v>
      </c>
      <c r="BV767" s="9" t="s">
        <v>6573</v>
      </c>
      <c r="BW767" s="9" t="s">
        <v>6609</v>
      </c>
      <c r="BX767" s="9" t="s">
        <v>6610</v>
      </c>
      <c r="BZ767" s="9" t="s">
        <v>432</v>
      </c>
      <c r="CA767" s="9" t="s">
        <v>398</v>
      </c>
      <c r="CB767" s="9" t="s">
        <v>397</v>
      </c>
      <c r="CD767" s="9" t="s">
        <v>162</v>
      </c>
      <c r="CE767" s="9" t="s">
        <v>162</v>
      </c>
      <c r="CF767" s="9" t="s">
        <v>162</v>
      </c>
      <c r="CH767" s="9" t="s">
        <v>162</v>
      </c>
      <c r="CI767" s="9" t="s">
        <v>162</v>
      </c>
      <c r="CJ767" s="9" t="s">
        <v>162</v>
      </c>
      <c r="CL767" s="9" t="s">
        <v>909</v>
      </c>
      <c r="CM767" s="9" t="s">
        <v>922</v>
      </c>
      <c r="CN767" s="9" t="s">
        <v>6611</v>
      </c>
      <c r="CP767" s="9" t="s">
        <v>162</v>
      </c>
      <c r="CQ767" s="9" t="s">
        <v>162</v>
      </c>
      <c r="CR767" s="9" t="s">
        <v>162</v>
      </c>
      <c r="CT767" s="9" t="s">
        <v>6612</v>
      </c>
      <c r="CU767" s="9" t="s">
        <v>6613</v>
      </c>
      <c r="CV767" s="9" t="s">
        <v>162</v>
      </c>
      <c r="CW767" s="9" t="s">
        <v>1633</v>
      </c>
      <c r="CX767" s="9" t="s">
        <v>368</v>
      </c>
      <c r="CY767" s="9" t="s">
        <v>368</v>
      </c>
      <c r="CZ767" s="9">
        <v>25</v>
      </c>
      <c r="DA767" s="9">
        <v>25</v>
      </c>
      <c r="DB767" s="9">
        <v>25</v>
      </c>
      <c r="DC767" s="9">
        <v>83.5</v>
      </c>
      <c r="DD767" s="9">
        <v>0.46</v>
      </c>
      <c r="DE767" s="9">
        <v>190</v>
      </c>
      <c r="DF767" s="9">
        <v>97</v>
      </c>
      <c r="DG767" s="9">
        <f t="shared" si="11"/>
        <v>4.499778805180096</v>
      </c>
      <c r="DH767" s="9">
        <v>19.399999999999999</v>
      </c>
      <c r="DI767" s="9">
        <v>3.88</v>
      </c>
      <c r="DJ767" s="9">
        <v>12.3</v>
      </c>
      <c r="DK767" s="9">
        <v>16</v>
      </c>
      <c r="DL767" s="9">
        <v>56.4</v>
      </c>
      <c r="DM767" s="9">
        <v>114.2</v>
      </c>
      <c r="DP767" s="11">
        <v>2</v>
      </c>
    </row>
    <row r="768" spans="1:125" x14ac:dyDescent="0.2">
      <c r="A768" s="9">
        <v>681</v>
      </c>
      <c r="B768" s="17">
        <v>43279</v>
      </c>
      <c r="C768" s="9" t="s">
        <v>95</v>
      </c>
      <c r="D768" s="9">
        <v>26</v>
      </c>
      <c r="E768" s="9" t="s">
        <v>96</v>
      </c>
      <c r="F768" s="17">
        <v>33724</v>
      </c>
      <c r="G768" s="9" t="s">
        <v>6614</v>
      </c>
      <c r="H768" s="9" t="s">
        <v>6615</v>
      </c>
      <c r="K768" s="9" t="s">
        <v>6616</v>
      </c>
      <c r="L768" s="9">
        <v>1</v>
      </c>
      <c r="M768" s="9" t="s">
        <v>99</v>
      </c>
      <c r="N768" s="9" t="s">
        <v>99</v>
      </c>
      <c r="O768" s="9" t="s">
        <v>99</v>
      </c>
      <c r="P768" s="9" t="s">
        <v>99</v>
      </c>
      <c r="Q768" s="9" t="s">
        <v>99</v>
      </c>
      <c r="R768" s="9" t="s">
        <v>99</v>
      </c>
      <c r="S768" s="9" t="s">
        <v>99</v>
      </c>
      <c r="T768" s="9" t="s">
        <v>99</v>
      </c>
      <c r="U768" s="9" t="s">
        <v>99</v>
      </c>
      <c r="V768" s="9" t="s">
        <v>99</v>
      </c>
      <c r="AA768" s="9" t="s">
        <v>96</v>
      </c>
      <c r="AB768" s="9" t="s">
        <v>96</v>
      </c>
      <c r="AC768" s="9" t="s">
        <v>96</v>
      </c>
      <c r="AD768" s="9" t="s">
        <v>96</v>
      </c>
      <c r="AE768" s="9" t="s">
        <v>2333</v>
      </c>
      <c r="AF768" s="9" t="s">
        <v>2333</v>
      </c>
      <c r="AG768" s="9" t="s">
        <v>99</v>
      </c>
      <c r="AH768" s="9" t="s">
        <v>99</v>
      </c>
      <c r="AI768" s="9" t="s">
        <v>99</v>
      </c>
      <c r="AJ768" s="9" t="s">
        <v>99</v>
      </c>
      <c r="AK768" s="9" t="s">
        <v>99</v>
      </c>
      <c r="AL768" s="9">
        <v>49.6</v>
      </c>
      <c r="AM768" s="9">
        <v>151</v>
      </c>
      <c r="AN768" s="9">
        <v>76</v>
      </c>
      <c r="AO768" s="9">
        <v>93</v>
      </c>
      <c r="AU768" s="9">
        <v>83</v>
      </c>
      <c r="AV768" s="9">
        <v>60</v>
      </c>
      <c r="DE768" s="9">
        <v>201</v>
      </c>
      <c r="DF768" s="9">
        <v>159</v>
      </c>
      <c r="DG768" s="9" t="e">
        <f t="shared" si="11"/>
        <v>#NUM!</v>
      </c>
      <c r="DI768" s="9">
        <v>3.18</v>
      </c>
      <c r="DJ768" s="9">
        <v>5.7</v>
      </c>
      <c r="DK768" s="9">
        <v>23.7</v>
      </c>
      <c r="DL768" s="9">
        <v>61.3</v>
      </c>
      <c r="DP768" s="11">
        <v>3</v>
      </c>
    </row>
    <row r="769" spans="1:125" x14ac:dyDescent="0.2">
      <c r="A769" s="9">
        <v>682</v>
      </c>
      <c r="B769" s="8">
        <v>43279</v>
      </c>
      <c r="C769" s="9" t="s">
        <v>95</v>
      </c>
      <c r="D769" s="9">
        <v>39</v>
      </c>
      <c r="E769" s="9" t="s">
        <v>96</v>
      </c>
      <c r="F769" s="8">
        <v>28763</v>
      </c>
      <c r="G769" s="9" t="s">
        <v>314</v>
      </c>
      <c r="H769" s="9" t="s">
        <v>162</v>
      </c>
      <c r="I769" s="9" t="s">
        <v>162</v>
      </c>
      <c r="J769" s="9" t="s">
        <v>162</v>
      </c>
      <c r="K769" s="9" t="s">
        <v>162</v>
      </c>
      <c r="L769" s="9" t="s">
        <v>162</v>
      </c>
      <c r="M769" s="9" t="s">
        <v>263</v>
      </c>
      <c r="N769" s="9" t="s">
        <v>263</v>
      </c>
      <c r="O769" s="9" t="s">
        <v>263</v>
      </c>
      <c r="P769" s="9" t="s">
        <v>263</v>
      </c>
      <c r="Q769" s="10" t="s">
        <v>369</v>
      </c>
      <c r="R769" s="9" t="s">
        <v>368</v>
      </c>
      <c r="S769" s="9" t="s">
        <v>263</v>
      </c>
      <c r="T769" s="9" t="s">
        <v>263</v>
      </c>
      <c r="U769" s="9" t="s">
        <v>263</v>
      </c>
      <c r="V769" s="9" t="s">
        <v>263</v>
      </c>
      <c r="W769" s="9" t="s">
        <v>368</v>
      </c>
      <c r="X769" s="9" t="s">
        <v>162</v>
      </c>
      <c r="Y769" s="9" t="s">
        <v>162</v>
      </c>
      <c r="Z769" s="9" t="s">
        <v>162</v>
      </c>
      <c r="AA769" s="9" t="s">
        <v>96</v>
      </c>
      <c r="AB769" s="9" t="s">
        <v>96</v>
      </c>
      <c r="AC769" s="9" t="s">
        <v>96</v>
      </c>
      <c r="AD769" s="9" t="s">
        <v>96</v>
      </c>
      <c r="AE769" s="9" t="s">
        <v>263</v>
      </c>
      <c r="AF769" s="10" t="s">
        <v>423</v>
      </c>
      <c r="AG769" s="10" t="s">
        <v>1017</v>
      </c>
      <c r="AH769" s="9" t="s">
        <v>263</v>
      </c>
      <c r="AI769" s="9" t="s">
        <v>6617</v>
      </c>
      <c r="AJ769" s="9" t="s">
        <v>263</v>
      </c>
      <c r="AK769" s="9" t="s">
        <v>162</v>
      </c>
      <c r="AL769" s="9">
        <v>61.4</v>
      </c>
      <c r="AM769" s="9">
        <v>151</v>
      </c>
      <c r="AN769" s="9">
        <v>88</v>
      </c>
      <c r="AO769" s="9">
        <v>106</v>
      </c>
      <c r="AP769" s="9">
        <v>44.4</v>
      </c>
      <c r="AQ769" s="9">
        <v>7</v>
      </c>
      <c r="AR769" s="9">
        <v>21.7</v>
      </c>
      <c r="AS769" s="9">
        <v>51</v>
      </c>
      <c r="AT769" s="10">
        <v>26.9</v>
      </c>
      <c r="AU769" s="9">
        <v>118</v>
      </c>
      <c r="AV769" s="9">
        <v>89</v>
      </c>
      <c r="AX769" s="9" t="s">
        <v>535</v>
      </c>
      <c r="AY769" s="9" t="s">
        <v>3971</v>
      </c>
      <c r="AZ769" s="9" t="s">
        <v>371</v>
      </c>
      <c r="BB769" s="9" t="s">
        <v>162</v>
      </c>
      <c r="BC769" s="9" t="s">
        <v>162</v>
      </c>
      <c r="BD769" s="9" t="s">
        <v>162</v>
      </c>
      <c r="BF769" s="9" t="s">
        <v>322</v>
      </c>
      <c r="BG769" s="9" t="s">
        <v>375</v>
      </c>
      <c r="BH769" s="9" t="s">
        <v>276</v>
      </c>
      <c r="BI769" s="9" t="s">
        <v>375</v>
      </c>
      <c r="BJ769" s="9" t="s">
        <v>322</v>
      </c>
      <c r="BK769" s="9" t="s">
        <v>375</v>
      </c>
      <c r="BN769" s="9" t="s">
        <v>430</v>
      </c>
      <c r="BO769" s="9" t="s">
        <v>162</v>
      </c>
      <c r="BP769" s="9" t="s">
        <v>162</v>
      </c>
      <c r="BR769" s="9" t="s">
        <v>162</v>
      </c>
      <c r="BS769" s="9" t="s">
        <v>162</v>
      </c>
      <c r="BT769" s="9" t="s">
        <v>162</v>
      </c>
      <c r="BV769" s="9" t="s">
        <v>162</v>
      </c>
      <c r="BW769" s="9" t="s">
        <v>162</v>
      </c>
      <c r="BX769" s="9" t="s">
        <v>162</v>
      </c>
      <c r="BZ769" s="9" t="s">
        <v>6618</v>
      </c>
      <c r="CA769" s="9" t="s">
        <v>6619</v>
      </c>
      <c r="CB769" s="9" t="s">
        <v>6539</v>
      </c>
      <c r="CD769" s="9" t="s">
        <v>162</v>
      </c>
      <c r="CE769" s="9" t="s">
        <v>162</v>
      </c>
      <c r="CF769" s="9" t="s">
        <v>162</v>
      </c>
      <c r="CH769" s="9" t="s">
        <v>162</v>
      </c>
      <c r="CI769" s="9" t="s">
        <v>162</v>
      </c>
      <c r="CJ769" s="9" t="s">
        <v>162</v>
      </c>
      <c r="CL769" s="9" t="s">
        <v>162</v>
      </c>
      <c r="CM769" s="9" t="s">
        <v>162</v>
      </c>
      <c r="CN769" s="9" t="s">
        <v>162</v>
      </c>
      <c r="CP769" s="9" t="s">
        <v>162</v>
      </c>
      <c r="CQ769" s="9" t="s">
        <v>162</v>
      </c>
      <c r="CR769" s="9" t="s">
        <v>162</v>
      </c>
      <c r="CT769" s="9" t="s">
        <v>6620</v>
      </c>
      <c r="CU769" s="9" t="s">
        <v>6621</v>
      </c>
      <c r="CV769" s="9" t="s">
        <v>162</v>
      </c>
      <c r="CW769" s="9">
        <v>2</v>
      </c>
      <c r="CX769" s="9" t="s">
        <v>162</v>
      </c>
      <c r="CY769" s="9" t="s">
        <v>263</v>
      </c>
      <c r="CZ769" s="9">
        <v>20</v>
      </c>
      <c r="DA769" s="9">
        <v>10</v>
      </c>
      <c r="DB769" s="9">
        <v>50</v>
      </c>
      <c r="DC769" s="9">
        <v>87.6</v>
      </c>
      <c r="DD769" s="9">
        <v>0.37</v>
      </c>
      <c r="DE769" s="9">
        <v>197</v>
      </c>
      <c r="DF769" s="9">
        <v>74</v>
      </c>
      <c r="DG769" s="9">
        <f t="shared" si="11"/>
        <v>4.3884230455732576</v>
      </c>
      <c r="DH769" s="9">
        <v>14.8</v>
      </c>
      <c r="DI769" s="9">
        <v>3.93</v>
      </c>
      <c r="DJ769" s="9">
        <v>6.7</v>
      </c>
      <c r="DK769" s="9">
        <v>12.3</v>
      </c>
      <c r="DL769" s="10">
        <v>48.9</v>
      </c>
      <c r="DM769" s="9">
        <v>133.30000000000001</v>
      </c>
      <c r="DP769" s="11">
        <v>3</v>
      </c>
    </row>
    <row r="770" spans="1:125" x14ac:dyDescent="0.2">
      <c r="A770" s="9">
        <v>683</v>
      </c>
      <c r="B770" s="17">
        <v>43286</v>
      </c>
      <c r="C770" s="9" t="s">
        <v>95</v>
      </c>
      <c r="D770" s="9">
        <v>36</v>
      </c>
      <c r="E770" s="9" t="s">
        <v>96</v>
      </c>
      <c r="G770" s="9" t="s">
        <v>197</v>
      </c>
      <c r="H770" s="9" t="s">
        <v>3191</v>
      </c>
      <c r="I770" s="9">
        <v>13</v>
      </c>
      <c r="K770" s="9" t="s">
        <v>6622</v>
      </c>
      <c r="L770" s="9">
        <v>1</v>
      </c>
      <c r="M770" s="10" t="s">
        <v>368</v>
      </c>
      <c r="N770" s="9" t="s">
        <v>263</v>
      </c>
      <c r="O770" s="9" t="s">
        <v>263</v>
      </c>
      <c r="P770" s="9" t="s">
        <v>99</v>
      </c>
      <c r="Q770" s="9" t="s">
        <v>99</v>
      </c>
      <c r="R770" s="9" t="s">
        <v>110</v>
      </c>
      <c r="S770" s="9" t="s">
        <v>99</v>
      </c>
      <c r="T770" s="9" t="s">
        <v>99</v>
      </c>
      <c r="U770" s="9" t="s">
        <v>99</v>
      </c>
      <c r="V770" s="9" t="s">
        <v>99</v>
      </c>
      <c r="W770" s="9" t="s">
        <v>99</v>
      </c>
      <c r="Y770" s="9" t="s">
        <v>402</v>
      </c>
      <c r="AA770" s="9" t="s">
        <v>96</v>
      </c>
      <c r="AB770" s="9" t="s">
        <v>96</v>
      </c>
      <c r="AC770" s="9" t="s">
        <v>96</v>
      </c>
      <c r="AD770" s="9" t="s">
        <v>96</v>
      </c>
      <c r="AE770" s="9" t="s">
        <v>664</v>
      </c>
      <c r="AF770" s="9" t="s">
        <v>99</v>
      </c>
      <c r="AG770" s="9" t="s">
        <v>99</v>
      </c>
      <c r="AH770" s="9" t="s">
        <v>99</v>
      </c>
      <c r="AI770" s="9" t="s">
        <v>99</v>
      </c>
      <c r="AJ770" s="9" t="s">
        <v>99</v>
      </c>
      <c r="AK770" s="9" t="s">
        <v>99</v>
      </c>
      <c r="AL770" s="9">
        <v>84.4</v>
      </c>
      <c r="AM770" s="9">
        <v>1.56</v>
      </c>
      <c r="AN770" s="9">
        <v>107</v>
      </c>
      <c r="AO770" s="9">
        <v>118</v>
      </c>
      <c r="AP770" s="9">
        <v>54</v>
      </c>
      <c r="AQ770" s="9">
        <v>10</v>
      </c>
      <c r="AR770" s="9">
        <v>19.7</v>
      </c>
      <c r="AS770" s="9">
        <v>66</v>
      </c>
      <c r="AT770" s="9">
        <v>36.299999999999997</v>
      </c>
      <c r="AU770" s="9">
        <v>100</v>
      </c>
      <c r="AV770" s="9">
        <v>62</v>
      </c>
      <c r="AX770" s="9" t="s">
        <v>6623</v>
      </c>
      <c r="BB770" s="9" t="s">
        <v>6624</v>
      </c>
      <c r="BF770" s="9" t="s">
        <v>6476</v>
      </c>
      <c r="BG770" s="9" t="s">
        <v>6476</v>
      </c>
      <c r="BH770" s="9" t="s">
        <v>6476</v>
      </c>
      <c r="BI770" s="9" t="s">
        <v>6476</v>
      </c>
      <c r="BJ770" s="9" t="s">
        <v>6475</v>
      </c>
      <c r="BK770" s="9" t="s">
        <v>6625</v>
      </c>
      <c r="BN770" s="9" t="s">
        <v>6626</v>
      </c>
      <c r="BZ770" s="9" t="s">
        <v>6627</v>
      </c>
      <c r="CL770" s="9" t="s">
        <v>500</v>
      </c>
      <c r="CP770" s="9" t="s">
        <v>6628</v>
      </c>
      <c r="CT770" s="9" t="s">
        <v>6629</v>
      </c>
      <c r="CW770" s="9">
        <v>3</v>
      </c>
      <c r="CX770" s="9" t="s">
        <v>263</v>
      </c>
      <c r="CY770" s="9" t="s">
        <v>368</v>
      </c>
      <c r="CZ770" s="9">
        <v>60</v>
      </c>
      <c r="DA770" s="9">
        <v>15</v>
      </c>
      <c r="DB770" s="9">
        <v>25</v>
      </c>
      <c r="DC770" s="9">
        <v>81.7</v>
      </c>
      <c r="DE770" s="9">
        <v>172</v>
      </c>
      <c r="DF770" s="9">
        <v>122</v>
      </c>
      <c r="DG770" s="9">
        <f t="shared" si="11"/>
        <v>4.6035375232996065</v>
      </c>
      <c r="DH770" s="9">
        <v>24.4</v>
      </c>
      <c r="DI770" s="9">
        <v>4.78</v>
      </c>
      <c r="DJ770" s="9">
        <v>11</v>
      </c>
      <c r="DK770" s="9">
        <v>14</v>
      </c>
      <c r="DL770" s="10">
        <v>41.7</v>
      </c>
      <c r="DM770" s="9">
        <v>105.8</v>
      </c>
      <c r="DP770" s="11">
        <v>3</v>
      </c>
      <c r="DR770" s="9">
        <v>3</v>
      </c>
    </row>
    <row r="771" spans="1:125" x14ac:dyDescent="0.2">
      <c r="A771" s="14">
        <v>684</v>
      </c>
      <c r="B771" s="17">
        <v>43285</v>
      </c>
      <c r="C771" s="9" t="s">
        <v>107</v>
      </c>
      <c r="D771" s="9">
        <v>51</v>
      </c>
      <c r="E771" s="9" t="s">
        <v>96</v>
      </c>
      <c r="F771" s="17">
        <v>24543</v>
      </c>
      <c r="G771" s="9" t="s">
        <v>6630</v>
      </c>
      <c r="H771" s="9" t="s">
        <v>6494</v>
      </c>
      <c r="M771" s="9" t="s">
        <v>263</v>
      </c>
      <c r="N771" s="9" t="s">
        <v>263</v>
      </c>
      <c r="P771" s="9" t="s">
        <v>99</v>
      </c>
      <c r="Q771" s="9" t="s">
        <v>6631</v>
      </c>
      <c r="R771" s="9" t="s">
        <v>110</v>
      </c>
      <c r="S771" s="9" t="s">
        <v>110</v>
      </c>
      <c r="T771" s="9" t="s">
        <v>99</v>
      </c>
      <c r="U771" s="9" t="s">
        <v>99</v>
      </c>
      <c r="W771" s="9" t="s">
        <v>500</v>
      </c>
      <c r="Y771" s="9" t="s">
        <v>500</v>
      </c>
      <c r="AA771" s="9" t="s">
        <v>96</v>
      </c>
      <c r="AB771" s="37" t="s">
        <v>6632</v>
      </c>
      <c r="AC771" s="9" t="s">
        <v>96</v>
      </c>
      <c r="AD771" s="37" t="s">
        <v>6632</v>
      </c>
      <c r="AE771" s="9" t="s">
        <v>4038</v>
      </c>
      <c r="AF771" s="9" t="s">
        <v>99</v>
      </c>
      <c r="AG771" s="9" t="s">
        <v>99</v>
      </c>
      <c r="AH771" s="9" t="s">
        <v>99</v>
      </c>
      <c r="AI771" s="9" t="s">
        <v>99</v>
      </c>
      <c r="AJ771" s="9" t="s">
        <v>99</v>
      </c>
      <c r="AK771" s="9" t="s">
        <v>99</v>
      </c>
      <c r="AL771" s="9">
        <v>75.7</v>
      </c>
      <c r="AM771" s="9">
        <v>1.71</v>
      </c>
      <c r="AN771" s="9" t="s">
        <v>500</v>
      </c>
      <c r="AO771" s="9" t="s">
        <v>500</v>
      </c>
      <c r="AP771" s="9">
        <v>32.6</v>
      </c>
      <c r="AQ771" s="9">
        <v>7</v>
      </c>
      <c r="AR771" s="9">
        <v>29.9</v>
      </c>
      <c r="AS771" s="9">
        <v>47</v>
      </c>
      <c r="AT771" s="9">
        <v>25.9</v>
      </c>
      <c r="AU771" s="10">
        <v>139</v>
      </c>
      <c r="AV771" s="10">
        <v>89</v>
      </c>
      <c r="AX771" s="9" t="s">
        <v>6633</v>
      </c>
      <c r="BB771" s="9" t="s">
        <v>346</v>
      </c>
      <c r="BF771" s="9" t="s">
        <v>176</v>
      </c>
      <c r="BG771" s="9" t="s">
        <v>4644</v>
      </c>
      <c r="BH771" s="9" t="s">
        <v>595</v>
      </c>
      <c r="BI771" s="9" t="s">
        <v>720</v>
      </c>
      <c r="BJ771" s="9" t="s">
        <v>6634</v>
      </c>
      <c r="BK771" s="9" t="s">
        <v>1172</v>
      </c>
      <c r="BN771" s="9" t="s">
        <v>500</v>
      </c>
      <c r="BZ771" s="9" t="s">
        <v>6635</v>
      </c>
      <c r="CL771" s="9" t="s">
        <v>6636</v>
      </c>
      <c r="CP771" s="9" t="s">
        <v>6476</v>
      </c>
      <c r="CT771" s="9" t="s">
        <v>6637</v>
      </c>
      <c r="CW771" s="9">
        <v>4</v>
      </c>
      <c r="CX771" s="9" t="s">
        <v>99</v>
      </c>
      <c r="DC771" s="10">
        <v>102.5</v>
      </c>
      <c r="DE771" s="10">
        <v>267</v>
      </c>
      <c r="DF771" s="10">
        <v>228</v>
      </c>
      <c r="DG771" s="9">
        <f t="shared" ref="DG771:DG834" si="12">LN(DF771*DC771)/2</f>
        <v>5.0296042137664516</v>
      </c>
      <c r="DH771" s="9">
        <v>45.6</v>
      </c>
      <c r="DI771" s="9">
        <v>6.25</v>
      </c>
      <c r="DK771" s="9">
        <v>24</v>
      </c>
      <c r="DL771" s="9">
        <v>48.1</v>
      </c>
      <c r="DM771" s="9">
        <v>173.3</v>
      </c>
      <c r="DP771" s="11">
        <v>2</v>
      </c>
    </row>
    <row r="772" spans="1:125" x14ac:dyDescent="0.2">
      <c r="A772" s="9">
        <v>685</v>
      </c>
      <c r="B772" s="17">
        <v>43286</v>
      </c>
      <c r="C772" s="9" t="s">
        <v>95</v>
      </c>
      <c r="D772" s="9">
        <v>65</v>
      </c>
      <c r="E772" s="9" t="s">
        <v>96</v>
      </c>
      <c r="F772" s="17">
        <v>19236</v>
      </c>
      <c r="G772" s="9" t="s">
        <v>1892</v>
      </c>
      <c r="H772" s="9" t="s">
        <v>6638</v>
      </c>
      <c r="J772" s="9" t="s">
        <v>110</v>
      </c>
      <c r="K772" s="9">
        <v>1980</v>
      </c>
      <c r="L772" s="9">
        <v>5</v>
      </c>
      <c r="M772" s="9" t="s">
        <v>99</v>
      </c>
      <c r="N772" s="9" t="s">
        <v>99</v>
      </c>
      <c r="Q772" s="9" t="s">
        <v>601</v>
      </c>
      <c r="R772" s="9" t="s">
        <v>110</v>
      </c>
      <c r="S772" s="9" t="s">
        <v>99</v>
      </c>
      <c r="T772" s="9" t="s">
        <v>99</v>
      </c>
      <c r="U772" s="9" t="s">
        <v>99</v>
      </c>
      <c r="V772" s="9" t="s">
        <v>99</v>
      </c>
      <c r="W772" s="9" t="s">
        <v>99</v>
      </c>
      <c r="X772" s="9" t="s">
        <v>99</v>
      </c>
      <c r="AA772" s="9" t="s">
        <v>96</v>
      </c>
      <c r="AB772" s="9" t="s">
        <v>96</v>
      </c>
      <c r="AC772" s="9" t="s">
        <v>96</v>
      </c>
      <c r="AD772" s="9" t="s">
        <v>96</v>
      </c>
      <c r="AE772" s="9" t="s">
        <v>263</v>
      </c>
      <c r="AF772" s="9" t="s">
        <v>99</v>
      </c>
      <c r="AG772" s="9" t="s">
        <v>99</v>
      </c>
      <c r="AH772" s="9" t="s">
        <v>99</v>
      </c>
      <c r="AI772" s="9" t="s">
        <v>99</v>
      </c>
      <c r="AJ772" s="9" t="s">
        <v>99</v>
      </c>
      <c r="AK772" s="9" t="s">
        <v>99</v>
      </c>
      <c r="AL772" s="9">
        <v>68.599999999999994</v>
      </c>
      <c r="AM772" s="9">
        <v>1.5</v>
      </c>
      <c r="AN772" s="9">
        <v>88</v>
      </c>
      <c r="AO772" s="9">
        <v>104</v>
      </c>
      <c r="AP772" s="9">
        <v>46.4</v>
      </c>
      <c r="AQ772" s="9">
        <v>12</v>
      </c>
      <c r="AR772" s="9">
        <v>22</v>
      </c>
      <c r="AS772" s="9">
        <v>73</v>
      </c>
      <c r="AT772" s="9">
        <v>30.5</v>
      </c>
      <c r="AU772" s="9">
        <v>115</v>
      </c>
      <c r="AV772" s="9">
        <v>68</v>
      </c>
      <c r="DG772" s="9" t="e">
        <f t="shared" si="12"/>
        <v>#NUM!</v>
      </c>
      <c r="DP772" s="11">
        <v>3</v>
      </c>
    </row>
    <row r="773" spans="1:125" x14ac:dyDescent="0.2">
      <c r="A773" s="36">
        <v>686</v>
      </c>
      <c r="B773" s="17">
        <v>43286</v>
      </c>
      <c r="C773" s="9" t="s">
        <v>95</v>
      </c>
      <c r="D773" s="9">
        <v>63</v>
      </c>
      <c r="E773" s="9" t="s">
        <v>96</v>
      </c>
      <c r="F773" s="17">
        <v>20196</v>
      </c>
      <c r="G773" s="9" t="s">
        <v>6639</v>
      </c>
      <c r="H773" s="9" t="s">
        <v>6640</v>
      </c>
      <c r="I773" s="9">
        <v>12</v>
      </c>
      <c r="J773" s="9">
        <v>35</v>
      </c>
      <c r="K773" s="9">
        <v>1991</v>
      </c>
      <c r="L773" s="9">
        <v>5</v>
      </c>
      <c r="M773" s="9" t="s">
        <v>263</v>
      </c>
      <c r="N773" s="10" t="s">
        <v>368</v>
      </c>
      <c r="O773" s="10" t="s">
        <v>368</v>
      </c>
      <c r="P773" s="9" t="s">
        <v>99</v>
      </c>
      <c r="Q773" s="9" t="s">
        <v>110</v>
      </c>
      <c r="R773" s="9" t="s">
        <v>110</v>
      </c>
      <c r="S773" s="9" t="s">
        <v>99</v>
      </c>
      <c r="T773" s="9" t="s">
        <v>99</v>
      </c>
      <c r="U773" s="9" t="s">
        <v>500</v>
      </c>
      <c r="W773" s="14" t="s">
        <v>6641</v>
      </c>
      <c r="Y773" s="9" t="s">
        <v>6642</v>
      </c>
      <c r="AA773" s="9" t="s">
        <v>96</v>
      </c>
      <c r="AB773" s="9" t="s">
        <v>96</v>
      </c>
      <c r="AC773" s="9" t="s">
        <v>96</v>
      </c>
      <c r="AD773" s="9" t="s">
        <v>96</v>
      </c>
      <c r="AE773" s="10" t="s">
        <v>118</v>
      </c>
      <c r="AF773" s="10" t="s">
        <v>118</v>
      </c>
      <c r="AG773" s="9" t="s">
        <v>99</v>
      </c>
      <c r="AH773" s="9" t="s">
        <v>99</v>
      </c>
      <c r="AI773" s="9" t="s">
        <v>99</v>
      </c>
      <c r="AJ773" s="9" t="s">
        <v>99</v>
      </c>
      <c r="AK773" s="9" t="s">
        <v>99</v>
      </c>
      <c r="AL773" s="9">
        <v>59.7</v>
      </c>
      <c r="AM773" s="9">
        <v>1.55</v>
      </c>
      <c r="AN773" s="9">
        <v>85</v>
      </c>
      <c r="AO773" s="9">
        <v>94</v>
      </c>
      <c r="AP773" s="9">
        <v>36.299999999999997</v>
      </c>
      <c r="AQ773" s="9">
        <v>26.5</v>
      </c>
      <c r="AR773" s="9">
        <v>8</v>
      </c>
      <c r="AS773" s="9">
        <v>58</v>
      </c>
      <c r="AT773" s="7">
        <v>24.7</v>
      </c>
      <c r="AU773" s="9">
        <v>109</v>
      </c>
      <c r="AV773" s="9">
        <v>58</v>
      </c>
      <c r="AX773" s="9" t="s">
        <v>6473</v>
      </c>
      <c r="BB773" s="9" t="s">
        <v>99</v>
      </c>
      <c r="BF773" s="9" t="s">
        <v>6476</v>
      </c>
      <c r="BG773" s="9" t="s">
        <v>6476</v>
      </c>
      <c r="BH773" s="9" t="s">
        <v>6476</v>
      </c>
      <c r="BI773" s="9" t="s">
        <v>6477</v>
      </c>
      <c r="BJ773" s="9" t="s">
        <v>263</v>
      </c>
      <c r="BK773" s="9" t="s">
        <v>6477</v>
      </c>
      <c r="BN773" s="9" t="s">
        <v>6643</v>
      </c>
      <c r="BZ773" s="9" t="s">
        <v>6644</v>
      </c>
      <c r="CL773" s="9" t="s">
        <v>6645</v>
      </c>
      <c r="CP773" s="9" t="s">
        <v>6481</v>
      </c>
      <c r="CT773" s="9" t="s">
        <v>99</v>
      </c>
      <c r="CW773" s="9">
        <v>2</v>
      </c>
      <c r="CX773" s="9" t="s">
        <v>368</v>
      </c>
      <c r="CY773" s="9" t="s">
        <v>368</v>
      </c>
      <c r="CZ773" s="9">
        <v>30</v>
      </c>
      <c r="DA773" s="9">
        <v>10</v>
      </c>
      <c r="DB773" s="9">
        <v>60</v>
      </c>
      <c r="DC773" s="10">
        <v>99.2</v>
      </c>
      <c r="DD773" s="9">
        <v>0.6</v>
      </c>
      <c r="DE773" s="10">
        <v>256</v>
      </c>
      <c r="DF773" s="10">
        <v>190</v>
      </c>
      <c r="DG773" s="9">
        <f t="shared" si="12"/>
        <v>4.9220810432256563</v>
      </c>
      <c r="DH773" s="9">
        <v>38</v>
      </c>
      <c r="DI773" s="9">
        <v>7.65</v>
      </c>
      <c r="DJ773" s="9">
        <v>19.7</v>
      </c>
      <c r="DK773" s="9">
        <v>27.7</v>
      </c>
      <c r="DL773" s="9">
        <v>40.799999999999997</v>
      </c>
      <c r="DM773" s="9">
        <v>177.2</v>
      </c>
      <c r="DP773" s="11">
        <v>3</v>
      </c>
      <c r="DU773" s="9">
        <v>7</v>
      </c>
    </row>
    <row r="774" spans="1:125" x14ac:dyDescent="0.2">
      <c r="A774" s="9">
        <v>687</v>
      </c>
      <c r="B774" s="8">
        <v>43279</v>
      </c>
      <c r="C774" s="9" t="s">
        <v>95</v>
      </c>
      <c r="D774" s="9">
        <v>43</v>
      </c>
      <c r="E774" s="9" t="s">
        <v>96</v>
      </c>
      <c r="F774" s="8">
        <v>27366</v>
      </c>
      <c r="G774" s="9" t="s">
        <v>314</v>
      </c>
      <c r="H774" s="9" t="s">
        <v>6646</v>
      </c>
      <c r="I774" s="9" t="s">
        <v>162</v>
      </c>
      <c r="J774" s="9" t="s">
        <v>162</v>
      </c>
      <c r="K774" s="9">
        <v>2008</v>
      </c>
      <c r="L774" s="9">
        <v>2</v>
      </c>
      <c r="M774" s="9" t="s">
        <v>263</v>
      </c>
      <c r="N774" s="9" t="s">
        <v>263</v>
      </c>
      <c r="O774" s="9" t="s">
        <v>263</v>
      </c>
      <c r="P774" s="9" t="s">
        <v>263</v>
      </c>
      <c r="Q774" s="10" t="s">
        <v>456</v>
      </c>
      <c r="R774" s="9" t="s">
        <v>368</v>
      </c>
      <c r="S774" s="9" t="s">
        <v>263</v>
      </c>
      <c r="T774" s="9" t="s">
        <v>263</v>
      </c>
      <c r="U774" s="9" t="s">
        <v>263</v>
      </c>
      <c r="V774" s="9" t="s">
        <v>263</v>
      </c>
      <c r="W774" s="9" t="s">
        <v>263</v>
      </c>
      <c r="X774" s="9" t="s">
        <v>263</v>
      </c>
      <c r="Y774" s="9" t="s">
        <v>162</v>
      </c>
      <c r="Z774" s="9" t="s">
        <v>162</v>
      </c>
      <c r="AA774" s="41" t="s">
        <v>151</v>
      </c>
      <c r="AB774" s="41" t="s">
        <v>151</v>
      </c>
      <c r="AC774" s="41" t="s">
        <v>151</v>
      </c>
      <c r="AD774" s="41" t="s">
        <v>151</v>
      </c>
      <c r="AE774" s="9" t="s">
        <v>263</v>
      </c>
      <c r="AF774" s="10" t="s">
        <v>1086</v>
      </c>
      <c r="AG774" s="9" t="s">
        <v>263</v>
      </c>
      <c r="AH774" s="9" t="s">
        <v>263</v>
      </c>
      <c r="AI774" s="10" t="s">
        <v>6416</v>
      </c>
      <c r="AJ774" s="9" t="s">
        <v>263</v>
      </c>
      <c r="AK774" s="9" t="s">
        <v>263</v>
      </c>
      <c r="AL774" s="9">
        <v>81.900000000000006</v>
      </c>
      <c r="AM774" s="9">
        <v>158</v>
      </c>
      <c r="AN774" s="9">
        <v>103</v>
      </c>
      <c r="AO774" s="9">
        <v>117</v>
      </c>
      <c r="AP774" s="9">
        <v>47.2</v>
      </c>
      <c r="AQ774" s="9">
        <v>10</v>
      </c>
      <c r="AR774" s="9">
        <v>23.2</v>
      </c>
      <c r="AS774" s="9">
        <v>63</v>
      </c>
      <c r="AT774" s="10">
        <v>32.799999999999997</v>
      </c>
      <c r="AU774" s="9">
        <v>110</v>
      </c>
      <c r="AV774" s="9">
        <v>75</v>
      </c>
      <c r="AX774" s="9" t="s">
        <v>535</v>
      </c>
      <c r="AY774" s="9" t="s">
        <v>5738</v>
      </c>
      <c r="AZ774" s="9" t="s">
        <v>6371</v>
      </c>
      <c r="BB774" s="9" t="s">
        <v>3974</v>
      </c>
      <c r="BC774" s="9" t="s">
        <v>162</v>
      </c>
      <c r="BD774" s="9" t="s">
        <v>162</v>
      </c>
      <c r="BF774" s="9" t="s">
        <v>375</v>
      </c>
      <c r="BG774" s="9" t="s">
        <v>375</v>
      </c>
      <c r="BH774" s="9" t="s">
        <v>375</v>
      </c>
      <c r="BI774" s="9" t="s">
        <v>375</v>
      </c>
      <c r="BJ774" s="9" t="s">
        <v>375</v>
      </c>
      <c r="BK774" s="9" t="s">
        <v>276</v>
      </c>
      <c r="BN774" s="9" t="s">
        <v>411</v>
      </c>
      <c r="BO774" s="9" t="s">
        <v>552</v>
      </c>
      <c r="BP774" s="9" t="s">
        <v>517</v>
      </c>
      <c r="BR774" s="9" t="s">
        <v>162</v>
      </c>
      <c r="BS774" s="9" t="s">
        <v>162</v>
      </c>
      <c r="BT774" s="9" t="s">
        <v>162</v>
      </c>
      <c r="BV774" s="9" t="s">
        <v>325</v>
      </c>
      <c r="BW774" s="9" t="s">
        <v>162</v>
      </c>
      <c r="BX774" s="9" t="s">
        <v>162</v>
      </c>
      <c r="BZ774" s="9" t="s">
        <v>556</v>
      </c>
      <c r="CA774" s="9" t="s">
        <v>432</v>
      </c>
      <c r="CB774" s="9" t="s">
        <v>6647</v>
      </c>
      <c r="CD774" s="9" t="s">
        <v>162</v>
      </c>
      <c r="CE774" s="9" t="s">
        <v>162</v>
      </c>
      <c r="CF774" s="47" t="s">
        <v>162</v>
      </c>
      <c r="CH774" s="9" t="s">
        <v>162</v>
      </c>
      <c r="CI774" s="9" t="s">
        <v>162</v>
      </c>
      <c r="CJ774" s="9" t="s">
        <v>162</v>
      </c>
      <c r="CL774" s="9" t="s">
        <v>6648</v>
      </c>
      <c r="CM774" s="9" t="s">
        <v>922</v>
      </c>
      <c r="CN774" s="9" t="s">
        <v>383</v>
      </c>
      <c r="CP774" s="9" t="s">
        <v>1200</v>
      </c>
      <c r="CQ774" s="9" t="s">
        <v>6649</v>
      </c>
      <c r="CR774" s="9" t="s">
        <v>385</v>
      </c>
      <c r="CT774" s="9" t="s">
        <v>6158</v>
      </c>
      <c r="CU774" s="9" t="s">
        <v>6159</v>
      </c>
      <c r="CV774" s="9" t="s">
        <v>6650</v>
      </c>
      <c r="CW774" s="9">
        <v>4</v>
      </c>
      <c r="CX774" s="9" t="s">
        <v>368</v>
      </c>
      <c r="CY774" s="9" t="s">
        <v>263</v>
      </c>
      <c r="CZ774" s="9">
        <v>50</v>
      </c>
      <c r="DA774" s="9">
        <v>20</v>
      </c>
      <c r="DB774" s="9">
        <v>30</v>
      </c>
      <c r="DC774" s="9">
        <v>80</v>
      </c>
      <c r="DD774" s="9">
        <v>0.41</v>
      </c>
      <c r="DE774" s="9">
        <v>177</v>
      </c>
      <c r="DF774" s="9">
        <v>68</v>
      </c>
      <c r="DG774" s="9">
        <f t="shared" si="12"/>
        <v>4.3007671699249945</v>
      </c>
      <c r="DH774" s="9">
        <v>13.6</v>
      </c>
      <c r="DI774" s="9">
        <v>3.17</v>
      </c>
      <c r="DJ774" s="10">
        <v>39</v>
      </c>
      <c r="DK774" s="10">
        <v>47.3</v>
      </c>
      <c r="DL774" s="10">
        <v>43.4</v>
      </c>
      <c r="DM774" s="9">
        <v>120</v>
      </c>
      <c r="DP774" s="11">
        <v>3</v>
      </c>
      <c r="DR774" s="9">
        <v>3</v>
      </c>
    </row>
    <row r="775" spans="1:125" x14ac:dyDescent="0.2">
      <c r="A775" s="9" t="s">
        <v>6651</v>
      </c>
      <c r="DG775" s="9" t="e">
        <f t="shared" si="12"/>
        <v>#NUM!</v>
      </c>
    </row>
    <row r="776" spans="1:125" x14ac:dyDescent="0.2">
      <c r="A776" s="39">
        <v>689</v>
      </c>
      <c r="B776" s="8">
        <v>43279</v>
      </c>
      <c r="C776" s="9" t="s">
        <v>107</v>
      </c>
      <c r="D776" s="9">
        <v>51</v>
      </c>
      <c r="E776" s="9" t="s">
        <v>96</v>
      </c>
      <c r="F776" s="8">
        <v>31768</v>
      </c>
      <c r="G776" s="9" t="s">
        <v>162</v>
      </c>
      <c r="H776" s="9" t="s">
        <v>162</v>
      </c>
      <c r="I776" s="9" t="s">
        <v>162</v>
      </c>
      <c r="J776" s="9" t="s">
        <v>162</v>
      </c>
      <c r="K776" s="9" t="s">
        <v>162</v>
      </c>
      <c r="L776" s="9" t="s">
        <v>162</v>
      </c>
      <c r="M776" s="9" t="s">
        <v>263</v>
      </c>
      <c r="N776" s="9" t="s">
        <v>263</v>
      </c>
      <c r="O776" s="9" t="s">
        <v>263</v>
      </c>
      <c r="P776" s="9" t="s">
        <v>263</v>
      </c>
      <c r="Q776" s="10" t="s">
        <v>369</v>
      </c>
      <c r="R776" s="9" t="s">
        <v>162</v>
      </c>
      <c r="S776" s="9" t="s">
        <v>263</v>
      </c>
      <c r="T776" s="9" t="s">
        <v>263</v>
      </c>
      <c r="U776" s="9" t="s">
        <v>263</v>
      </c>
      <c r="V776" s="9" t="s">
        <v>263</v>
      </c>
      <c r="W776" s="10" t="s">
        <v>6652</v>
      </c>
      <c r="X776" s="9" t="s">
        <v>263</v>
      </c>
      <c r="Y776" s="10" t="s">
        <v>6653</v>
      </c>
      <c r="Z776" s="9" t="s">
        <v>162</v>
      </c>
      <c r="AA776" s="9" t="s">
        <v>96</v>
      </c>
      <c r="AB776" s="9" t="s">
        <v>96</v>
      </c>
      <c r="AC776" s="9" t="s">
        <v>96</v>
      </c>
      <c r="AD776" s="9" t="s">
        <v>96</v>
      </c>
      <c r="AE776" s="10" t="s">
        <v>425</v>
      </c>
      <c r="AF776" s="10" t="s">
        <v>6282</v>
      </c>
      <c r="AG776" s="9" t="s">
        <v>162</v>
      </c>
      <c r="AH776" s="9" t="s">
        <v>162</v>
      </c>
      <c r="AI776" s="9" t="s">
        <v>162</v>
      </c>
      <c r="AJ776" s="9" t="s">
        <v>162</v>
      </c>
      <c r="AK776" s="10" t="s">
        <v>6654</v>
      </c>
      <c r="AL776" s="9">
        <v>109.2</v>
      </c>
      <c r="AM776" s="9">
        <v>185</v>
      </c>
      <c r="AN776" s="9">
        <v>112.5</v>
      </c>
      <c r="AO776" s="9">
        <v>122</v>
      </c>
      <c r="AP776" s="9">
        <v>40.4</v>
      </c>
      <c r="AQ776" s="9">
        <v>3.2</v>
      </c>
      <c r="AR776" s="9">
        <v>61.8</v>
      </c>
      <c r="AS776" s="9">
        <v>50</v>
      </c>
      <c r="AT776" s="10">
        <v>31.91</v>
      </c>
      <c r="AU776" s="9">
        <v>115</v>
      </c>
      <c r="AV776" s="9">
        <v>81</v>
      </c>
      <c r="AX776" s="9" t="s">
        <v>4260</v>
      </c>
      <c r="AY776" s="9" t="s">
        <v>162</v>
      </c>
      <c r="AZ776" s="9" t="s">
        <v>162</v>
      </c>
      <c r="BB776" s="9" t="s">
        <v>162</v>
      </c>
      <c r="BC776" s="9" t="s">
        <v>162</v>
      </c>
      <c r="BD776" s="9" t="s">
        <v>162</v>
      </c>
      <c r="BF776" s="9" t="s">
        <v>375</v>
      </c>
      <c r="BG776" s="9" t="s">
        <v>375</v>
      </c>
      <c r="BH776" s="9" t="s">
        <v>375</v>
      </c>
      <c r="BI776" s="9" t="s">
        <v>375</v>
      </c>
      <c r="BJ776" s="9" t="s">
        <v>322</v>
      </c>
      <c r="BK776" s="9" t="s">
        <v>276</v>
      </c>
      <c r="BN776" s="9" t="s">
        <v>6513</v>
      </c>
      <c r="BO776" s="9" t="s">
        <v>430</v>
      </c>
      <c r="BP776" s="9" t="s">
        <v>6655</v>
      </c>
      <c r="BR776" s="9" t="s">
        <v>162</v>
      </c>
      <c r="BS776" s="9" t="s">
        <v>162</v>
      </c>
      <c r="BT776" s="9" t="s">
        <v>162</v>
      </c>
      <c r="BV776" s="9" t="s">
        <v>6501</v>
      </c>
      <c r="BW776" s="9" t="s">
        <v>6460</v>
      </c>
      <c r="BZ776" s="9" t="s">
        <v>397</v>
      </c>
      <c r="CA776" s="9" t="s">
        <v>6656</v>
      </c>
      <c r="CB776" s="9" t="s">
        <v>6657</v>
      </c>
      <c r="CD776" s="9" t="s">
        <v>6658</v>
      </c>
      <c r="CE776" s="9" t="s">
        <v>162</v>
      </c>
      <c r="CF776" s="9" t="s">
        <v>162</v>
      </c>
      <c r="CH776" s="9" t="s">
        <v>162</v>
      </c>
      <c r="CI776" s="9" t="s">
        <v>162</v>
      </c>
      <c r="CJ776" s="9" t="s">
        <v>162</v>
      </c>
      <c r="CL776" s="9" t="s">
        <v>162</v>
      </c>
      <c r="CM776" s="9" t="s">
        <v>162</v>
      </c>
      <c r="CN776" s="9" t="s">
        <v>162</v>
      </c>
      <c r="CP776" s="9" t="s">
        <v>1200</v>
      </c>
      <c r="CQ776" s="9" t="s">
        <v>385</v>
      </c>
      <c r="CR776" s="9" t="s">
        <v>561</v>
      </c>
      <c r="CT776" s="9" t="s">
        <v>4034</v>
      </c>
      <c r="CU776" s="9" t="s">
        <v>1287</v>
      </c>
      <c r="CV776" s="9" t="s">
        <v>162</v>
      </c>
      <c r="CW776" s="9">
        <v>3</v>
      </c>
      <c r="CX776" s="9" t="s">
        <v>368</v>
      </c>
      <c r="CY776" s="9" t="s">
        <v>263</v>
      </c>
      <c r="CZ776" s="9">
        <v>10</v>
      </c>
      <c r="DA776" s="9">
        <v>10</v>
      </c>
      <c r="DB776" s="9">
        <v>50</v>
      </c>
      <c r="DC776" s="9">
        <v>74.099999999999994</v>
      </c>
      <c r="DD776" s="9">
        <v>0.74</v>
      </c>
      <c r="DE776" s="9">
        <v>166</v>
      </c>
      <c r="DF776" s="9">
        <v>115</v>
      </c>
      <c r="DG776" s="9">
        <f t="shared" si="12"/>
        <v>4.5251738303326459</v>
      </c>
      <c r="DH776" s="9">
        <v>23</v>
      </c>
      <c r="DI776" s="10">
        <v>8.2200000000000006</v>
      </c>
      <c r="DJ776" s="9">
        <v>44.7</v>
      </c>
      <c r="DK776" s="9">
        <v>29.7</v>
      </c>
      <c r="DL776" s="10">
        <v>36.299999999999997</v>
      </c>
      <c r="DM776" s="9">
        <v>106.7</v>
      </c>
      <c r="DP776" s="11">
        <v>2</v>
      </c>
      <c r="DR776" s="9">
        <v>2</v>
      </c>
    </row>
    <row r="777" spans="1:125" x14ac:dyDescent="0.2">
      <c r="A777" s="9" t="s">
        <v>6659</v>
      </c>
      <c r="DG777" s="9" t="e">
        <f t="shared" si="12"/>
        <v>#NUM!</v>
      </c>
    </row>
    <row r="778" spans="1:125" x14ac:dyDescent="0.2">
      <c r="A778" s="9" t="s">
        <v>6660</v>
      </c>
      <c r="DC778" s="9">
        <v>72</v>
      </c>
      <c r="DD778" s="9">
        <v>0.64</v>
      </c>
      <c r="DE778" s="9">
        <v>197</v>
      </c>
      <c r="DF778" s="9">
        <v>79</v>
      </c>
      <c r="DG778" s="9">
        <f t="shared" si="12"/>
        <v>4.3230569857415384</v>
      </c>
      <c r="DH778" s="9">
        <v>15.8</v>
      </c>
      <c r="DI778" s="9">
        <v>6.42</v>
      </c>
      <c r="DL778" s="9">
        <v>73.8</v>
      </c>
      <c r="DM778" s="9">
        <v>107.4</v>
      </c>
    </row>
    <row r="779" spans="1:125" x14ac:dyDescent="0.2">
      <c r="A779" s="9">
        <v>692</v>
      </c>
      <c r="B779" s="8">
        <v>43279</v>
      </c>
      <c r="C779" s="9" t="s">
        <v>95</v>
      </c>
      <c r="D779" s="9">
        <v>35</v>
      </c>
      <c r="E779" s="9" t="s">
        <v>96</v>
      </c>
      <c r="F779" s="8">
        <v>30447</v>
      </c>
      <c r="G779" s="9" t="s">
        <v>314</v>
      </c>
      <c r="H779" s="9" t="s">
        <v>6378</v>
      </c>
      <c r="I779" s="9" t="s">
        <v>162</v>
      </c>
      <c r="J779" s="9" t="s">
        <v>162</v>
      </c>
      <c r="K779" s="9" t="s">
        <v>162</v>
      </c>
      <c r="L779" s="9">
        <v>2</v>
      </c>
      <c r="M779" s="9" t="s">
        <v>263</v>
      </c>
      <c r="N779" s="9" t="s">
        <v>263</v>
      </c>
      <c r="O779" s="9" t="s">
        <v>263</v>
      </c>
      <c r="P779" s="9" t="s">
        <v>6661</v>
      </c>
      <c r="Q779" s="10" t="s">
        <v>369</v>
      </c>
      <c r="R779" s="9" t="s">
        <v>368</v>
      </c>
      <c r="S779" s="9" t="s">
        <v>6662</v>
      </c>
      <c r="T779" s="9" t="s">
        <v>162</v>
      </c>
      <c r="U779" s="9" t="s">
        <v>263</v>
      </c>
      <c r="V779" s="9" t="s">
        <v>263</v>
      </c>
      <c r="W779" s="9" t="s">
        <v>162</v>
      </c>
      <c r="X779" s="9" t="s">
        <v>162</v>
      </c>
      <c r="Y779" s="9" t="s">
        <v>6663</v>
      </c>
      <c r="Z779" s="9" t="s">
        <v>545</v>
      </c>
      <c r="AA779" s="9" t="s">
        <v>1419</v>
      </c>
      <c r="AB779" s="9" t="s">
        <v>96</v>
      </c>
      <c r="AC779" s="49" t="s">
        <v>6664</v>
      </c>
      <c r="AD779" s="9" t="s">
        <v>96</v>
      </c>
      <c r="AE779" s="10" t="s">
        <v>424</v>
      </c>
      <c r="AF779" s="10" t="s">
        <v>406</v>
      </c>
      <c r="AG779" s="10" t="s">
        <v>368</v>
      </c>
      <c r="AH779" s="10" t="s">
        <v>6665</v>
      </c>
      <c r="AI779" s="9" t="s">
        <v>162</v>
      </c>
      <c r="AJ779" s="9" t="s">
        <v>162</v>
      </c>
      <c r="AK779" s="9" t="s">
        <v>162</v>
      </c>
      <c r="AL779" s="9">
        <v>64.5</v>
      </c>
      <c r="AM779" s="9">
        <v>158</v>
      </c>
      <c r="AN779" s="9">
        <v>80</v>
      </c>
      <c r="AO779" s="9">
        <v>107</v>
      </c>
      <c r="AP779" s="9">
        <v>15.1</v>
      </c>
      <c r="AQ779" s="9">
        <v>2.8</v>
      </c>
      <c r="AR779" s="9">
        <v>52</v>
      </c>
      <c r="AS779" s="9">
        <v>20</v>
      </c>
      <c r="AT779" s="10">
        <v>25.84</v>
      </c>
      <c r="AU779" s="9">
        <v>106</v>
      </c>
      <c r="AV779" s="9">
        <v>66</v>
      </c>
      <c r="AX779" s="9" t="s">
        <v>3971</v>
      </c>
      <c r="AY779" s="9" t="s">
        <v>390</v>
      </c>
      <c r="AZ779" s="9" t="s">
        <v>371</v>
      </c>
      <c r="BB779" s="9" t="s">
        <v>162</v>
      </c>
      <c r="BC779" s="9" t="s">
        <v>162</v>
      </c>
      <c r="BD779" s="9" t="s">
        <v>162</v>
      </c>
      <c r="BF779" s="9" t="s">
        <v>375</v>
      </c>
      <c r="BG779" s="9" t="s">
        <v>375</v>
      </c>
      <c r="BH779" s="9" t="s">
        <v>276</v>
      </c>
      <c r="BI779" s="9" t="s">
        <v>375</v>
      </c>
      <c r="BJ779" s="9" t="s">
        <v>162</v>
      </c>
      <c r="BK779" s="9" t="s">
        <v>162</v>
      </c>
      <c r="BN779" s="9" t="s">
        <v>6405</v>
      </c>
      <c r="BO779" s="9" t="s">
        <v>6513</v>
      </c>
      <c r="BP779" s="9" t="s">
        <v>467</v>
      </c>
      <c r="BR779" s="9" t="s">
        <v>162</v>
      </c>
      <c r="BS779" s="9" t="s">
        <v>162</v>
      </c>
      <c r="BT779" s="9" t="s">
        <v>162</v>
      </c>
      <c r="BV779" s="9" t="s">
        <v>162</v>
      </c>
      <c r="BW779" s="9" t="s">
        <v>162</v>
      </c>
      <c r="BX779" s="9" t="s">
        <v>162</v>
      </c>
      <c r="BZ779" s="9" t="s">
        <v>1486</v>
      </c>
      <c r="CA779" s="9" t="s">
        <v>6542</v>
      </c>
      <c r="CB779" s="9" t="s">
        <v>502</v>
      </c>
      <c r="CD779" s="9" t="s">
        <v>162</v>
      </c>
      <c r="CE779" s="9" t="s">
        <v>162</v>
      </c>
      <c r="CF779" s="9" t="s">
        <v>162</v>
      </c>
      <c r="CH779" s="9" t="s">
        <v>162</v>
      </c>
      <c r="CI779" s="9" t="s">
        <v>162</v>
      </c>
      <c r="CJ779" s="9" t="s">
        <v>162</v>
      </c>
      <c r="CL779" s="9" t="s">
        <v>333</v>
      </c>
      <c r="CM779" s="9" t="s">
        <v>472</v>
      </c>
      <c r="CN779" s="9" t="s">
        <v>560</v>
      </c>
      <c r="CP779" s="9" t="s">
        <v>1285</v>
      </c>
      <c r="CQ779" s="9" t="s">
        <v>452</v>
      </c>
      <c r="CR779" s="9" t="s">
        <v>162</v>
      </c>
      <c r="CT779" s="9" t="s">
        <v>6311</v>
      </c>
      <c r="CU779" s="9" t="s">
        <v>162</v>
      </c>
      <c r="CV779" s="9" t="s">
        <v>162</v>
      </c>
      <c r="CW779" s="9">
        <v>5</v>
      </c>
      <c r="CX779" s="9" t="s">
        <v>368</v>
      </c>
      <c r="CY779" s="9" t="s">
        <v>368</v>
      </c>
      <c r="CZ779" s="9">
        <v>50</v>
      </c>
      <c r="DA779" s="9">
        <v>30</v>
      </c>
      <c r="DB779" s="9">
        <v>20</v>
      </c>
      <c r="DC779" s="9">
        <v>85.4</v>
      </c>
      <c r="DD779" s="9">
        <v>0.61</v>
      </c>
      <c r="DE779" s="9">
        <v>129</v>
      </c>
      <c r="DF779" s="9">
        <v>76</v>
      </c>
      <c r="DG779" s="9">
        <f t="shared" si="12"/>
        <v>4.3890397205404277</v>
      </c>
      <c r="DH779" s="9">
        <v>15.2</v>
      </c>
      <c r="DI779" s="9">
        <v>4.5999999999999996</v>
      </c>
      <c r="DJ779" s="9">
        <v>5.2</v>
      </c>
      <c r="DK779" s="9">
        <v>12.3</v>
      </c>
      <c r="DL779" s="10">
        <v>45.6</v>
      </c>
      <c r="DM779" s="9">
        <v>68.2</v>
      </c>
      <c r="DP779" s="18">
        <v>1</v>
      </c>
    </row>
    <row r="780" spans="1:125" x14ac:dyDescent="0.2">
      <c r="A780" s="9" t="s">
        <v>6666</v>
      </c>
      <c r="DG780" s="9" t="e">
        <f t="shared" si="12"/>
        <v>#NUM!</v>
      </c>
    </row>
    <row r="781" spans="1:125" x14ac:dyDescent="0.2">
      <c r="A781" s="9" t="s">
        <v>6667</v>
      </c>
      <c r="DG781" s="9" t="e">
        <f t="shared" si="12"/>
        <v>#NUM!</v>
      </c>
    </row>
    <row r="782" spans="1:125" x14ac:dyDescent="0.2">
      <c r="A782" s="14">
        <v>695</v>
      </c>
      <c r="B782" s="17">
        <v>43285</v>
      </c>
      <c r="C782" s="9" t="s">
        <v>107</v>
      </c>
      <c r="D782" s="9">
        <v>63</v>
      </c>
      <c r="E782" s="49" t="s">
        <v>797</v>
      </c>
      <c r="G782" s="9" t="s">
        <v>6668</v>
      </c>
      <c r="H782" s="9" t="s">
        <v>6669</v>
      </c>
      <c r="M782" s="10" t="s">
        <v>6670</v>
      </c>
      <c r="N782" s="9" t="s">
        <v>99</v>
      </c>
      <c r="O782" s="9" t="s">
        <v>99</v>
      </c>
      <c r="P782" s="9" t="s">
        <v>99</v>
      </c>
      <c r="Q782" s="9" t="s">
        <v>646</v>
      </c>
      <c r="R782" s="9" t="s">
        <v>110</v>
      </c>
      <c r="S782" s="9" t="s">
        <v>99</v>
      </c>
      <c r="T782" s="9" t="s">
        <v>99</v>
      </c>
      <c r="U782" s="9" t="s">
        <v>99</v>
      </c>
      <c r="V782" s="9" t="s">
        <v>99</v>
      </c>
      <c r="W782" s="9" t="s">
        <v>99</v>
      </c>
      <c r="X782" s="9" t="s">
        <v>99</v>
      </c>
      <c r="AA782" s="49" t="s">
        <v>797</v>
      </c>
      <c r="AB782" s="49" t="s">
        <v>797</v>
      </c>
      <c r="AC782" s="49" t="s">
        <v>797</v>
      </c>
      <c r="AD782" s="49" t="s">
        <v>797</v>
      </c>
      <c r="AE782" s="9" t="s">
        <v>2227</v>
      </c>
      <c r="AF782" s="9" t="s">
        <v>99</v>
      </c>
      <c r="AG782" s="9" t="s">
        <v>99</v>
      </c>
      <c r="AH782" s="9" t="s">
        <v>99</v>
      </c>
      <c r="AI782" s="9" t="s">
        <v>99</v>
      </c>
      <c r="AJ782" s="9" t="s">
        <v>99</v>
      </c>
      <c r="AK782" s="9" t="s">
        <v>99</v>
      </c>
      <c r="AL782" s="9">
        <v>75.599999999999994</v>
      </c>
      <c r="AM782" s="9">
        <v>1.68</v>
      </c>
      <c r="AN782" s="9">
        <v>97</v>
      </c>
      <c r="AO782" s="9">
        <v>49</v>
      </c>
      <c r="AP782" s="9">
        <v>39.799999999999997</v>
      </c>
      <c r="AQ782" s="9">
        <v>13</v>
      </c>
      <c r="AR782" s="9">
        <v>33.6</v>
      </c>
      <c r="AS782" s="9">
        <v>55</v>
      </c>
      <c r="AT782" s="9">
        <v>36.799999999999997</v>
      </c>
      <c r="AU782" s="9">
        <v>104</v>
      </c>
      <c r="AV782" s="9">
        <v>70</v>
      </c>
      <c r="AX782" s="9" t="s">
        <v>6671</v>
      </c>
      <c r="BB782" s="9" t="s">
        <v>6476</v>
      </c>
      <c r="BF782" s="9" t="s">
        <v>368</v>
      </c>
      <c r="BG782" s="9" t="s">
        <v>6476</v>
      </c>
      <c r="BH782" s="9" t="s">
        <v>6672</v>
      </c>
      <c r="BI782" s="9" t="s">
        <v>6476</v>
      </c>
      <c r="BJ782" s="9" t="s">
        <v>6476</v>
      </c>
      <c r="BK782" s="9" t="s">
        <v>6476</v>
      </c>
      <c r="BL782" s="9" t="s">
        <v>6475</v>
      </c>
      <c r="BZ782" s="9" t="s">
        <v>6673</v>
      </c>
      <c r="CL782" s="9" t="s">
        <v>6674</v>
      </c>
      <c r="CP782" s="9" t="s">
        <v>1054</v>
      </c>
      <c r="CS782" s="9" t="s">
        <v>6675</v>
      </c>
      <c r="CW782" s="9">
        <v>2</v>
      </c>
      <c r="CX782" s="9" t="s">
        <v>263</v>
      </c>
      <c r="CY782" s="9" t="s">
        <v>368</v>
      </c>
      <c r="DC782" s="10">
        <v>177.7</v>
      </c>
      <c r="DD782" s="9">
        <v>0.61</v>
      </c>
      <c r="DE782" s="9">
        <v>175</v>
      </c>
      <c r="DF782" s="10">
        <v>398</v>
      </c>
      <c r="DG782" s="9">
        <f t="shared" si="12"/>
        <v>5.5832743702225214</v>
      </c>
      <c r="DH782" s="9">
        <v>79.599999999999994</v>
      </c>
      <c r="DI782" s="10">
        <v>7.43</v>
      </c>
      <c r="DJ782" s="9">
        <v>19.3</v>
      </c>
      <c r="DK782" s="9">
        <v>24.3</v>
      </c>
      <c r="DL782" s="10">
        <v>34</v>
      </c>
      <c r="DM782" s="9">
        <v>61.4</v>
      </c>
      <c r="DP782" s="11">
        <v>3</v>
      </c>
      <c r="DR782" s="9">
        <v>2</v>
      </c>
      <c r="DU782" s="9">
        <v>4.6500000000000004</v>
      </c>
    </row>
    <row r="783" spans="1:125" x14ac:dyDescent="0.2">
      <c r="A783" s="9" t="s">
        <v>6676</v>
      </c>
      <c r="DG783" s="9" t="e">
        <f t="shared" si="12"/>
        <v>#NUM!</v>
      </c>
    </row>
    <row r="784" spans="1:125" x14ac:dyDescent="0.2">
      <c r="A784" s="9" t="s">
        <v>6677</v>
      </c>
      <c r="DG784" s="9" t="e">
        <f t="shared" si="12"/>
        <v>#NUM!</v>
      </c>
    </row>
    <row r="785" spans="1:125" x14ac:dyDescent="0.2">
      <c r="A785" s="9" t="s">
        <v>6678</v>
      </c>
      <c r="DG785" s="9" t="e">
        <f t="shared" si="12"/>
        <v>#NUM!</v>
      </c>
    </row>
    <row r="786" spans="1:125" x14ac:dyDescent="0.2">
      <c r="A786" s="9" t="s">
        <v>6679</v>
      </c>
      <c r="DG786" s="9" t="e">
        <f t="shared" si="12"/>
        <v>#NUM!</v>
      </c>
    </row>
    <row r="787" spans="1:125" x14ac:dyDescent="0.2">
      <c r="A787" s="7">
        <v>700</v>
      </c>
      <c r="B787" s="45">
        <v>43292</v>
      </c>
      <c r="C787" s="9" t="s">
        <v>107</v>
      </c>
      <c r="D787" s="9">
        <v>19</v>
      </c>
      <c r="E787" s="9" t="s">
        <v>96</v>
      </c>
      <c r="F787" s="17">
        <v>36078</v>
      </c>
      <c r="H787" s="9" t="s">
        <v>6680</v>
      </c>
      <c r="M787" s="9" t="s">
        <v>263</v>
      </c>
      <c r="N787" s="9" t="s">
        <v>263</v>
      </c>
      <c r="O787" s="9" t="s">
        <v>263</v>
      </c>
      <c r="P787" s="9" t="s">
        <v>368</v>
      </c>
      <c r="Q787" s="9" t="s">
        <v>369</v>
      </c>
      <c r="R787" s="9" t="s">
        <v>263</v>
      </c>
      <c r="S787" s="9" t="s">
        <v>3715</v>
      </c>
      <c r="T787" s="9" t="s">
        <v>263</v>
      </c>
      <c r="U787" s="9" t="s">
        <v>263</v>
      </c>
      <c r="V787" s="9" t="s">
        <v>263</v>
      </c>
      <c r="W787" s="9" t="s">
        <v>263</v>
      </c>
      <c r="X787" s="9" t="s">
        <v>5689</v>
      </c>
      <c r="Y787" s="9" t="s">
        <v>263</v>
      </c>
      <c r="Z787" s="9" t="s">
        <v>263</v>
      </c>
      <c r="AA787" s="9" t="s">
        <v>96</v>
      </c>
      <c r="AB787" s="9" t="s">
        <v>96</v>
      </c>
      <c r="AC787" s="9" t="s">
        <v>96</v>
      </c>
      <c r="AD787" s="9" t="s">
        <v>1419</v>
      </c>
      <c r="AE787" s="9" t="s">
        <v>368</v>
      </c>
      <c r="AF787" s="9" t="s">
        <v>368</v>
      </c>
      <c r="AG787" s="9" t="s">
        <v>263</v>
      </c>
      <c r="AH787" s="9" t="s">
        <v>368</v>
      </c>
      <c r="AI787" s="9" t="s">
        <v>368</v>
      </c>
      <c r="AJ787" s="9" t="s">
        <v>263</v>
      </c>
      <c r="AK787" s="9" t="s">
        <v>263</v>
      </c>
      <c r="AL787" s="9">
        <v>59</v>
      </c>
      <c r="AM787" s="9">
        <v>1.55</v>
      </c>
      <c r="AN787" s="9">
        <v>80</v>
      </c>
      <c r="AO787" s="9">
        <v>98</v>
      </c>
      <c r="AP787" s="9">
        <v>23.2</v>
      </c>
      <c r="AQ787" s="9">
        <v>7</v>
      </c>
      <c r="AR787" s="9">
        <v>40.6</v>
      </c>
      <c r="AS787" s="9">
        <v>18</v>
      </c>
      <c r="AT787" s="9">
        <v>24.6</v>
      </c>
      <c r="AU787" s="9">
        <v>118</v>
      </c>
      <c r="AV787" s="9">
        <v>77</v>
      </c>
      <c r="AX787" s="9" t="s">
        <v>6681</v>
      </c>
      <c r="BB787" s="9" t="s">
        <v>6682</v>
      </c>
      <c r="BF787" s="9" t="s">
        <v>322</v>
      </c>
      <c r="BG787" s="9" t="s">
        <v>276</v>
      </c>
      <c r="BH787" s="9" t="s">
        <v>375</v>
      </c>
      <c r="BI787" s="9" t="s">
        <v>322</v>
      </c>
      <c r="BJ787" s="9" t="s">
        <v>375</v>
      </c>
      <c r="BK787" s="9" t="s">
        <v>375</v>
      </c>
      <c r="BN787" s="9" t="s">
        <v>6453</v>
      </c>
      <c r="BO787" s="9" t="s">
        <v>5167</v>
      </c>
      <c r="BP787" s="9" t="s">
        <v>6374</v>
      </c>
      <c r="BV787" s="9" t="s">
        <v>6683</v>
      </c>
      <c r="BW787" s="9" t="s">
        <v>6684</v>
      </c>
      <c r="BY787" s="9" t="s">
        <v>6685</v>
      </c>
      <c r="CC787" s="9" t="s">
        <v>6686</v>
      </c>
      <c r="CG787" s="9" t="s">
        <v>6687</v>
      </c>
      <c r="CL787" s="9" t="s">
        <v>6688</v>
      </c>
      <c r="CM787" s="9" t="s">
        <v>4032</v>
      </c>
      <c r="CN787" s="9" t="s">
        <v>450</v>
      </c>
      <c r="CP787" s="9" t="s">
        <v>6689</v>
      </c>
      <c r="CQ787" s="9" t="s">
        <v>384</v>
      </c>
      <c r="CT787" s="9" t="s">
        <v>1541</v>
      </c>
      <c r="CW787" s="9">
        <v>4</v>
      </c>
      <c r="CX787" s="9" t="s">
        <v>368</v>
      </c>
      <c r="CY787" s="9" t="s">
        <v>368</v>
      </c>
      <c r="CZ787" s="9">
        <v>50</v>
      </c>
      <c r="DA787" s="9">
        <v>25</v>
      </c>
      <c r="DB787" s="9">
        <v>25</v>
      </c>
      <c r="DC787" s="9">
        <v>95.4</v>
      </c>
      <c r="DD787" s="9">
        <v>0.76</v>
      </c>
      <c r="DE787" s="9">
        <v>126</v>
      </c>
      <c r="DF787" s="9">
        <v>123</v>
      </c>
      <c r="DG787" s="9">
        <f t="shared" si="12"/>
        <v>4.6851314669133295</v>
      </c>
      <c r="DH787" s="9">
        <v>24.6</v>
      </c>
      <c r="DI787" s="10">
        <v>9.5399999999999991</v>
      </c>
      <c r="DJ787" s="9">
        <v>19.7</v>
      </c>
      <c r="DK787" s="10">
        <v>54.3</v>
      </c>
      <c r="DL787" s="10">
        <v>27.9</v>
      </c>
      <c r="DM787" s="9">
        <v>73.5</v>
      </c>
      <c r="DP787" s="11">
        <v>3</v>
      </c>
      <c r="DR787" s="9">
        <v>2</v>
      </c>
    </row>
    <row r="788" spans="1:125" x14ac:dyDescent="0.2">
      <c r="A788" s="9">
        <v>701</v>
      </c>
      <c r="B788" s="17">
        <v>43299</v>
      </c>
      <c r="C788" s="9" t="s">
        <v>3955</v>
      </c>
      <c r="D788" s="9">
        <v>36</v>
      </c>
      <c r="E788" s="9" t="s">
        <v>5683</v>
      </c>
      <c r="F788" s="17">
        <v>30074</v>
      </c>
      <c r="G788" s="9" t="s">
        <v>3703</v>
      </c>
      <c r="H788" s="9" t="s">
        <v>6533</v>
      </c>
      <c r="M788" s="9" t="s">
        <v>483</v>
      </c>
      <c r="N788" s="9" t="s">
        <v>483</v>
      </c>
      <c r="O788" s="9" t="s">
        <v>483</v>
      </c>
      <c r="P788" s="9" t="s">
        <v>483</v>
      </c>
      <c r="Q788" s="9" t="s">
        <v>483</v>
      </c>
      <c r="R788" s="9" t="s">
        <v>6690</v>
      </c>
      <c r="S788" s="9" t="s">
        <v>6691</v>
      </c>
      <c r="T788" s="9" t="s">
        <v>483</v>
      </c>
      <c r="U788" s="9" t="s">
        <v>483</v>
      </c>
      <c r="V788" s="9" t="s">
        <v>483</v>
      </c>
      <c r="W788" s="9" t="s">
        <v>483</v>
      </c>
      <c r="X788" s="9" t="s">
        <v>483</v>
      </c>
      <c r="Y788" s="9" t="s">
        <v>483</v>
      </c>
      <c r="Z788" s="9" t="s">
        <v>483</v>
      </c>
      <c r="AA788" s="9" t="s">
        <v>949</v>
      </c>
      <c r="AB788" s="9" t="s">
        <v>6692</v>
      </c>
      <c r="AC788" s="9" t="s">
        <v>949</v>
      </c>
      <c r="AD788" s="9" t="s">
        <v>6693</v>
      </c>
      <c r="AE788" s="9" t="s">
        <v>483</v>
      </c>
      <c r="AF788" s="10" t="s">
        <v>406</v>
      </c>
      <c r="AG788" s="9" t="s">
        <v>483</v>
      </c>
      <c r="AH788" s="9" t="s">
        <v>483</v>
      </c>
      <c r="AI788" s="9" t="s">
        <v>483</v>
      </c>
      <c r="AJ788" s="9" t="s">
        <v>483</v>
      </c>
      <c r="AK788" s="10" t="s">
        <v>6694</v>
      </c>
      <c r="AL788" s="9">
        <v>84.1</v>
      </c>
      <c r="AM788" s="9">
        <v>1.74</v>
      </c>
      <c r="AN788" s="9">
        <v>96</v>
      </c>
      <c r="AO788" s="9">
        <v>107</v>
      </c>
      <c r="AP788" s="9">
        <v>27.1</v>
      </c>
      <c r="AQ788" s="9">
        <v>11</v>
      </c>
      <c r="AR788" s="9">
        <v>35</v>
      </c>
      <c r="AS788" s="9">
        <v>51</v>
      </c>
      <c r="AT788" s="9">
        <v>27.8</v>
      </c>
      <c r="AU788" s="10">
        <v>144</v>
      </c>
      <c r="AV788" s="10">
        <v>102</v>
      </c>
      <c r="AX788" s="9" t="s">
        <v>6695</v>
      </c>
      <c r="AY788" s="9" t="s">
        <v>5738</v>
      </c>
      <c r="BB788" s="9" t="s">
        <v>5714</v>
      </c>
      <c r="BF788" s="9" t="s">
        <v>323</v>
      </c>
      <c r="BG788" s="9" t="s">
        <v>483</v>
      </c>
      <c r="BH788" s="9" t="s">
        <v>323</v>
      </c>
      <c r="BI788" s="9" t="s">
        <v>635</v>
      </c>
      <c r="BJ788" s="9" t="s">
        <v>635</v>
      </c>
      <c r="BK788" s="9" t="s">
        <v>323</v>
      </c>
      <c r="BN788" s="9" t="s">
        <v>6453</v>
      </c>
      <c r="BO788" s="9" t="s">
        <v>6561</v>
      </c>
      <c r="BP788" s="9" t="s">
        <v>6696</v>
      </c>
      <c r="BR788" s="9" t="s">
        <v>468</v>
      </c>
      <c r="BS788" s="9" t="s">
        <v>467</v>
      </c>
      <c r="BV788" s="9" t="s">
        <v>6697</v>
      </c>
      <c r="BW788" s="9" t="s">
        <v>6698</v>
      </c>
      <c r="BZ788" s="9" t="s">
        <v>432</v>
      </c>
      <c r="CA788" s="9" t="s">
        <v>6508</v>
      </c>
      <c r="CD788" s="9" t="s">
        <v>6699</v>
      </c>
      <c r="CL788" s="9" t="s">
        <v>997</v>
      </c>
      <c r="CM788" s="9" t="s">
        <v>6700</v>
      </c>
      <c r="CP788" s="9" t="s">
        <v>6463</v>
      </c>
      <c r="CQ788" s="9" t="s">
        <v>1285</v>
      </c>
      <c r="CR788" s="9" t="s">
        <v>6464</v>
      </c>
      <c r="CT788" s="9" t="s">
        <v>6701</v>
      </c>
      <c r="CU788" s="9" t="s">
        <v>1278</v>
      </c>
      <c r="CW788" s="9">
        <v>5</v>
      </c>
      <c r="CX788" s="9" t="s">
        <v>588</v>
      </c>
      <c r="CY788" s="9" t="s">
        <v>588</v>
      </c>
      <c r="CZ788" s="9">
        <v>60</v>
      </c>
      <c r="DA788" s="9">
        <v>20</v>
      </c>
      <c r="DB788" s="9">
        <v>20</v>
      </c>
      <c r="DC788" s="9">
        <v>92.3</v>
      </c>
      <c r="DE788" s="9">
        <v>154</v>
      </c>
      <c r="DF788" s="9">
        <v>85</v>
      </c>
      <c r="DG788" s="9">
        <f t="shared" si="12"/>
        <v>4.4838476989995613</v>
      </c>
      <c r="DH788" s="9">
        <v>17</v>
      </c>
      <c r="DI788" s="9">
        <v>4.3600000000000003</v>
      </c>
      <c r="DJ788" s="9">
        <v>18</v>
      </c>
      <c r="DK788" s="9">
        <v>23.3</v>
      </c>
      <c r="DL788" s="9">
        <v>38.1</v>
      </c>
      <c r="DM788" s="9">
        <v>98.9</v>
      </c>
      <c r="DP788" s="18">
        <v>1</v>
      </c>
      <c r="DR788" s="9">
        <v>2</v>
      </c>
    </row>
    <row r="789" spans="1:125" x14ac:dyDescent="0.2">
      <c r="A789" s="14">
        <v>702</v>
      </c>
      <c r="B789" s="17">
        <v>43299</v>
      </c>
      <c r="C789" s="9" t="s">
        <v>3955</v>
      </c>
      <c r="D789" s="9">
        <v>62</v>
      </c>
      <c r="E789" s="41" t="s">
        <v>5730</v>
      </c>
      <c r="F789" s="17">
        <v>20444</v>
      </c>
      <c r="G789" s="9" t="s">
        <v>988</v>
      </c>
      <c r="H789" s="9" t="s">
        <v>6702</v>
      </c>
      <c r="M789" s="10" t="s">
        <v>6703</v>
      </c>
      <c r="N789" s="10" t="s">
        <v>588</v>
      </c>
      <c r="O789" s="10" t="s">
        <v>588</v>
      </c>
      <c r="P789" s="10" t="s">
        <v>588</v>
      </c>
      <c r="Q789" s="10" t="s">
        <v>588</v>
      </c>
      <c r="R789" s="10" t="s">
        <v>588</v>
      </c>
      <c r="S789" s="9" t="s">
        <v>6691</v>
      </c>
      <c r="T789" s="9" t="s">
        <v>588</v>
      </c>
      <c r="U789" s="9" t="s">
        <v>588</v>
      </c>
      <c r="V789" s="9" t="s">
        <v>483</v>
      </c>
      <c r="W789" s="9" t="s">
        <v>483</v>
      </c>
      <c r="X789" s="9" t="s">
        <v>483</v>
      </c>
      <c r="Y789" s="9" t="s">
        <v>483</v>
      </c>
      <c r="Z789" s="10" t="s">
        <v>6704</v>
      </c>
      <c r="AA789" s="41" t="s">
        <v>6705</v>
      </c>
      <c r="AB789" s="41" t="s">
        <v>5730</v>
      </c>
      <c r="AC789" s="41" t="s">
        <v>6705</v>
      </c>
      <c r="AD789" s="41" t="s">
        <v>5730</v>
      </c>
      <c r="AE789" s="10" t="s">
        <v>6706</v>
      </c>
      <c r="AF789" s="10" t="s">
        <v>6706</v>
      </c>
      <c r="AG789" s="9" t="s">
        <v>483</v>
      </c>
      <c r="AH789" s="10" t="s">
        <v>1017</v>
      </c>
      <c r="AI789" s="9" t="s">
        <v>483</v>
      </c>
      <c r="AJ789" s="10" t="s">
        <v>2417</v>
      </c>
      <c r="AK789" s="9" t="s">
        <v>483</v>
      </c>
      <c r="AL789" s="9">
        <v>113.6</v>
      </c>
      <c r="AM789" s="9">
        <v>1.68</v>
      </c>
      <c r="AN789" s="9">
        <v>135</v>
      </c>
      <c r="AO789" s="9">
        <v>177</v>
      </c>
      <c r="AP789" s="9">
        <v>38</v>
      </c>
      <c r="AQ789" s="9">
        <v>27</v>
      </c>
      <c r="AR789" s="9">
        <v>27.2</v>
      </c>
      <c r="AS789" s="9">
        <v>86</v>
      </c>
      <c r="AT789" s="14">
        <v>40.200000000000003</v>
      </c>
      <c r="AU789" s="14">
        <v>166</v>
      </c>
      <c r="AV789" s="14">
        <v>97</v>
      </c>
      <c r="AX789" s="9" t="s">
        <v>6537</v>
      </c>
      <c r="AY789" s="9" t="s">
        <v>5738</v>
      </c>
      <c r="AZ789" s="9" t="s">
        <v>6371</v>
      </c>
      <c r="BB789" s="9" t="s">
        <v>3974</v>
      </c>
      <c r="BE789" s="9" t="s">
        <v>6707</v>
      </c>
      <c r="BF789" s="9" t="s">
        <v>635</v>
      </c>
      <c r="BG789" s="9" t="s">
        <v>635</v>
      </c>
      <c r="BH789" s="9" t="s">
        <v>635</v>
      </c>
      <c r="BI789" s="9" t="s">
        <v>635</v>
      </c>
      <c r="BJ789" s="9" t="s">
        <v>483</v>
      </c>
      <c r="BK789" s="9" t="s">
        <v>323</v>
      </c>
      <c r="BN789" s="9" t="s">
        <v>467</v>
      </c>
      <c r="BO789" s="9" t="s">
        <v>430</v>
      </c>
      <c r="BR789" s="9" t="s">
        <v>6708</v>
      </c>
      <c r="BV789" s="9" t="s">
        <v>6709</v>
      </c>
      <c r="BZ789" s="9" t="s">
        <v>4112</v>
      </c>
      <c r="CA789" s="9" t="s">
        <v>6508</v>
      </c>
      <c r="CB789" s="9" t="s">
        <v>471</v>
      </c>
      <c r="CH789" s="9" t="s">
        <v>6710</v>
      </c>
      <c r="CL789" s="9" t="s">
        <v>2726</v>
      </c>
      <c r="CM789" s="9" t="s">
        <v>6711</v>
      </c>
      <c r="CN789" s="9" t="s">
        <v>417</v>
      </c>
      <c r="CP789" s="9" t="s">
        <v>1200</v>
      </c>
      <c r="CT789" s="9" t="s">
        <v>435</v>
      </c>
      <c r="CU789" s="9" t="s">
        <v>909</v>
      </c>
      <c r="CV789" s="9" t="s">
        <v>6712</v>
      </c>
      <c r="CW789" s="9">
        <v>2</v>
      </c>
      <c r="CX789" s="9" t="s">
        <v>483</v>
      </c>
      <c r="CY789" s="9" t="s">
        <v>483</v>
      </c>
      <c r="CZ789" s="9">
        <v>30</v>
      </c>
      <c r="DA789" s="9">
        <v>30</v>
      </c>
      <c r="DB789" s="9">
        <v>40</v>
      </c>
      <c r="DC789" s="10">
        <v>107.8</v>
      </c>
      <c r="DD789" s="9">
        <v>0.56000000000000005</v>
      </c>
      <c r="DE789" s="9">
        <v>183</v>
      </c>
      <c r="DF789" s="9">
        <v>120</v>
      </c>
      <c r="DG789" s="9">
        <f t="shared" si="12"/>
        <v>4.7338847006284714</v>
      </c>
      <c r="DH789" s="9">
        <v>24</v>
      </c>
      <c r="DI789" s="9">
        <v>7.17</v>
      </c>
      <c r="DJ789" s="9">
        <v>22</v>
      </c>
      <c r="DK789" s="9">
        <v>27.3</v>
      </c>
      <c r="DL789" s="10">
        <v>34.700000000000003</v>
      </c>
      <c r="DM789" s="9">
        <v>124.3</v>
      </c>
      <c r="DP789" s="11">
        <v>2</v>
      </c>
      <c r="DQ789" s="9">
        <v>2</v>
      </c>
      <c r="DR789" s="9">
        <v>3</v>
      </c>
      <c r="DU789" s="9">
        <v>6.3</v>
      </c>
    </row>
    <row r="790" spans="1:125" x14ac:dyDescent="0.2">
      <c r="A790" s="14">
        <v>703</v>
      </c>
      <c r="B790" s="17">
        <v>43299</v>
      </c>
      <c r="C790" s="9" t="s">
        <v>3955</v>
      </c>
      <c r="D790" s="9">
        <v>42</v>
      </c>
      <c r="E790" s="9" t="s">
        <v>4163</v>
      </c>
      <c r="F790" s="17">
        <v>27757</v>
      </c>
      <c r="G790" s="9" t="s">
        <v>3703</v>
      </c>
      <c r="H790" s="9" t="s">
        <v>6533</v>
      </c>
      <c r="M790" s="9" t="s">
        <v>483</v>
      </c>
      <c r="N790" s="9" t="s">
        <v>483</v>
      </c>
      <c r="O790" s="9" t="s">
        <v>483</v>
      </c>
      <c r="P790" s="9" t="s">
        <v>483</v>
      </c>
      <c r="Q790" s="9" t="s">
        <v>6713</v>
      </c>
      <c r="R790" s="9" t="s">
        <v>6690</v>
      </c>
      <c r="S790" s="9" t="s">
        <v>483</v>
      </c>
      <c r="T790" s="9" t="s">
        <v>483</v>
      </c>
      <c r="U790" s="9" t="s">
        <v>483</v>
      </c>
      <c r="V790" s="9" t="s">
        <v>483</v>
      </c>
      <c r="W790" s="9" t="s">
        <v>483</v>
      </c>
      <c r="X790" s="9" t="s">
        <v>483</v>
      </c>
      <c r="Y790" s="9" t="s">
        <v>4085</v>
      </c>
      <c r="Z790" s="9" t="s">
        <v>483</v>
      </c>
      <c r="AA790" s="9" t="s">
        <v>5749</v>
      </c>
      <c r="AB790" s="9" t="s">
        <v>6714</v>
      </c>
      <c r="AC790" s="9" t="s">
        <v>6715</v>
      </c>
      <c r="AD790" s="9" t="s">
        <v>5749</v>
      </c>
      <c r="AE790" s="10" t="s">
        <v>1086</v>
      </c>
      <c r="AF790" s="9" t="s">
        <v>483</v>
      </c>
      <c r="AG790" s="9" t="s">
        <v>483</v>
      </c>
      <c r="AH790" s="10" t="s">
        <v>406</v>
      </c>
      <c r="AI790" s="9" t="s">
        <v>483</v>
      </c>
      <c r="AJ790" s="9" t="s">
        <v>483</v>
      </c>
      <c r="AK790" s="9" t="s">
        <v>483</v>
      </c>
      <c r="AL790" s="9">
        <v>104.9</v>
      </c>
      <c r="AM790" s="9">
        <v>1.75</v>
      </c>
      <c r="AN790" s="9">
        <v>120</v>
      </c>
      <c r="AO790" s="9">
        <v>104</v>
      </c>
      <c r="AP790" s="9">
        <v>29.5</v>
      </c>
      <c r="AR790" s="9">
        <v>33.6</v>
      </c>
      <c r="AS790" s="9">
        <v>71</v>
      </c>
      <c r="AT790" s="9">
        <v>34.299999999999997</v>
      </c>
      <c r="AU790" s="10">
        <v>139</v>
      </c>
      <c r="AV790" s="10">
        <v>88</v>
      </c>
      <c r="AX790" s="9" t="s">
        <v>6537</v>
      </c>
      <c r="AY790" s="9" t="s">
        <v>5738</v>
      </c>
      <c r="BB790" s="9" t="s">
        <v>3974</v>
      </c>
      <c r="BC790" s="9" t="s">
        <v>536</v>
      </c>
      <c r="BF790" s="9" t="s">
        <v>635</v>
      </c>
      <c r="BG790" s="9" t="s">
        <v>635</v>
      </c>
      <c r="BH790" s="9" t="s">
        <v>323</v>
      </c>
      <c r="BI790" s="9" t="s">
        <v>325</v>
      </c>
      <c r="BJ790" s="9" t="s">
        <v>635</v>
      </c>
      <c r="BK790" s="9" t="s">
        <v>323</v>
      </c>
      <c r="BN790" s="9" t="s">
        <v>6405</v>
      </c>
      <c r="BO790" s="9" t="s">
        <v>467</v>
      </c>
      <c r="BP790" s="9" t="s">
        <v>430</v>
      </c>
      <c r="BZ790" s="9" t="s">
        <v>432</v>
      </c>
      <c r="CA790" s="9" t="s">
        <v>6508</v>
      </c>
      <c r="CL790" s="9" t="s">
        <v>997</v>
      </c>
      <c r="CM790" s="9" t="s">
        <v>922</v>
      </c>
      <c r="CN790" s="9" t="s">
        <v>449</v>
      </c>
      <c r="CP790" s="9" t="s">
        <v>1200</v>
      </c>
      <c r="CQ790" s="9" t="s">
        <v>451</v>
      </c>
      <c r="CR790" s="9" t="s">
        <v>385</v>
      </c>
      <c r="CT790" s="9" t="s">
        <v>6716</v>
      </c>
      <c r="CU790" s="9" t="s">
        <v>564</v>
      </c>
      <c r="CW790" s="9">
        <v>3</v>
      </c>
      <c r="CX790" s="9" t="s">
        <v>588</v>
      </c>
      <c r="CY790" s="9" t="s">
        <v>483</v>
      </c>
      <c r="CZ790" s="9">
        <v>25</v>
      </c>
      <c r="DA790" s="9">
        <v>25</v>
      </c>
      <c r="DB790" s="9">
        <v>50</v>
      </c>
      <c r="DC790" s="10">
        <v>102.1</v>
      </c>
      <c r="DD790" s="9">
        <v>0.78</v>
      </c>
      <c r="DE790" s="10">
        <v>210</v>
      </c>
      <c r="DF790" s="10">
        <v>275</v>
      </c>
      <c r="DG790" s="9">
        <f t="shared" si="12"/>
        <v>5.121361911418596</v>
      </c>
      <c r="DH790" s="9">
        <v>55</v>
      </c>
      <c r="DI790" s="9">
        <v>6.74</v>
      </c>
      <c r="DJ790" s="9">
        <v>33.700000000000003</v>
      </c>
      <c r="DK790" s="9">
        <v>28</v>
      </c>
      <c r="DL790" s="9">
        <v>40.700000000000003</v>
      </c>
      <c r="DM790" s="9">
        <v>114.3</v>
      </c>
      <c r="DP790" s="11">
        <v>3</v>
      </c>
      <c r="DR790" s="9">
        <v>2</v>
      </c>
    </row>
    <row r="791" spans="1:125" x14ac:dyDescent="0.2">
      <c r="A791" s="9">
        <v>704</v>
      </c>
      <c r="B791" s="8">
        <v>43293</v>
      </c>
      <c r="C791" s="9" t="s">
        <v>95</v>
      </c>
      <c r="D791" s="9">
        <v>54</v>
      </c>
      <c r="E791" s="9" t="s">
        <v>96</v>
      </c>
      <c r="F791" s="17">
        <v>24457</v>
      </c>
      <c r="G791" s="9" t="s">
        <v>1892</v>
      </c>
      <c r="H791" s="9" t="s">
        <v>6717</v>
      </c>
      <c r="I791" s="9" t="s">
        <v>2451</v>
      </c>
      <c r="J791" s="9" t="s">
        <v>6718</v>
      </c>
      <c r="K791" s="9">
        <v>1993</v>
      </c>
      <c r="L791" s="9">
        <v>3</v>
      </c>
      <c r="M791" s="9" t="s">
        <v>263</v>
      </c>
      <c r="N791" s="9" t="s">
        <v>263</v>
      </c>
      <c r="O791" s="10" t="s">
        <v>368</v>
      </c>
      <c r="P791" s="9" t="s">
        <v>263</v>
      </c>
      <c r="Q791" s="9" t="s">
        <v>263</v>
      </c>
      <c r="R791" s="9" t="s">
        <v>263</v>
      </c>
      <c r="S791" s="9" t="s">
        <v>6719</v>
      </c>
      <c r="T791" s="9" t="s">
        <v>6720</v>
      </c>
      <c r="U791" s="9" t="s">
        <v>263</v>
      </c>
      <c r="V791" s="9" t="s">
        <v>263</v>
      </c>
      <c r="W791" s="9" t="s">
        <v>1943</v>
      </c>
      <c r="X791" s="9" t="s">
        <v>263</v>
      </c>
      <c r="Y791" s="9" t="s">
        <v>263</v>
      </c>
      <c r="Z791" s="9" t="s">
        <v>263</v>
      </c>
      <c r="AA791" s="9" t="s">
        <v>96</v>
      </c>
      <c r="AB791" s="9" t="s">
        <v>96</v>
      </c>
      <c r="AC791" s="9" t="s">
        <v>96</v>
      </c>
      <c r="AD791" s="9" t="s">
        <v>96</v>
      </c>
      <c r="AE791" s="9" t="s">
        <v>263</v>
      </c>
      <c r="AF791" s="10" t="s">
        <v>368</v>
      </c>
      <c r="AG791" s="10" t="s">
        <v>368</v>
      </c>
      <c r="AH791" s="10" t="s">
        <v>368</v>
      </c>
      <c r="AI791" s="10" t="s">
        <v>368</v>
      </c>
      <c r="AJ791" s="9" t="s">
        <v>263</v>
      </c>
      <c r="AK791" s="10" t="s">
        <v>2010</v>
      </c>
      <c r="AL791" s="9">
        <v>55.2</v>
      </c>
      <c r="AM791" s="9">
        <v>1.55</v>
      </c>
      <c r="AN791" s="9">
        <v>75</v>
      </c>
      <c r="AO791" s="9">
        <v>101</v>
      </c>
      <c r="AP791" s="9">
        <v>33.1</v>
      </c>
      <c r="AQ791" s="9">
        <v>6</v>
      </c>
      <c r="AR791" s="9">
        <v>27.6</v>
      </c>
      <c r="AS791" s="9">
        <v>49</v>
      </c>
      <c r="AT791" s="7">
        <v>23</v>
      </c>
      <c r="AU791" s="10">
        <v>138</v>
      </c>
      <c r="AV791" s="10">
        <v>92</v>
      </c>
      <c r="AX791" s="9" t="s">
        <v>6213</v>
      </c>
      <c r="AY791" s="9" t="s">
        <v>6296</v>
      </c>
      <c r="AZ791" s="9" t="s">
        <v>6187</v>
      </c>
      <c r="BB791" s="9" t="s">
        <v>6721</v>
      </c>
      <c r="BC791" s="9" t="s">
        <v>6722</v>
      </c>
      <c r="BD791" s="9" t="s">
        <v>6723</v>
      </c>
      <c r="BF791" s="9" t="s">
        <v>323</v>
      </c>
      <c r="BG791" s="9" t="s">
        <v>375</v>
      </c>
      <c r="BH791" s="9" t="s">
        <v>263</v>
      </c>
      <c r="BI791" s="9" t="s">
        <v>375</v>
      </c>
      <c r="BJ791" s="9" t="s">
        <v>375</v>
      </c>
      <c r="BK791" s="9" t="s">
        <v>6724</v>
      </c>
      <c r="BN791" s="9" t="s">
        <v>6725</v>
      </c>
      <c r="BO791" s="9" t="s">
        <v>499</v>
      </c>
      <c r="BP791" s="9" t="s">
        <v>6726</v>
      </c>
      <c r="BR791" s="9" t="s">
        <v>6727</v>
      </c>
      <c r="BS791" s="9" t="s">
        <v>6728</v>
      </c>
      <c r="BV791" s="9" t="s">
        <v>5781</v>
      </c>
      <c r="BW791" s="9" t="s">
        <v>1416</v>
      </c>
      <c r="BZ791" s="9" t="s">
        <v>557</v>
      </c>
      <c r="CA791" s="9" t="s">
        <v>5165</v>
      </c>
      <c r="CB791" s="9" t="s">
        <v>5164</v>
      </c>
      <c r="CC791" s="9" t="s">
        <v>263</v>
      </c>
      <c r="CG791" s="9" t="s">
        <v>263</v>
      </c>
      <c r="CL791" s="9" t="s">
        <v>1373</v>
      </c>
      <c r="CM791" s="9" t="s">
        <v>6729</v>
      </c>
      <c r="CN791" s="9" t="s">
        <v>5741</v>
      </c>
      <c r="CP791" s="9" t="s">
        <v>384</v>
      </c>
      <c r="CQ791" s="9" t="s">
        <v>1706</v>
      </c>
      <c r="CR791" s="9" t="s">
        <v>6730</v>
      </c>
      <c r="CT791" s="9" t="s">
        <v>6289</v>
      </c>
      <c r="CU791" s="9" t="s">
        <v>6731</v>
      </c>
      <c r="CW791" s="9">
        <v>3</v>
      </c>
      <c r="CX791" s="9" t="s">
        <v>263</v>
      </c>
      <c r="CY791" s="9" t="s">
        <v>263</v>
      </c>
      <c r="CZ791" s="9">
        <v>40</v>
      </c>
      <c r="DA791" s="9">
        <v>30</v>
      </c>
      <c r="DB791" s="9">
        <v>30</v>
      </c>
      <c r="DC791" s="9">
        <v>86.1</v>
      </c>
      <c r="DD791" s="9">
        <v>0.47</v>
      </c>
      <c r="DE791" s="10">
        <v>205</v>
      </c>
      <c r="DF791" s="9">
        <v>77</v>
      </c>
      <c r="DG791" s="9">
        <f t="shared" si="12"/>
        <v>4.3996574166436844</v>
      </c>
      <c r="DH791" s="9">
        <v>15.4</v>
      </c>
      <c r="DI791" s="9">
        <v>4.3600000000000003</v>
      </c>
      <c r="DJ791" s="9">
        <v>21.7</v>
      </c>
      <c r="DK791" s="9">
        <v>19.7</v>
      </c>
      <c r="DL791" s="10">
        <v>37.6</v>
      </c>
      <c r="DM791" s="9">
        <v>152</v>
      </c>
      <c r="DP791" s="11">
        <v>2</v>
      </c>
      <c r="DR791" s="9">
        <v>2</v>
      </c>
    </row>
    <row r="792" spans="1:125" x14ac:dyDescent="0.2">
      <c r="A792" s="9">
        <v>705</v>
      </c>
      <c r="B792" s="8">
        <v>43293</v>
      </c>
      <c r="C792" s="9" t="s">
        <v>107</v>
      </c>
      <c r="D792" s="9">
        <v>45</v>
      </c>
      <c r="E792" s="9" t="s">
        <v>96</v>
      </c>
      <c r="F792" s="9" t="s">
        <v>6732</v>
      </c>
      <c r="G792" s="9" t="s">
        <v>5677</v>
      </c>
      <c r="H792" s="9" t="s">
        <v>6733</v>
      </c>
      <c r="M792" s="9" t="s">
        <v>263</v>
      </c>
      <c r="N792" s="9" t="s">
        <v>263</v>
      </c>
      <c r="O792" s="9" t="s">
        <v>263</v>
      </c>
      <c r="P792" s="9" t="s">
        <v>263</v>
      </c>
      <c r="Q792" s="9" t="s">
        <v>368</v>
      </c>
      <c r="R792" s="9" t="s">
        <v>368</v>
      </c>
      <c r="S792" s="9" t="s">
        <v>368</v>
      </c>
      <c r="T792" s="9" t="s">
        <v>368</v>
      </c>
      <c r="U792" s="9" t="s">
        <v>6734</v>
      </c>
      <c r="W792" s="9" t="s">
        <v>263</v>
      </c>
      <c r="X792" s="9" t="s">
        <v>263</v>
      </c>
      <c r="Y792" s="9" t="s">
        <v>6735</v>
      </c>
      <c r="Z792" s="9" t="s">
        <v>263</v>
      </c>
      <c r="AA792" s="41" t="s">
        <v>6705</v>
      </c>
      <c r="AB792" s="35" t="s">
        <v>6736</v>
      </c>
      <c r="AC792" s="41" t="s">
        <v>6705</v>
      </c>
      <c r="AD792" s="35" t="s">
        <v>6736</v>
      </c>
      <c r="AE792" s="9" t="s">
        <v>263</v>
      </c>
      <c r="AF792" s="10" t="s">
        <v>368</v>
      </c>
      <c r="AG792" s="10" t="s">
        <v>35</v>
      </c>
      <c r="AH792" s="10" t="s">
        <v>35</v>
      </c>
      <c r="AI792" s="10" t="s">
        <v>35</v>
      </c>
      <c r="AJ792" s="9" t="s">
        <v>263</v>
      </c>
      <c r="AK792" s="9" t="s">
        <v>263</v>
      </c>
      <c r="AL792" s="9">
        <v>83.1</v>
      </c>
      <c r="AM792" s="9">
        <v>1.7</v>
      </c>
      <c r="AN792" s="9">
        <v>99</v>
      </c>
      <c r="AO792" s="9">
        <v>98</v>
      </c>
      <c r="AP792" s="9">
        <v>27.9</v>
      </c>
      <c r="AQ792" s="9">
        <v>12</v>
      </c>
      <c r="AR792" s="9">
        <v>33.9</v>
      </c>
      <c r="AS792" s="9">
        <v>54</v>
      </c>
      <c r="AT792" s="9">
        <v>28.8</v>
      </c>
      <c r="AU792" s="9">
        <v>114</v>
      </c>
      <c r="AV792" s="9">
        <v>87</v>
      </c>
      <c r="AX792" s="9" t="s">
        <v>4555</v>
      </c>
      <c r="AY792" s="9" t="s">
        <v>391</v>
      </c>
      <c r="BB792" s="9" t="s">
        <v>263</v>
      </c>
      <c r="BF792" s="9" t="s">
        <v>322</v>
      </c>
      <c r="BG792" s="9" t="s">
        <v>375</v>
      </c>
      <c r="BH792" s="9" t="s">
        <v>263</v>
      </c>
      <c r="BI792" s="9" t="s">
        <v>322</v>
      </c>
      <c r="BJ792" s="9" t="s">
        <v>375</v>
      </c>
      <c r="BK792" s="9" t="s">
        <v>375</v>
      </c>
      <c r="BN792" s="9" t="s">
        <v>6737</v>
      </c>
      <c r="BO792" s="9" t="s">
        <v>498</v>
      </c>
      <c r="BP792" s="9" t="s">
        <v>1244</v>
      </c>
      <c r="BQ792" s="9" t="s">
        <v>483</v>
      </c>
      <c r="BU792" s="9" t="s">
        <v>263</v>
      </c>
      <c r="BZ792" s="9" t="s">
        <v>502</v>
      </c>
      <c r="CC792" s="9" t="s">
        <v>263</v>
      </c>
      <c r="CG792" s="9" t="s">
        <v>263</v>
      </c>
      <c r="CL792" s="9" t="s">
        <v>6738</v>
      </c>
      <c r="CM792" s="9" t="s">
        <v>1373</v>
      </c>
      <c r="CP792" s="9" t="s">
        <v>384</v>
      </c>
      <c r="CQ792" s="9" t="s">
        <v>6739</v>
      </c>
      <c r="CT792" s="9" t="s">
        <v>6740</v>
      </c>
      <c r="CU792" s="9" t="s">
        <v>6741</v>
      </c>
      <c r="CW792" s="9" t="s">
        <v>6742</v>
      </c>
      <c r="CX792" s="9" t="s">
        <v>263</v>
      </c>
      <c r="CY792" s="9" t="s">
        <v>6743</v>
      </c>
      <c r="CZ792" s="9">
        <v>70</v>
      </c>
      <c r="DA792" s="9">
        <v>0</v>
      </c>
      <c r="DB792" s="9">
        <v>30</v>
      </c>
      <c r="DC792" s="9">
        <v>89.7</v>
      </c>
      <c r="DD792" s="9">
        <v>0.56999999999999995</v>
      </c>
      <c r="DE792" s="9">
        <v>184</v>
      </c>
      <c r="DF792" s="9">
        <v>125</v>
      </c>
      <c r="DG792" s="9">
        <f t="shared" si="12"/>
        <v>4.6623922531835253</v>
      </c>
      <c r="DH792" s="9">
        <v>25</v>
      </c>
      <c r="DI792" s="9">
        <v>6.29</v>
      </c>
      <c r="DJ792" s="9">
        <v>35</v>
      </c>
      <c r="DL792" s="9">
        <v>48.1</v>
      </c>
      <c r="DM792" s="9">
        <v>110</v>
      </c>
      <c r="DP792" s="11">
        <v>2</v>
      </c>
      <c r="DQ792" s="9">
        <v>2</v>
      </c>
      <c r="DR792" s="9">
        <v>2</v>
      </c>
    </row>
    <row r="793" spans="1:125" x14ac:dyDescent="0.2">
      <c r="A793" s="14">
        <v>706</v>
      </c>
      <c r="B793" s="17">
        <v>43299</v>
      </c>
      <c r="C793" s="9" t="s">
        <v>3955</v>
      </c>
      <c r="D793" s="9">
        <v>27</v>
      </c>
      <c r="E793" s="9" t="s">
        <v>96</v>
      </c>
      <c r="F793" s="17">
        <v>33303</v>
      </c>
      <c r="G793" s="9" t="s">
        <v>6744</v>
      </c>
      <c r="H793" s="9" t="s">
        <v>6533</v>
      </c>
      <c r="M793" s="9" t="s">
        <v>483</v>
      </c>
      <c r="N793" s="9" t="s">
        <v>483</v>
      </c>
      <c r="O793" s="9" t="s">
        <v>483</v>
      </c>
      <c r="P793" s="9" t="s">
        <v>483</v>
      </c>
      <c r="Q793" s="9" t="s">
        <v>6745</v>
      </c>
      <c r="R793" s="9" t="s">
        <v>588</v>
      </c>
      <c r="S793" s="9" t="s">
        <v>483</v>
      </c>
      <c r="T793" s="9" t="s">
        <v>483</v>
      </c>
      <c r="U793" s="9" t="s">
        <v>483</v>
      </c>
      <c r="V793" s="9" t="s">
        <v>483</v>
      </c>
      <c r="W793" s="9" t="s">
        <v>6746</v>
      </c>
      <c r="X793" s="9" t="s">
        <v>483</v>
      </c>
      <c r="Y793" s="9" t="s">
        <v>6747</v>
      </c>
      <c r="Z793" s="9" t="s">
        <v>483</v>
      </c>
      <c r="AA793" s="35" t="s">
        <v>6748</v>
      </c>
      <c r="AB793" s="35" t="s">
        <v>6748</v>
      </c>
      <c r="AC793" s="35" t="s">
        <v>6748</v>
      </c>
      <c r="AD793" s="35" t="s">
        <v>6748</v>
      </c>
      <c r="AE793" s="10" t="s">
        <v>6749</v>
      </c>
      <c r="AF793" s="10" t="s">
        <v>6750</v>
      </c>
      <c r="AG793" s="9" t="s">
        <v>483</v>
      </c>
      <c r="AH793" s="9" t="s">
        <v>483</v>
      </c>
      <c r="AI793" s="10" t="s">
        <v>1231</v>
      </c>
      <c r="AJ793" s="9" t="s">
        <v>483</v>
      </c>
      <c r="AK793" s="9" t="s">
        <v>483</v>
      </c>
      <c r="AL793" s="9">
        <v>150</v>
      </c>
      <c r="AN793" s="9">
        <v>175.5</v>
      </c>
      <c r="AU793" s="9">
        <v>124</v>
      </c>
      <c r="AV793" s="9">
        <v>96</v>
      </c>
      <c r="AX793" s="9" t="s">
        <v>6537</v>
      </c>
      <c r="AY793" s="9" t="s">
        <v>5738</v>
      </c>
      <c r="BB793" s="9" t="s">
        <v>3974</v>
      </c>
      <c r="BC793" s="9" t="s">
        <v>536</v>
      </c>
      <c r="BE793" s="9" t="s">
        <v>6751</v>
      </c>
      <c r="BF793" s="9" t="s">
        <v>635</v>
      </c>
      <c r="BG793" s="9" t="s">
        <v>635</v>
      </c>
      <c r="BH793" s="9" t="s">
        <v>323</v>
      </c>
      <c r="BI793" s="9" t="s">
        <v>323</v>
      </c>
      <c r="BJ793" s="9" t="s">
        <v>323</v>
      </c>
      <c r="BK793" s="9" t="s">
        <v>323</v>
      </c>
      <c r="BN793" s="9" t="s">
        <v>6752</v>
      </c>
      <c r="BO793" s="9" t="s">
        <v>553</v>
      </c>
      <c r="BP793" s="9" t="s">
        <v>430</v>
      </c>
      <c r="BZ793" s="9" t="s">
        <v>6508</v>
      </c>
      <c r="CA793" s="9" t="s">
        <v>433</v>
      </c>
      <c r="CB793" s="9" t="s">
        <v>432</v>
      </c>
      <c r="CL793" s="9" t="s">
        <v>997</v>
      </c>
      <c r="CM793" s="9" t="s">
        <v>473</v>
      </c>
      <c r="CN793" s="9" t="s">
        <v>6753</v>
      </c>
      <c r="CP793" s="9" t="s">
        <v>1200</v>
      </c>
      <c r="CT793" s="9" t="s">
        <v>1278</v>
      </c>
      <c r="CU793" s="9" t="s">
        <v>564</v>
      </c>
      <c r="CV793" s="9" t="s">
        <v>6754</v>
      </c>
      <c r="CW793" s="9">
        <v>5</v>
      </c>
      <c r="CX793" s="9" t="s">
        <v>483</v>
      </c>
      <c r="CY793" s="9" t="s">
        <v>483</v>
      </c>
      <c r="CZ793" s="9">
        <v>25</v>
      </c>
      <c r="DA793" s="9">
        <v>25</v>
      </c>
      <c r="DB793" s="9">
        <v>50</v>
      </c>
      <c r="DC793" s="10">
        <v>123.4</v>
      </c>
      <c r="DD793" s="9">
        <v>0.49</v>
      </c>
      <c r="DE793" s="9">
        <v>142</v>
      </c>
      <c r="DF793" s="9">
        <v>80</v>
      </c>
      <c r="DG793" s="9">
        <f t="shared" si="12"/>
        <v>4.5987288730725844</v>
      </c>
      <c r="DH793" s="9">
        <v>16</v>
      </c>
      <c r="DI793" s="10">
        <v>9.2200000000000006</v>
      </c>
      <c r="DJ793" s="9">
        <v>36.299999999999997</v>
      </c>
      <c r="DK793" s="9">
        <v>26</v>
      </c>
      <c r="DL793" s="9">
        <v>60</v>
      </c>
      <c r="DM793" s="9">
        <v>66</v>
      </c>
      <c r="DP793" s="11">
        <v>2</v>
      </c>
      <c r="DQ793" s="9">
        <v>2</v>
      </c>
      <c r="DR793" s="30">
        <v>1</v>
      </c>
    </row>
    <row r="794" spans="1:125" x14ac:dyDescent="0.2">
      <c r="A794" s="36">
        <v>707</v>
      </c>
      <c r="B794" s="8">
        <v>43292</v>
      </c>
      <c r="C794" s="9" t="s">
        <v>3955</v>
      </c>
      <c r="D794" s="9">
        <v>29</v>
      </c>
      <c r="E794" s="9" t="s">
        <v>949</v>
      </c>
      <c r="F794" s="17">
        <v>32456</v>
      </c>
      <c r="G794" s="9" t="s">
        <v>6755</v>
      </c>
      <c r="H794" s="9" t="s">
        <v>6756</v>
      </c>
      <c r="M794" s="9" t="s">
        <v>263</v>
      </c>
      <c r="N794" s="9" t="s">
        <v>263</v>
      </c>
      <c r="O794" s="9" t="s">
        <v>263</v>
      </c>
      <c r="P794" s="10" t="s">
        <v>368</v>
      </c>
      <c r="Q794" s="9" t="s">
        <v>369</v>
      </c>
      <c r="R794" s="9" t="s">
        <v>263</v>
      </c>
      <c r="S794" s="9" t="s">
        <v>263</v>
      </c>
      <c r="T794" s="9" t="s">
        <v>263</v>
      </c>
      <c r="U794" s="9" t="s">
        <v>263</v>
      </c>
      <c r="V794" s="9" t="s">
        <v>263</v>
      </c>
      <c r="W794" s="9" t="s">
        <v>263</v>
      </c>
      <c r="X794" s="9" t="s">
        <v>263</v>
      </c>
      <c r="Y794" s="9" t="s">
        <v>268</v>
      </c>
      <c r="Z794" s="9" t="s">
        <v>263</v>
      </c>
      <c r="AA794" s="9" t="s">
        <v>96</v>
      </c>
      <c r="AB794" s="41" t="s">
        <v>151</v>
      </c>
      <c r="AC794" s="9" t="s">
        <v>5750</v>
      </c>
      <c r="AD794" s="41" t="s">
        <v>151</v>
      </c>
      <c r="AE794" s="10" t="s">
        <v>6757</v>
      </c>
      <c r="AF794" s="9" t="s">
        <v>483</v>
      </c>
      <c r="AG794" s="10" t="s">
        <v>6757</v>
      </c>
      <c r="AH794" s="9" t="s">
        <v>263</v>
      </c>
      <c r="AI794" s="9" t="s">
        <v>263</v>
      </c>
      <c r="AJ794" s="10" t="s">
        <v>6758</v>
      </c>
      <c r="AK794" s="9" t="s">
        <v>263</v>
      </c>
      <c r="AL794" s="9">
        <v>80.400000000000006</v>
      </c>
      <c r="AM794" s="9">
        <v>1.68</v>
      </c>
      <c r="AN794" s="9">
        <v>105</v>
      </c>
      <c r="AO794" s="9">
        <v>110</v>
      </c>
      <c r="AP794" s="9">
        <v>27.1</v>
      </c>
      <c r="AQ794" s="9">
        <v>11</v>
      </c>
      <c r="AR794" s="9">
        <v>36.299999999999997</v>
      </c>
      <c r="AS794" s="9">
        <v>44</v>
      </c>
      <c r="AT794" s="9">
        <v>28.5</v>
      </c>
      <c r="AU794" s="9">
        <v>108</v>
      </c>
      <c r="AV794" s="9">
        <v>82</v>
      </c>
      <c r="AX794" s="9" t="s">
        <v>5738</v>
      </c>
      <c r="AY794" s="9" t="s">
        <v>6759</v>
      </c>
      <c r="AZ794" s="9" t="s">
        <v>549</v>
      </c>
      <c r="BB794" s="9" t="s">
        <v>6760</v>
      </c>
      <c r="BC794" s="9" t="s">
        <v>409</v>
      </c>
      <c r="BF794" s="9" t="s">
        <v>375</v>
      </c>
      <c r="BG794" s="9" t="s">
        <v>375</v>
      </c>
      <c r="BH794" s="9" t="s">
        <v>276</v>
      </c>
      <c r="BI794" s="9" t="s">
        <v>322</v>
      </c>
      <c r="BJ794" s="9" t="s">
        <v>322</v>
      </c>
      <c r="BK794" s="9" t="s">
        <v>375</v>
      </c>
      <c r="BN794" s="9" t="s">
        <v>553</v>
      </c>
      <c r="BO794" s="9" t="s">
        <v>6761</v>
      </c>
      <c r="BQ794" s="9" t="s">
        <v>483</v>
      </c>
      <c r="BU794" s="9" t="s">
        <v>483</v>
      </c>
      <c r="BV794" s="9" t="s">
        <v>6762</v>
      </c>
      <c r="BZ794" s="9" t="s">
        <v>6763</v>
      </c>
      <c r="CA794" s="9" t="s">
        <v>6764</v>
      </c>
      <c r="CB794" s="9" t="s">
        <v>432</v>
      </c>
      <c r="CC794" s="9" t="s">
        <v>263</v>
      </c>
      <c r="CG794" s="9" t="s">
        <v>263</v>
      </c>
      <c r="CL794" s="9" t="s">
        <v>6765</v>
      </c>
      <c r="CM794" s="9" t="s">
        <v>6766</v>
      </c>
      <c r="CN794" s="9" t="s">
        <v>6767</v>
      </c>
      <c r="CP794" s="9" t="s">
        <v>384</v>
      </c>
      <c r="CT794" s="9" t="s">
        <v>6768</v>
      </c>
      <c r="CW794" s="9">
        <v>5</v>
      </c>
      <c r="CX794" s="9" t="s">
        <v>588</v>
      </c>
      <c r="CY794" s="9" t="s">
        <v>6769</v>
      </c>
      <c r="DC794" s="9">
        <v>86.4</v>
      </c>
      <c r="DD794" s="9">
        <v>0.91</v>
      </c>
      <c r="DE794" s="9">
        <v>184</v>
      </c>
      <c r="DF794" s="14">
        <v>568</v>
      </c>
      <c r="DG794" s="9">
        <f t="shared" si="12"/>
        <v>5.4005545472655809</v>
      </c>
      <c r="DH794" s="9">
        <v>113.6</v>
      </c>
      <c r="DI794" s="10">
        <v>8.9700000000000006</v>
      </c>
      <c r="DJ794" s="9">
        <v>40.700000000000003</v>
      </c>
      <c r="DK794" s="10">
        <v>37.299999999999997</v>
      </c>
      <c r="DL794" s="10">
        <v>26.7</v>
      </c>
      <c r="DM794" s="9">
        <v>43.7</v>
      </c>
    </row>
    <row r="795" spans="1:125" x14ac:dyDescent="0.2">
      <c r="A795" s="9">
        <v>708</v>
      </c>
      <c r="B795" s="17">
        <v>43292</v>
      </c>
      <c r="C795" s="9" t="s">
        <v>3645</v>
      </c>
      <c r="D795" s="9">
        <v>57</v>
      </c>
      <c r="E795" s="9" t="s">
        <v>949</v>
      </c>
      <c r="F795" s="17">
        <v>22200</v>
      </c>
      <c r="G795" s="9" t="s">
        <v>3703</v>
      </c>
      <c r="H795" s="9" t="s">
        <v>3687</v>
      </c>
      <c r="I795" s="9" t="s">
        <v>1610</v>
      </c>
      <c r="J795" s="9" t="s">
        <v>5275</v>
      </c>
      <c r="K795" s="9" t="s">
        <v>5225</v>
      </c>
      <c r="L795" s="9">
        <v>2</v>
      </c>
      <c r="M795" s="9" t="s">
        <v>483</v>
      </c>
      <c r="N795" s="9" t="s">
        <v>483</v>
      </c>
      <c r="O795" s="9" t="s">
        <v>483</v>
      </c>
      <c r="P795" s="9" t="s">
        <v>483</v>
      </c>
      <c r="Q795" s="9" t="s">
        <v>588</v>
      </c>
      <c r="R795" s="9" t="s">
        <v>4079</v>
      </c>
      <c r="S795" s="9" t="s">
        <v>483</v>
      </c>
      <c r="T795" s="9" t="s">
        <v>588</v>
      </c>
      <c r="U795" s="9" t="s">
        <v>5680</v>
      </c>
      <c r="V795" s="9" t="s">
        <v>483</v>
      </c>
      <c r="W795" s="9" t="s">
        <v>483</v>
      </c>
      <c r="X795" s="9" t="s">
        <v>483</v>
      </c>
      <c r="Y795" s="9" t="s">
        <v>483</v>
      </c>
      <c r="Z795" s="9" t="s">
        <v>483</v>
      </c>
      <c r="AA795" s="9" t="s">
        <v>949</v>
      </c>
      <c r="AB795" s="9" t="s">
        <v>949</v>
      </c>
      <c r="AC795" s="9" t="s">
        <v>949</v>
      </c>
      <c r="AD795" s="9" t="s">
        <v>949</v>
      </c>
      <c r="AE795" s="10" t="s">
        <v>5685</v>
      </c>
      <c r="AF795" s="10" t="s">
        <v>5723</v>
      </c>
      <c r="AG795" s="9" t="s">
        <v>483</v>
      </c>
      <c r="AH795" s="10" t="s">
        <v>6770</v>
      </c>
      <c r="AI795" s="9" t="s">
        <v>483</v>
      </c>
      <c r="AJ795" s="9" t="s">
        <v>483</v>
      </c>
      <c r="AK795" s="10" t="s">
        <v>6771</v>
      </c>
      <c r="AL795" s="9">
        <v>67.099999999999994</v>
      </c>
      <c r="AM795" s="9">
        <v>1.53</v>
      </c>
      <c r="AN795" s="9">
        <v>88</v>
      </c>
      <c r="AO795" s="9">
        <v>98</v>
      </c>
      <c r="AP795" s="9">
        <v>45.3</v>
      </c>
      <c r="AQ795" s="9">
        <v>10</v>
      </c>
      <c r="AR795" s="9">
        <v>22.4</v>
      </c>
      <c r="AS795" s="9">
        <v>65</v>
      </c>
      <c r="AT795" s="9">
        <v>28.7</v>
      </c>
      <c r="AU795" s="10">
        <v>131</v>
      </c>
      <c r="AV795" s="10">
        <v>87</v>
      </c>
      <c r="AX795" s="9" t="s">
        <v>6772</v>
      </c>
      <c r="AY795" s="9" t="s">
        <v>6773</v>
      </c>
      <c r="AZ795" s="9" t="s">
        <v>6405</v>
      </c>
      <c r="BB795" s="9" t="s">
        <v>6774</v>
      </c>
      <c r="BC795" s="9" t="s">
        <v>6775</v>
      </c>
      <c r="BD795" s="9" t="s">
        <v>6723</v>
      </c>
      <c r="BF795" s="9" t="s">
        <v>323</v>
      </c>
      <c r="BG795" s="9" t="s">
        <v>375</v>
      </c>
      <c r="BH795" s="9" t="s">
        <v>375</v>
      </c>
      <c r="BI795" s="9" t="s">
        <v>322</v>
      </c>
      <c r="BJ795" s="9" t="s">
        <v>375</v>
      </c>
      <c r="BK795" s="9" t="s">
        <v>375</v>
      </c>
      <c r="BN795" s="9" t="s">
        <v>4109</v>
      </c>
      <c r="BO795" s="9" t="s">
        <v>6761</v>
      </c>
      <c r="BP795" s="9" t="s">
        <v>411</v>
      </c>
      <c r="BQ795" s="9" t="s">
        <v>483</v>
      </c>
      <c r="BV795" s="9" t="s">
        <v>3982</v>
      </c>
      <c r="CA795" s="9" t="s">
        <v>6776</v>
      </c>
      <c r="CC795" s="9" t="s">
        <v>483</v>
      </c>
      <c r="CG795" s="9" t="s">
        <v>6687</v>
      </c>
      <c r="CH795" s="9" t="s">
        <v>6777</v>
      </c>
      <c r="CL795" s="9" t="s">
        <v>6767</v>
      </c>
      <c r="CM795" s="9" t="s">
        <v>6778</v>
      </c>
      <c r="CN795" s="9" t="s">
        <v>908</v>
      </c>
      <c r="CP795" s="9" t="s">
        <v>451</v>
      </c>
      <c r="CQ795" s="9" t="s">
        <v>385</v>
      </c>
      <c r="CT795" s="9" t="s">
        <v>6779</v>
      </c>
      <c r="CU795" s="9" t="s">
        <v>6780</v>
      </c>
      <c r="CW795" s="9" t="s">
        <v>6781</v>
      </c>
      <c r="CX795" s="9" t="s">
        <v>263</v>
      </c>
      <c r="CY795" s="9" t="s">
        <v>6782</v>
      </c>
      <c r="CZ795" s="9">
        <v>60</v>
      </c>
      <c r="DA795" s="9">
        <v>20</v>
      </c>
      <c r="DB795" s="9">
        <v>20</v>
      </c>
      <c r="DC795" s="9">
        <v>74.900000000000006</v>
      </c>
      <c r="DD795" s="9">
        <v>0.59</v>
      </c>
      <c r="DE795" s="9">
        <v>170</v>
      </c>
      <c r="DF795" s="9">
        <v>97</v>
      </c>
      <c r="DG795" s="9">
        <f t="shared" si="12"/>
        <v>4.4454324345132781</v>
      </c>
      <c r="DH795" s="9">
        <v>19.399999999999999</v>
      </c>
      <c r="DI795" s="9">
        <v>4.21</v>
      </c>
      <c r="DJ795" s="9">
        <v>18.3</v>
      </c>
      <c r="DK795" s="9">
        <v>22</v>
      </c>
      <c r="DL795" s="9">
        <v>45.4</v>
      </c>
      <c r="DM795" s="9">
        <v>105.2</v>
      </c>
      <c r="DP795" s="11">
        <v>2</v>
      </c>
      <c r="DR795" s="9">
        <v>3</v>
      </c>
    </row>
    <row r="796" spans="1:125" x14ac:dyDescent="0.2">
      <c r="A796" s="9">
        <v>709</v>
      </c>
      <c r="B796" s="17">
        <v>43299</v>
      </c>
      <c r="C796" s="9" t="s">
        <v>3955</v>
      </c>
      <c r="D796" s="9">
        <v>23</v>
      </c>
      <c r="E796" s="9" t="s">
        <v>6783</v>
      </c>
      <c r="F796" s="17">
        <v>34818</v>
      </c>
      <c r="G796" s="9" t="s">
        <v>97</v>
      </c>
      <c r="H796" s="9" t="s">
        <v>6784</v>
      </c>
      <c r="M796" s="9" t="s">
        <v>483</v>
      </c>
      <c r="N796" s="9" t="s">
        <v>483</v>
      </c>
      <c r="O796" s="10" t="s">
        <v>588</v>
      </c>
      <c r="P796" s="9" t="s">
        <v>483</v>
      </c>
      <c r="Q796" s="9" t="s">
        <v>6785</v>
      </c>
      <c r="R796" s="9" t="s">
        <v>483</v>
      </c>
      <c r="S796" s="9" t="s">
        <v>588</v>
      </c>
      <c r="T796" s="9" t="s">
        <v>483</v>
      </c>
      <c r="U796" s="9" t="s">
        <v>483</v>
      </c>
      <c r="V796" s="9" t="s">
        <v>483</v>
      </c>
      <c r="W796" s="9" t="s">
        <v>6786</v>
      </c>
      <c r="X796" s="9" t="s">
        <v>588</v>
      </c>
      <c r="Y796" s="9" t="s">
        <v>4085</v>
      </c>
      <c r="Z796" s="9" t="s">
        <v>483</v>
      </c>
      <c r="AA796" s="9" t="s">
        <v>2060</v>
      </c>
      <c r="AB796" s="9" t="s">
        <v>6787</v>
      </c>
      <c r="AC796" s="9" t="s">
        <v>2060</v>
      </c>
      <c r="AD796" s="9" t="s">
        <v>6787</v>
      </c>
      <c r="AE796" s="10" t="s">
        <v>6788</v>
      </c>
      <c r="AF796" s="10" t="s">
        <v>901</v>
      </c>
      <c r="AG796" s="10" t="s">
        <v>442</v>
      </c>
      <c r="AH796" s="9" t="s">
        <v>483</v>
      </c>
      <c r="AI796" s="10" t="s">
        <v>423</v>
      </c>
      <c r="AJ796" s="9" t="s">
        <v>483</v>
      </c>
      <c r="AK796" s="9" t="s">
        <v>483</v>
      </c>
      <c r="AL796" s="9">
        <v>75.2</v>
      </c>
      <c r="AM796" s="9">
        <v>1.82</v>
      </c>
      <c r="AN796" s="9">
        <v>91</v>
      </c>
      <c r="AO796" s="9">
        <v>103</v>
      </c>
      <c r="AP796" s="9">
        <v>24.4</v>
      </c>
      <c r="AQ796" s="9">
        <v>5</v>
      </c>
      <c r="AR796" s="9">
        <v>36.200000000000003</v>
      </c>
      <c r="AS796" s="9">
        <v>39</v>
      </c>
      <c r="AT796" s="9">
        <v>22.8</v>
      </c>
      <c r="AU796" s="10">
        <v>130</v>
      </c>
      <c r="AV796" s="10">
        <v>95</v>
      </c>
      <c r="AX796" s="9" t="s">
        <v>5738</v>
      </c>
      <c r="AY796" s="9" t="s">
        <v>372</v>
      </c>
      <c r="AZ796" s="9" t="s">
        <v>549</v>
      </c>
      <c r="BE796" s="9" t="s">
        <v>6789</v>
      </c>
      <c r="BF796" s="9" t="s">
        <v>323</v>
      </c>
      <c r="BG796" s="9" t="s">
        <v>325</v>
      </c>
      <c r="BH796" s="9" t="s">
        <v>483</v>
      </c>
      <c r="BI796" s="9" t="s">
        <v>323</v>
      </c>
      <c r="BJ796" s="9" t="s">
        <v>635</v>
      </c>
      <c r="BK796" s="9" t="s">
        <v>323</v>
      </c>
      <c r="BN796" s="9" t="s">
        <v>411</v>
      </c>
      <c r="BO796" s="9" t="s">
        <v>6507</v>
      </c>
      <c r="BP796" s="9" t="s">
        <v>553</v>
      </c>
      <c r="BZ796" s="9" t="s">
        <v>6508</v>
      </c>
      <c r="CA796" s="9" t="s">
        <v>432</v>
      </c>
      <c r="CB796" s="9" t="s">
        <v>5716</v>
      </c>
      <c r="CL796" s="9" t="s">
        <v>922</v>
      </c>
      <c r="CM796" s="9" t="s">
        <v>6766</v>
      </c>
      <c r="CN796" s="9" t="s">
        <v>560</v>
      </c>
      <c r="CP796" s="9" t="s">
        <v>1200</v>
      </c>
      <c r="CQ796" s="9" t="s">
        <v>1285</v>
      </c>
      <c r="CR796" s="9" t="s">
        <v>6790</v>
      </c>
      <c r="CT796" s="9" t="s">
        <v>6716</v>
      </c>
      <c r="CU796" s="9" t="s">
        <v>562</v>
      </c>
      <c r="CW796" s="9">
        <v>5</v>
      </c>
      <c r="CX796" s="9" t="s">
        <v>588</v>
      </c>
      <c r="CY796" s="9" t="s">
        <v>588</v>
      </c>
      <c r="CZ796" s="9">
        <v>60</v>
      </c>
      <c r="DA796" s="9">
        <v>20</v>
      </c>
      <c r="DB796" s="9">
        <v>20</v>
      </c>
      <c r="DC796" s="9">
        <v>78.400000000000006</v>
      </c>
      <c r="DD796" s="9">
        <v>0.72</v>
      </c>
      <c r="DE796" s="9">
        <v>188</v>
      </c>
      <c r="DF796" s="10">
        <v>245</v>
      </c>
      <c r="DG796" s="9">
        <f t="shared" si="12"/>
        <v>4.931541068950545</v>
      </c>
      <c r="DH796" s="9">
        <v>49</v>
      </c>
      <c r="DI796" s="9">
        <v>6.14</v>
      </c>
      <c r="DJ796" s="9">
        <v>40</v>
      </c>
      <c r="DK796" s="10">
        <v>46.7</v>
      </c>
      <c r="DL796" s="9">
        <v>68.7</v>
      </c>
      <c r="DM796" s="9">
        <v>70.3</v>
      </c>
    </row>
    <row r="797" spans="1:125" x14ac:dyDescent="0.2">
      <c r="A797" s="14">
        <v>710</v>
      </c>
      <c r="B797" s="17">
        <v>43299</v>
      </c>
      <c r="C797" s="9" t="s">
        <v>95</v>
      </c>
      <c r="D797" s="9">
        <v>54</v>
      </c>
      <c r="E797" s="9" t="s">
        <v>6791</v>
      </c>
      <c r="F797" s="17">
        <v>23218</v>
      </c>
      <c r="G797" s="9" t="s">
        <v>1320</v>
      </c>
      <c r="H797" s="9" t="s">
        <v>6640</v>
      </c>
      <c r="I797" s="9" t="s">
        <v>1321</v>
      </c>
      <c r="J797" s="9" t="s">
        <v>776</v>
      </c>
      <c r="L797" s="9">
        <v>1</v>
      </c>
      <c r="M797" s="10" t="s">
        <v>588</v>
      </c>
      <c r="N797" s="9" t="s">
        <v>483</v>
      </c>
      <c r="O797" s="9" t="s">
        <v>483</v>
      </c>
      <c r="P797" s="9" t="s">
        <v>483</v>
      </c>
      <c r="Q797" s="9" t="s">
        <v>483</v>
      </c>
      <c r="R797" s="9" t="s">
        <v>588</v>
      </c>
      <c r="S797" s="9" t="s">
        <v>6792</v>
      </c>
      <c r="T797" s="9" t="s">
        <v>483</v>
      </c>
      <c r="U797" s="9" t="s">
        <v>483</v>
      </c>
      <c r="V797" s="9" t="s">
        <v>483</v>
      </c>
      <c r="W797" s="9" t="s">
        <v>6793</v>
      </c>
      <c r="X797" s="9" t="s">
        <v>483</v>
      </c>
      <c r="Y797" s="9" t="s">
        <v>6794</v>
      </c>
      <c r="Z797" s="9" t="s">
        <v>483</v>
      </c>
      <c r="AA797" s="49" t="s">
        <v>6211</v>
      </c>
      <c r="AB797" s="41" t="s">
        <v>5730</v>
      </c>
      <c r="AC797" s="49" t="s">
        <v>6212</v>
      </c>
      <c r="AD797" s="41" t="s">
        <v>5730</v>
      </c>
      <c r="AE797" s="9" t="s">
        <v>263</v>
      </c>
      <c r="AF797" s="10" t="s">
        <v>368</v>
      </c>
      <c r="AG797" s="10" t="s">
        <v>4123</v>
      </c>
      <c r="AH797" s="10" t="s">
        <v>3915</v>
      </c>
      <c r="AI797" s="9" t="s">
        <v>483</v>
      </c>
      <c r="AJ797" s="9" t="s">
        <v>483</v>
      </c>
      <c r="AK797" s="9" t="s">
        <v>483</v>
      </c>
      <c r="AL797" s="9">
        <v>68.3</v>
      </c>
      <c r="AM797" s="9">
        <v>1.56</v>
      </c>
      <c r="AN797" s="9">
        <v>96</v>
      </c>
      <c r="AO797" s="9">
        <v>112</v>
      </c>
      <c r="AP797" s="9">
        <v>45.7</v>
      </c>
      <c r="AQ797" s="9">
        <v>9</v>
      </c>
      <c r="AR797" s="9">
        <v>21.7</v>
      </c>
      <c r="AS797" s="9">
        <v>61</v>
      </c>
      <c r="AT797" s="9">
        <v>28.1</v>
      </c>
      <c r="AU797" s="14">
        <v>147</v>
      </c>
      <c r="AV797" s="14">
        <v>104</v>
      </c>
      <c r="AX797" s="9" t="s">
        <v>6485</v>
      </c>
      <c r="AY797" s="9" t="s">
        <v>6486</v>
      </c>
      <c r="BB797" s="9" t="s">
        <v>5714</v>
      </c>
      <c r="BC797" s="9" t="s">
        <v>6795</v>
      </c>
      <c r="BD797" s="9" t="s">
        <v>6796</v>
      </c>
      <c r="BE797" s="9" t="s">
        <v>6797</v>
      </c>
      <c r="BF797" s="9" t="s">
        <v>635</v>
      </c>
      <c r="BG797" s="9" t="s">
        <v>635</v>
      </c>
      <c r="BH797" s="9" t="s">
        <v>635</v>
      </c>
      <c r="BI797" s="9" t="s">
        <v>635</v>
      </c>
      <c r="BJ797" s="9" t="s">
        <v>635</v>
      </c>
      <c r="BK797" s="9" t="s">
        <v>325</v>
      </c>
      <c r="BN797" s="9" t="s">
        <v>467</v>
      </c>
      <c r="BO797" s="9" t="s">
        <v>6405</v>
      </c>
      <c r="BV797" s="9" t="s">
        <v>6798</v>
      </c>
      <c r="BW797" s="9" t="s">
        <v>6799</v>
      </c>
      <c r="BX797" s="9" t="s">
        <v>6800</v>
      </c>
      <c r="BZ797" s="9" t="s">
        <v>380</v>
      </c>
      <c r="CA797" s="9" t="s">
        <v>379</v>
      </c>
      <c r="CH797" s="9" t="s">
        <v>6801</v>
      </c>
      <c r="CL797" s="9" t="s">
        <v>909</v>
      </c>
      <c r="CM797" s="9" t="s">
        <v>922</v>
      </c>
      <c r="CP797" s="9" t="s">
        <v>6802</v>
      </c>
      <c r="CQ797" s="9" t="s">
        <v>451</v>
      </c>
      <c r="CR797" s="9" t="s">
        <v>385</v>
      </c>
      <c r="CT797" s="9" t="s">
        <v>1278</v>
      </c>
      <c r="CU797" s="9" t="s">
        <v>562</v>
      </c>
      <c r="CV797" s="9" t="s">
        <v>6803</v>
      </c>
      <c r="CW797" s="9">
        <v>3</v>
      </c>
      <c r="CX797" s="9" t="s">
        <v>483</v>
      </c>
      <c r="CY797" s="9" t="s">
        <v>483</v>
      </c>
      <c r="CZ797" s="9">
        <v>10</v>
      </c>
      <c r="DA797" s="9">
        <v>30</v>
      </c>
      <c r="DB797" s="9">
        <v>60</v>
      </c>
      <c r="DC797" s="10">
        <v>137.4</v>
      </c>
      <c r="DD797" s="9">
        <v>0.45</v>
      </c>
      <c r="DE797" s="10">
        <v>222</v>
      </c>
      <c r="DF797" s="10">
        <v>202</v>
      </c>
      <c r="DG797" s="9">
        <f t="shared" si="12"/>
        <v>5.1155820385947273</v>
      </c>
      <c r="DH797" s="9">
        <v>40.4</v>
      </c>
      <c r="DI797" s="10">
        <v>6.06</v>
      </c>
      <c r="DJ797" s="9">
        <v>19.3</v>
      </c>
      <c r="DK797" s="9">
        <v>22</v>
      </c>
      <c r="DL797" s="10">
        <v>45.9</v>
      </c>
      <c r="DM797" s="9">
        <v>135.69999999999999</v>
      </c>
    </row>
    <row r="798" spans="1:125" x14ac:dyDescent="0.2">
      <c r="A798" s="14">
        <v>711</v>
      </c>
      <c r="B798" s="17">
        <v>43299</v>
      </c>
      <c r="C798" s="9" t="s">
        <v>107</v>
      </c>
      <c r="D798" s="9">
        <v>19</v>
      </c>
      <c r="E798" s="9" t="s">
        <v>3702</v>
      </c>
      <c r="F798" s="17">
        <v>36055</v>
      </c>
      <c r="G798" s="9" t="s">
        <v>97</v>
      </c>
      <c r="H798" s="9" t="s">
        <v>6640</v>
      </c>
      <c r="M798" s="9" t="s">
        <v>263</v>
      </c>
      <c r="N798" s="10" t="s">
        <v>368</v>
      </c>
      <c r="O798" s="9" t="s">
        <v>263</v>
      </c>
      <c r="P798" s="9" t="s">
        <v>276</v>
      </c>
      <c r="Q798" s="9" t="s">
        <v>6804</v>
      </c>
      <c r="R798" s="9" t="s">
        <v>6805</v>
      </c>
      <c r="S798" s="9" t="s">
        <v>6806</v>
      </c>
      <c r="T798" s="9" t="s">
        <v>6807</v>
      </c>
      <c r="U798" s="9" t="s">
        <v>263</v>
      </c>
      <c r="V798" s="9" t="s">
        <v>263</v>
      </c>
      <c r="W798" s="9" t="s">
        <v>263</v>
      </c>
      <c r="X798" s="9" t="s">
        <v>263</v>
      </c>
      <c r="Y798" s="9" t="s">
        <v>483</v>
      </c>
      <c r="Z798" s="9" t="s">
        <v>483</v>
      </c>
      <c r="AA798" s="35" t="s">
        <v>6748</v>
      </c>
      <c r="AB798" s="35" t="s">
        <v>6748</v>
      </c>
      <c r="AC798" s="35" t="s">
        <v>6748</v>
      </c>
      <c r="AD798" s="35" t="s">
        <v>6748</v>
      </c>
      <c r="AE798" s="10" t="s">
        <v>6749</v>
      </c>
      <c r="AF798" s="10" t="s">
        <v>6750</v>
      </c>
      <c r="AG798" s="9" t="s">
        <v>263</v>
      </c>
      <c r="AH798" s="9" t="s">
        <v>483</v>
      </c>
      <c r="AI798" s="10" t="s">
        <v>1231</v>
      </c>
      <c r="AJ798" s="9" t="s">
        <v>263</v>
      </c>
      <c r="AK798" s="9" t="s">
        <v>263</v>
      </c>
      <c r="AL798" s="9">
        <v>126.3</v>
      </c>
      <c r="AM798" s="9">
        <v>1.76</v>
      </c>
      <c r="AN798" s="9">
        <v>137</v>
      </c>
      <c r="AO798" s="9">
        <v>126</v>
      </c>
      <c r="AP798" s="9">
        <v>47.7</v>
      </c>
      <c r="AQ798" s="9">
        <v>19</v>
      </c>
      <c r="AR798" s="9">
        <v>24.2</v>
      </c>
      <c r="AS798" s="9">
        <v>80</v>
      </c>
      <c r="AT798" s="14">
        <v>40.799999999999997</v>
      </c>
      <c r="AU798" s="9">
        <v>120</v>
      </c>
      <c r="AV798" s="9">
        <v>83</v>
      </c>
      <c r="DC798" s="10">
        <v>122.7</v>
      </c>
      <c r="DD798" s="9">
        <v>0.47</v>
      </c>
      <c r="DE798" s="10">
        <v>210</v>
      </c>
      <c r="DF798" s="10">
        <v>191</v>
      </c>
      <c r="DG798" s="9">
        <f t="shared" si="12"/>
        <v>5.0310078898817476</v>
      </c>
      <c r="DH798" s="9">
        <v>38.200000000000003</v>
      </c>
      <c r="DI798" s="9">
        <v>5.66</v>
      </c>
      <c r="DJ798" s="9">
        <v>13</v>
      </c>
      <c r="DK798" s="9">
        <v>23.7</v>
      </c>
      <c r="DL798" s="10">
        <v>32.700000000000003</v>
      </c>
      <c r="DM798" s="9">
        <v>139.1</v>
      </c>
      <c r="DP798" s="11">
        <v>2</v>
      </c>
      <c r="DR798" s="9">
        <v>2</v>
      </c>
      <c r="DT798" s="9">
        <v>10.8</v>
      </c>
      <c r="DU798" s="9">
        <v>2.4500000000000002</v>
      </c>
    </row>
    <row r="799" spans="1:125" x14ac:dyDescent="0.2">
      <c r="A799" s="30">
        <v>712</v>
      </c>
      <c r="B799" s="17">
        <v>43299</v>
      </c>
      <c r="C799" s="9" t="s">
        <v>3955</v>
      </c>
      <c r="D799" s="9">
        <v>76</v>
      </c>
      <c r="E799" s="35" t="s">
        <v>4372</v>
      </c>
      <c r="F799" s="17">
        <v>15364</v>
      </c>
      <c r="G799" s="9" t="s">
        <v>6808</v>
      </c>
      <c r="H799" s="9" t="s">
        <v>6809</v>
      </c>
      <c r="M799" s="9" t="s">
        <v>483</v>
      </c>
      <c r="N799" s="9" t="s">
        <v>483</v>
      </c>
      <c r="O799" s="9" t="s">
        <v>483</v>
      </c>
      <c r="P799" s="9" t="s">
        <v>483</v>
      </c>
      <c r="Q799" s="9" t="s">
        <v>483</v>
      </c>
      <c r="R799" s="9" t="s">
        <v>483</v>
      </c>
      <c r="S799" s="9" t="s">
        <v>6810</v>
      </c>
      <c r="T799" s="9" t="s">
        <v>483</v>
      </c>
      <c r="U799" s="9" t="s">
        <v>483</v>
      </c>
      <c r="V799" s="9" t="s">
        <v>483</v>
      </c>
      <c r="W799" s="9" t="s">
        <v>483</v>
      </c>
      <c r="X799" s="9" t="s">
        <v>483</v>
      </c>
      <c r="Y799" s="9" t="s">
        <v>6811</v>
      </c>
      <c r="Z799" s="10" t="s">
        <v>3659</v>
      </c>
      <c r="AA799" s="35" t="s">
        <v>4372</v>
      </c>
      <c r="AB799" s="35" t="s">
        <v>4372</v>
      </c>
      <c r="AC799" s="35" t="s">
        <v>4372</v>
      </c>
      <c r="AD799" s="35" t="s">
        <v>4372</v>
      </c>
      <c r="AE799" s="9" t="s">
        <v>483</v>
      </c>
      <c r="AF799" s="9" t="s">
        <v>483</v>
      </c>
      <c r="AG799" s="9" t="s">
        <v>483</v>
      </c>
      <c r="AH799" s="9" t="s">
        <v>483</v>
      </c>
      <c r="AI799" s="9" t="s">
        <v>483</v>
      </c>
      <c r="AJ799" s="9" t="s">
        <v>483</v>
      </c>
      <c r="AK799" s="9" t="s">
        <v>483</v>
      </c>
      <c r="AL799" s="9">
        <v>59</v>
      </c>
      <c r="AM799" s="9">
        <v>1.61</v>
      </c>
      <c r="AN799" s="9">
        <v>91</v>
      </c>
      <c r="AO799" s="9">
        <v>91</v>
      </c>
      <c r="AP799" s="9">
        <v>15.1</v>
      </c>
      <c r="AQ799" s="9">
        <v>8</v>
      </c>
      <c r="AR799" s="9">
        <v>36.799999999999997</v>
      </c>
      <c r="AS799" s="9">
        <v>39</v>
      </c>
      <c r="AT799" s="9">
        <v>22.8</v>
      </c>
      <c r="AU799" s="9">
        <v>115</v>
      </c>
      <c r="AV799" s="9">
        <v>73</v>
      </c>
      <c r="DC799" s="9">
        <v>77</v>
      </c>
      <c r="DD799" s="9">
        <v>0.83</v>
      </c>
      <c r="DE799" s="9">
        <v>199</v>
      </c>
      <c r="DF799" s="10">
        <v>159</v>
      </c>
      <c r="DG799" s="9">
        <f t="shared" si="12"/>
        <v>4.7063548120369578</v>
      </c>
      <c r="DH799" s="9">
        <v>31.8</v>
      </c>
      <c r="DI799" s="9">
        <v>6.17</v>
      </c>
      <c r="DJ799" s="9">
        <v>20</v>
      </c>
      <c r="DK799" s="9">
        <v>23.3</v>
      </c>
      <c r="DL799" s="10">
        <v>39.9</v>
      </c>
      <c r="DM799" s="9">
        <v>127.3</v>
      </c>
      <c r="DP799" s="11">
        <v>2</v>
      </c>
      <c r="DQ799" s="30">
        <v>1</v>
      </c>
      <c r="DR799" s="9">
        <v>2</v>
      </c>
    </row>
    <row r="800" spans="1:125" x14ac:dyDescent="0.2">
      <c r="A800" s="36">
        <v>713</v>
      </c>
      <c r="B800" s="17">
        <v>43299</v>
      </c>
      <c r="C800" s="9" t="s">
        <v>107</v>
      </c>
      <c r="D800" s="9">
        <v>75</v>
      </c>
      <c r="E800" s="37" t="s">
        <v>6812</v>
      </c>
      <c r="F800" s="17">
        <v>15686</v>
      </c>
      <c r="G800" s="9" t="s">
        <v>261</v>
      </c>
      <c r="H800" s="9" t="s">
        <v>6533</v>
      </c>
      <c r="M800" s="9" t="s">
        <v>263</v>
      </c>
      <c r="N800" s="10" t="s">
        <v>368</v>
      </c>
      <c r="O800" s="10" t="s">
        <v>588</v>
      </c>
      <c r="P800" s="9" t="s">
        <v>263</v>
      </c>
      <c r="Q800" s="9" t="s">
        <v>6813</v>
      </c>
      <c r="R800" s="9" t="s">
        <v>588</v>
      </c>
      <c r="S800" s="9" t="s">
        <v>263</v>
      </c>
      <c r="T800" s="9" t="s">
        <v>6807</v>
      </c>
      <c r="U800" s="9" t="s">
        <v>263</v>
      </c>
      <c r="V800" s="9" t="s">
        <v>263</v>
      </c>
      <c r="W800" s="9" t="s">
        <v>6814</v>
      </c>
      <c r="X800" s="9" t="s">
        <v>263</v>
      </c>
      <c r="Y800" s="9" t="s">
        <v>6815</v>
      </c>
      <c r="Z800" s="9" t="s">
        <v>483</v>
      </c>
      <c r="AA800" s="37" t="s">
        <v>6812</v>
      </c>
      <c r="AB800" s="37" t="s">
        <v>6812</v>
      </c>
      <c r="AC800" s="37" t="s">
        <v>403</v>
      </c>
      <c r="AD800" s="35" t="s">
        <v>267</v>
      </c>
      <c r="AE800" s="10" t="s">
        <v>6816</v>
      </c>
      <c r="AF800" s="10" t="s">
        <v>6817</v>
      </c>
      <c r="AG800" s="9" t="s">
        <v>263</v>
      </c>
      <c r="AH800" s="9" t="s">
        <v>483</v>
      </c>
      <c r="AI800" s="10" t="s">
        <v>6818</v>
      </c>
      <c r="AJ800" s="10" t="s">
        <v>5791</v>
      </c>
      <c r="AK800" s="9" t="s">
        <v>483</v>
      </c>
      <c r="AL800" s="9">
        <v>85.1</v>
      </c>
      <c r="AM800" s="9">
        <v>1.68</v>
      </c>
      <c r="AN800" s="9">
        <v>104</v>
      </c>
      <c r="AO800" s="9">
        <v>106</v>
      </c>
      <c r="AP800" s="9">
        <v>32.5</v>
      </c>
      <c r="AQ800" s="9">
        <v>19</v>
      </c>
      <c r="AR800" s="9">
        <v>28.2</v>
      </c>
      <c r="AS800" s="9">
        <v>70</v>
      </c>
      <c r="AT800" s="10">
        <v>30.2</v>
      </c>
      <c r="AU800" s="9">
        <v>122</v>
      </c>
      <c r="AV800" s="9">
        <v>80</v>
      </c>
      <c r="AX800" s="9" t="s">
        <v>549</v>
      </c>
      <c r="AY800" s="9" t="s">
        <v>6819</v>
      </c>
      <c r="BB800" s="9" t="s">
        <v>6820</v>
      </c>
      <c r="BC800" s="9" t="s">
        <v>6821</v>
      </c>
      <c r="BE800" s="9" t="s">
        <v>6822</v>
      </c>
      <c r="BF800" s="9" t="s">
        <v>635</v>
      </c>
      <c r="BG800" s="9" t="s">
        <v>323</v>
      </c>
      <c r="BH800" s="9" t="s">
        <v>325</v>
      </c>
      <c r="BI800" s="9" t="s">
        <v>323</v>
      </c>
      <c r="BJ800" s="9" t="s">
        <v>635</v>
      </c>
      <c r="BK800" s="9" t="s">
        <v>325</v>
      </c>
      <c r="BN800" s="9" t="s">
        <v>467</v>
      </c>
      <c r="BO800" s="9" t="s">
        <v>6823</v>
      </c>
      <c r="BP800" s="9" t="s">
        <v>6513</v>
      </c>
      <c r="BZ800" s="9" t="s">
        <v>379</v>
      </c>
      <c r="CA800" s="9" t="s">
        <v>6503</v>
      </c>
      <c r="CB800" s="9" t="s">
        <v>6504</v>
      </c>
      <c r="CL800" s="9" t="s">
        <v>6753</v>
      </c>
      <c r="CM800" s="9" t="s">
        <v>6824</v>
      </c>
      <c r="CN800" s="9" t="s">
        <v>6825</v>
      </c>
      <c r="CP800" s="9" t="s">
        <v>452</v>
      </c>
      <c r="CQ800" s="9" t="s">
        <v>6826</v>
      </c>
      <c r="CT800" s="9" t="s">
        <v>6827</v>
      </c>
      <c r="CW800" s="9">
        <v>3</v>
      </c>
      <c r="CX800" s="9" t="s">
        <v>588</v>
      </c>
      <c r="CY800" s="9" t="s">
        <v>588</v>
      </c>
      <c r="CZ800" s="9">
        <v>50</v>
      </c>
      <c r="DA800" s="9">
        <v>10</v>
      </c>
      <c r="DB800" s="9">
        <v>40</v>
      </c>
      <c r="DC800" s="9">
        <v>80</v>
      </c>
      <c r="DD800" s="9">
        <v>1.34</v>
      </c>
      <c r="DE800" s="10">
        <v>213</v>
      </c>
      <c r="DF800" s="10">
        <v>209</v>
      </c>
      <c r="DG800" s="9">
        <f t="shared" si="12"/>
        <v>4.8621804433193461</v>
      </c>
      <c r="DH800" s="9">
        <v>41.8</v>
      </c>
      <c r="DI800" s="9">
        <v>5.59</v>
      </c>
      <c r="DJ800" s="9">
        <v>21.3</v>
      </c>
      <c r="DK800" s="9">
        <v>34.700000000000003</v>
      </c>
      <c r="DL800" s="10">
        <v>36.1</v>
      </c>
      <c r="DM800" s="9">
        <v>135.1</v>
      </c>
      <c r="DP800" s="11">
        <v>2</v>
      </c>
      <c r="DR800" s="9">
        <v>3</v>
      </c>
    </row>
    <row r="801" spans="1:125" x14ac:dyDescent="0.2">
      <c r="A801" s="9" t="s">
        <v>6828</v>
      </c>
      <c r="B801" s="17">
        <v>43299</v>
      </c>
      <c r="C801" s="9" t="s">
        <v>107</v>
      </c>
      <c r="D801" s="9">
        <v>56</v>
      </c>
      <c r="E801" s="9" t="s">
        <v>96</v>
      </c>
      <c r="F801" s="9" t="s">
        <v>6829</v>
      </c>
      <c r="AL801" s="9">
        <v>69.7</v>
      </c>
      <c r="AM801" s="9">
        <v>165</v>
      </c>
      <c r="AN801" s="9">
        <v>94</v>
      </c>
      <c r="AO801" s="9">
        <v>95</v>
      </c>
      <c r="AP801" s="9">
        <v>20.6</v>
      </c>
      <c r="AQ801" s="9">
        <v>10</v>
      </c>
      <c r="AR801" s="9">
        <v>36.9</v>
      </c>
      <c r="AS801" s="9">
        <v>44</v>
      </c>
      <c r="AT801" s="9">
        <v>25.6</v>
      </c>
      <c r="AU801" s="10">
        <v>186</v>
      </c>
      <c r="AV801" s="10">
        <v>114</v>
      </c>
      <c r="DC801" s="9">
        <v>80.5</v>
      </c>
      <c r="DD801" s="9">
        <v>0.59</v>
      </c>
      <c r="DE801" s="9">
        <v>165</v>
      </c>
      <c r="DF801" s="9">
        <v>59</v>
      </c>
      <c r="DG801" s="9">
        <f t="shared" si="12"/>
        <v>4.2328973141651183</v>
      </c>
      <c r="DH801" s="9">
        <v>11.8</v>
      </c>
      <c r="DI801" s="9">
        <v>4.34</v>
      </c>
      <c r="DJ801" s="9">
        <v>14.3</v>
      </c>
      <c r="DK801" s="9">
        <v>20.3</v>
      </c>
      <c r="DL801" s="9">
        <v>44.9</v>
      </c>
      <c r="DM801" s="9">
        <v>108.3</v>
      </c>
      <c r="DR801" s="9">
        <v>2</v>
      </c>
    </row>
    <row r="802" spans="1:125" x14ac:dyDescent="0.2">
      <c r="A802" s="30">
        <v>715</v>
      </c>
      <c r="B802" s="17">
        <v>43299</v>
      </c>
      <c r="C802" s="9" t="s">
        <v>107</v>
      </c>
      <c r="D802" s="9">
        <v>55</v>
      </c>
      <c r="E802" s="9" t="s">
        <v>3702</v>
      </c>
      <c r="F802" s="17">
        <v>23201</v>
      </c>
      <c r="G802" s="9" t="s">
        <v>3703</v>
      </c>
      <c r="H802" s="9" t="s">
        <v>6533</v>
      </c>
      <c r="M802" s="9" t="s">
        <v>483</v>
      </c>
      <c r="N802" s="9" t="s">
        <v>263</v>
      </c>
      <c r="O802" s="9" t="s">
        <v>263</v>
      </c>
      <c r="P802" s="9" t="s">
        <v>263</v>
      </c>
      <c r="Q802" s="9" t="s">
        <v>263</v>
      </c>
      <c r="R802" s="9" t="s">
        <v>483</v>
      </c>
      <c r="S802" s="9" t="s">
        <v>263</v>
      </c>
      <c r="T802" s="9" t="s">
        <v>263</v>
      </c>
      <c r="U802" s="9" t="s">
        <v>263</v>
      </c>
      <c r="V802" s="9" t="s">
        <v>263</v>
      </c>
      <c r="W802" s="9" t="s">
        <v>263</v>
      </c>
      <c r="X802" s="9" t="s">
        <v>263</v>
      </c>
      <c r="Y802" s="9" t="s">
        <v>483</v>
      </c>
      <c r="Z802" s="9" t="s">
        <v>483</v>
      </c>
      <c r="AA802" s="9" t="s">
        <v>5749</v>
      </c>
      <c r="AB802" s="9" t="s">
        <v>6714</v>
      </c>
      <c r="AC802" s="9" t="s">
        <v>6714</v>
      </c>
      <c r="AD802" s="9" t="s">
        <v>6714</v>
      </c>
      <c r="AE802" s="10" t="s">
        <v>35</v>
      </c>
      <c r="AF802" s="10" t="s">
        <v>35</v>
      </c>
      <c r="AG802" s="9" t="s">
        <v>263</v>
      </c>
      <c r="AH802" s="10" t="s">
        <v>36</v>
      </c>
      <c r="AI802" s="9" t="s">
        <v>263</v>
      </c>
      <c r="AJ802" s="9" t="s">
        <v>263</v>
      </c>
      <c r="AK802" s="9" t="s">
        <v>263</v>
      </c>
      <c r="AL802" s="9">
        <v>75.7</v>
      </c>
      <c r="AM802" s="9">
        <v>1.81</v>
      </c>
      <c r="AN802" s="9">
        <v>97</v>
      </c>
      <c r="AO802" s="9">
        <v>101</v>
      </c>
      <c r="AP802" s="9">
        <v>25.1</v>
      </c>
      <c r="AQ802" s="9">
        <v>7</v>
      </c>
      <c r="AR802" s="9">
        <v>32.200000000000003</v>
      </c>
      <c r="AS802" s="9">
        <v>55</v>
      </c>
      <c r="AT802" s="9">
        <v>23.1</v>
      </c>
      <c r="AU802" s="9">
        <v>127</v>
      </c>
      <c r="AV802" s="10">
        <v>93</v>
      </c>
      <c r="DC802" s="9">
        <v>87.3</v>
      </c>
      <c r="DD802" s="9">
        <v>0.48</v>
      </c>
      <c r="DE802" s="9">
        <v>189</v>
      </c>
      <c r="DF802" s="9">
        <v>85</v>
      </c>
      <c r="DG802" s="9">
        <f t="shared" si="12"/>
        <v>4.4560008596679364</v>
      </c>
      <c r="DH802" s="9">
        <v>17</v>
      </c>
      <c r="DI802" s="9">
        <v>4.1500000000000004</v>
      </c>
      <c r="DJ802" s="9">
        <v>13.7</v>
      </c>
      <c r="DK802" s="9">
        <v>30.7</v>
      </c>
      <c r="DL802" s="9">
        <v>39.9</v>
      </c>
      <c r="DM802" s="9">
        <v>132.1</v>
      </c>
      <c r="DP802" s="11">
        <v>3</v>
      </c>
      <c r="DR802" s="9">
        <v>3</v>
      </c>
    </row>
    <row r="803" spans="1:125" x14ac:dyDescent="0.2">
      <c r="A803" s="7">
        <v>716</v>
      </c>
      <c r="B803" s="17">
        <v>43299</v>
      </c>
      <c r="C803" s="9" t="s">
        <v>107</v>
      </c>
      <c r="D803" s="9">
        <v>16</v>
      </c>
      <c r="E803" s="9" t="s">
        <v>3702</v>
      </c>
      <c r="F803" s="17">
        <v>37234</v>
      </c>
      <c r="G803" s="9" t="s">
        <v>6830</v>
      </c>
      <c r="H803" s="9" t="s">
        <v>6831</v>
      </c>
      <c r="M803" s="9" t="s">
        <v>263</v>
      </c>
      <c r="N803" s="9" t="s">
        <v>263</v>
      </c>
      <c r="O803" s="9" t="s">
        <v>263</v>
      </c>
      <c r="P803" s="9" t="s">
        <v>263</v>
      </c>
      <c r="Q803" s="9" t="s">
        <v>6804</v>
      </c>
      <c r="R803" s="9" t="s">
        <v>263</v>
      </c>
      <c r="S803" s="9" t="s">
        <v>6832</v>
      </c>
      <c r="T803" s="9" t="s">
        <v>483</v>
      </c>
      <c r="U803" s="9" t="s">
        <v>483</v>
      </c>
      <c r="V803" s="9" t="s">
        <v>263</v>
      </c>
      <c r="W803" s="9" t="s">
        <v>263</v>
      </c>
      <c r="X803" s="9" t="s">
        <v>5689</v>
      </c>
      <c r="Y803" s="9" t="s">
        <v>6833</v>
      </c>
      <c r="Z803" s="9" t="s">
        <v>483</v>
      </c>
      <c r="AA803" s="9" t="s">
        <v>5749</v>
      </c>
      <c r="AB803" s="9" t="s">
        <v>6714</v>
      </c>
      <c r="AC803" s="9" t="s">
        <v>6834</v>
      </c>
      <c r="AD803" s="9" t="s">
        <v>6835</v>
      </c>
      <c r="AE803" s="10" t="s">
        <v>611</v>
      </c>
      <c r="AF803" s="10" t="s">
        <v>611</v>
      </c>
      <c r="AG803" s="9" t="s">
        <v>263</v>
      </c>
      <c r="AH803" s="9" t="s">
        <v>483</v>
      </c>
      <c r="AI803" s="10" t="s">
        <v>4123</v>
      </c>
      <c r="AJ803" s="9" t="s">
        <v>263</v>
      </c>
      <c r="AK803" s="9" t="s">
        <v>263</v>
      </c>
      <c r="AL803" s="9">
        <v>68.3</v>
      </c>
      <c r="AM803" s="9">
        <v>1.69</v>
      </c>
      <c r="AN803" s="9">
        <v>82</v>
      </c>
      <c r="AO803" s="9">
        <v>95</v>
      </c>
      <c r="AP803" s="9">
        <v>16</v>
      </c>
      <c r="AT803" s="9">
        <v>23.9</v>
      </c>
      <c r="AU803" s="9">
        <v>122</v>
      </c>
      <c r="AV803" s="9">
        <v>77</v>
      </c>
      <c r="AX803" s="9" t="s">
        <v>6836</v>
      </c>
      <c r="AY803" s="9" t="s">
        <v>371</v>
      </c>
      <c r="BB803" s="9" t="s">
        <v>3974</v>
      </c>
      <c r="BC803" s="9" t="s">
        <v>6539</v>
      </c>
      <c r="BD803" s="9" t="s">
        <v>6795</v>
      </c>
      <c r="BF803" s="9" t="s">
        <v>323</v>
      </c>
      <c r="BG803" s="9" t="s">
        <v>6837</v>
      </c>
      <c r="BH803" s="9" t="s">
        <v>323</v>
      </c>
      <c r="BI803" s="9" t="s">
        <v>323</v>
      </c>
      <c r="BJ803" s="9" t="s">
        <v>323</v>
      </c>
      <c r="BK803" s="9" t="s">
        <v>323</v>
      </c>
      <c r="BV803" s="9" t="s">
        <v>554</v>
      </c>
      <c r="BZ803" s="9" t="s">
        <v>380</v>
      </c>
      <c r="CA803" s="9" t="s">
        <v>942</v>
      </c>
      <c r="CB803" s="9" t="s">
        <v>6838</v>
      </c>
      <c r="CL803" s="9" t="s">
        <v>997</v>
      </c>
      <c r="CM803" s="9" t="s">
        <v>6767</v>
      </c>
      <c r="CN803" s="9" t="s">
        <v>382</v>
      </c>
      <c r="CP803" s="9" t="s">
        <v>1200</v>
      </c>
      <c r="CQ803" s="9" t="s">
        <v>1285</v>
      </c>
      <c r="CT803" s="9" t="s">
        <v>1278</v>
      </c>
      <c r="CU803" s="9" t="s">
        <v>445</v>
      </c>
      <c r="CW803" s="9">
        <v>3</v>
      </c>
      <c r="CX803" s="9" t="s">
        <v>588</v>
      </c>
      <c r="CY803" s="9" t="s">
        <v>588</v>
      </c>
      <c r="CZ803" s="9">
        <v>25</v>
      </c>
      <c r="DA803" s="9">
        <v>50</v>
      </c>
      <c r="DB803" s="9">
        <v>25</v>
      </c>
      <c r="DC803" s="9">
        <v>88.9</v>
      </c>
      <c r="DD803" s="9">
        <v>0.56999999999999995</v>
      </c>
      <c r="DE803" s="9">
        <v>133</v>
      </c>
      <c r="DF803" s="9">
        <v>80</v>
      </c>
      <c r="DG803" s="9">
        <f t="shared" si="12"/>
        <v>4.4347693885968704</v>
      </c>
      <c r="DH803" s="9">
        <v>15.6</v>
      </c>
      <c r="DI803" s="9">
        <v>5.43</v>
      </c>
      <c r="DJ803" s="9">
        <v>16.3</v>
      </c>
      <c r="DK803" s="9">
        <v>31.3</v>
      </c>
      <c r="DL803" s="9">
        <v>32</v>
      </c>
      <c r="DM803" s="9">
        <v>85.4</v>
      </c>
      <c r="DP803" s="11">
        <v>3</v>
      </c>
      <c r="DR803" s="9">
        <v>3</v>
      </c>
    </row>
    <row r="804" spans="1:125" x14ac:dyDescent="0.2">
      <c r="A804" s="36">
        <v>717</v>
      </c>
      <c r="B804" s="17">
        <v>43299</v>
      </c>
      <c r="C804" s="9" t="s">
        <v>95</v>
      </c>
      <c r="D804" s="9">
        <v>78</v>
      </c>
      <c r="E804" s="9" t="s">
        <v>6839</v>
      </c>
      <c r="F804" s="17">
        <v>14455</v>
      </c>
      <c r="G804" s="9" t="s">
        <v>1320</v>
      </c>
      <c r="H804" s="9" t="s">
        <v>6640</v>
      </c>
      <c r="I804" s="9" t="s">
        <v>1610</v>
      </c>
      <c r="J804" s="9" t="s">
        <v>776</v>
      </c>
      <c r="L804" s="9">
        <v>6</v>
      </c>
      <c r="M804" s="9" t="s">
        <v>263</v>
      </c>
      <c r="N804" s="10" t="s">
        <v>588</v>
      </c>
      <c r="O804" s="9" t="s">
        <v>263</v>
      </c>
      <c r="P804" s="9" t="s">
        <v>263</v>
      </c>
      <c r="Q804" s="9" t="s">
        <v>263</v>
      </c>
      <c r="R804" s="9" t="s">
        <v>588</v>
      </c>
      <c r="S804" s="9" t="s">
        <v>263</v>
      </c>
      <c r="T804" s="9" t="s">
        <v>6840</v>
      </c>
      <c r="U804" s="9" t="s">
        <v>6841</v>
      </c>
      <c r="V804" s="9" t="s">
        <v>263</v>
      </c>
      <c r="W804" s="9" t="s">
        <v>263</v>
      </c>
      <c r="X804" s="9" t="s">
        <v>263</v>
      </c>
      <c r="Y804" s="9" t="s">
        <v>483</v>
      </c>
      <c r="Z804" s="9" t="s">
        <v>483</v>
      </c>
      <c r="AA804" s="9" t="s">
        <v>6842</v>
      </c>
      <c r="AB804" s="9" t="s">
        <v>6842</v>
      </c>
      <c r="AC804" s="9" t="s">
        <v>6842</v>
      </c>
      <c r="AD804" s="9" t="s">
        <v>6842</v>
      </c>
      <c r="AE804" s="10" t="s">
        <v>5792</v>
      </c>
      <c r="AF804" s="9" t="s">
        <v>263</v>
      </c>
      <c r="AG804" s="10" t="s">
        <v>36</v>
      </c>
      <c r="AH804" s="10" t="s">
        <v>5792</v>
      </c>
      <c r="AI804" s="9" t="s">
        <v>263</v>
      </c>
      <c r="AJ804" s="9" t="s">
        <v>263</v>
      </c>
      <c r="AK804" s="10" t="s">
        <v>6843</v>
      </c>
      <c r="AL804" s="9">
        <v>56.5</v>
      </c>
      <c r="AM804" s="9">
        <v>1.45</v>
      </c>
      <c r="AN804" s="9">
        <v>97</v>
      </c>
      <c r="AO804" s="9">
        <v>94</v>
      </c>
      <c r="AP804" s="9">
        <v>44.1</v>
      </c>
      <c r="AQ804" s="9">
        <v>12</v>
      </c>
      <c r="AR804" s="9">
        <v>21</v>
      </c>
      <c r="AS804" s="9">
        <v>74</v>
      </c>
      <c r="AT804" s="9">
        <v>26.9</v>
      </c>
      <c r="AU804" s="14">
        <v>150</v>
      </c>
      <c r="AV804" s="14">
        <v>96</v>
      </c>
      <c r="DC804" s="9">
        <v>93.7</v>
      </c>
      <c r="DD804" s="9">
        <v>0.36</v>
      </c>
      <c r="DE804" s="10">
        <v>202</v>
      </c>
      <c r="DF804" s="10">
        <v>186</v>
      </c>
      <c r="DG804" s="9">
        <f t="shared" si="12"/>
        <v>4.8829224314787885</v>
      </c>
      <c r="DH804" s="9">
        <v>37.200000000000003</v>
      </c>
      <c r="DI804" s="10">
        <v>6.12</v>
      </c>
      <c r="DJ804" s="9">
        <v>15.3</v>
      </c>
      <c r="DK804" s="9">
        <v>25.7</v>
      </c>
      <c r="DL804" s="10">
        <v>34.1</v>
      </c>
      <c r="DM804" s="9">
        <v>130.69999999999999</v>
      </c>
      <c r="DP804" s="11">
        <v>3</v>
      </c>
      <c r="DR804" s="9">
        <v>3</v>
      </c>
    </row>
    <row r="805" spans="1:125" x14ac:dyDescent="0.2">
      <c r="A805" s="7">
        <v>718</v>
      </c>
      <c r="B805" s="17">
        <v>43299</v>
      </c>
      <c r="C805" s="9" t="s">
        <v>3955</v>
      </c>
      <c r="D805" s="9">
        <v>20</v>
      </c>
      <c r="E805" s="9" t="s">
        <v>3702</v>
      </c>
      <c r="F805" s="17">
        <v>35743</v>
      </c>
      <c r="G805" s="9" t="s">
        <v>6830</v>
      </c>
      <c r="H805" s="9" t="s">
        <v>6844</v>
      </c>
      <c r="M805" s="9" t="s">
        <v>263</v>
      </c>
      <c r="N805" s="9" t="s">
        <v>263</v>
      </c>
      <c r="O805" s="9" t="s">
        <v>263</v>
      </c>
      <c r="P805" s="9" t="s">
        <v>6845</v>
      </c>
      <c r="Q805" s="9" t="s">
        <v>6846</v>
      </c>
      <c r="R805" s="9" t="s">
        <v>263</v>
      </c>
      <c r="S805" s="9" t="s">
        <v>6847</v>
      </c>
      <c r="T805" s="9" t="s">
        <v>263</v>
      </c>
      <c r="U805" s="9" t="s">
        <v>263</v>
      </c>
      <c r="V805" s="9" t="s">
        <v>263</v>
      </c>
      <c r="W805" s="9" t="s">
        <v>6848</v>
      </c>
      <c r="X805" s="9" t="s">
        <v>6849</v>
      </c>
      <c r="Y805" s="9" t="s">
        <v>6850</v>
      </c>
      <c r="Z805" s="9" t="s">
        <v>483</v>
      </c>
      <c r="AA805" s="9" t="s">
        <v>5749</v>
      </c>
      <c r="AB805" s="9" t="s">
        <v>5749</v>
      </c>
      <c r="AC805" s="9" t="s">
        <v>6834</v>
      </c>
      <c r="AD805" s="9" t="s">
        <v>6835</v>
      </c>
      <c r="AE805" s="10" t="s">
        <v>6851</v>
      </c>
      <c r="AF805" s="9" t="s">
        <v>263</v>
      </c>
      <c r="AG805" s="9" t="s">
        <v>263</v>
      </c>
      <c r="AH805" s="9" t="s">
        <v>263</v>
      </c>
      <c r="AI805" s="10" t="s">
        <v>4123</v>
      </c>
      <c r="AJ805" s="9" t="s">
        <v>263</v>
      </c>
      <c r="AK805" s="9" t="s">
        <v>263</v>
      </c>
      <c r="AL805" s="9">
        <v>64.599999999999994</v>
      </c>
      <c r="AM805" s="9">
        <v>1.65</v>
      </c>
      <c r="AN805" s="9">
        <v>83</v>
      </c>
      <c r="AO805" s="9">
        <v>89</v>
      </c>
      <c r="AP805" s="9">
        <v>20.9</v>
      </c>
      <c r="AR805" s="9">
        <v>40.9</v>
      </c>
      <c r="AS805" s="9">
        <v>21</v>
      </c>
      <c r="AT805" s="9">
        <v>23.7</v>
      </c>
      <c r="AU805" s="9">
        <v>106</v>
      </c>
      <c r="AV805" s="9">
        <v>74</v>
      </c>
      <c r="AX805" s="9" t="s">
        <v>6836</v>
      </c>
      <c r="AY805" s="9" t="s">
        <v>5738</v>
      </c>
      <c r="BB805" s="9" t="s">
        <v>409</v>
      </c>
      <c r="BC805" s="9" t="s">
        <v>536</v>
      </c>
      <c r="BF805" s="9" t="s">
        <v>323</v>
      </c>
      <c r="BG805" s="9" t="s">
        <v>323</v>
      </c>
      <c r="BH805" s="9" t="s">
        <v>323</v>
      </c>
      <c r="BI805" s="9" t="s">
        <v>323</v>
      </c>
      <c r="BJ805" s="9" t="s">
        <v>635</v>
      </c>
      <c r="BK805" s="9" t="s">
        <v>323</v>
      </c>
      <c r="BN805" s="9" t="s">
        <v>6405</v>
      </c>
      <c r="BO805" s="9" t="s">
        <v>6513</v>
      </c>
      <c r="BP805" s="9" t="s">
        <v>467</v>
      </c>
      <c r="BV805" s="9" t="s">
        <v>6852</v>
      </c>
      <c r="BW805" s="9" t="s">
        <v>554</v>
      </c>
      <c r="BZ805" s="9" t="s">
        <v>6508</v>
      </c>
      <c r="CA805" s="9" t="s">
        <v>6853</v>
      </c>
      <c r="CB805" s="9" t="s">
        <v>397</v>
      </c>
      <c r="CL805" s="9" t="s">
        <v>6854</v>
      </c>
      <c r="CM805" s="9" t="s">
        <v>997</v>
      </c>
      <c r="CN805" s="9" t="s">
        <v>6767</v>
      </c>
      <c r="CP805" s="9" t="s">
        <v>1200</v>
      </c>
      <c r="CT805" s="9" t="s">
        <v>6716</v>
      </c>
      <c r="CU805" s="9" t="s">
        <v>6376</v>
      </c>
      <c r="CW805" s="9">
        <v>4</v>
      </c>
      <c r="CX805" s="9" t="s">
        <v>483</v>
      </c>
      <c r="CY805" s="9" t="s">
        <v>588</v>
      </c>
      <c r="CZ805" s="9">
        <v>15</v>
      </c>
      <c r="DA805" s="9">
        <v>50</v>
      </c>
      <c r="DB805" s="9">
        <v>35</v>
      </c>
      <c r="DC805" s="9">
        <v>86.6</v>
      </c>
      <c r="DD805" s="9">
        <v>0.68</v>
      </c>
      <c r="DE805" s="9">
        <v>161</v>
      </c>
      <c r="DF805" s="9">
        <v>87</v>
      </c>
      <c r="DG805" s="9">
        <f t="shared" si="12"/>
        <v>4.4636039671114869</v>
      </c>
      <c r="DH805" s="9">
        <v>17.399999999999999</v>
      </c>
      <c r="DI805" s="9">
        <v>5.64</v>
      </c>
      <c r="DJ805" s="9">
        <v>24.7</v>
      </c>
      <c r="DK805" s="9">
        <v>27.3</v>
      </c>
      <c r="DL805" s="10">
        <v>36.6</v>
      </c>
      <c r="DM805" s="9">
        <v>107</v>
      </c>
      <c r="DP805" s="11">
        <v>3</v>
      </c>
      <c r="DR805" s="9">
        <v>3</v>
      </c>
    </row>
    <row r="806" spans="1:125" x14ac:dyDescent="0.2">
      <c r="A806" s="9">
        <v>719</v>
      </c>
      <c r="B806" s="17">
        <v>43299</v>
      </c>
      <c r="C806" s="9" t="s">
        <v>3645</v>
      </c>
      <c r="D806" s="9">
        <v>54</v>
      </c>
      <c r="E806" s="35" t="s">
        <v>6748</v>
      </c>
      <c r="F806" s="17">
        <v>23285</v>
      </c>
      <c r="G806" s="9" t="s">
        <v>3703</v>
      </c>
      <c r="H806" s="9" t="s">
        <v>6533</v>
      </c>
      <c r="I806" s="9">
        <v>11</v>
      </c>
      <c r="J806" s="9">
        <v>49</v>
      </c>
      <c r="K806" s="9">
        <v>2003</v>
      </c>
      <c r="L806" s="9">
        <v>3</v>
      </c>
      <c r="M806" s="9" t="s">
        <v>263</v>
      </c>
      <c r="N806" s="9" t="s">
        <v>483</v>
      </c>
      <c r="O806" s="10" t="s">
        <v>588</v>
      </c>
      <c r="P806" s="9" t="s">
        <v>483</v>
      </c>
      <c r="Q806" s="9" t="s">
        <v>6855</v>
      </c>
      <c r="R806" s="9" t="s">
        <v>588</v>
      </c>
      <c r="S806" s="9" t="s">
        <v>483</v>
      </c>
      <c r="T806" s="9" t="s">
        <v>6856</v>
      </c>
      <c r="U806" s="9" t="s">
        <v>483</v>
      </c>
      <c r="V806" s="9" t="s">
        <v>483</v>
      </c>
      <c r="W806" s="9" t="s">
        <v>483</v>
      </c>
      <c r="X806" s="9" t="s">
        <v>483</v>
      </c>
      <c r="Y806" s="9" t="s">
        <v>483</v>
      </c>
      <c r="Z806" s="10" t="s">
        <v>6857</v>
      </c>
      <c r="AL806" s="9">
        <v>67.900000000000006</v>
      </c>
      <c r="AM806" s="9">
        <v>1.52</v>
      </c>
      <c r="AN806" s="9">
        <v>97</v>
      </c>
      <c r="AO806" s="9">
        <v>103</v>
      </c>
      <c r="AP806" s="9">
        <v>46.2</v>
      </c>
      <c r="AQ806" s="9">
        <v>10</v>
      </c>
      <c r="AR806" s="9">
        <v>22.2</v>
      </c>
      <c r="AS806" s="9">
        <v>65</v>
      </c>
      <c r="AT806" s="9">
        <v>29.4</v>
      </c>
      <c r="AU806" s="9">
        <v>119</v>
      </c>
      <c r="AV806" s="9">
        <v>86</v>
      </c>
      <c r="AX806" s="9" t="s">
        <v>6858</v>
      </c>
      <c r="AY806" s="9" t="s">
        <v>372</v>
      </c>
      <c r="AZ806" s="9" t="s">
        <v>6485</v>
      </c>
      <c r="BB806" s="9" t="s">
        <v>409</v>
      </c>
      <c r="BC806" s="9" t="s">
        <v>536</v>
      </c>
      <c r="BD806" s="9" t="s">
        <v>4034</v>
      </c>
      <c r="BE806" s="9" t="s">
        <v>6789</v>
      </c>
      <c r="BF806" s="9" t="s">
        <v>635</v>
      </c>
      <c r="BG806" s="9" t="s">
        <v>323</v>
      </c>
      <c r="BH806" s="9" t="s">
        <v>323</v>
      </c>
      <c r="BI806" s="9" t="s">
        <v>323</v>
      </c>
      <c r="BJ806" s="9" t="s">
        <v>323</v>
      </c>
      <c r="BK806" s="9" t="s">
        <v>325</v>
      </c>
      <c r="BN806" s="9" t="s">
        <v>430</v>
      </c>
      <c r="BO806" s="9" t="s">
        <v>6513</v>
      </c>
      <c r="BP806" s="9" t="s">
        <v>467</v>
      </c>
      <c r="BZ806" s="9" t="s">
        <v>432</v>
      </c>
      <c r="CA806" s="9" t="s">
        <v>6647</v>
      </c>
      <c r="CB806" s="9" t="s">
        <v>6859</v>
      </c>
      <c r="CL806" s="9" t="s">
        <v>922</v>
      </c>
      <c r="CM806" s="9" t="s">
        <v>997</v>
      </c>
      <c r="CN806" s="9" t="s">
        <v>6860</v>
      </c>
      <c r="CP806" s="9" t="s">
        <v>1200</v>
      </c>
      <c r="CQ806" s="9" t="s">
        <v>385</v>
      </c>
      <c r="CR806" s="9" t="s">
        <v>4116</v>
      </c>
      <c r="CT806" s="9" t="s">
        <v>6861</v>
      </c>
      <c r="CU806" s="9" t="s">
        <v>1278</v>
      </c>
      <c r="CV806" s="9" t="s">
        <v>1010</v>
      </c>
      <c r="CW806" s="9">
        <v>3</v>
      </c>
      <c r="CX806" s="9" t="s">
        <v>483</v>
      </c>
      <c r="CY806" s="9" t="s">
        <v>483</v>
      </c>
      <c r="CZ806" s="9">
        <v>25</v>
      </c>
      <c r="DA806" s="9">
        <v>25</v>
      </c>
      <c r="DB806" s="9">
        <v>50</v>
      </c>
      <c r="DC806" s="9">
        <v>92.1</v>
      </c>
      <c r="DD806" s="9">
        <v>0.37</v>
      </c>
      <c r="DE806" s="10">
        <v>226</v>
      </c>
      <c r="DF806" s="9">
        <v>77</v>
      </c>
      <c r="DG806" s="9">
        <f t="shared" si="12"/>
        <v>4.4333401825574725</v>
      </c>
      <c r="DH806" s="9">
        <v>15.4</v>
      </c>
      <c r="DI806" s="10">
        <v>6.66</v>
      </c>
      <c r="DJ806" s="9">
        <v>26.3</v>
      </c>
      <c r="DK806" s="9">
        <v>30</v>
      </c>
      <c r="DL806" s="10">
        <v>48.1</v>
      </c>
      <c r="DM806" s="9">
        <v>162.5</v>
      </c>
      <c r="DP806" s="11">
        <v>2</v>
      </c>
      <c r="DR806" s="9">
        <v>2</v>
      </c>
    </row>
    <row r="807" spans="1:125" x14ac:dyDescent="0.2">
      <c r="A807" s="9">
        <v>720</v>
      </c>
      <c r="B807" s="17">
        <v>43299</v>
      </c>
      <c r="C807" s="9" t="s">
        <v>3645</v>
      </c>
      <c r="D807" s="9">
        <v>35</v>
      </c>
      <c r="E807" s="9" t="s">
        <v>96</v>
      </c>
      <c r="F807" s="17">
        <v>30225</v>
      </c>
      <c r="G807" s="9" t="s">
        <v>6862</v>
      </c>
      <c r="H807" s="9" t="s">
        <v>6863</v>
      </c>
      <c r="I807" s="9">
        <v>11</v>
      </c>
      <c r="K807" s="9">
        <v>2009</v>
      </c>
      <c r="L807" s="9">
        <v>3</v>
      </c>
      <c r="M807" s="9" t="s">
        <v>483</v>
      </c>
      <c r="N807" s="9" t="s">
        <v>483</v>
      </c>
      <c r="O807" s="9" t="s">
        <v>483</v>
      </c>
      <c r="P807" s="9" t="s">
        <v>588</v>
      </c>
      <c r="Q807" s="9" t="s">
        <v>483</v>
      </c>
      <c r="R807" s="9" t="s">
        <v>588</v>
      </c>
      <c r="S807" s="9" t="s">
        <v>6864</v>
      </c>
      <c r="T807" s="9" t="s">
        <v>1084</v>
      </c>
      <c r="U807" s="9" t="s">
        <v>6370</v>
      </c>
      <c r="V807" s="9" t="s">
        <v>588</v>
      </c>
      <c r="W807" s="9" t="s">
        <v>483</v>
      </c>
      <c r="X807" s="9" t="s">
        <v>483</v>
      </c>
      <c r="Y807" s="9" t="s">
        <v>483</v>
      </c>
      <c r="Z807" s="10" t="s">
        <v>6865</v>
      </c>
      <c r="AA807" s="9" t="s">
        <v>949</v>
      </c>
      <c r="AB807" s="9" t="s">
        <v>949</v>
      </c>
      <c r="AC807" s="9" t="s">
        <v>949</v>
      </c>
      <c r="AD807" s="9" t="s">
        <v>949</v>
      </c>
      <c r="AE807" s="10" t="s">
        <v>424</v>
      </c>
      <c r="AF807" s="10" t="s">
        <v>1242</v>
      </c>
      <c r="AG807" s="10" t="s">
        <v>1115</v>
      </c>
      <c r="AH807" s="9" t="s">
        <v>483</v>
      </c>
      <c r="AI807" s="10" t="s">
        <v>423</v>
      </c>
      <c r="AJ807" s="9" t="s">
        <v>483</v>
      </c>
      <c r="AK807" s="9" t="s">
        <v>483</v>
      </c>
      <c r="AL807" s="9">
        <v>78.8</v>
      </c>
      <c r="AM807" s="9">
        <v>1.55</v>
      </c>
      <c r="AN807" s="9">
        <v>96</v>
      </c>
      <c r="AO807" s="9">
        <v>106</v>
      </c>
      <c r="AP807" s="9">
        <v>41</v>
      </c>
      <c r="AQ807" s="9">
        <v>8</v>
      </c>
      <c r="AR807" s="9">
        <v>27</v>
      </c>
      <c r="AS807" s="9">
        <v>57</v>
      </c>
      <c r="AT807" s="9">
        <v>32.799999999999997</v>
      </c>
      <c r="AU807" s="10">
        <v>144</v>
      </c>
      <c r="AV807" s="10">
        <v>90</v>
      </c>
      <c r="AX807" s="9" t="s">
        <v>6371</v>
      </c>
      <c r="AY807" s="9" t="s">
        <v>5738</v>
      </c>
      <c r="BB807" s="9" t="s">
        <v>409</v>
      </c>
      <c r="BC807" s="9" t="s">
        <v>536</v>
      </c>
      <c r="BF807" s="9" t="s">
        <v>635</v>
      </c>
      <c r="BG807" s="9" t="s">
        <v>323</v>
      </c>
      <c r="BH807" s="9" t="s">
        <v>323</v>
      </c>
      <c r="BI807" s="9" t="s">
        <v>323</v>
      </c>
      <c r="BJ807" s="9" t="s">
        <v>323</v>
      </c>
      <c r="BK807" s="9" t="s">
        <v>325</v>
      </c>
      <c r="BN807" s="9" t="s">
        <v>6866</v>
      </c>
      <c r="BO807" s="9" t="s">
        <v>467</v>
      </c>
      <c r="BP807" s="9" t="s">
        <v>430</v>
      </c>
      <c r="BZ807" s="9" t="s">
        <v>380</v>
      </c>
      <c r="CA807" s="9" t="s">
        <v>379</v>
      </c>
      <c r="CB807" s="9" t="s">
        <v>942</v>
      </c>
      <c r="CL807" s="9" t="s">
        <v>997</v>
      </c>
      <c r="CM807" s="9" t="s">
        <v>6753</v>
      </c>
      <c r="CP807" s="9" t="s">
        <v>1200</v>
      </c>
      <c r="CT807" s="9" t="s">
        <v>1278</v>
      </c>
      <c r="CW807" s="9">
        <v>2</v>
      </c>
      <c r="CX807" s="9" t="s">
        <v>483</v>
      </c>
      <c r="CY807" s="9" t="s">
        <v>483</v>
      </c>
      <c r="CZ807" s="9">
        <v>10</v>
      </c>
      <c r="DA807" s="9">
        <v>60</v>
      </c>
      <c r="DB807" s="9">
        <v>30</v>
      </c>
      <c r="DC807" s="9">
        <v>81</v>
      </c>
      <c r="DD807" s="9">
        <v>0.82</v>
      </c>
      <c r="DE807" s="9">
        <v>118</v>
      </c>
      <c r="DF807" s="9">
        <v>90</v>
      </c>
      <c r="DG807" s="9">
        <f t="shared" si="12"/>
        <v>4.4471294125013516</v>
      </c>
      <c r="DH807" s="9">
        <v>18</v>
      </c>
      <c r="DI807" s="9">
        <v>3.73</v>
      </c>
      <c r="DJ807" s="10">
        <v>54.7</v>
      </c>
      <c r="DK807" s="10">
        <v>38.700000000000003</v>
      </c>
      <c r="DL807" s="10">
        <v>31</v>
      </c>
      <c r="DM807" s="9">
        <v>69</v>
      </c>
      <c r="DP807" s="11">
        <v>3</v>
      </c>
      <c r="DR807" s="30">
        <v>1</v>
      </c>
    </row>
    <row r="808" spans="1:125" x14ac:dyDescent="0.2">
      <c r="A808" s="9">
        <v>721</v>
      </c>
      <c r="B808" s="17">
        <v>43299</v>
      </c>
      <c r="C808" s="9" t="s">
        <v>95</v>
      </c>
      <c r="D808" s="9">
        <v>58</v>
      </c>
      <c r="E808" s="9" t="s">
        <v>6867</v>
      </c>
      <c r="F808" s="17">
        <v>22073</v>
      </c>
      <c r="G808" s="9" t="s">
        <v>6868</v>
      </c>
      <c r="H808" s="9" t="s">
        <v>6640</v>
      </c>
      <c r="I808" s="9" t="s">
        <v>6869</v>
      </c>
      <c r="J808" s="9" t="s">
        <v>3566</v>
      </c>
      <c r="K808" s="8">
        <v>34487</v>
      </c>
      <c r="L808" s="9">
        <v>1</v>
      </c>
      <c r="M808" s="9" t="s">
        <v>483</v>
      </c>
      <c r="N808" s="9" t="s">
        <v>483</v>
      </c>
      <c r="O808" s="9" t="s">
        <v>483</v>
      </c>
      <c r="P808" s="9" t="s">
        <v>322</v>
      </c>
      <c r="Q808" s="9" t="s">
        <v>483</v>
      </c>
      <c r="R808" s="9" t="s">
        <v>588</v>
      </c>
      <c r="S808" s="9" t="s">
        <v>6691</v>
      </c>
      <c r="T808" s="9" t="s">
        <v>6870</v>
      </c>
      <c r="U808" s="9" t="s">
        <v>483</v>
      </c>
      <c r="V808" s="9" t="s">
        <v>483</v>
      </c>
      <c r="W808" s="9" t="s">
        <v>263</v>
      </c>
      <c r="X808" s="9" t="s">
        <v>483</v>
      </c>
      <c r="Y808" s="9" t="s">
        <v>4085</v>
      </c>
      <c r="Z808" s="9" t="s">
        <v>483</v>
      </c>
      <c r="AA808" s="9" t="s">
        <v>6871</v>
      </c>
      <c r="AB808" s="9" t="s">
        <v>6872</v>
      </c>
      <c r="AC808" s="9" t="s">
        <v>6867</v>
      </c>
      <c r="AD808" s="9" t="s">
        <v>6872</v>
      </c>
      <c r="AE808" s="9" t="s">
        <v>483</v>
      </c>
      <c r="AF808" s="9" t="s">
        <v>483</v>
      </c>
      <c r="AG808" s="10" t="s">
        <v>36</v>
      </c>
      <c r="AH808" s="9" t="s">
        <v>483</v>
      </c>
      <c r="AI808" s="9" t="s">
        <v>483</v>
      </c>
      <c r="AJ808" s="9" t="s">
        <v>483</v>
      </c>
      <c r="AK808" s="10" t="s">
        <v>26</v>
      </c>
      <c r="AL808" s="9">
        <v>70.8</v>
      </c>
      <c r="AM808" s="9">
        <v>1.54</v>
      </c>
      <c r="AN808" s="9">
        <v>112</v>
      </c>
      <c r="AO808" s="9">
        <v>110</v>
      </c>
      <c r="AP808" s="9">
        <v>49.7</v>
      </c>
      <c r="AQ808" s="9">
        <v>11</v>
      </c>
      <c r="AR808" s="9">
        <v>19.100000000000001</v>
      </c>
      <c r="AS808" s="9">
        <v>67</v>
      </c>
      <c r="AT808" s="9">
        <v>29.9</v>
      </c>
      <c r="AU808" s="9">
        <v>122</v>
      </c>
      <c r="AV808" s="9">
        <v>83</v>
      </c>
      <c r="AX808" s="9" t="s">
        <v>6873</v>
      </c>
      <c r="BB808" s="9" t="s">
        <v>6874</v>
      </c>
      <c r="BC808" s="9" t="s">
        <v>6417</v>
      </c>
      <c r="BD808" s="9" t="s">
        <v>6875</v>
      </c>
      <c r="BE808" s="9" t="s">
        <v>6876</v>
      </c>
      <c r="BF808" s="9" t="s">
        <v>635</v>
      </c>
      <c r="BG808" s="9" t="s">
        <v>323</v>
      </c>
      <c r="BH808" s="9" t="s">
        <v>483</v>
      </c>
      <c r="BI808" s="9" t="s">
        <v>323</v>
      </c>
      <c r="BJ808" s="9" t="s">
        <v>635</v>
      </c>
      <c r="BK808" s="9" t="s">
        <v>323</v>
      </c>
      <c r="BN808" s="9" t="s">
        <v>411</v>
      </c>
      <c r="BO808" s="9" t="s">
        <v>553</v>
      </c>
      <c r="BP808" s="9" t="s">
        <v>552</v>
      </c>
      <c r="BZ808" s="9" t="s">
        <v>6508</v>
      </c>
      <c r="CA808" s="9" t="s">
        <v>380</v>
      </c>
      <c r="CB808" s="9" t="s">
        <v>5716</v>
      </c>
      <c r="CL808" s="9" t="s">
        <v>997</v>
      </c>
      <c r="CM808" s="9" t="s">
        <v>922</v>
      </c>
      <c r="CP808" s="9" t="s">
        <v>1200</v>
      </c>
      <c r="CT808" s="9" t="s">
        <v>6803</v>
      </c>
      <c r="CU808" s="9" t="s">
        <v>6716</v>
      </c>
      <c r="CW808" s="9">
        <v>5</v>
      </c>
      <c r="CX808" s="9" t="s">
        <v>588</v>
      </c>
      <c r="CY808" s="9" t="s">
        <v>588</v>
      </c>
      <c r="CZ808" s="9">
        <v>50</v>
      </c>
      <c r="DA808" s="9">
        <v>10</v>
      </c>
      <c r="DB808" s="9">
        <v>40</v>
      </c>
      <c r="DC808" s="9">
        <v>95.2</v>
      </c>
      <c r="DD808" s="9">
        <v>0.45</v>
      </c>
      <c r="DE808" s="9">
        <v>214</v>
      </c>
      <c r="DF808" s="9">
        <v>107</v>
      </c>
      <c r="DG808" s="9">
        <f t="shared" si="12"/>
        <v>4.6144043881296133</v>
      </c>
      <c r="DH808" s="9">
        <v>21.4</v>
      </c>
      <c r="DI808" s="9">
        <v>5.1100000000000003</v>
      </c>
      <c r="DJ808" s="9">
        <v>21.7</v>
      </c>
      <c r="DK808" s="9">
        <v>17.7</v>
      </c>
      <c r="DL808" s="9">
        <v>43.8</v>
      </c>
      <c r="DM808" s="9">
        <v>148.80000000000001</v>
      </c>
      <c r="DR808" s="30">
        <v>1</v>
      </c>
      <c r="DT808" s="9">
        <v>11</v>
      </c>
      <c r="DU808" s="9">
        <v>7</v>
      </c>
    </row>
    <row r="809" spans="1:125" x14ac:dyDescent="0.2">
      <c r="A809" s="36">
        <v>722</v>
      </c>
      <c r="B809" s="17">
        <v>43300</v>
      </c>
      <c r="C809" s="9" t="s">
        <v>3645</v>
      </c>
      <c r="D809" s="9">
        <v>60</v>
      </c>
      <c r="E809" s="37" t="s">
        <v>6877</v>
      </c>
      <c r="F809" s="17">
        <v>20877</v>
      </c>
      <c r="G809" s="9" t="s">
        <v>6878</v>
      </c>
      <c r="H809" s="9" t="s">
        <v>6533</v>
      </c>
      <c r="I809" s="9">
        <v>11</v>
      </c>
      <c r="J809" s="9">
        <v>51</v>
      </c>
      <c r="K809" s="9">
        <v>1981</v>
      </c>
      <c r="L809" s="9">
        <v>4</v>
      </c>
      <c r="M809" s="9" t="s">
        <v>483</v>
      </c>
      <c r="N809" s="9" t="s">
        <v>483</v>
      </c>
      <c r="O809" s="9" t="s">
        <v>483</v>
      </c>
      <c r="P809" s="10" t="s">
        <v>6879</v>
      </c>
      <c r="Q809" s="10" t="s">
        <v>6880</v>
      </c>
      <c r="R809" s="9" t="s">
        <v>588</v>
      </c>
      <c r="S809" s="9" t="s">
        <v>6881</v>
      </c>
      <c r="T809" s="9" t="s">
        <v>6882</v>
      </c>
      <c r="U809" s="9" t="s">
        <v>483</v>
      </c>
      <c r="V809" s="9" t="s">
        <v>483</v>
      </c>
      <c r="W809" s="9" t="s">
        <v>6883</v>
      </c>
      <c r="X809" s="9" t="s">
        <v>483</v>
      </c>
      <c r="Y809" s="9" t="s">
        <v>6884</v>
      </c>
      <c r="Z809" s="9" t="s">
        <v>483</v>
      </c>
      <c r="AA809" s="35" t="s">
        <v>6748</v>
      </c>
      <c r="AB809" s="49" t="s">
        <v>6885</v>
      </c>
      <c r="AC809" s="9" t="s">
        <v>3702</v>
      </c>
      <c r="AD809" s="37" t="s">
        <v>2072</v>
      </c>
      <c r="AE809" s="9" t="s">
        <v>483</v>
      </c>
      <c r="AF809" s="9" t="s">
        <v>483</v>
      </c>
      <c r="AG809" s="9" t="s">
        <v>2930</v>
      </c>
      <c r="AH809" s="9" t="s">
        <v>483</v>
      </c>
      <c r="AI809" s="9" t="s">
        <v>483</v>
      </c>
      <c r="AJ809" s="9" t="s">
        <v>483</v>
      </c>
      <c r="AK809" s="9" t="s">
        <v>483</v>
      </c>
      <c r="AL809" s="9">
        <v>58.5</v>
      </c>
      <c r="AM809" s="9">
        <v>1.47</v>
      </c>
      <c r="AP809" s="9">
        <v>44.6</v>
      </c>
      <c r="AQ809" s="9">
        <v>10</v>
      </c>
      <c r="AR809" s="9">
        <v>20.5</v>
      </c>
      <c r="AS809" s="9">
        <v>63</v>
      </c>
      <c r="AT809" s="9">
        <v>26.7</v>
      </c>
      <c r="AU809" s="9">
        <v>100</v>
      </c>
      <c r="AV809" s="9">
        <v>67</v>
      </c>
      <c r="DC809" s="9">
        <v>83.3</v>
      </c>
      <c r="DD809" s="9">
        <v>0.31</v>
      </c>
      <c r="DE809" s="10">
        <v>245</v>
      </c>
      <c r="DF809" s="10">
        <v>253</v>
      </c>
      <c r="DG809" s="9">
        <f t="shared" si="12"/>
        <v>4.9779190189501588</v>
      </c>
      <c r="DH809" s="9">
        <v>50.6</v>
      </c>
      <c r="DI809" s="9">
        <v>5.65</v>
      </c>
      <c r="DJ809" s="9">
        <v>19.7</v>
      </c>
      <c r="DK809" s="10">
        <v>36.299999999999997</v>
      </c>
      <c r="DL809" s="10">
        <v>36.299999999999997</v>
      </c>
      <c r="DM809" s="9">
        <v>158.1</v>
      </c>
    </row>
    <row r="810" spans="1:125" x14ac:dyDescent="0.2">
      <c r="A810" s="9" t="s">
        <v>6886</v>
      </c>
      <c r="B810" s="17">
        <v>43299</v>
      </c>
      <c r="C810" s="9" t="s">
        <v>107</v>
      </c>
      <c r="D810" s="9">
        <v>54</v>
      </c>
      <c r="E810" s="52" t="s">
        <v>1460</v>
      </c>
      <c r="F810" s="17">
        <v>23541</v>
      </c>
      <c r="G810" s="9" t="s">
        <v>837</v>
      </c>
      <c r="H810" s="9" t="s">
        <v>6887</v>
      </c>
      <c r="M810" s="9" t="s">
        <v>99</v>
      </c>
      <c r="N810" s="9" t="s">
        <v>99</v>
      </c>
      <c r="O810" s="9" t="s">
        <v>99</v>
      </c>
      <c r="P810" s="9" t="s">
        <v>110</v>
      </c>
      <c r="Q810" s="9" t="s">
        <v>110</v>
      </c>
      <c r="R810" s="9" t="s">
        <v>99</v>
      </c>
      <c r="S810" s="9" t="s">
        <v>110</v>
      </c>
      <c r="W810" s="9" t="s">
        <v>6888</v>
      </c>
      <c r="Y810" s="9" t="s">
        <v>6889</v>
      </c>
      <c r="Z810" s="9" t="s">
        <v>2309</v>
      </c>
      <c r="AA810" s="9" t="s">
        <v>1123</v>
      </c>
      <c r="AB810" s="9" t="s">
        <v>96</v>
      </c>
      <c r="AE810" s="9" t="s">
        <v>126</v>
      </c>
      <c r="AF810" s="9" t="s">
        <v>126</v>
      </c>
      <c r="AG810" s="9" t="s">
        <v>664</v>
      </c>
      <c r="AH810" s="9" t="s">
        <v>99</v>
      </c>
      <c r="AI810" s="9" t="s">
        <v>664</v>
      </c>
      <c r="AJ810" s="9" t="s">
        <v>99</v>
      </c>
      <c r="AK810" s="9" t="s">
        <v>99</v>
      </c>
      <c r="AL810" s="9">
        <v>115</v>
      </c>
      <c r="AM810" s="9">
        <v>181</v>
      </c>
      <c r="AN810" s="9">
        <v>116</v>
      </c>
      <c r="AO810" s="9">
        <v>131</v>
      </c>
      <c r="AP810" s="9">
        <v>36.700000000000003</v>
      </c>
      <c r="AQ810" s="9">
        <v>20</v>
      </c>
      <c r="AR810" s="9">
        <v>37.9</v>
      </c>
      <c r="AS810" s="9">
        <v>80</v>
      </c>
      <c r="AT810" s="9">
        <v>35.1</v>
      </c>
      <c r="AU810" s="10">
        <v>135</v>
      </c>
      <c r="AV810" s="10">
        <v>90</v>
      </c>
      <c r="DC810" s="9">
        <v>93.6</v>
      </c>
      <c r="DD810" s="9">
        <v>0.69</v>
      </c>
      <c r="DE810" s="9">
        <v>189</v>
      </c>
      <c r="DF810" s="9">
        <v>112</v>
      </c>
      <c r="DG810" s="9">
        <f t="shared" si="12"/>
        <v>4.6287646273893204</v>
      </c>
      <c r="DH810" s="9">
        <v>22.4</v>
      </c>
      <c r="DI810" s="9">
        <v>6.22</v>
      </c>
      <c r="DJ810" s="9">
        <v>38.299999999999997</v>
      </c>
      <c r="DK810" s="9">
        <v>28.3</v>
      </c>
      <c r="DP810" s="11">
        <v>3</v>
      </c>
      <c r="DQ810" s="9">
        <v>2</v>
      </c>
      <c r="DR810" s="9">
        <v>2</v>
      </c>
    </row>
    <row r="811" spans="1:125" x14ac:dyDescent="0.2">
      <c r="A811" s="9" t="s">
        <v>6890</v>
      </c>
      <c r="DC811" s="9">
        <v>85.3</v>
      </c>
      <c r="DD811" s="9">
        <v>1.03</v>
      </c>
      <c r="DE811" s="10">
        <v>219</v>
      </c>
      <c r="DF811" s="10">
        <v>376</v>
      </c>
      <c r="DG811" s="9">
        <f t="shared" si="12"/>
        <v>5.1878817989437636</v>
      </c>
      <c r="DH811" s="9">
        <v>75.2</v>
      </c>
      <c r="DI811" s="10">
        <v>8.2200000000000006</v>
      </c>
      <c r="DL811" s="9">
        <v>60.4</v>
      </c>
      <c r="DM811" s="9">
        <v>83.4</v>
      </c>
      <c r="DP811" s="11">
        <v>2</v>
      </c>
    </row>
    <row r="812" spans="1:125" x14ac:dyDescent="0.2">
      <c r="A812" s="110">
        <v>725</v>
      </c>
      <c r="B812" s="17">
        <v>43300</v>
      </c>
      <c r="C812" s="9" t="s">
        <v>3955</v>
      </c>
      <c r="D812" s="9">
        <v>51</v>
      </c>
      <c r="E812" s="9" t="s">
        <v>5749</v>
      </c>
      <c r="F812" s="17">
        <v>24416</v>
      </c>
      <c r="G812" s="9" t="s">
        <v>6891</v>
      </c>
      <c r="H812" s="9" t="s">
        <v>6892</v>
      </c>
      <c r="M812" s="9" t="s">
        <v>483</v>
      </c>
      <c r="N812" s="9" t="s">
        <v>483</v>
      </c>
      <c r="O812" s="9" t="s">
        <v>483</v>
      </c>
      <c r="P812" s="9" t="s">
        <v>483</v>
      </c>
      <c r="Q812" s="9" t="s">
        <v>483</v>
      </c>
      <c r="R812" s="9" t="s">
        <v>483</v>
      </c>
      <c r="S812" s="9" t="s">
        <v>588</v>
      </c>
      <c r="T812" s="9" t="s">
        <v>6893</v>
      </c>
      <c r="U812" s="9" t="s">
        <v>483</v>
      </c>
      <c r="V812" s="9" t="s">
        <v>483</v>
      </c>
      <c r="W812" s="9" t="s">
        <v>483</v>
      </c>
      <c r="X812" s="9" t="s">
        <v>483</v>
      </c>
      <c r="Y812" s="9" t="s">
        <v>483</v>
      </c>
      <c r="Z812" s="9" t="s">
        <v>5790</v>
      </c>
      <c r="AA812" s="36" t="s">
        <v>6894</v>
      </c>
      <c r="AB812" s="9" t="s">
        <v>6895</v>
      </c>
      <c r="AC812" s="36" t="s">
        <v>6894</v>
      </c>
      <c r="AD812" s="9" t="s">
        <v>6895</v>
      </c>
      <c r="AE812" s="9" t="s">
        <v>483</v>
      </c>
      <c r="AF812" s="9" t="s">
        <v>483</v>
      </c>
      <c r="AG812" s="9" t="s">
        <v>483</v>
      </c>
      <c r="AH812" s="9" t="s">
        <v>406</v>
      </c>
      <c r="AI812" s="9" t="s">
        <v>423</v>
      </c>
      <c r="AJ812" s="9" t="s">
        <v>483</v>
      </c>
      <c r="AK812" s="9" t="s">
        <v>483</v>
      </c>
      <c r="AL812" s="9">
        <v>81.3</v>
      </c>
      <c r="AM812" s="9">
        <v>1.72</v>
      </c>
      <c r="AN812" s="9">
        <v>99</v>
      </c>
      <c r="AO812" s="9">
        <v>101</v>
      </c>
      <c r="AP812" s="9">
        <v>25.4</v>
      </c>
      <c r="AQ812" s="9">
        <v>12</v>
      </c>
      <c r="AR812" s="9">
        <v>34.5</v>
      </c>
      <c r="AS812" s="9">
        <v>54</v>
      </c>
      <c r="AT812" s="9">
        <v>27.5</v>
      </c>
      <c r="AU812" s="10">
        <v>129</v>
      </c>
      <c r="AV812" s="10">
        <v>93</v>
      </c>
      <c r="AX812" s="9" t="s">
        <v>372</v>
      </c>
      <c r="AY812" s="9" t="s">
        <v>6896</v>
      </c>
      <c r="AZ812" s="9" t="s">
        <v>6897</v>
      </c>
      <c r="BB812" s="9" t="s">
        <v>6417</v>
      </c>
      <c r="BC812" s="9" t="s">
        <v>5713</v>
      </c>
      <c r="BD812" s="9" t="s">
        <v>5714</v>
      </c>
      <c r="BE812" s="9" t="s">
        <v>6898</v>
      </c>
      <c r="BF812" s="9" t="s">
        <v>635</v>
      </c>
      <c r="BG812" s="9" t="s">
        <v>323</v>
      </c>
      <c r="BH812" s="9" t="s">
        <v>323</v>
      </c>
      <c r="BI812" s="9" t="s">
        <v>635</v>
      </c>
      <c r="BJ812" s="9" t="s">
        <v>635</v>
      </c>
      <c r="BK812" s="9" t="s">
        <v>323</v>
      </c>
      <c r="BN812" s="9" t="s">
        <v>6405</v>
      </c>
      <c r="BO812" s="9" t="s">
        <v>430</v>
      </c>
      <c r="BP812" s="9" t="s">
        <v>467</v>
      </c>
      <c r="BV812" s="9" t="s">
        <v>468</v>
      </c>
      <c r="BW812" s="9" t="s">
        <v>467</v>
      </c>
      <c r="BZ812" s="9" t="s">
        <v>6508</v>
      </c>
      <c r="CA812" s="9" t="s">
        <v>471</v>
      </c>
      <c r="CB812" s="9" t="s">
        <v>6899</v>
      </c>
      <c r="CH812" s="9" t="s">
        <v>944</v>
      </c>
      <c r="CL812" s="9" t="s">
        <v>922</v>
      </c>
      <c r="CM812" s="9" t="s">
        <v>997</v>
      </c>
      <c r="CP812" s="9" t="s">
        <v>6900</v>
      </c>
      <c r="CQ812" s="9" t="s">
        <v>451</v>
      </c>
      <c r="CR812" s="9" t="s">
        <v>385</v>
      </c>
      <c r="CT812" s="9" t="s">
        <v>445</v>
      </c>
      <c r="CU812" s="9" t="s">
        <v>1278</v>
      </c>
      <c r="CW812" s="9">
        <v>3</v>
      </c>
      <c r="CX812" s="9" t="s">
        <v>483</v>
      </c>
      <c r="CY812" s="9" t="s">
        <v>588</v>
      </c>
      <c r="CZ812" s="9">
        <v>25</v>
      </c>
      <c r="DA812" s="9">
        <v>25</v>
      </c>
      <c r="DB812" s="9">
        <v>50</v>
      </c>
      <c r="DC812" s="9">
        <v>78.400000000000006</v>
      </c>
      <c r="DD812" s="9">
        <v>0.99</v>
      </c>
      <c r="DE812" s="9">
        <v>156</v>
      </c>
      <c r="DF812" s="9">
        <v>82</v>
      </c>
      <c r="DG812" s="9">
        <f t="shared" si="12"/>
        <v>4.384271587310308</v>
      </c>
      <c r="DH812" s="9">
        <v>16.399999999999999</v>
      </c>
      <c r="DI812" s="9">
        <v>5.54</v>
      </c>
      <c r="DP812" s="11">
        <v>3</v>
      </c>
      <c r="DR812" s="9">
        <v>2</v>
      </c>
    </row>
    <row r="813" spans="1:125" x14ac:dyDescent="0.2">
      <c r="A813" s="14">
        <v>726</v>
      </c>
      <c r="B813" s="17">
        <v>43300</v>
      </c>
      <c r="C813" s="9" t="s">
        <v>3645</v>
      </c>
      <c r="D813" s="9">
        <v>42</v>
      </c>
      <c r="E813" s="9" t="s">
        <v>5749</v>
      </c>
      <c r="F813" s="17">
        <v>27682</v>
      </c>
      <c r="G813" s="9" t="s">
        <v>1320</v>
      </c>
      <c r="H813" s="9" t="s">
        <v>6533</v>
      </c>
      <c r="I813" s="9">
        <v>11</v>
      </c>
      <c r="K813" s="9">
        <v>2002</v>
      </c>
      <c r="L813" s="9">
        <v>4</v>
      </c>
      <c r="M813" s="9" t="s">
        <v>483</v>
      </c>
      <c r="N813" s="9" t="s">
        <v>483</v>
      </c>
      <c r="O813" s="9" t="s">
        <v>483</v>
      </c>
      <c r="P813" s="9" t="s">
        <v>483</v>
      </c>
      <c r="Q813" s="9" t="s">
        <v>483</v>
      </c>
      <c r="R813" s="9" t="s">
        <v>588</v>
      </c>
      <c r="S813" s="9" t="s">
        <v>483</v>
      </c>
      <c r="T813" s="9" t="s">
        <v>483</v>
      </c>
      <c r="U813" s="9" t="s">
        <v>483</v>
      </c>
      <c r="V813" s="9" t="s">
        <v>483</v>
      </c>
      <c r="W813" s="14" t="s">
        <v>6901</v>
      </c>
      <c r="X813" s="9" t="s">
        <v>483</v>
      </c>
      <c r="Y813" s="9" t="s">
        <v>483</v>
      </c>
      <c r="Z813" s="14" t="s">
        <v>6902</v>
      </c>
      <c r="AA813" s="9" t="s">
        <v>96</v>
      </c>
      <c r="AB813" s="9" t="s">
        <v>96</v>
      </c>
      <c r="AC813" s="9" t="s">
        <v>96</v>
      </c>
      <c r="AD813" s="9" t="s">
        <v>96</v>
      </c>
      <c r="AE813" s="9" t="s">
        <v>1086</v>
      </c>
      <c r="AF813" s="9" t="s">
        <v>406</v>
      </c>
      <c r="AG813" s="9" t="s">
        <v>483</v>
      </c>
      <c r="AH813" s="9" t="s">
        <v>483</v>
      </c>
      <c r="AI813" s="9" t="s">
        <v>6198</v>
      </c>
      <c r="AJ813" s="9" t="s">
        <v>5694</v>
      </c>
      <c r="AK813" s="9" t="s">
        <v>6903</v>
      </c>
      <c r="AL813" s="9">
        <v>84.3</v>
      </c>
      <c r="AM813" s="9">
        <v>1.57</v>
      </c>
      <c r="AN813" s="9">
        <v>99</v>
      </c>
      <c r="AO813" s="9">
        <v>116</v>
      </c>
      <c r="AP813" s="9">
        <v>52.8</v>
      </c>
      <c r="AQ813" s="9">
        <v>11</v>
      </c>
      <c r="AR813" s="9">
        <v>19.7</v>
      </c>
      <c r="AS813" s="9">
        <v>66</v>
      </c>
      <c r="AT813" s="9">
        <v>34.200000000000003</v>
      </c>
      <c r="AU813" s="9">
        <v>113</v>
      </c>
      <c r="AV813" s="9">
        <v>71</v>
      </c>
      <c r="AX813" s="9" t="s">
        <v>6485</v>
      </c>
      <c r="AY813" s="9" t="s">
        <v>6371</v>
      </c>
      <c r="BB813" s="9" t="s">
        <v>3974</v>
      </c>
      <c r="BF813" s="9" t="s">
        <v>635</v>
      </c>
      <c r="BG813" s="9" t="s">
        <v>323</v>
      </c>
      <c r="BH813" s="9" t="s">
        <v>323</v>
      </c>
      <c r="BI813" s="9" t="s">
        <v>323</v>
      </c>
      <c r="BJ813" s="9" t="s">
        <v>323</v>
      </c>
      <c r="BK813" s="9" t="s">
        <v>323</v>
      </c>
      <c r="BN813" s="9" t="s">
        <v>430</v>
      </c>
      <c r="BO813" s="9" t="s">
        <v>6866</v>
      </c>
      <c r="BP813" s="9" t="s">
        <v>6513</v>
      </c>
      <c r="BZ813" s="9" t="s">
        <v>6904</v>
      </c>
      <c r="CA813" s="9" t="s">
        <v>432</v>
      </c>
      <c r="CB813" s="9" t="s">
        <v>6508</v>
      </c>
      <c r="CL813" s="9" t="s">
        <v>922</v>
      </c>
      <c r="CM813" s="9" t="s">
        <v>6905</v>
      </c>
      <c r="CP813" s="9" t="s">
        <v>6906</v>
      </c>
      <c r="CQ813" s="9" t="s">
        <v>6907</v>
      </c>
      <c r="CT813" s="9" t="s">
        <v>1278</v>
      </c>
      <c r="CW813" s="9">
        <v>3</v>
      </c>
      <c r="CX813" s="9" t="s">
        <v>483</v>
      </c>
      <c r="CY813" s="9" t="s">
        <v>483</v>
      </c>
      <c r="CZ813" s="9">
        <v>80</v>
      </c>
      <c r="DA813" s="9">
        <v>10</v>
      </c>
      <c r="DB813" s="9">
        <v>10</v>
      </c>
      <c r="DC813" s="10">
        <v>104.1</v>
      </c>
      <c r="DD813" s="9" t="s">
        <v>6908</v>
      </c>
      <c r="DE813" s="9">
        <v>192</v>
      </c>
      <c r="DF813" s="10">
        <v>248</v>
      </c>
      <c r="DG813" s="9">
        <f t="shared" si="12"/>
        <v>5.0793903608929529</v>
      </c>
      <c r="DH813" s="9">
        <v>49.6</v>
      </c>
      <c r="DI813" s="10">
        <v>7.3</v>
      </c>
      <c r="DJ813" s="10">
        <v>40.700000000000003</v>
      </c>
      <c r="DK813" s="10">
        <v>58.3</v>
      </c>
      <c r="DP813" s="11">
        <v>2</v>
      </c>
      <c r="DR813" s="9">
        <v>2</v>
      </c>
      <c r="DU813" s="9">
        <v>10</v>
      </c>
    </row>
    <row r="814" spans="1:125" x14ac:dyDescent="0.2">
      <c r="A814" s="110">
        <v>727</v>
      </c>
      <c r="B814" s="17">
        <v>43300</v>
      </c>
      <c r="C814" s="9" t="s">
        <v>3955</v>
      </c>
      <c r="D814" s="9">
        <v>67</v>
      </c>
      <c r="E814" s="9" t="s">
        <v>5749</v>
      </c>
      <c r="F814" s="17">
        <v>18504</v>
      </c>
      <c r="G814" s="9" t="s">
        <v>6909</v>
      </c>
      <c r="H814" s="9" t="s">
        <v>6533</v>
      </c>
      <c r="M814" s="10" t="s">
        <v>588</v>
      </c>
      <c r="N814" s="9" t="s">
        <v>483</v>
      </c>
      <c r="O814" s="9" t="s">
        <v>483</v>
      </c>
      <c r="P814" s="10" t="s">
        <v>635</v>
      </c>
      <c r="Q814" s="10" t="s">
        <v>6745</v>
      </c>
      <c r="R814" s="9" t="s">
        <v>588</v>
      </c>
      <c r="S814" s="9" t="s">
        <v>483</v>
      </c>
      <c r="T814" s="9" t="s">
        <v>483</v>
      </c>
      <c r="U814" s="9" t="s">
        <v>483</v>
      </c>
      <c r="V814" s="9" t="s">
        <v>483</v>
      </c>
      <c r="W814" s="9" t="s">
        <v>6910</v>
      </c>
      <c r="X814" s="9" t="s">
        <v>483</v>
      </c>
      <c r="Y814" s="9" t="s">
        <v>6911</v>
      </c>
      <c r="Z814" s="9" t="s">
        <v>483</v>
      </c>
      <c r="AA814" s="41" t="s">
        <v>6912</v>
      </c>
      <c r="AB814" s="9" t="s">
        <v>6913</v>
      </c>
      <c r="AE814" s="9" t="s">
        <v>1086</v>
      </c>
      <c r="AF814" s="9" t="s">
        <v>483</v>
      </c>
      <c r="AG814" s="9" t="s">
        <v>483</v>
      </c>
      <c r="AH814" s="9" t="s">
        <v>483</v>
      </c>
      <c r="AI814" s="9" t="s">
        <v>483</v>
      </c>
      <c r="AJ814" s="9" t="s">
        <v>483</v>
      </c>
      <c r="AK814" s="9" t="s">
        <v>483</v>
      </c>
      <c r="AL814" s="9">
        <v>64.599999999999994</v>
      </c>
      <c r="AM814" s="9">
        <v>1.65</v>
      </c>
      <c r="AN814" s="9">
        <v>96</v>
      </c>
      <c r="AO814" s="9">
        <v>95</v>
      </c>
      <c r="AP814" s="9">
        <v>21.4</v>
      </c>
      <c r="AQ814" s="9">
        <v>9</v>
      </c>
      <c r="AR814" s="9">
        <v>34.200000000000003</v>
      </c>
      <c r="AS814" s="9">
        <v>45</v>
      </c>
      <c r="AT814" s="7">
        <v>23.7</v>
      </c>
      <c r="AU814" s="10">
        <v>137</v>
      </c>
      <c r="AV814" s="10">
        <v>78</v>
      </c>
      <c r="AX814" s="9" t="s">
        <v>6537</v>
      </c>
      <c r="AY814" s="9" t="s">
        <v>428</v>
      </c>
      <c r="AZ814" s="9" t="s">
        <v>371</v>
      </c>
      <c r="BB814" s="9" t="s">
        <v>6914</v>
      </c>
      <c r="BC814" s="9" t="s">
        <v>3974</v>
      </c>
      <c r="BF814" s="9" t="s">
        <v>323</v>
      </c>
      <c r="BG814" s="9" t="s">
        <v>323</v>
      </c>
      <c r="BH814" s="9" t="s">
        <v>323</v>
      </c>
      <c r="BI814" s="9" t="s">
        <v>323</v>
      </c>
      <c r="BJ814" s="9" t="s">
        <v>635</v>
      </c>
      <c r="BK814" s="9" t="s">
        <v>325</v>
      </c>
      <c r="BN814" s="9" t="s">
        <v>466</v>
      </c>
      <c r="BO814" s="9" t="s">
        <v>6561</v>
      </c>
      <c r="BP814" s="9" t="s">
        <v>6453</v>
      </c>
      <c r="BZ814" s="9" t="s">
        <v>6915</v>
      </c>
      <c r="CA814" s="9" t="s">
        <v>6916</v>
      </c>
      <c r="CB814" s="9" t="s">
        <v>6917</v>
      </c>
      <c r="CL814" s="9" t="s">
        <v>997</v>
      </c>
      <c r="CM814" s="9" t="s">
        <v>6918</v>
      </c>
      <c r="CP814" s="9" t="s">
        <v>1200</v>
      </c>
      <c r="CQ814" s="9" t="s">
        <v>6907</v>
      </c>
      <c r="CR814" s="9" t="s">
        <v>6906</v>
      </c>
      <c r="CT814" s="9" t="s">
        <v>6919</v>
      </c>
      <c r="CW814" s="9">
        <v>2</v>
      </c>
      <c r="CX814" s="9" t="s">
        <v>588</v>
      </c>
      <c r="CY814" s="9" t="s">
        <v>588</v>
      </c>
      <c r="CZ814" s="9">
        <v>20</v>
      </c>
      <c r="DA814" s="9">
        <v>40</v>
      </c>
      <c r="DB814" s="9">
        <v>40</v>
      </c>
      <c r="DC814" s="10">
        <v>103.7</v>
      </c>
      <c r="DD814" s="9">
        <v>0.79</v>
      </c>
      <c r="DE814" s="10">
        <v>206</v>
      </c>
      <c r="DF814" s="10">
        <v>212</v>
      </c>
      <c r="DG814" s="9">
        <f t="shared" si="12"/>
        <v>4.999044194953747</v>
      </c>
      <c r="DH814" s="9">
        <v>42.76</v>
      </c>
      <c r="DI814" s="9">
        <v>4.76</v>
      </c>
      <c r="DL814" s="9">
        <v>52.5</v>
      </c>
      <c r="DQ814" s="9">
        <v>2</v>
      </c>
      <c r="DR814" s="30">
        <v>1</v>
      </c>
    </row>
    <row r="815" spans="1:125" x14ac:dyDescent="0.2">
      <c r="A815" s="9">
        <v>728</v>
      </c>
      <c r="B815" s="17">
        <v>43300</v>
      </c>
      <c r="C815" s="9" t="s">
        <v>3955</v>
      </c>
      <c r="D815" s="9">
        <v>48</v>
      </c>
      <c r="E815" s="9" t="s">
        <v>1926</v>
      </c>
      <c r="F815" s="17">
        <v>25545</v>
      </c>
      <c r="H815" s="9" t="s">
        <v>6533</v>
      </c>
      <c r="M815" s="9" t="s">
        <v>483</v>
      </c>
      <c r="N815" s="9" t="s">
        <v>483</v>
      </c>
      <c r="O815" s="9" t="s">
        <v>483</v>
      </c>
      <c r="P815" s="9" t="s">
        <v>483</v>
      </c>
      <c r="Q815" s="9" t="s">
        <v>483</v>
      </c>
      <c r="R815" s="9" t="s">
        <v>483</v>
      </c>
      <c r="S815" s="9" t="s">
        <v>483</v>
      </c>
      <c r="T815" s="9" t="s">
        <v>6920</v>
      </c>
      <c r="U815" s="9" t="s">
        <v>483</v>
      </c>
      <c r="V815" s="9" t="s">
        <v>483</v>
      </c>
      <c r="W815" s="9" t="s">
        <v>6921</v>
      </c>
      <c r="X815" s="9" t="s">
        <v>483</v>
      </c>
      <c r="Y815" s="9" t="s">
        <v>483</v>
      </c>
      <c r="Z815" s="9" t="s">
        <v>483</v>
      </c>
      <c r="AA815" s="9" t="s">
        <v>1419</v>
      </c>
      <c r="AB815" s="9" t="s">
        <v>96</v>
      </c>
      <c r="AC815" s="9" t="s">
        <v>1419</v>
      </c>
      <c r="AD815" s="9" t="s">
        <v>96</v>
      </c>
      <c r="AE815" s="9" t="s">
        <v>423</v>
      </c>
      <c r="AF815" s="9" t="s">
        <v>423</v>
      </c>
      <c r="AG815" s="9" t="s">
        <v>423</v>
      </c>
      <c r="AH815" s="9" t="s">
        <v>483</v>
      </c>
      <c r="AI815" s="9" t="s">
        <v>483</v>
      </c>
      <c r="AJ815" s="9" t="s">
        <v>6483</v>
      </c>
      <c r="AK815" s="9" t="s">
        <v>483</v>
      </c>
      <c r="AL815" s="9">
        <v>88</v>
      </c>
      <c r="AM815" s="9">
        <v>1.72</v>
      </c>
      <c r="AN815" s="9">
        <v>110</v>
      </c>
      <c r="AO815" s="9">
        <v>120</v>
      </c>
      <c r="AP815" s="9">
        <v>35.6</v>
      </c>
      <c r="AQ815" s="9">
        <v>16</v>
      </c>
      <c r="AR815" s="9">
        <v>28.6</v>
      </c>
      <c r="AS815" s="9">
        <v>63</v>
      </c>
      <c r="AT815" s="9">
        <v>29.7</v>
      </c>
      <c r="AU815" s="9">
        <v>124</v>
      </c>
      <c r="AV815" s="9">
        <v>90</v>
      </c>
      <c r="AX815" s="9" t="s">
        <v>6485</v>
      </c>
      <c r="AY815" s="9" t="s">
        <v>6537</v>
      </c>
      <c r="BE815" s="9" t="s">
        <v>6922</v>
      </c>
      <c r="BF815" s="9" t="s">
        <v>635</v>
      </c>
      <c r="BG815" s="9" t="s">
        <v>483</v>
      </c>
      <c r="BH815" s="9" t="s">
        <v>483</v>
      </c>
      <c r="BI815" s="9" t="s">
        <v>323</v>
      </c>
      <c r="BJ815" s="9" t="s">
        <v>323</v>
      </c>
      <c r="BK815" s="9" t="s">
        <v>323</v>
      </c>
      <c r="CL815" s="9" t="s">
        <v>997</v>
      </c>
      <c r="CM815" s="9" t="s">
        <v>472</v>
      </c>
      <c r="CN815" s="9" t="s">
        <v>922</v>
      </c>
      <c r="CW815" s="9">
        <v>2</v>
      </c>
      <c r="CX815" s="9" t="s">
        <v>483</v>
      </c>
      <c r="CY815" s="9" t="s">
        <v>588</v>
      </c>
      <c r="CZ815" s="9">
        <v>5</v>
      </c>
      <c r="DA815" s="9">
        <v>5</v>
      </c>
      <c r="DB815" s="9">
        <v>90</v>
      </c>
      <c r="DC815" s="9">
        <v>79</v>
      </c>
      <c r="DD815" s="9">
        <v>0.41</v>
      </c>
      <c r="DE815" s="9">
        <v>173</v>
      </c>
      <c r="DF815" s="9">
        <v>112</v>
      </c>
      <c r="DG815" s="9">
        <f t="shared" si="12"/>
        <v>4.5439733618810578</v>
      </c>
      <c r="DH815" s="9">
        <v>22.4</v>
      </c>
      <c r="DI815" s="9">
        <v>7.34</v>
      </c>
      <c r="DJ815" s="9">
        <v>20.3</v>
      </c>
      <c r="DK815" s="9">
        <v>16</v>
      </c>
      <c r="DP815" s="11">
        <v>2</v>
      </c>
      <c r="DR815" s="9">
        <v>2</v>
      </c>
    </row>
    <row r="816" spans="1:125" x14ac:dyDescent="0.2">
      <c r="A816" s="9">
        <v>729</v>
      </c>
      <c r="B816" s="17">
        <v>43300</v>
      </c>
      <c r="C816" s="9" t="s">
        <v>3955</v>
      </c>
      <c r="D816" s="9">
        <v>28</v>
      </c>
      <c r="E816" s="9" t="s">
        <v>6923</v>
      </c>
      <c r="F816" s="17">
        <v>32774</v>
      </c>
      <c r="G816" s="9" t="s">
        <v>988</v>
      </c>
      <c r="H816" s="9" t="s">
        <v>6924</v>
      </c>
      <c r="M816" s="9" t="s">
        <v>483</v>
      </c>
      <c r="N816" s="9" t="s">
        <v>483</v>
      </c>
      <c r="O816" s="9" t="s">
        <v>483</v>
      </c>
      <c r="P816" s="10" t="s">
        <v>325</v>
      </c>
      <c r="Q816" s="10" t="s">
        <v>6880</v>
      </c>
      <c r="R816" s="9" t="s">
        <v>483</v>
      </c>
      <c r="S816" s="9" t="s">
        <v>6925</v>
      </c>
      <c r="T816" s="9" t="s">
        <v>483</v>
      </c>
      <c r="U816" s="9" t="s">
        <v>483</v>
      </c>
      <c r="V816" s="9" t="s">
        <v>483</v>
      </c>
      <c r="W816" s="9" t="s">
        <v>6926</v>
      </c>
      <c r="X816" s="9" t="s">
        <v>6927</v>
      </c>
      <c r="Y816" s="9" t="s">
        <v>6928</v>
      </c>
      <c r="Z816" s="10" t="s">
        <v>5812</v>
      </c>
      <c r="AA816" s="9" t="s">
        <v>5749</v>
      </c>
      <c r="AB816" s="9" t="s">
        <v>5749</v>
      </c>
      <c r="AC816" s="9" t="s">
        <v>5749</v>
      </c>
      <c r="AD816" s="9" t="s">
        <v>5749</v>
      </c>
      <c r="AE816" s="9" t="s">
        <v>424</v>
      </c>
      <c r="AF816" s="9" t="s">
        <v>5694</v>
      </c>
      <c r="AG816" s="9" t="s">
        <v>483</v>
      </c>
      <c r="AH816" s="9" t="s">
        <v>483</v>
      </c>
      <c r="AI816" s="9" t="s">
        <v>483</v>
      </c>
      <c r="AJ816" s="9" t="s">
        <v>483</v>
      </c>
      <c r="AK816" s="9" t="s">
        <v>483</v>
      </c>
      <c r="AL816" s="9">
        <v>70.7</v>
      </c>
      <c r="AM816" s="9">
        <v>1.7</v>
      </c>
      <c r="AN816" s="9">
        <v>88</v>
      </c>
      <c r="AO816" s="9">
        <v>95</v>
      </c>
      <c r="AP816" s="9">
        <v>26.1</v>
      </c>
      <c r="AR816" s="9">
        <v>35.799999999999997</v>
      </c>
      <c r="AS816" s="9">
        <v>36</v>
      </c>
      <c r="AT816" s="7">
        <v>24.5</v>
      </c>
      <c r="AU816" s="10">
        <v>138</v>
      </c>
      <c r="AV816" s="10">
        <v>89</v>
      </c>
      <c r="AX816" s="9" t="s">
        <v>6929</v>
      </c>
      <c r="AY816" s="9" t="s">
        <v>371</v>
      </c>
      <c r="AZ816" s="9" t="s">
        <v>6930</v>
      </c>
      <c r="BB816" s="9" t="s">
        <v>5714</v>
      </c>
      <c r="BC816" s="9" t="s">
        <v>6795</v>
      </c>
      <c r="BF816" s="9" t="s">
        <v>635</v>
      </c>
      <c r="BG816" s="9" t="s">
        <v>323</v>
      </c>
      <c r="BH816" s="9" t="s">
        <v>323</v>
      </c>
      <c r="BI816" s="9" t="s">
        <v>635</v>
      </c>
      <c r="BJ816" s="9" t="s">
        <v>635</v>
      </c>
      <c r="BK816" s="9" t="s">
        <v>483</v>
      </c>
      <c r="BN816" s="9" t="s">
        <v>6405</v>
      </c>
      <c r="BO816" s="9" t="s">
        <v>467</v>
      </c>
      <c r="BV816" s="9" t="s">
        <v>554</v>
      </c>
      <c r="BZ816" s="9" t="s">
        <v>6931</v>
      </c>
      <c r="CL816" s="9" t="s">
        <v>997</v>
      </c>
      <c r="CM816" s="9" t="s">
        <v>922</v>
      </c>
      <c r="CN816" s="9" t="s">
        <v>6753</v>
      </c>
      <c r="CP816" s="9" t="s">
        <v>6932</v>
      </c>
      <c r="CT816" s="9" t="s">
        <v>1278</v>
      </c>
      <c r="CW816" s="9">
        <v>4</v>
      </c>
      <c r="CX816" s="9" t="s">
        <v>588</v>
      </c>
      <c r="CY816" s="9" t="s">
        <v>588</v>
      </c>
      <c r="CZ816" s="9">
        <v>20</v>
      </c>
      <c r="DA816" s="9">
        <v>40</v>
      </c>
      <c r="DB816" s="9">
        <v>40</v>
      </c>
      <c r="DC816" s="9">
        <v>85.9</v>
      </c>
      <c r="DD816" s="9">
        <v>0.48</v>
      </c>
      <c r="DE816" s="9">
        <v>184</v>
      </c>
      <c r="DF816" s="9">
        <v>131</v>
      </c>
      <c r="DG816" s="9">
        <f t="shared" si="12"/>
        <v>4.664190576095681</v>
      </c>
      <c r="DH816" s="9">
        <v>26.2</v>
      </c>
      <c r="DI816" s="9">
        <v>5.76</v>
      </c>
      <c r="DJ816" s="9">
        <v>14.7</v>
      </c>
      <c r="DK816" s="9">
        <v>11.7</v>
      </c>
      <c r="DP816" s="11">
        <v>2</v>
      </c>
      <c r="DR816" s="9">
        <v>2</v>
      </c>
    </row>
    <row r="817" spans="1:125" x14ac:dyDescent="0.2">
      <c r="A817" s="9">
        <v>730</v>
      </c>
      <c r="B817" s="9" t="s">
        <v>6933</v>
      </c>
      <c r="C817" s="9" t="s">
        <v>3955</v>
      </c>
      <c r="D817" s="9">
        <v>72</v>
      </c>
      <c r="E817" s="41" t="s">
        <v>6934</v>
      </c>
      <c r="F817" s="17">
        <v>16860</v>
      </c>
      <c r="G817" s="9" t="s">
        <v>6935</v>
      </c>
      <c r="H817" s="9" t="s">
        <v>6533</v>
      </c>
      <c r="M817" s="9" t="s">
        <v>483</v>
      </c>
      <c r="N817" s="10" t="s">
        <v>588</v>
      </c>
      <c r="O817" s="9" t="s">
        <v>483</v>
      </c>
      <c r="P817" s="9" t="s">
        <v>483</v>
      </c>
      <c r="Q817" s="9" t="s">
        <v>483</v>
      </c>
      <c r="R817" s="9" t="s">
        <v>483</v>
      </c>
      <c r="S817" s="9" t="s">
        <v>483</v>
      </c>
      <c r="T817" s="9" t="s">
        <v>6936</v>
      </c>
      <c r="U817" s="9" t="s">
        <v>483</v>
      </c>
      <c r="V817" s="9" t="s">
        <v>483</v>
      </c>
      <c r="W817" s="9" t="s">
        <v>483</v>
      </c>
      <c r="X817" s="9" t="s">
        <v>483</v>
      </c>
      <c r="Y817" s="9" t="s">
        <v>483</v>
      </c>
      <c r="Z817" s="10" t="s">
        <v>3659</v>
      </c>
      <c r="AA817" s="41" t="s">
        <v>151</v>
      </c>
      <c r="AB817" s="41" t="s">
        <v>151</v>
      </c>
      <c r="AC817" s="41" t="s">
        <v>151</v>
      </c>
      <c r="AD817" s="41" t="s">
        <v>151</v>
      </c>
      <c r="AE817" s="9" t="s">
        <v>423</v>
      </c>
      <c r="AF817" s="9" t="s">
        <v>483</v>
      </c>
      <c r="AG817" s="9" t="s">
        <v>483</v>
      </c>
      <c r="AH817" s="9" t="s">
        <v>406</v>
      </c>
      <c r="AI817" s="9" t="s">
        <v>483</v>
      </c>
      <c r="AJ817" s="9" t="s">
        <v>483</v>
      </c>
      <c r="AK817" s="9" t="s">
        <v>483</v>
      </c>
      <c r="AL817" s="9">
        <v>82.3</v>
      </c>
      <c r="AM817" s="9">
        <v>1.78</v>
      </c>
      <c r="AN817" s="9">
        <v>98</v>
      </c>
      <c r="AO817" s="9">
        <v>105</v>
      </c>
      <c r="AP817" s="9">
        <v>24.7</v>
      </c>
      <c r="AQ817" s="9">
        <v>11</v>
      </c>
      <c r="AR817" s="9">
        <v>32.200000000000003</v>
      </c>
      <c r="AS817" s="9">
        <v>66</v>
      </c>
      <c r="AT817" s="9">
        <v>26</v>
      </c>
      <c r="AU817" s="10">
        <v>133</v>
      </c>
      <c r="AV817" s="10">
        <v>96</v>
      </c>
      <c r="AX817" s="9" t="s">
        <v>6929</v>
      </c>
      <c r="AY817" s="9" t="s">
        <v>6485</v>
      </c>
      <c r="BB817" s="9" t="s">
        <v>6937</v>
      </c>
      <c r="BE817" s="9" t="s">
        <v>6938</v>
      </c>
      <c r="BF817" s="9" t="s">
        <v>635</v>
      </c>
      <c r="BG817" s="9" t="s">
        <v>635</v>
      </c>
      <c r="BH817" s="9" t="s">
        <v>323</v>
      </c>
      <c r="BI817" s="9" t="s">
        <v>323</v>
      </c>
      <c r="BJ817" s="9" t="s">
        <v>483</v>
      </c>
      <c r="BK817" s="9" t="s">
        <v>325</v>
      </c>
      <c r="BN817" s="9" t="s">
        <v>6373</v>
      </c>
      <c r="BO817" s="9" t="s">
        <v>6939</v>
      </c>
      <c r="BP817" s="9" t="s">
        <v>6507</v>
      </c>
      <c r="BZ817" s="9" t="s">
        <v>4112</v>
      </c>
      <c r="CA817" s="9" t="s">
        <v>6542</v>
      </c>
      <c r="CL817" s="9" t="s">
        <v>922</v>
      </c>
      <c r="CM817" s="9" t="s">
        <v>472</v>
      </c>
      <c r="CW817" s="9">
        <v>2</v>
      </c>
      <c r="CX817" s="9" t="s">
        <v>588</v>
      </c>
      <c r="CY817" s="9" t="s">
        <v>588</v>
      </c>
      <c r="CZ817" s="9">
        <v>30</v>
      </c>
      <c r="DA817" s="9">
        <v>30</v>
      </c>
      <c r="DB817" s="9">
        <v>40</v>
      </c>
      <c r="DC817" s="9">
        <v>77</v>
      </c>
      <c r="DD817" s="9">
        <v>0.75</v>
      </c>
      <c r="DE817" s="10">
        <v>309</v>
      </c>
      <c r="DF817" s="9">
        <v>133</v>
      </c>
      <c r="DG817" s="9">
        <f t="shared" si="12"/>
        <v>4.6170772750377189</v>
      </c>
      <c r="DH817" s="9">
        <v>26.6</v>
      </c>
      <c r="DI817" s="10">
        <v>10.09</v>
      </c>
      <c r="DJ817" s="9">
        <v>27.7</v>
      </c>
      <c r="DK817" s="9">
        <v>27.3</v>
      </c>
      <c r="DP817" s="11">
        <v>2</v>
      </c>
    </row>
    <row r="818" spans="1:125" x14ac:dyDescent="0.2">
      <c r="A818" s="36">
        <v>731</v>
      </c>
      <c r="B818" s="17">
        <v>43285</v>
      </c>
      <c r="C818" s="9" t="s">
        <v>95</v>
      </c>
      <c r="D818" s="9">
        <v>48</v>
      </c>
      <c r="E818" s="9" t="s">
        <v>96</v>
      </c>
      <c r="F818" s="17">
        <v>25633</v>
      </c>
      <c r="G818" s="9" t="s">
        <v>234</v>
      </c>
      <c r="H818" s="9" t="s">
        <v>6940</v>
      </c>
      <c r="I818" s="9">
        <v>12</v>
      </c>
      <c r="K818" s="9">
        <v>2005</v>
      </c>
      <c r="L818" s="45">
        <v>43106</v>
      </c>
      <c r="M818" s="9" t="s">
        <v>263</v>
      </c>
      <c r="N818" s="9" t="s">
        <v>263</v>
      </c>
      <c r="O818" s="9" t="s">
        <v>263</v>
      </c>
      <c r="P818" s="9" t="s">
        <v>368</v>
      </c>
      <c r="Q818" s="9" t="s">
        <v>263</v>
      </c>
      <c r="R818" s="9" t="s">
        <v>110</v>
      </c>
      <c r="S818" s="9" t="s">
        <v>110</v>
      </c>
      <c r="T818" s="9" t="s">
        <v>99</v>
      </c>
      <c r="U818" s="9" t="s">
        <v>2439</v>
      </c>
      <c r="AA818" s="9" t="s">
        <v>96</v>
      </c>
      <c r="AB818" s="14" t="s">
        <v>6941</v>
      </c>
      <c r="AC818" s="9" t="s">
        <v>96</v>
      </c>
      <c r="AD818" s="9" t="s">
        <v>96</v>
      </c>
      <c r="AE818" s="9" t="s">
        <v>6495</v>
      </c>
      <c r="AF818" s="9" t="s">
        <v>263</v>
      </c>
      <c r="AG818" s="9" t="s">
        <v>263</v>
      </c>
      <c r="AH818" s="9" t="s">
        <v>263</v>
      </c>
      <c r="AI818" s="9" t="s">
        <v>6942</v>
      </c>
      <c r="AJ818" s="9" t="s">
        <v>6942</v>
      </c>
      <c r="AK818" s="9" t="s">
        <v>263</v>
      </c>
      <c r="AL818" s="9">
        <v>79.8</v>
      </c>
      <c r="AM818" s="9">
        <v>1.58</v>
      </c>
      <c r="AN818" s="9">
        <v>116</v>
      </c>
      <c r="AO818" s="9">
        <v>125</v>
      </c>
      <c r="AP818" s="9">
        <v>52.5</v>
      </c>
      <c r="AQ818" s="9">
        <v>11</v>
      </c>
      <c r="AR818" s="9">
        <v>19</v>
      </c>
      <c r="AS818" s="9">
        <v>67</v>
      </c>
      <c r="AT818" s="9">
        <v>32.700000000000003</v>
      </c>
      <c r="AU818" s="9">
        <v>104</v>
      </c>
      <c r="AV818" s="9">
        <v>74</v>
      </c>
      <c r="AX818" s="9" t="s">
        <v>6943</v>
      </c>
      <c r="BB818" s="9" t="s">
        <v>368</v>
      </c>
      <c r="BF818" s="9" t="s">
        <v>6475</v>
      </c>
      <c r="BG818" s="9" t="s">
        <v>6476</v>
      </c>
      <c r="BH818" s="9" t="s">
        <v>6477</v>
      </c>
      <c r="BI818" s="9" t="s">
        <v>263</v>
      </c>
      <c r="BJ818" s="9" t="s">
        <v>263</v>
      </c>
      <c r="BK818" s="9" t="s">
        <v>6477</v>
      </c>
      <c r="BN818" s="9" t="s">
        <v>6944</v>
      </c>
      <c r="BZ818" s="9" t="s">
        <v>6945</v>
      </c>
      <c r="CL818" s="9" t="s">
        <v>6946</v>
      </c>
      <c r="CP818" s="9" t="s">
        <v>6947</v>
      </c>
      <c r="CT818" s="9" t="s">
        <v>6948</v>
      </c>
      <c r="CW818" s="9">
        <v>2</v>
      </c>
      <c r="CX818" s="9" t="s">
        <v>263</v>
      </c>
      <c r="CY818" s="9" t="s">
        <v>263</v>
      </c>
      <c r="CZ818" s="9">
        <v>50</v>
      </c>
      <c r="DA818" s="9">
        <v>10</v>
      </c>
      <c r="DB818" s="9">
        <v>40</v>
      </c>
      <c r="DC818" s="9">
        <v>82.3</v>
      </c>
      <c r="DD818" s="9">
        <v>0.48</v>
      </c>
      <c r="DE818" s="10">
        <v>302</v>
      </c>
      <c r="DF818" s="10">
        <v>319</v>
      </c>
      <c r="DG818" s="9">
        <f t="shared" si="12"/>
        <v>5.0877811052339341</v>
      </c>
      <c r="DH818" s="9">
        <v>63.8</v>
      </c>
      <c r="DI818" s="10">
        <v>7.67</v>
      </c>
      <c r="DJ818" s="10">
        <v>49</v>
      </c>
      <c r="DK818" s="9">
        <v>30</v>
      </c>
      <c r="DL818" s="10">
        <v>47.4</v>
      </c>
      <c r="DM818" s="9">
        <v>190.8</v>
      </c>
      <c r="DP818" s="11">
        <v>3</v>
      </c>
      <c r="DU818" s="9">
        <v>3.65</v>
      </c>
    </row>
    <row r="819" spans="1:125" x14ac:dyDescent="0.2">
      <c r="A819" s="9">
        <v>732</v>
      </c>
      <c r="B819" s="17">
        <v>43285</v>
      </c>
      <c r="C819" s="9" t="s">
        <v>95</v>
      </c>
      <c r="D819" s="9">
        <v>47</v>
      </c>
      <c r="E819" s="9" t="s">
        <v>96</v>
      </c>
      <c r="F819" s="17">
        <v>25926</v>
      </c>
      <c r="G819" s="9" t="s">
        <v>197</v>
      </c>
      <c r="K819" s="9" t="s">
        <v>6949</v>
      </c>
      <c r="L819" s="9">
        <v>2</v>
      </c>
      <c r="M819" s="9" t="s">
        <v>263</v>
      </c>
      <c r="N819" s="9" t="s">
        <v>263</v>
      </c>
      <c r="O819" s="9" t="s">
        <v>368</v>
      </c>
      <c r="P819" s="9" t="s">
        <v>263</v>
      </c>
      <c r="Q819" s="9" t="s">
        <v>263</v>
      </c>
      <c r="S819" s="9" t="s">
        <v>110</v>
      </c>
      <c r="T819" s="9" t="s">
        <v>110</v>
      </c>
      <c r="W819" s="9" t="s">
        <v>2630</v>
      </c>
      <c r="AA819" s="9" t="s">
        <v>96</v>
      </c>
      <c r="AB819" s="9" t="s">
        <v>96</v>
      </c>
      <c r="AC819" s="9" t="s">
        <v>96</v>
      </c>
      <c r="AD819" s="9" t="s">
        <v>96</v>
      </c>
      <c r="AE819" s="9" t="s">
        <v>6495</v>
      </c>
      <c r="AF819" s="9" t="s">
        <v>99</v>
      </c>
      <c r="AG819" s="9" t="s">
        <v>263</v>
      </c>
      <c r="AH819" s="9" t="s">
        <v>263</v>
      </c>
      <c r="AI819" s="9" t="s">
        <v>99</v>
      </c>
      <c r="AJ819" s="9" t="s">
        <v>263</v>
      </c>
      <c r="AK819" s="9" t="s">
        <v>263</v>
      </c>
      <c r="AL819" s="9">
        <v>63.6</v>
      </c>
      <c r="AM819" s="9">
        <v>1.47</v>
      </c>
      <c r="AN819" s="9">
        <v>104</v>
      </c>
      <c r="AO819" s="9">
        <v>117</v>
      </c>
      <c r="AP819" s="9">
        <v>47.9</v>
      </c>
      <c r="AQ819" s="9">
        <v>9</v>
      </c>
      <c r="AR819" s="9">
        <v>20.5</v>
      </c>
      <c r="AS819" s="9">
        <v>63</v>
      </c>
      <c r="AT819" s="9">
        <v>29.4</v>
      </c>
      <c r="AU819" s="9">
        <v>102</v>
      </c>
      <c r="AV819" s="9">
        <v>73</v>
      </c>
      <c r="AX819" s="9" t="s">
        <v>6552</v>
      </c>
      <c r="BB819" s="9" t="s">
        <v>6476</v>
      </c>
      <c r="BF819" s="9" t="s">
        <v>6476</v>
      </c>
      <c r="BG819" s="9" t="s">
        <v>6476</v>
      </c>
      <c r="BH819" s="9" t="s">
        <v>6476</v>
      </c>
      <c r="BI819" s="9" t="s">
        <v>6476</v>
      </c>
      <c r="BJ819" s="9" t="s">
        <v>6476</v>
      </c>
      <c r="BK819" s="9" t="s">
        <v>6476</v>
      </c>
      <c r="DC819" s="9">
        <v>87.5</v>
      </c>
      <c r="DD819" s="9">
        <v>0.47</v>
      </c>
      <c r="DE819" s="9">
        <v>150</v>
      </c>
      <c r="DF819" s="9">
        <v>144</v>
      </c>
      <c r="DG819" s="9">
        <f t="shared" si="12"/>
        <v>4.7207260464697844</v>
      </c>
      <c r="DH819" s="9">
        <v>28.8</v>
      </c>
      <c r="DI819" s="9">
        <v>4.6399999999999997</v>
      </c>
      <c r="DJ819" s="9">
        <v>15</v>
      </c>
      <c r="DK819" s="9">
        <v>21.7</v>
      </c>
      <c r="DL819" s="9">
        <v>39.4</v>
      </c>
      <c r="DM819" s="9">
        <v>81.8</v>
      </c>
      <c r="DP819" s="11">
        <v>2</v>
      </c>
      <c r="DR819" s="9">
        <v>2</v>
      </c>
    </row>
    <row r="820" spans="1:125" x14ac:dyDescent="0.2">
      <c r="A820" s="9">
        <v>733</v>
      </c>
      <c r="B820" s="17">
        <v>43300</v>
      </c>
      <c r="C820" s="9" t="s">
        <v>3955</v>
      </c>
      <c r="D820" s="9">
        <v>58</v>
      </c>
      <c r="E820" s="9" t="s">
        <v>6923</v>
      </c>
      <c r="F820" s="17">
        <v>22127</v>
      </c>
      <c r="G820" s="9" t="s">
        <v>6950</v>
      </c>
      <c r="H820" s="9" t="s">
        <v>6951</v>
      </c>
      <c r="M820" s="9" t="s">
        <v>483</v>
      </c>
      <c r="N820" s="9" t="s">
        <v>483</v>
      </c>
      <c r="O820" s="10" t="s">
        <v>588</v>
      </c>
      <c r="P820" s="9" t="s">
        <v>483</v>
      </c>
      <c r="Q820" s="10" t="s">
        <v>6952</v>
      </c>
      <c r="R820" s="9" t="s">
        <v>588</v>
      </c>
      <c r="S820" s="9" t="s">
        <v>483</v>
      </c>
      <c r="T820" s="9" t="s">
        <v>588</v>
      </c>
      <c r="U820" s="9" t="s">
        <v>483</v>
      </c>
      <c r="V820" s="9" t="s">
        <v>483</v>
      </c>
      <c r="W820" s="10" t="s">
        <v>6953</v>
      </c>
      <c r="X820" s="9" t="s">
        <v>6849</v>
      </c>
      <c r="Y820" s="9" t="s">
        <v>483</v>
      </c>
      <c r="Z820" s="10" t="s">
        <v>6954</v>
      </c>
      <c r="AA820" s="9" t="s">
        <v>5749</v>
      </c>
      <c r="AB820" s="9" t="s">
        <v>5749</v>
      </c>
      <c r="AC820" s="9" t="s">
        <v>6955</v>
      </c>
      <c r="AD820" s="9" t="s">
        <v>6956</v>
      </c>
      <c r="AE820" s="9" t="s">
        <v>483</v>
      </c>
      <c r="AF820" s="9" t="s">
        <v>6957</v>
      </c>
      <c r="AG820" s="9" t="s">
        <v>483</v>
      </c>
      <c r="AH820" s="9" t="s">
        <v>483</v>
      </c>
      <c r="AI820" s="9" t="s">
        <v>6958</v>
      </c>
      <c r="AJ820" s="9" t="s">
        <v>483</v>
      </c>
      <c r="AK820" s="9" t="s">
        <v>6959</v>
      </c>
      <c r="AL820" s="9">
        <v>84</v>
      </c>
      <c r="AM820" s="9">
        <v>1.73</v>
      </c>
      <c r="AN820" s="9">
        <v>102</v>
      </c>
      <c r="AO820" s="9">
        <v>103</v>
      </c>
      <c r="AP820" s="9">
        <v>26.2</v>
      </c>
      <c r="AQ820" s="9">
        <v>13</v>
      </c>
      <c r="AR820" s="9">
        <v>33.4</v>
      </c>
      <c r="AS820" s="9">
        <v>60</v>
      </c>
      <c r="AT820" s="9">
        <v>28.1</v>
      </c>
      <c r="AU820" s="9">
        <v>121</v>
      </c>
      <c r="AV820" s="9">
        <v>87</v>
      </c>
      <c r="AX820" s="9" t="s">
        <v>6536</v>
      </c>
      <c r="AY820" s="9" t="s">
        <v>6538</v>
      </c>
      <c r="BB820" s="9" t="s">
        <v>3974</v>
      </c>
      <c r="BC820" s="9" t="s">
        <v>536</v>
      </c>
      <c r="BD820" s="9" t="s">
        <v>6506</v>
      </c>
      <c r="BE820" s="9" t="s">
        <v>6938</v>
      </c>
      <c r="BF820" s="9" t="s">
        <v>323</v>
      </c>
      <c r="BG820" s="9" t="s">
        <v>323</v>
      </c>
      <c r="BH820" s="9" t="s">
        <v>323</v>
      </c>
      <c r="BI820" s="9" t="s">
        <v>635</v>
      </c>
      <c r="BJ820" s="9" t="s">
        <v>323</v>
      </c>
      <c r="BK820" s="9" t="s">
        <v>323</v>
      </c>
      <c r="BN820" s="9" t="s">
        <v>430</v>
      </c>
      <c r="BO820" s="9" t="s">
        <v>467</v>
      </c>
      <c r="BP820" s="9" t="s">
        <v>6405</v>
      </c>
      <c r="BZ820" s="9" t="s">
        <v>3988</v>
      </c>
      <c r="CA820" s="9" t="s">
        <v>432</v>
      </c>
      <c r="CB820" s="9" t="s">
        <v>6508</v>
      </c>
      <c r="CL820" s="9" t="s">
        <v>472</v>
      </c>
      <c r="CM820" s="9" t="s">
        <v>922</v>
      </c>
      <c r="CN820" s="9" t="s">
        <v>560</v>
      </c>
      <c r="CP820" s="9" t="s">
        <v>1285</v>
      </c>
      <c r="CQ820" s="9" t="s">
        <v>6464</v>
      </c>
      <c r="CR820" s="9" t="s">
        <v>6463</v>
      </c>
      <c r="CW820" s="9">
        <v>5</v>
      </c>
      <c r="CX820" s="9" t="s">
        <v>588</v>
      </c>
      <c r="CY820" s="9" t="s">
        <v>588</v>
      </c>
      <c r="CZ820" s="9">
        <v>65</v>
      </c>
      <c r="DA820" s="9">
        <v>0</v>
      </c>
      <c r="DB820" s="9">
        <v>35</v>
      </c>
      <c r="DC820" s="9">
        <v>92.4</v>
      </c>
      <c r="DD820" s="9">
        <v>0.76</v>
      </c>
      <c r="DE820" s="9">
        <v>194</v>
      </c>
      <c r="DF820" s="10">
        <v>379</v>
      </c>
      <c r="DG820" s="9">
        <f t="shared" si="12"/>
        <v>5.2318315918650322</v>
      </c>
      <c r="DH820" s="9">
        <v>75.8</v>
      </c>
      <c r="DI820" s="10">
        <v>8.09</v>
      </c>
      <c r="DJ820" s="9">
        <v>26.7</v>
      </c>
      <c r="DK820" s="9">
        <v>18.7</v>
      </c>
      <c r="DP820" s="11">
        <v>2</v>
      </c>
      <c r="DR820" s="9">
        <v>2</v>
      </c>
      <c r="DU820" s="9">
        <v>2.5</v>
      </c>
    </row>
    <row r="821" spans="1:125" x14ac:dyDescent="0.2">
      <c r="A821" s="9">
        <v>734</v>
      </c>
      <c r="B821" s="17">
        <v>43299</v>
      </c>
      <c r="C821" s="9" t="s">
        <v>3645</v>
      </c>
      <c r="D821" s="9">
        <v>53</v>
      </c>
      <c r="E821" s="9" t="s">
        <v>96</v>
      </c>
      <c r="F821" s="17">
        <v>23610</v>
      </c>
      <c r="G821" s="9" t="s">
        <v>6960</v>
      </c>
      <c r="H821" s="9" t="s">
        <v>6494</v>
      </c>
      <c r="I821" s="9">
        <v>15</v>
      </c>
      <c r="J821" s="9">
        <v>51</v>
      </c>
      <c r="K821" s="9">
        <v>2007</v>
      </c>
      <c r="L821" s="9">
        <v>7</v>
      </c>
      <c r="M821" s="9" t="s">
        <v>483</v>
      </c>
      <c r="N821" s="9" t="s">
        <v>483</v>
      </c>
      <c r="O821" s="9" t="s">
        <v>483</v>
      </c>
      <c r="P821" s="9" t="s">
        <v>483</v>
      </c>
      <c r="Q821" s="10" t="s">
        <v>6961</v>
      </c>
      <c r="R821" s="9" t="s">
        <v>588</v>
      </c>
      <c r="S821" s="9" t="s">
        <v>588</v>
      </c>
      <c r="T821" s="9" t="s">
        <v>6962</v>
      </c>
      <c r="U821" s="9" t="s">
        <v>6963</v>
      </c>
      <c r="V821" s="9" t="s">
        <v>483</v>
      </c>
      <c r="W821" s="9" t="s">
        <v>6964</v>
      </c>
      <c r="X821" s="9" t="s">
        <v>483</v>
      </c>
      <c r="Y821" s="9" t="s">
        <v>483</v>
      </c>
      <c r="Z821" s="9" t="s">
        <v>483</v>
      </c>
      <c r="AA821" s="9" t="s">
        <v>96</v>
      </c>
      <c r="AB821" s="9" t="s">
        <v>96</v>
      </c>
      <c r="AC821" s="9" t="s">
        <v>3535</v>
      </c>
      <c r="AD821" s="41" t="s">
        <v>151</v>
      </c>
      <c r="AE821" s="9" t="s">
        <v>1017</v>
      </c>
      <c r="AF821" s="9" t="s">
        <v>483</v>
      </c>
      <c r="AG821" s="9" t="s">
        <v>423</v>
      </c>
      <c r="AH821" s="9" t="s">
        <v>483</v>
      </c>
      <c r="AI821" s="9" t="s">
        <v>483</v>
      </c>
      <c r="AJ821" s="9" t="s">
        <v>483</v>
      </c>
      <c r="AK821" s="9" t="s">
        <v>483</v>
      </c>
      <c r="AL821" s="9">
        <v>83.9</v>
      </c>
      <c r="AM821" s="9">
        <v>1.55</v>
      </c>
      <c r="AN821" s="9">
        <v>107</v>
      </c>
      <c r="AO821" s="9">
        <v>120</v>
      </c>
      <c r="AP821" s="9">
        <v>43.6</v>
      </c>
      <c r="AQ821" s="9">
        <v>12</v>
      </c>
      <c r="AR821" s="9">
        <v>25.6</v>
      </c>
      <c r="AS821" s="9">
        <v>69</v>
      </c>
      <c r="AT821" s="9">
        <v>34.9</v>
      </c>
      <c r="AU821" s="9">
        <v>106</v>
      </c>
      <c r="AV821" s="9">
        <v>78</v>
      </c>
      <c r="DC821" s="9">
        <v>93.8</v>
      </c>
      <c r="DD821" s="9">
        <v>0.48</v>
      </c>
      <c r="DE821" s="9">
        <v>176</v>
      </c>
      <c r="DF821" s="9">
        <v>81</v>
      </c>
      <c r="DG821" s="9">
        <f t="shared" si="12"/>
        <v>4.4678070053423085</v>
      </c>
      <c r="DH821" s="9">
        <v>16.2</v>
      </c>
      <c r="DI821" s="9">
        <v>5.31</v>
      </c>
      <c r="DJ821" s="9">
        <v>19</v>
      </c>
      <c r="DK821" s="9">
        <v>19.7</v>
      </c>
      <c r="DL821" s="10">
        <v>45.7</v>
      </c>
      <c r="DM821" s="9">
        <v>114.1</v>
      </c>
      <c r="DP821" s="11">
        <v>2</v>
      </c>
      <c r="DR821" s="9">
        <v>3</v>
      </c>
    </row>
    <row r="822" spans="1:125" x14ac:dyDescent="0.2">
      <c r="A822" s="9">
        <v>735</v>
      </c>
      <c r="B822" s="17">
        <v>43285</v>
      </c>
      <c r="C822" s="9" t="s">
        <v>95</v>
      </c>
      <c r="D822" s="9">
        <v>75</v>
      </c>
      <c r="E822" s="9" t="s">
        <v>96</v>
      </c>
      <c r="G822" s="9" t="s">
        <v>1892</v>
      </c>
      <c r="H822" s="9" t="s">
        <v>1698</v>
      </c>
      <c r="J822" s="9" t="s">
        <v>368</v>
      </c>
      <c r="L822" s="9" t="s">
        <v>500</v>
      </c>
      <c r="M822" s="9" t="s">
        <v>263</v>
      </c>
      <c r="N822" s="9" t="s">
        <v>263</v>
      </c>
      <c r="O822" s="9" t="s">
        <v>500</v>
      </c>
      <c r="P822" s="9" t="s">
        <v>263</v>
      </c>
      <c r="Q822" s="9" t="s">
        <v>263</v>
      </c>
      <c r="S822" s="9" t="s">
        <v>500</v>
      </c>
      <c r="T822" s="9" t="s">
        <v>500</v>
      </c>
      <c r="U822" s="9" t="s">
        <v>500</v>
      </c>
      <c r="W822" s="9" t="s">
        <v>500</v>
      </c>
      <c r="X822" s="9" t="s">
        <v>500</v>
      </c>
      <c r="Y822" s="9" t="s">
        <v>263</v>
      </c>
      <c r="AA822" s="9" t="s">
        <v>96</v>
      </c>
      <c r="AB822" s="9" t="s">
        <v>96</v>
      </c>
      <c r="AE822" s="9" t="s">
        <v>99</v>
      </c>
      <c r="AF822" s="9" t="s">
        <v>263</v>
      </c>
      <c r="AG822" s="9" t="s">
        <v>263</v>
      </c>
      <c r="AH822" s="9" t="s">
        <v>263</v>
      </c>
      <c r="AI822" s="9" t="s">
        <v>263</v>
      </c>
      <c r="AJ822" s="9" t="s">
        <v>263</v>
      </c>
      <c r="AK822" s="9" t="s">
        <v>263</v>
      </c>
      <c r="AL822" s="9">
        <v>71.099999999999994</v>
      </c>
      <c r="AM822" s="9">
        <v>1.6</v>
      </c>
      <c r="AN822" s="9">
        <v>94</v>
      </c>
      <c r="AO822" s="9">
        <v>104</v>
      </c>
      <c r="AP822" s="9">
        <v>39.700000000000003</v>
      </c>
      <c r="AQ822" s="9">
        <v>11</v>
      </c>
      <c r="AR822" s="9">
        <v>25.9</v>
      </c>
      <c r="AS822" s="9">
        <v>70</v>
      </c>
      <c r="AT822" s="9">
        <v>27.8</v>
      </c>
      <c r="AU822" s="9">
        <v>111</v>
      </c>
      <c r="AV822" s="9">
        <v>67</v>
      </c>
      <c r="AX822" s="9" t="s">
        <v>6965</v>
      </c>
      <c r="BB822" s="9" t="s">
        <v>375</v>
      </c>
      <c r="BF822" s="9" t="s">
        <v>6475</v>
      </c>
      <c r="BG822" s="9" t="s">
        <v>6475</v>
      </c>
      <c r="BH822" s="9" t="s">
        <v>368</v>
      </c>
      <c r="BI822" s="9" t="s">
        <v>6475</v>
      </c>
      <c r="BJ822" s="9" t="s">
        <v>368</v>
      </c>
      <c r="BK822" s="9" t="s">
        <v>6476</v>
      </c>
      <c r="BL822" s="9" t="s">
        <v>375</v>
      </c>
      <c r="BZ822" s="9" t="s">
        <v>6966</v>
      </c>
      <c r="CK822" s="9" t="s">
        <v>6967</v>
      </c>
      <c r="CP822" s="9" t="s">
        <v>6967</v>
      </c>
      <c r="CT822" s="9" t="s">
        <v>6967</v>
      </c>
      <c r="CW822" s="9">
        <v>3</v>
      </c>
      <c r="CX822" s="9" t="s">
        <v>368</v>
      </c>
      <c r="DC822" s="9">
        <v>97.7</v>
      </c>
      <c r="DD822" s="9">
        <v>0.52</v>
      </c>
      <c r="DE822" s="10">
        <v>249</v>
      </c>
      <c r="DF822" s="9">
        <v>136</v>
      </c>
      <c r="DG822" s="9">
        <f t="shared" si="12"/>
        <v>4.7472782223923948</v>
      </c>
      <c r="DH822" s="9">
        <v>27.2</v>
      </c>
      <c r="DI822" s="9">
        <v>5.31</v>
      </c>
      <c r="DJ822" s="9">
        <v>11.3</v>
      </c>
      <c r="DK822" s="9">
        <v>15.3</v>
      </c>
      <c r="DL822" s="9">
        <v>58.2</v>
      </c>
      <c r="DM822" s="9">
        <v>163.6</v>
      </c>
      <c r="DP822" s="11">
        <v>3</v>
      </c>
      <c r="DR822" s="9">
        <v>3</v>
      </c>
    </row>
    <row r="823" spans="1:125" x14ac:dyDescent="0.2">
      <c r="A823" s="9">
        <v>736</v>
      </c>
      <c r="B823" s="17">
        <v>43285</v>
      </c>
      <c r="C823" s="9" t="s">
        <v>107</v>
      </c>
      <c r="D823" s="9">
        <v>50</v>
      </c>
      <c r="E823" s="9" t="s">
        <v>96</v>
      </c>
      <c r="G823" s="9" t="s">
        <v>6968</v>
      </c>
      <c r="H823" s="9" t="s">
        <v>6969</v>
      </c>
      <c r="J823" s="9" t="s">
        <v>500</v>
      </c>
      <c r="L823" s="9" t="s">
        <v>500</v>
      </c>
      <c r="M823" s="9" t="s">
        <v>263</v>
      </c>
      <c r="N823" s="9" t="s">
        <v>263</v>
      </c>
      <c r="O823" s="9" t="s">
        <v>263</v>
      </c>
      <c r="P823" s="9" t="s">
        <v>263</v>
      </c>
      <c r="Q823" s="10" t="s">
        <v>368</v>
      </c>
      <c r="S823" s="9" t="s">
        <v>368</v>
      </c>
      <c r="T823" s="9" t="s">
        <v>368</v>
      </c>
      <c r="U823" s="9" t="s">
        <v>263</v>
      </c>
      <c r="W823" s="9" t="s">
        <v>6970</v>
      </c>
      <c r="X823" s="9" t="s">
        <v>368</v>
      </c>
      <c r="Y823" s="10" t="s">
        <v>6971</v>
      </c>
      <c r="AA823" s="9" t="s">
        <v>96</v>
      </c>
      <c r="AB823" s="14" t="s">
        <v>151</v>
      </c>
      <c r="AC823" s="9" t="s">
        <v>96</v>
      </c>
      <c r="AD823" s="14" t="s">
        <v>151</v>
      </c>
      <c r="AE823" s="9" t="s">
        <v>6972</v>
      </c>
      <c r="AF823" s="9" t="s">
        <v>263</v>
      </c>
      <c r="AG823" s="9" t="s">
        <v>263</v>
      </c>
      <c r="AH823" s="9" t="s">
        <v>6973</v>
      </c>
      <c r="AI823" s="9" t="s">
        <v>263</v>
      </c>
      <c r="AJ823" s="9" t="s">
        <v>263</v>
      </c>
      <c r="AK823" s="9" t="s">
        <v>263</v>
      </c>
      <c r="AL823" s="9">
        <v>85.8</v>
      </c>
      <c r="AM823" s="9">
        <v>1.85</v>
      </c>
      <c r="AN823" s="9">
        <v>102</v>
      </c>
      <c r="AO823" s="9">
        <v>108</v>
      </c>
      <c r="AP823" s="9">
        <v>35.700000000000003</v>
      </c>
      <c r="AQ823" s="9">
        <v>6</v>
      </c>
      <c r="AR823" s="9">
        <v>28</v>
      </c>
      <c r="AS823" s="9">
        <v>40</v>
      </c>
      <c r="AT823" s="10">
        <v>25.1</v>
      </c>
      <c r="AU823" s="9">
        <v>111</v>
      </c>
      <c r="AV823" s="9">
        <v>88</v>
      </c>
      <c r="AY823" s="9" t="s">
        <v>6974</v>
      </c>
      <c r="BB823" s="9" t="s">
        <v>6975</v>
      </c>
      <c r="BF823" s="9" t="s">
        <v>6475</v>
      </c>
      <c r="BG823" s="9" t="s">
        <v>6476</v>
      </c>
      <c r="BH823" s="9" t="s">
        <v>6476</v>
      </c>
      <c r="BI823" s="9" t="s">
        <v>6476</v>
      </c>
      <c r="BJ823" s="9" t="s">
        <v>6475</v>
      </c>
      <c r="BK823" s="9" t="s">
        <v>6976</v>
      </c>
      <c r="BM823" s="9" t="s">
        <v>6476</v>
      </c>
      <c r="BV823" s="9" t="s">
        <v>6977</v>
      </c>
      <c r="CA823" s="9" t="s">
        <v>6978</v>
      </c>
      <c r="CK823" s="9" t="s">
        <v>368</v>
      </c>
      <c r="CL823" s="9" t="s">
        <v>6979</v>
      </c>
      <c r="CO823" s="9" t="s">
        <v>1334</v>
      </c>
      <c r="CP823" s="9" t="s">
        <v>6980</v>
      </c>
      <c r="CT823" s="9" t="s">
        <v>6981</v>
      </c>
      <c r="CW823" s="9" t="s">
        <v>500</v>
      </c>
      <c r="CX823" s="9" t="s">
        <v>368</v>
      </c>
      <c r="CY823" s="9" t="s">
        <v>263</v>
      </c>
      <c r="CZ823" s="9">
        <v>30</v>
      </c>
      <c r="DA823" s="9">
        <v>30</v>
      </c>
      <c r="DB823" s="9">
        <v>30</v>
      </c>
      <c r="DC823" s="9">
        <v>85.6</v>
      </c>
      <c r="DD823" s="9">
        <v>0.49</v>
      </c>
      <c r="DE823" s="9">
        <v>174</v>
      </c>
      <c r="DF823" s="9">
        <v>146</v>
      </c>
      <c r="DG823" s="9">
        <f t="shared" si="12"/>
        <v>4.7166459524280162</v>
      </c>
      <c r="DH823" s="9">
        <v>29.2</v>
      </c>
      <c r="DI823" s="10">
        <v>7.83</v>
      </c>
      <c r="DJ823" s="9">
        <v>9.6</v>
      </c>
      <c r="DK823" s="9">
        <v>14</v>
      </c>
      <c r="DL823" s="9">
        <v>43.5</v>
      </c>
      <c r="DM823" s="9">
        <v>101.3</v>
      </c>
      <c r="DP823" s="11">
        <v>3</v>
      </c>
      <c r="DQ823" s="9">
        <v>2</v>
      </c>
      <c r="DR823" s="9">
        <v>2</v>
      </c>
    </row>
    <row r="824" spans="1:125" x14ac:dyDescent="0.2">
      <c r="A824" s="9">
        <v>737</v>
      </c>
      <c r="B824" s="17">
        <v>43286</v>
      </c>
      <c r="C824" s="9" t="s">
        <v>95</v>
      </c>
      <c r="D824" s="9">
        <v>46</v>
      </c>
      <c r="E824" s="9" t="s">
        <v>96</v>
      </c>
      <c r="G824" s="9" t="s">
        <v>6982</v>
      </c>
      <c r="H824" s="9" t="s">
        <v>263</v>
      </c>
      <c r="J824" s="9" t="s">
        <v>500</v>
      </c>
      <c r="L824" s="9">
        <v>1</v>
      </c>
      <c r="M824" s="10" t="s">
        <v>6983</v>
      </c>
      <c r="N824" s="10" t="s">
        <v>368</v>
      </c>
      <c r="P824" s="9" t="s">
        <v>263</v>
      </c>
      <c r="Q824" s="9" t="s">
        <v>263</v>
      </c>
      <c r="S824" s="9" t="s">
        <v>368</v>
      </c>
      <c r="T824" s="9" t="s">
        <v>368</v>
      </c>
      <c r="U824" s="9" t="s">
        <v>6984</v>
      </c>
      <c r="W824" s="9" t="s">
        <v>500</v>
      </c>
      <c r="X824" s="9" t="s">
        <v>263</v>
      </c>
      <c r="Y824" s="10" t="s">
        <v>6985</v>
      </c>
      <c r="AA824" s="9" t="s">
        <v>96</v>
      </c>
      <c r="AB824" s="9" t="s">
        <v>96</v>
      </c>
      <c r="AC824" s="9" t="s">
        <v>96</v>
      </c>
      <c r="AD824" s="9" t="s">
        <v>96</v>
      </c>
      <c r="AE824" s="9" t="s">
        <v>6986</v>
      </c>
      <c r="AF824" s="9" t="s">
        <v>6986</v>
      </c>
      <c r="AG824" s="9" t="s">
        <v>263</v>
      </c>
      <c r="AH824" s="9" t="s">
        <v>6987</v>
      </c>
      <c r="AI824" s="9" t="s">
        <v>263</v>
      </c>
      <c r="AJ824" s="9" t="s">
        <v>263</v>
      </c>
      <c r="AK824" s="9" t="s">
        <v>263</v>
      </c>
      <c r="AL824" s="9">
        <v>91</v>
      </c>
      <c r="AM824" s="9">
        <v>1.67</v>
      </c>
      <c r="AN824" s="9">
        <v>117</v>
      </c>
      <c r="AO824" s="9">
        <v>128</v>
      </c>
      <c r="AP824" s="9">
        <v>52.3</v>
      </c>
      <c r="AQ824" s="9">
        <v>11</v>
      </c>
      <c r="AR824" s="9">
        <v>20.3</v>
      </c>
      <c r="AS824" s="9">
        <v>68</v>
      </c>
      <c r="AT824" s="9">
        <v>34.700000000000003</v>
      </c>
      <c r="AU824" s="9">
        <v>112</v>
      </c>
      <c r="AV824" s="9">
        <v>78</v>
      </c>
      <c r="AY824" s="9" t="s">
        <v>6988</v>
      </c>
      <c r="BC824" s="9" t="s">
        <v>6989</v>
      </c>
      <c r="BF824" s="9" t="s">
        <v>494</v>
      </c>
      <c r="BG824" s="9" t="s">
        <v>322</v>
      </c>
      <c r="BH824" s="9" t="s">
        <v>6990</v>
      </c>
      <c r="BI824" s="9" t="s">
        <v>375</v>
      </c>
      <c r="BJ824" s="9" t="s">
        <v>322</v>
      </c>
      <c r="BK824" s="9" t="s">
        <v>494</v>
      </c>
      <c r="BM824" s="9" t="s">
        <v>6475</v>
      </c>
      <c r="CA824" s="9" t="s">
        <v>6991</v>
      </c>
      <c r="CL824" s="9" t="s">
        <v>6992</v>
      </c>
      <c r="CP824" s="9" t="s">
        <v>6993</v>
      </c>
      <c r="CT824" s="9" t="s">
        <v>6994</v>
      </c>
      <c r="CW824" s="9">
        <v>3</v>
      </c>
      <c r="CX824" s="9" t="s">
        <v>368</v>
      </c>
      <c r="CY824" s="9" t="s">
        <v>368</v>
      </c>
      <c r="CZ824" s="9">
        <v>10</v>
      </c>
      <c r="DA824" s="9">
        <v>50</v>
      </c>
      <c r="DB824" s="9">
        <v>40</v>
      </c>
      <c r="DC824" s="10">
        <v>128.69999999999999</v>
      </c>
      <c r="DD824" s="9">
        <v>0.49</v>
      </c>
      <c r="DE824" s="10">
        <v>206</v>
      </c>
      <c r="DF824" s="9">
        <v>114</v>
      </c>
      <c r="DG824" s="9">
        <f t="shared" si="12"/>
        <v>4.7968412814982884</v>
      </c>
      <c r="DH824" s="9">
        <v>22.8</v>
      </c>
      <c r="DI824" s="10">
        <v>6.5</v>
      </c>
      <c r="DJ824" s="10">
        <v>52.7</v>
      </c>
      <c r="DK824" s="10">
        <v>39.299999999999997</v>
      </c>
      <c r="DL824" s="9">
        <v>66</v>
      </c>
      <c r="DM824" s="9">
        <v>117.2</v>
      </c>
      <c r="DP824" s="11">
        <v>2</v>
      </c>
      <c r="DR824" s="9">
        <v>2</v>
      </c>
      <c r="DU824" s="9">
        <v>4.0999999999999996</v>
      </c>
    </row>
    <row r="825" spans="1:125" x14ac:dyDescent="0.2">
      <c r="A825" s="9">
        <v>738</v>
      </c>
      <c r="B825" s="17">
        <v>43286</v>
      </c>
      <c r="C825" s="9" t="s">
        <v>95</v>
      </c>
      <c r="D825" s="9">
        <v>39</v>
      </c>
      <c r="E825" s="9" t="s">
        <v>96</v>
      </c>
      <c r="G825" s="9" t="s">
        <v>1892</v>
      </c>
      <c r="H825" s="9" t="s">
        <v>6995</v>
      </c>
      <c r="J825" s="9" t="s">
        <v>263</v>
      </c>
      <c r="L825" s="9">
        <v>3</v>
      </c>
      <c r="M825" s="9" t="s">
        <v>263</v>
      </c>
      <c r="N825" s="9" t="s">
        <v>263</v>
      </c>
      <c r="O825" s="9" t="s">
        <v>263</v>
      </c>
      <c r="P825" s="10" t="s">
        <v>368</v>
      </c>
      <c r="Q825" s="9" t="s">
        <v>263</v>
      </c>
      <c r="S825" s="9" t="s">
        <v>500</v>
      </c>
      <c r="T825" s="9" t="s">
        <v>500</v>
      </c>
      <c r="U825" s="9" t="s">
        <v>263</v>
      </c>
      <c r="W825" s="9" t="s">
        <v>500</v>
      </c>
      <c r="X825" s="9" t="s">
        <v>263</v>
      </c>
      <c r="Y825" s="9" t="s">
        <v>500</v>
      </c>
      <c r="AA825" s="9" t="s">
        <v>96</v>
      </c>
      <c r="AB825" s="9" t="s">
        <v>96</v>
      </c>
      <c r="AC825" s="9" t="s">
        <v>605</v>
      </c>
      <c r="AD825" s="35" t="s">
        <v>267</v>
      </c>
      <c r="AE825" s="9" t="s">
        <v>6996</v>
      </c>
      <c r="AF825" s="9" t="s">
        <v>6495</v>
      </c>
      <c r="AG825" s="9" t="s">
        <v>6997</v>
      </c>
      <c r="AH825" s="9" t="s">
        <v>263</v>
      </c>
      <c r="AI825" s="9" t="s">
        <v>263</v>
      </c>
      <c r="AJ825" s="9" t="s">
        <v>263</v>
      </c>
      <c r="AK825" s="9" t="s">
        <v>263</v>
      </c>
      <c r="AL825" s="9">
        <v>77.5</v>
      </c>
      <c r="AM825" s="9">
        <v>1.56</v>
      </c>
      <c r="AN825" s="9">
        <v>98</v>
      </c>
      <c r="AO825" s="9">
        <v>109</v>
      </c>
      <c r="AP825" s="9">
        <v>48</v>
      </c>
      <c r="AQ825" s="9">
        <v>9</v>
      </c>
      <c r="AR825" s="9">
        <v>22.4</v>
      </c>
      <c r="AS825" s="9">
        <v>61</v>
      </c>
      <c r="AT825" s="9">
        <v>31.8</v>
      </c>
      <c r="AU825" s="9">
        <v>108</v>
      </c>
      <c r="AV825" s="9">
        <v>78</v>
      </c>
      <c r="AX825" s="9" t="s">
        <v>500</v>
      </c>
      <c r="BB825" s="9" t="s">
        <v>500</v>
      </c>
      <c r="BF825" s="9" t="s">
        <v>500</v>
      </c>
      <c r="BG825" s="9" t="s">
        <v>500</v>
      </c>
      <c r="BH825" s="9" t="s">
        <v>500</v>
      </c>
      <c r="BI825" s="9" t="s">
        <v>500</v>
      </c>
      <c r="BJ825" s="9" t="s">
        <v>500</v>
      </c>
      <c r="BK825" s="9" t="s">
        <v>500</v>
      </c>
      <c r="BL825" s="9" t="s">
        <v>500</v>
      </c>
      <c r="BZ825" s="9" t="s">
        <v>500</v>
      </c>
      <c r="CL825" s="9" t="s">
        <v>500</v>
      </c>
      <c r="CO825" s="9" t="s">
        <v>500</v>
      </c>
      <c r="CT825" s="9" t="s">
        <v>500</v>
      </c>
      <c r="CW825" s="9" t="s">
        <v>500</v>
      </c>
      <c r="CX825" s="9" t="s">
        <v>500</v>
      </c>
      <c r="CY825" s="9" t="s">
        <v>500</v>
      </c>
      <c r="CZ825" s="9" t="s">
        <v>500</v>
      </c>
      <c r="DA825" s="9" t="s">
        <v>500</v>
      </c>
      <c r="DB825" s="9" t="s">
        <v>500</v>
      </c>
      <c r="DC825" s="9">
        <v>85.1</v>
      </c>
      <c r="DD825" s="9">
        <v>0.45</v>
      </c>
      <c r="DE825" s="9">
        <v>161</v>
      </c>
      <c r="DF825" s="9">
        <v>85</v>
      </c>
      <c r="DG825" s="9">
        <f t="shared" si="12"/>
        <v>4.4432391460348226</v>
      </c>
      <c r="DH825" s="9">
        <v>17</v>
      </c>
      <c r="DI825" s="9">
        <v>4.5599999999999996</v>
      </c>
      <c r="DJ825" s="9">
        <v>13.7</v>
      </c>
      <c r="DK825" s="9">
        <v>14</v>
      </c>
      <c r="DL825" s="10">
        <v>40</v>
      </c>
      <c r="DM825" s="9">
        <v>104</v>
      </c>
      <c r="DP825" s="11">
        <v>2</v>
      </c>
      <c r="DR825" s="9">
        <v>2</v>
      </c>
    </row>
    <row r="826" spans="1:125" x14ac:dyDescent="0.2">
      <c r="A826" s="9">
        <v>739</v>
      </c>
      <c r="B826" s="17">
        <v>43285</v>
      </c>
      <c r="C826" s="9" t="s">
        <v>95</v>
      </c>
      <c r="D826" s="9">
        <v>64</v>
      </c>
      <c r="E826" s="52" t="s">
        <v>1697</v>
      </c>
      <c r="G826" s="9" t="s">
        <v>6968</v>
      </c>
      <c r="H826" s="9" t="s">
        <v>6998</v>
      </c>
      <c r="J826" s="9" t="s">
        <v>500</v>
      </c>
      <c r="L826" s="9" t="s">
        <v>500</v>
      </c>
      <c r="M826" s="9" t="s">
        <v>263</v>
      </c>
      <c r="N826" s="9" t="s">
        <v>99</v>
      </c>
      <c r="O826" s="9" t="s">
        <v>263</v>
      </c>
      <c r="P826" s="10" t="s">
        <v>368</v>
      </c>
      <c r="Q826" s="10" t="s">
        <v>368</v>
      </c>
      <c r="S826" s="9" t="s">
        <v>368</v>
      </c>
      <c r="T826" s="9" t="s">
        <v>263</v>
      </c>
      <c r="U826" s="9" t="s">
        <v>500</v>
      </c>
      <c r="W826" s="9" t="s">
        <v>500</v>
      </c>
      <c r="X826" s="9" t="s">
        <v>263</v>
      </c>
      <c r="Y826" s="10" t="s">
        <v>3598</v>
      </c>
      <c r="AA826" s="52" t="s">
        <v>1697</v>
      </c>
      <c r="AB826" s="52" t="s">
        <v>1697</v>
      </c>
      <c r="AC826" s="52" t="s">
        <v>1697</v>
      </c>
      <c r="AD826" s="52" t="s">
        <v>1697</v>
      </c>
      <c r="AE826" s="9" t="s">
        <v>6999</v>
      </c>
      <c r="AF826" s="9" t="s">
        <v>7000</v>
      </c>
      <c r="AG826" s="9" t="s">
        <v>263</v>
      </c>
      <c r="AH826" s="9" t="s">
        <v>7001</v>
      </c>
      <c r="AI826" s="9" t="s">
        <v>263</v>
      </c>
      <c r="AJ826" s="9" t="s">
        <v>263</v>
      </c>
      <c r="AK826" s="9" t="s">
        <v>263</v>
      </c>
      <c r="AL826" s="9">
        <v>75.7</v>
      </c>
      <c r="AM826" s="9">
        <v>1.69</v>
      </c>
      <c r="AN826" s="9">
        <v>90</v>
      </c>
      <c r="AO826" s="9">
        <v>103</v>
      </c>
      <c r="AP826" s="9">
        <v>35</v>
      </c>
      <c r="AQ826" s="9">
        <v>12</v>
      </c>
      <c r="AR826" s="9">
        <v>33.299999999999997</v>
      </c>
      <c r="AS826" s="9">
        <v>55</v>
      </c>
      <c r="AT826" s="9">
        <v>26.5</v>
      </c>
      <c r="AU826" s="10">
        <v>200</v>
      </c>
      <c r="AV826" s="10">
        <v>111</v>
      </c>
      <c r="AY826" s="9" t="s">
        <v>500</v>
      </c>
      <c r="BC826" s="9" t="s">
        <v>500</v>
      </c>
      <c r="BF826" s="9" t="s">
        <v>500</v>
      </c>
      <c r="BG826" s="9" t="s">
        <v>500</v>
      </c>
      <c r="BH826" s="9" t="s">
        <v>500</v>
      </c>
      <c r="BI826" s="9" t="s">
        <v>500</v>
      </c>
      <c r="BJ826" s="9" t="s">
        <v>500</v>
      </c>
      <c r="BK826" s="9" t="s">
        <v>500</v>
      </c>
      <c r="BL826" s="9" t="s">
        <v>500</v>
      </c>
      <c r="BM826" s="9" t="s">
        <v>500</v>
      </c>
      <c r="BN826" s="9" t="s">
        <v>500</v>
      </c>
      <c r="BZ826" s="9" t="s">
        <v>500</v>
      </c>
      <c r="CK826" s="9" t="s">
        <v>500</v>
      </c>
      <c r="CP826" s="9" t="s">
        <v>500</v>
      </c>
      <c r="CT826" s="9" t="s">
        <v>500</v>
      </c>
      <c r="CW826" s="9" t="s">
        <v>500</v>
      </c>
      <c r="CX826" s="9" t="s">
        <v>500</v>
      </c>
      <c r="CY826" s="9" t="s">
        <v>500</v>
      </c>
      <c r="CZ826" s="9" t="s">
        <v>500</v>
      </c>
      <c r="DA826" s="9" t="s">
        <v>500</v>
      </c>
      <c r="DB826" s="9" t="s">
        <v>500</v>
      </c>
      <c r="DC826" s="9">
        <v>88</v>
      </c>
      <c r="DD826" s="9">
        <v>0.53</v>
      </c>
      <c r="DE826" s="9">
        <v>190</v>
      </c>
      <c r="DF826" s="9">
        <v>82</v>
      </c>
      <c r="DG826" s="9">
        <f t="shared" si="12"/>
        <v>4.4420280308712297</v>
      </c>
      <c r="DH826" s="9">
        <v>16.399999999999999</v>
      </c>
      <c r="DI826" s="9">
        <v>4.91</v>
      </c>
      <c r="DJ826" s="9">
        <v>17.7</v>
      </c>
      <c r="DK826" s="9">
        <v>17</v>
      </c>
      <c r="DL826" s="9">
        <v>38.299999999999997</v>
      </c>
      <c r="DM826" s="9">
        <v>135.30000000000001</v>
      </c>
      <c r="DP826" s="11">
        <v>3</v>
      </c>
      <c r="DR826" s="9">
        <v>3</v>
      </c>
    </row>
    <row r="827" spans="1:125" x14ac:dyDescent="0.2">
      <c r="A827" s="9">
        <v>740</v>
      </c>
      <c r="B827" s="17">
        <v>43285</v>
      </c>
      <c r="C827" s="9" t="s">
        <v>95</v>
      </c>
      <c r="D827" s="9">
        <v>74</v>
      </c>
      <c r="E827" s="14" t="s">
        <v>440</v>
      </c>
      <c r="G827" s="9" t="s">
        <v>314</v>
      </c>
      <c r="H827" s="9" t="s">
        <v>1698</v>
      </c>
      <c r="J827" s="9" t="s">
        <v>500</v>
      </c>
      <c r="L827" s="9" t="s">
        <v>500</v>
      </c>
      <c r="M827" s="10" t="s">
        <v>368</v>
      </c>
      <c r="N827" s="10" t="s">
        <v>368</v>
      </c>
      <c r="O827" s="9" t="s">
        <v>263</v>
      </c>
      <c r="P827" s="9" t="s">
        <v>263</v>
      </c>
      <c r="Q827" s="9" t="s">
        <v>263</v>
      </c>
      <c r="S827" s="9" t="s">
        <v>500</v>
      </c>
      <c r="T827" s="9" t="s">
        <v>500</v>
      </c>
      <c r="U827" s="9" t="s">
        <v>500</v>
      </c>
      <c r="W827" s="9" t="s">
        <v>500</v>
      </c>
      <c r="X827" s="9" t="s">
        <v>263</v>
      </c>
      <c r="Y827" s="9" t="s">
        <v>500</v>
      </c>
      <c r="AA827" s="14" t="s">
        <v>440</v>
      </c>
      <c r="AB827" s="14" t="s">
        <v>440</v>
      </c>
      <c r="AC827" s="14" t="s">
        <v>440</v>
      </c>
      <c r="AD827" s="14" t="s">
        <v>440</v>
      </c>
      <c r="AE827" s="9" t="s">
        <v>6999</v>
      </c>
      <c r="AF827" s="9" t="s">
        <v>263</v>
      </c>
      <c r="AG827" s="9" t="s">
        <v>263</v>
      </c>
      <c r="AH827" s="9" t="s">
        <v>263</v>
      </c>
      <c r="AI827" s="9" t="s">
        <v>263</v>
      </c>
      <c r="AJ827" s="9" t="s">
        <v>263</v>
      </c>
      <c r="AK827" s="9" t="s">
        <v>263</v>
      </c>
      <c r="AL827" s="9">
        <v>106.7</v>
      </c>
      <c r="AM827" s="9">
        <v>1.65</v>
      </c>
      <c r="AN827" s="9" t="s">
        <v>500</v>
      </c>
      <c r="AO827" s="9" t="s">
        <v>500</v>
      </c>
      <c r="AP827" s="9">
        <v>38</v>
      </c>
      <c r="AQ827" s="9">
        <v>29</v>
      </c>
      <c r="AR827" s="9">
        <v>26.3</v>
      </c>
      <c r="AS827" s="9">
        <v>80</v>
      </c>
      <c r="AT827" s="10">
        <v>39.200000000000003</v>
      </c>
      <c r="AU827" s="10">
        <v>165</v>
      </c>
      <c r="AV827" s="10">
        <v>76</v>
      </c>
      <c r="AY827" s="9" t="s">
        <v>500</v>
      </c>
      <c r="AZ827" s="9" t="s">
        <v>500</v>
      </c>
      <c r="BB827" s="9" t="s">
        <v>500</v>
      </c>
      <c r="BC827" s="9" t="s">
        <v>500</v>
      </c>
      <c r="BD827" s="9" t="s">
        <v>500</v>
      </c>
      <c r="BF827" s="9" t="s">
        <v>500</v>
      </c>
      <c r="BG827" s="9" t="s">
        <v>500</v>
      </c>
      <c r="BH827" s="9" t="s">
        <v>500</v>
      </c>
      <c r="BI827" s="9" t="s">
        <v>500</v>
      </c>
      <c r="BJ827" s="9" t="s">
        <v>500</v>
      </c>
      <c r="BK827" s="9" t="s">
        <v>500</v>
      </c>
      <c r="BL827" s="9" t="s">
        <v>500</v>
      </c>
      <c r="BM827" s="9" t="s">
        <v>500</v>
      </c>
      <c r="BN827" s="9" t="s">
        <v>500</v>
      </c>
      <c r="BZ827" s="9" t="s">
        <v>500</v>
      </c>
      <c r="CA827" s="9" t="s">
        <v>500</v>
      </c>
      <c r="CB827" s="9" t="s">
        <v>500</v>
      </c>
      <c r="DC827" s="9">
        <v>92</v>
      </c>
      <c r="DD827" s="9">
        <v>0.44</v>
      </c>
      <c r="DE827" s="10">
        <v>370</v>
      </c>
      <c r="DF827" s="30">
        <v>68</v>
      </c>
      <c r="DG827" s="9">
        <f t="shared" si="12"/>
        <v>4.3706481411125733</v>
      </c>
      <c r="DH827" s="9">
        <v>13.6</v>
      </c>
      <c r="DI827" s="9">
        <v>6.14</v>
      </c>
      <c r="DJ827" s="9">
        <v>9.3000000000000007</v>
      </c>
      <c r="DK827" s="9">
        <v>14.7</v>
      </c>
      <c r="DL827" s="9">
        <v>48.9</v>
      </c>
      <c r="DM827" s="9">
        <v>307.5</v>
      </c>
    </row>
    <row r="828" spans="1:125" x14ac:dyDescent="0.2">
      <c r="A828" s="14">
        <v>741</v>
      </c>
      <c r="B828" s="17">
        <v>43300</v>
      </c>
      <c r="C828" s="9" t="s">
        <v>95</v>
      </c>
      <c r="D828" s="9">
        <v>71</v>
      </c>
      <c r="E828" s="9" t="s">
        <v>5024</v>
      </c>
      <c r="F828" s="17">
        <v>17112</v>
      </c>
      <c r="I828" s="9">
        <v>12</v>
      </c>
      <c r="J828" s="9">
        <v>48</v>
      </c>
      <c r="L828" s="9">
        <v>5</v>
      </c>
      <c r="M828" s="10" t="s">
        <v>368</v>
      </c>
      <c r="N828" s="10" t="s">
        <v>368</v>
      </c>
      <c r="O828" s="9" t="s">
        <v>263</v>
      </c>
      <c r="P828" s="10" t="s">
        <v>635</v>
      </c>
      <c r="Q828" s="9" t="s">
        <v>483</v>
      </c>
      <c r="R828" s="9" t="s">
        <v>483</v>
      </c>
      <c r="S828" s="9" t="s">
        <v>483</v>
      </c>
      <c r="T828" s="9" t="s">
        <v>7002</v>
      </c>
      <c r="U828" s="9" t="s">
        <v>7003</v>
      </c>
      <c r="V828" s="9" t="s">
        <v>263</v>
      </c>
      <c r="W828" s="9" t="s">
        <v>483</v>
      </c>
      <c r="X828" s="9" t="s">
        <v>483</v>
      </c>
      <c r="Y828" s="9" t="s">
        <v>483</v>
      </c>
      <c r="Z828" s="9" t="s">
        <v>483</v>
      </c>
      <c r="AA828" s="9" t="s">
        <v>96</v>
      </c>
      <c r="AB828" s="9" t="s">
        <v>7004</v>
      </c>
      <c r="AC828" s="9" t="s">
        <v>96</v>
      </c>
      <c r="AD828" s="9" t="s">
        <v>96</v>
      </c>
      <c r="AE828" s="9" t="s">
        <v>35</v>
      </c>
      <c r="AF828" s="9" t="s">
        <v>36</v>
      </c>
      <c r="AG828" s="9" t="s">
        <v>263</v>
      </c>
      <c r="AH828" s="9" t="s">
        <v>36</v>
      </c>
      <c r="AI828" s="9" t="s">
        <v>483</v>
      </c>
      <c r="AJ828" s="9" t="s">
        <v>483</v>
      </c>
      <c r="AK828" s="9" t="s">
        <v>483</v>
      </c>
      <c r="AL828" s="9">
        <v>67</v>
      </c>
      <c r="AM828" s="9">
        <v>1.6</v>
      </c>
      <c r="AN828" s="9">
        <v>103</v>
      </c>
      <c r="AO828" s="9">
        <v>110</v>
      </c>
      <c r="AP828" s="9">
        <v>42.4</v>
      </c>
      <c r="AQ828" s="9">
        <v>9</v>
      </c>
      <c r="AR828" s="9">
        <v>23.1</v>
      </c>
      <c r="AS828" s="9">
        <v>60</v>
      </c>
      <c r="AT828" s="9">
        <v>26.2</v>
      </c>
      <c r="AU828" s="10">
        <v>143</v>
      </c>
      <c r="AV828" s="10">
        <v>84</v>
      </c>
      <c r="DC828" s="10">
        <v>141.6</v>
      </c>
      <c r="DD828" s="9">
        <v>0.51</v>
      </c>
      <c r="DE828" s="9">
        <v>176</v>
      </c>
      <c r="DF828" s="10">
        <v>152</v>
      </c>
      <c r="DG828" s="9">
        <f t="shared" si="12"/>
        <v>4.9884433510529478</v>
      </c>
      <c r="DH828" s="9">
        <v>30.4</v>
      </c>
      <c r="DI828" s="9">
        <v>3.38</v>
      </c>
      <c r="DL828" s="9">
        <v>57.9</v>
      </c>
      <c r="DM828" s="9">
        <v>87.7</v>
      </c>
      <c r="DP828" s="11">
        <v>2</v>
      </c>
      <c r="DR828" s="9">
        <v>3</v>
      </c>
      <c r="DT828" s="9">
        <v>14.2</v>
      </c>
      <c r="DU828" s="9">
        <v>2.38</v>
      </c>
    </row>
    <row r="829" spans="1:125" x14ac:dyDescent="0.2">
      <c r="A829" s="110">
        <v>742</v>
      </c>
      <c r="B829" s="17">
        <v>43300</v>
      </c>
      <c r="C829" s="9" t="s">
        <v>95</v>
      </c>
      <c r="D829" s="9">
        <v>52</v>
      </c>
      <c r="E829" s="49" t="s">
        <v>7005</v>
      </c>
      <c r="F829" s="17">
        <v>24650</v>
      </c>
      <c r="G829" s="9" t="s">
        <v>7006</v>
      </c>
      <c r="H829" s="9" t="s">
        <v>6533</v>
      </c>
      <c r="I829" s="9">
        <v>13</v>
      </c>
      <c r="J829" s="9">
        <v>49</v>
      </c>
      <c r="K829" s="17">
        <v>36738</v>
      </c>
      <c r="L829" s="9">
        <v>3</v>
      </c>
      <c r="M829" s="9" t="s">
        <v>263</v>
      </c>
      <c r="N829" s="9" t="s">
        <v>263</v>
      </c>
      <c r="O829" s="9" t="s">
        <v>263</v>
      </c>
      <c r="P829" s="9" t="s">
        <v>263</v>
      </c>
      <c r="Q829" s="9" t="s">
        <v>263</v>
      </c>
      <c r="R829" s="9" t="s">
        <v>588</v>
      </c>
      <c r="S829" s="9" t="s">
        <v>7007</v>
      </c>
      <c r="T829" s="9" t="s">
        <v>588</v>
      </c>
      <c r="U829" s="9" t="s">
        <v>263</v>
      </c>
      <c r="V829" s="9" t="s">
        <v>263</v>
      </c>
      <c r="W829" s="14" t="s">
        <v>6388</v>
      </c>
      <c r="X829" s="9" t="s">
        <v>263</v>
      </c>
      <c r="Y829" s="9" t="s">
        <v>483</v>
      </c>
      <c r="Z829" s="9" t="s">
        <v>483</v>
      </c>
      <c r="AA829" s="49" t="s">
        <v>533</v>
      </c>
      <c r="AB829" s="49" t="s">
        <v>533</v>
      </c>
      <c r="AC829" s="49" t="s">
        <v>533</v>
      </c>
      <c r="AD829" s="49" t="s">
        <v>533</v>
      </c>
      <c r="AE829" s="9" t="s">
        <v>263</v>
      </c>
      <c r="AF829" s="9" t="s">
        <v>7008</v>
      </c>
      <c r="AG829" s="9" t="s">
        <v>263</v>
      </c>
      <c r="AH829" s="9" t="s">
        <v>406</v>
      </c>
      <c r="AI829" s="9" t="s">
        <v>423</v>
      </c>
      <c r="AJ829" s="9" t="s">
        <v>483</v>
      </c>
      <c r="AK829" s="9" t="s">
        <v>483</v>
      </c>
      <c r="AL829" s="9">
        <v>80.8</v>
      </c>
      <c r="AM829" s="9">
        <v>1.63</v>
      </c>
      <c r="AN829" s="9">
        <v>89.5</v>
      </c>
      <c r="AO829" s="9">
        <v>106.6</v>
      </c>
      <c r="AP829" s="9">
        <v>43.6</v>
      </c>
      <c r="AQ829" s="9">
        <v>10</v>
      </c>
      <c r="AR829" s="9">
        <v>24.7</v>
      </c>
      <c r="AS829" s="9">
        <v>62</v>
      </c>
      <c r="AT829" s="9">
        <v>30.4</v>
      </c>
      <c r="AU829" s="10">
        <v>133</v>
      </c>
      <c r="AV829" s="10">
        <v>72</v>
      </c>
      <c r="AX829" s="9" t="s">
        <v>6485</v>
      </c>
      <c r="AY829" s="9" t="s">
        <v>372</v>
      </c>
      <c r="BB829" s="9" t="s">
        <v>4034</v>
      </c>
      <c r="BC829" s="9" t="s">
        <v>550</v>
      </c>
      <c r="BD829" s="9" t="s">
        <v>3974</v>
      </c>
      <c r="BE829" s="9" t="s">
        <v>7009</v>
      </c>
      <c r="BF829" s="9" t="s">
        <v>323</v>
      </c>
      <c r="BG829" s="9" t="s">
        <v>323</v>
      </c>
      <c r="BH829" s="9" t="s">
        <v>323</v>
      </c>
      <c r="BI829" s="9" t="s">
        <v>323</v>
      </c>
      <c r="BJ829" s="9" t="s">
        <v>635</v>
      </c>
      <c r="BK829" s="9" t="s">
        <v>325</v>
      </c>
      <c r="BN829" s="9" t="s">
        <v>6373</v>
      </c>
      <c r="BO829" s="9" t="s">
        <v>553</v>
      </c>
      <c r="BP829" s="9" t="s">
        <v>552</v>
      </c>
      <c r="BZ829" s="9" t="s">
        <v>7010</v>
      </c>
      <c r="CA829" s="9" t="s">
        <v>556</v>
      </c>
      <c r="CB829" s="9" t="s">
        <v>6508</v>
      </c>
      <c r="CL829" s="9" t="s">
        <v>6753</v>
      </c>
      <c r="CM829" s="9" t="s">
        <v>6767</v>
      </c>
      <c r="CN829" s="9" t="s">
        <v>7011</v>
      </c>
      <c r="CP829" s="9" t="s">
        <v>385</v>
      </c>
      <c r="CQ829" s="9" t="s">
        <v>1200</v>
      </c>
      <c r="CR829" s="9" t="s">
        <v>451</v>
      </c>
      <c r="CT829" s="9" t="s">
        <v>1278</v>
      </c>
      <c r="CU829" s="9" t="s">
        <v>6861</v>
      </c>
      <c r="CV829" s="9" t="s">
        <v>1296</v>
      </c>
      <c r="CW829" s="9">
        <v>2</v>
      </c>
      <c r="CX829" s="9" t="s">
        <v>483</v>
      </c>
      <c r="CY829" s="9" t="s">
        <v>588</v>
      </c>
      <c r="CZ829" s="9">
        <v>30</v>
      </c>
      <c r="DA829" s="9">
        <v>20</v>
      </c>
      <c r="DB829" s="9">
        <v>50</v>
      </c>
      <c r="DC829" s="9">
        <v>67.3</v>
      </c>
      <c r="DD829" s="9">
        <v>0.54</v>
      </c>
      <c r="DE829" s="9">
        <v>154</v>
      </c>
      <c r="DF829" s="9">
        <v>86</v>
      </c>
      <c r="DG829" s="9">
        <f t="shared" si="12"/>
        <v>4.3317537664520946</v>
      </c>
      <c r="DH829" s="9">
        <v>17.2</v>
      </c>
      <c r="DI829" s="9">
        <v>3.4</v>
      </c>
    </row>
    <row r="830" spans="1:125" x14ac:dyDescent="0.2">
      <c r="A830" s="9">
        <v>743</v>
      </c>
      <c r="B830" s="17">
        <v>43300</v>
      </c>
      <c r="C830" s="9" t="s">
        <v>107</v>
      </c>
      <c r="D830" s="9">
        <v>60</v>
      </c>
      <c r="E830" s="52" t="s">
        <v>7012</v>
      </c>
      <c r="F830" s="17">
        <v>21331</v>
      </c>
      <c r="G830" s="9" t="s">
        <v>988</v>
      </c>
      <c r="H830" s="9" t="s">
        <v>6533</v>
      </c>
      <c r="M830" s="9" t="s">
        <v>263</v>
      </c>
      <c r="N830" s="9" t="s">
        <v>263</v>
      </c>
      <c r="O830" s="9" t="s">
        <v>263</v>
      </c>
      <c r="P830" s="10" t="s">
        <v>635</v>
      </c>
      <c r="Q830" s="9" t="s">
        <v>483</v>
      </c>
      <c r="R830" s="9" t="s">
        <v>483</v>
      </c>
      <c r="S830" s="9" t="s">
        <v>483</v>
      </c>
      <c r="T830" s="9" t="s">
        <v>483</v>
      </c>
      <c r="U830" s="9" t="s">
        <v>483</v>
      </c>
      <c r="V830" s="9" t="s">
        <v>483</v>
      </c>
      <c r="W830" s="9" t="s">
        <v>483</v>
      </c>
      <c r="X830" s="9" t="s">
        <v>483</v>
      </c>
      <c r="Y830" s="9" t="s">
        <v>483</v>
      </c>
      <c r="Z830" s="9" t="s">
        <v>483</v>
      </c>
      <c r="AA830" s="9" t="s">
        <v>5024</v>
      </c>
      <c r="AB830" s="52" t="s">
        <v>7012</v>
      </c>
      <c r="AC830" s="52" t="s">
        <v>7012</v>
      </c>
      <c r="AE830" s="9" t="s">
        <v>7013</v>
      </c>
      <c r="AF830" s="9" t="s">
        <v>483</v>
      </c>
      <c r="AG830" s="9" t="s">
        <v>406</v>
      </c>
      <c r="AH830" s="9" t="s">
        <v>483</v>
      </c>
      <c r="AI830" s="9" t="s">
        <v>483</v>
      </c>
      <c r="AJ830" s="9" t="s">
        <v>483</v>
      </c>
      <c r="AK830" s="9" t="s">
        <v>483</v>
      </c>
      <c r="AL830" s="9">
        <v>80.5</v>
      </c>
      <c r="AM830" s="9">
        <v>1.67</v>
      </c>
      <c r="AN830" s="9">
        <v>100</v>
      </c>
      <c r="AO830" s="9">
        <v>106</v>
      </c>
      <c r="AP830" s="9">
        <v>31</v>
      </c>
      <c r="AQ830" s="9">
        <v>15</v>
      </c>
      <c r="AR830" s="9">
        <v>30.5</v>
      </c>
      <c r="AS830" s="9">
        <v>60</v>
      </c>
      <c r="AT830" s="9">
        <v>28.9</v>
      </c>
      <c r="AU830" s="9">
        <v>152</v>
      </c>
      <c r="AV830" s="9">
        <v>88</v>
      </c>
      <c r="DC830" s="9">
        <v>90</v>
      </c>
      <c r="DD830" s="9">
        <v>0.56999999999999995</v>
      </c>
      <c r="DE830" s="9">
        <v>166</v>
      </c>
      <c r="DF830" s="9">
        <v>77</v>
      </c>
      <c r="DG830" s="9">
        <f t="shared" si="12"/>
        <v>4.4218075460919746</v>
      </c>
      <c r="DH830" s="9">
        <v>15.4</v>
      </c>
      <c r="DI830" s="9">
        <v>5.08</v>
      </c>
      <c r="DL830" s="9">
        <v>61.1</v>
      </c>
      <c r="DM830" s="9">
        <v>89.5</v>
      </c>
      <c r="DP830" s="11">
        <v>3</v>
      </c>
    </row>
    <row r="831" spans="1:125" x14ac:dyDescent="0.2">
      <c r="A831" s="9">
        <v>744</v>
      </c>
      <c r="B831" s="17">
        <v>43300</v>
      </c>
      <c r="C831" s="9" t="s">
        <v>95</v>
      </c>
      <c r="D831" s="9">
        <v>19</v>
      </c>
      <c r="E831" s="9" t="s">
        <v>5749</v>
      </c>
      <c r="F831" s="17">
        <v>36179</v>
      </c>
      <c r="G831" s="9" t="s">
        <v>1308</v>
      </c>
      <c r="H831" s="9" t="s">
        <v>7014</v>
      </c>
      <c r="I831" s="9">
        <v>13</v>
      </c>
      <c r="M831" s="9" t="s">
        <v>263</v>
      </c>
      <c r="N831" s="9" t="s">
        <v>263</v>
      </c>
      <c r="O831" s="9" t="s">
        <v>263</v>
      </c>
      <c r="P831" s="9" t="s">
        <v>263</v>
      </c>
      <c r="Q831" s="9" t="s">
        <v>263</v>
      </c>
      <c r="R831" s="9" t="s">
        <v>263</v>
      </c>
      <c r="S831" s="9" t="s">
        <v>263</v>
      </c>
      <c r="T831" s="9" t="s">
        <v>263</v>
      </c>
      <c r="U831" s="9" t="s">
        <v>263</v>
      </c>
      <c r="V831" s="9" t="s">
        <v>263</v>
      </c>
      <c r="W831" s="9" t="s">
        <v>263</v>
      </c>
      <c r="X831" s="9" t="s">
        <v>263</v>
      </c>
      <c r="Y831" s="9" t="s">
        <v>483</v>
      </c>
      <c r="Z831" s="9" t="s">
        <v>4085</v>
      </c>
      <c r="AA831" s="9" t="s">
        <v>5749</v>
      </c>
      <c r="AB831" s="9" t="s">
        <v>6714</v>
      </c>
      <c r="AC831" s="9" t="s">
        <v>6714</v>
      </c>
      <c r="AD831" s="9" t="s">
        <v>6714</v>
      </c>
      <c r="AE831" s="9" t="s">
        <v>423</v>
      </c>
      <c r="AF831" s="9" t="s">
        <v>423</v>
      </c>
      <c r="AG831" s="9" t="s">
        <v>483</v>
      </c>
      <c r="AH831" s="9" t="s">
        <v>7015</v>
      </c>
      <c r="AI831" s="9" t="s">
        <v>483</v>
      </c>
      <c r="AJ831" s="9" t="s">
        <v>483</v>
      </c>
      <c r="AK831" s="9" t="s">
        <v>483</v>
      </c>
      <c r="AL831" s="9">
        <v>64.5</v>
      </c>
      <c r="AM831" s="9">
        <v>1.58</v>
      </c>
      <c r="AN831" s="9">
        <v>85</v>
      </c>
      <c r="AO831" s="9">
        <v>106</v>
      </c>
      <c r="AP831" s="9">
        <v>41</v>
      </c>
      <c r="AQ831" s="9">
        <v>5</v>
      </c>
      <c r="AR831" s="9">
        <v>24.5</v>
      </c>
      <c r="AS831" s="9">
        <v>38</v>
      </c>
      <c r="AT831" s="9">
        <v>25.8</v>
      </c>
      <c r="AU831" s="9">
        <v>104</v>
      </c>
      <c r="AV831" s="9">
        <v>71</v>
      </c>
      <c r="AX831" s="9" t="s">
        <v>6836</v>
      </c>
      <c r="AY831" s="9" t="s">
        <v>7016</v>
      </c>
      <c r="BB831" s="9" t="s">
        <v>3974</v>
      </c>
      <c r="BC831" s="9" t="s">
        <v>536</v>
      </c>
      <c r="BE831" s="9" t="s">
        <v>7009</v>
      </c>
      <c r="BF831" s="9" t="s">
        <v>635</v>
      </c>
      <c r="BG831" s="9" t="s">
        <v>323</v>
      </c>
      <c r="BH831" s="9" t="s">
        <v>323</v>
      </c>
      <c r="BI831" s="9" t="s">
        <v>323</v>
      </c>
      <c r="BJ831" s="9" t="s">
        <v>635</v>
      </c>
      <c r="BK831" s="9" t="s">
        <v>323</v>
      </c>
      <c r="BN831" s="9" t="s">
        <v>553</v>
      </c>
      <c r="BO831" s="9" t="s">
        <v>552</v>
      </c>
      <c r="BP831" s="9" t="s">
        <v>6507</v>
      </c>
      <c r="BZ831" s="9" t="s">
        <v>7010</v>
      </c>
      <c r="CA831" s="9" t="s">
        <v>6508</v>
      </c>
      <c r="CB831" s="9" t="s">
        <v>3988</v>
      </c>
      <c r="CD831" s="9" t="s">
        <v>942</v>
      </c>
      <c r="CL831" s="9" t="s">
        <v>997</v>
      </c>
      <c r="CM831" s="9" t="s">
        <v>6767</v>
      </c>
      <c r="CP831" s="9" t="s">
        <v>6932</v>
      </c>
      <c r="CT831" s="9" t="s">
        <v>1278</v>
      </c>
      <c r="CU831" s="9" t="s">
        <v>1010</v>
      </c>
      <c r="CV831" s="9" t="s">
        <v>7017</v>
      </c>
      <c r="CW831" s="9">
        <v>5</v>
      </c>
      <c r="CX831" s="9" t="s">
        <v>588</v>
      </c>
      <c r="CY831" s="9" t="s">
        <v>588</v>
      </c>
      <c r="CZ831" s="9">
        <v>60</v>
      </c>
      <c r="DA831" s="9">
        <v>10</v>
      </c>
      <c r="DB831" s="9">
        <v>30</v>
      </c>
      <c r="DC831" s="9">
        <v>79.7</v>
      </c>
      <c r="DE831" s="9">
        <v>126</v>
      </c>
      <c r="DF831" s="9">
        <v>81</v>
      </c>
      <c r="DG831" s="9">
        <f t="shared" si="12"/>
        <v>4.3863593702343042</v>
      </c>
      <c r="DH831" s="9">
        <v>16.2</v>
      </c>
      <c r="DI831" s="9">
        <v>3.17</v>
      </c>
      <c r="DJ831" s="9">
        <v>13.3</v>
      </c>
      <c r="DK831" s="9">
        <v>19.3</v>
      </c>
      <c r="DP831" s="11">
        <v>2</v>
      </c>
      <c r="DR831" s="9">
        <v>3</v>
      </c>
    </row>
    <row r="832" spans="1:125" x14ac:dyDescent="0.2">
      <c r="A832" s="9">
        <v>745</v>
      </c>
      <c r="B832" s="17">
        <v>43300</v>
      </c>
      <c r="C832" s="9" t="s">
        <v>95</v>
      </c>
      <c r="D832" s="9">
        <v>61</v>
      </c>
      <c r="E832" s="9" t="s">
        <v>5749</v>
      </c>
      <c r="F832" s="17">
        <v>20872</v>
      </c>
      <c r="G832" s="9" t="s">
        <v>3703</v>
      </c>
      <c r="H832" s="9" t="s">
        <v>6533</v>
      </c>
      <c r="I832" s="9">
        <v>15</v>
      </c>
      <c r="J832" s="9">
        <v>51</v>
      </c>
      <c r="K832" s="8">
        <v>36276</v>
      </c>
      <c r="L832" s="9">
        <v>12</v>
      </c>
      <c r="M832" s="9" t="s">
        <v>263</v>
      </c>
      <c r="N832" s="9" t="s">
        <v>263</v>
      </c>
      <c r="O832" s="9" t="s">
        <v>263</v>
      </c>
      <c r="P832" s="9" t="s">
        <v>263</v>
      </c>
      <c r="Q832" s="10" t="s">
        <v>6745</v>
      </c>
      <c r="R832" s="9" t="s">
        <v>588</v>
      </c>
      <c r="S832" s="9" t="s">
        <v>6691</v>
      </c>
      <c r="T832" s="9" t="s">
        <v>7018</v>
      </c>
      <c r="U832" s="9" t="s">
        <v>483</v>
      </c>
      <c r="V832" s="9" t="s">
        <v>263</v>
      </c>
      <c r="W832" s="9" t="s">
        <v>263</v>
      </c>
      <c r="X832" s="9" t="s">
        <v>263</v>
      </c>
      <c r="Y832" s="9" t="s">
        <v>483</v>
      </c>
      <c r="Z832" s="9" t="s">
        <v>3659</v>
      </c>
      <c r="AA832" s="9" t="s">
        <v>7019</v>
      </c>
      <c r="AB832" s="9" t="s">
        <v>5749</v>
      </c>
      <c r="AE832" s="9" t="s">
        <v>1086</v>
      </c>
      <c r="AF832" s="9" t="s">
        <v>423</v>
      </c>
      <c r="AG832" s="9" t="s">
        <v>7020</v>
      </c>
      <c r="AH832" s="9" t="s">
        <v>483</v>
      </c>
      <c r="AI832" s="9" t="s">
        <v>483</v>
      </c>
      <c r="AJ832" s="9" t="s">
        <v>483</v>
      </c>
      <c r="AK832" s="9" t="s">
        <v>483</v>
      </c>
      <c r="AL832" s="9">
        <v>67.8</v>
      </c>
      <c r="AM832" s="9">
        <v>1.57</v>
      </c>
      <c r="AN832" s="9">
        <v>91.2</v>
      </c>
      <c r="AO832" s="9">
        <v>99.8</v>
      </c>
      <c r="AP832" s="9">
        <v>43.6</v>
      </c>
      <c r="AQ832" s="9">
        <v>11</v>
      </c>
      <c r="AR832" s="9">
        <v>23</v>
      </c>
      <c r="AS832" s="9">
        <v>63</v>
      </c>
      <c r="AT832" s="9">
        <v>27.5</v>
      </c>
      <c r="AU832" s="9">
        <v>125</v>
      </c>
      <c r="AV832" s="9">
        <v>69</v>
      </c>
      <c r="AX832" s="9" t="s">
        <v>371</v>
      </c>
      <c r="AY832" s="9" t="s">
        <v>372</v>
      </c>
      <c r="AZ832" s="9" t="s">
        <v>6836</v>
      </c>
      <c r="BB832" s="9" t="s">
        <v>4034</v>
      </c>
      <c r="BC832" s="9" t="s">
        <v>6418</v>
      </c>
      <c r="BD832" s="9" t="s">
        <v>7021</v>
      </c>
      <c r="BE832" s="9" t="s">
        <v>7022</v>
      </c>
      <c r="BF832" s="9" t="s">
        <v>635</v>
      </c>
      <c r="BG832" s="9" t="s">
        <v>323</v>
      </c>
      <c r="BH832" s="9" t="s">
        <v>323</v>
      </c>
      <c r="BI832" s="9" t="s">
        <v>323</v>
      </c>
      <c r="BJ832" s="9" t="s">
        <v>635</v>
      </c>
      <c r="BK832" s="9" t="s">
        <v>323</v>
      </c>
      <c r="BN832" s="9" t="s">
        <v>467</v>
      </c>
      <c r="BO832" s="9" t="s">
        <v>6513</v>
      </c>
      <c r="BP832" s="9" t="s">
        <v>430</v>
      </c>
      <c r="BZ832" s="9" t="s">
        <v>7023</v>
      </c>
      <c r="CA832" s="9" t="s">
        <v>397</v>
      </c>
      <c r="CB832" s="9" t="s">
        <v>6503</v>
      </c>
      <c r="CD832" s="9" t="s">
        <v>6503</v>
      </c>
      <c r="CL832" s="9" t="s">
        <v>997</v>
      </c>
      <c r="CM832" s="9" t="s">
        <v>922</v>
      </c>
      <c r="CN832" s="9" t="s">
        <v>6753</v>
      </c>
      <c r="CP832" s="9" t="s">
        <v>6932</v>
      </c>
      <c r="CQ832" s="9" t="s">
        <v>1285</v>
      </c>
      <c r="CR832" s="9" t="s">
        <v>7024</v>
      </c>
      <c r="CT832" s="9" t="s">
        <v>6803</v>
      </c>
      <c r="CU832" s="9" t="s">
        <v>7025</v>
      </c>
      <c r="CV832" s="9" t="s">
        <v>6650</v>
      </c>
      <c r="CW832" s="9">
        <v>3</v>
      </c>
      <c r="CX832" s="9" t="s">
        <v>483</v>
      </c>
      <c r="CY832" s="9" t="s">
        <v>483</v>
      </c>
      <c r="CZ832" s="9">
        <v>30</v>
      </c>
      <c r="DA832" s="9">
        <v>20</v>
      </c>
      <c r="DB832" s="9">
        <v>50</v>
      </c>
      <c r="DC832" s="9">
        <v>86.8</v>
      </c>
      <c r="DD832" s="9">
        <v>0.54</v>
      </c>
      <c r="DE832" s="9">
        <v>194</v>
      </c>
      <c r="DF832" s="10">
        <v>184</v>
      </c>
      <c r="DG832" s="9">
        <f t="shared" si="12"/>
        <v>4.8392711896376452</v>
      </c>
      <c r="DH832" s="9">
        <v>36.799999999999997</v>
      </c>
      <c r="DI832" s="9">
        <v>4.8899999999999997</v>
      </c>
      <c r="DJ832" s="9">
        <v>19</v>
      </c>
      <c r="DK832" s="9">
        <v>22.7</v>
      </c>
      <c r="DP832" s="11">
        <v>3</v>
      </c>
      <c r="DR832" s="9">
        <v>2</v>
      </c>
    </row>
    <row r="833" spans="1:125" x14ac:dyDescent="0.2">
      <c r="A833" s="110">
        <v>746</v>
      </c>
      <c r="B833" s="17">
        <v>43300</v>
      </c>
      <c r="C833" s="9" t="s">
        <v>3955</v>
      </c>
      <c r="D833" s="9">
        <v>45</v>
      </c>
      <c r="E833" s="9" t="s">
        <v>5749</v>
      </c>
      <c r="F833" s="17">
        <v>26677</v>
      </c>
      <c r="G833" s="9" t="s">
        <v>3703</v>
      </c>
      <c r="H833" s="9" t="s">
        <v>7026</v>
      </c>
      <c r="M833" s="9" t="s">
        <v>263</v>
      </c>
      <c r="N833" s="10" t="s">
        <v>368</v>
      </c>
      <c r="O833" s="9" t="s">
        <v>263</v>
      </c>
      <c r="P833" s="10" t="s">
        <v>322</v>
      </c>
      <c r="Q833" s="10" t="s">
        <v>6952</v>
      </c>
      <c r="R833" s="9" t="s">
        <v>263</v>
      </c>
      <c r="S833" s="9" t="s">
        <v>263</v>
      </c>
      <c r="T833" s="9" t="s">
        <v>368</v>
      </c>
      <c r="U833" s="9" t="s">
        <v>263</v>
      </c>
      <c r="V833" s="9" t="s">
        <v>263</v>
      </c>
      <c r="W833" s="9" t="s">
        <v>7027</v>
      </c>
      <c r="X833" s="9" t="s">
        <v>5689</v>
      </c>
      <c r="Y833" s="9" t="s">
        <v>7028</v>
      </c>
      <c r="Z833" s="9" t="s">
        <v>3598</v>
      </c>
      <c r="AA833" s="9" t="s">
        <v>7029</v>
      </c>
      <c r="AB833" s="9" t="s">
        <v>1419</v>
      </c>
      <c r="AC833" s="9" t="s">
        <v>7029</v>
      </c>
      <c r="AD833" s="9" t="s">
        <v>7030</v>
      </c>
      <c r="AE833" s="9" t="s">
        <v>36</v>
      </c>
      <c r="AF833" s="9" t="s">
        <v>36</v>
      </c>
      <c r="AG833" s="9" t="s">
        <v>7031</v>
      </c>
      <c r="AH833" s="9" t="s">
        <v>36</v>
      </c>
      <c r="AI833" s="9" t="s">
        <v>263</v>
      </c>
      <c r="AJ833" s="9" t="s">
        <v>268</v>
      </c>
      <c r="AK833" s="9" t="s">
        <v>263</v>
      </c>
      <c r="AL833" s="9">
        <v>76.2</v>
      </c>
      <c r="AM833" s="9">
        <v>1.74</v>
      </c>
      <c r="AN833" s="9">
        <v>94.5</v>
      </c>
      <c r="AO833" s="9">
        <v>98</v>
      </c>
      <c r="AP833" s="9">
        <v>25.6</v>
      </c>
      <c r="AQ833" s="9">
        <v>9</v>
      </c>
      <c r="AR833" s="9">
        <v>34.4</v>
      </c>
      <c r="AS833" s="9">
        <v>48</v>
      </c>
      <c r="AT833" s="9">
        <v>25.2</v>
      </c>
      <c r="AU833" s="9">
        <v>133</v>
      </c>
      <c r="AV833" s="9">
        <v>82</v>
      </c>
      <c r="DC833" s="9">
        <v>80.8</v>
      </c>
      <c r="DD833" s="9">
        <v>0.91</v>
      </c>
      <c r="DE833" s="9">
        <v>178</v>
      </c>
      <c r="DF833" s="9">
        <v>63</v>
      </c>
      <c r="DG833" s="9">
        <f t="shared" si="12"/>
        <v>4.2675558459592908</v>
      </c>
      <c r="DH833" s="9">
        <v>12.6</v>
      </c>
      <c r="DI833" s="9">
        <v>3.92</v>
      </c>
      <c r="DP833" s="11">
        <v>2</v>
      </c>
      <c r="DR833" s="9">
        <v>2</v>
      </c>
    </row>
    <row r="834" spans="1:125" x14ac:dyDescent="0.2">
      <c r="A834" s="9">
        <v>747</v>
      </c>
      <c r="B834" s="17">
        <v>43300</v>
      </c>
      <c r="C834" s="9" t="s">
        <v>95</v>
      </c>
      <c r="D834" s="9">
        <v>48</v>
      </c>
      <c r="E834" s="9" t="s">
        <v>5749</v>
      </c>
      <c r="F834" s="17">
        <v>25664</v>
      </c>
      <c r="G834" s="9" t="s">
        <v>3703</v>
      </c>
      <c r="H834" s="9" t="s">
        <v>6423</v>
      </c>
      <c r="K834" s="9">
        <v>2009</v>
      </c>
      <c r="L834" s="9">
        <v>1</v>
      </c>
      <c r="M834" s="10" t="s">
        <v>7032</v>
      </c>
      <c r="N834" s="10" t="s">
        <v>368</v>
      </c>
      <c r="O834" s="9" t="s">
        <v>263</v>
      </c>
      <c r="P834" s="9" t="s">
        <v>263</v>
      </c>
      <c r="Q834" s="10" t="s">
        <v>6952</v>
      </c>
      <c r="R834" s="9" t="s">
        <v>588</v>
      </c>
      <c r="S834" s="9" t="s">
        <v>6691</v>
      </c>
      <c r="T834" s="9" t="s">
        <v>7033</v>
      </c>
      <c r="U834" s="9" t="s">
        <v>588</v>
      </c>
      <c r="V834" s="9" t="s">
        <v>263</v>
      </c>
      <c r="W834" s="9" t="s">
        <v>7034</v>
      </c>
      <c r="X834" s="9" t="s">
        <v>263</v>
      </c>
      <c r="Y834" s="9" t="s">
        <v>7035</v>
      </c>
      <c r="Z834" s="9" t="s">
        <v>2059</v>
      </c>
      <c r="AA834" s="9" t="s">
        <v>7036</v>
      </c>
      <c r="AB834" s="9" t="s">
        <v>7036</v>
      </c>
      <c r="AC834" s="9" t="s">
        <v>7036</v>
      </c>
      <c r="AD834" s="9" t="s">
        <v>7036</v>
      </c>
      <c r="AE834" s="9" t="s">
        <v>6526</v>
      </c>
      <c r="AF834" s="9" t="s">
        <v>6198</v>
      </c>
      <c r="AG834" s="9" t="s">
        <v>263</v>
      </c>
      <c r="AH834" s="9" t="s">
        <v>406</v>
      </c>
      <c r="AI834" s="9" t="s">
        <v>483</v>
      </c>
      <c r="AJ834" s="9" t="s">
        <v>483</v>
      </c>
      <c r="AK834" s="9" t="s">
        <v>483</v>
      </c>
      <c r="AL834" s="9">
        <v>101.1</v>
      </c>
      <c r="AM834" s="9">
        <v>1.6</v>
      </c>
      <c r="AN834" s="9">
        <v>113</v>
      </c>
      <c r="AO834" s="9">
        <v>139</v>
      </c>
      <c r="AU834" s="9">
        <v>113</v>
      </c>
      <c r="AV834" s="9">
        <v>72</v>
      </c>
      <c r="DC834" s="9">
        <v>96.6</v>
      </c>
      <c r="DD834" s="9">
        <v>0.68</v>
      </c>
      <c r="DE834" s="10">
        <v>246</v>
      </c>
      <c r="DF834" s="10">
        <v>349</v>
      </c>
      <c r="DG834" s="9">
        <f t="shared" si="12"/>
        <v>5.2128253317104498</v>
      </c>
      <c r="DH834" s="9">
        <v>69.8</v>
      </c>
      <c r="DI834" s="10">
        <v>10.41</v>
      </c>
      <c r="DJ834" s="10">
        <v>48.4</v>
      </c>
      <c r="DK834" s="9">
        <v>127.8</v>
      </c>
      <c r="DP834" s="11">
        <v>2</v>
      </c>
    </row>
    <row r="835" spans="1:125" x14ac:dyDescent="0.2">
      <c r="A835" s="7">
        <v>748</v>
      </c>
      <c r="B835" s="17">
        <v>43300</v>
      </c>
      <c r="C835" s="9" t="s">
        <v>3645</v>
      </c>
      <c r="D835" s="9">
        <v>41</v>
      </c>
      <c r="E835" s="9" t="s">
        <v>5749</v>
      </c>
      <c r="F835" s="17">
        <v>28089</v>
      </c>
      <c r="G835" s="9" t="s">
        <v>585</v>
      </c>
      <c r="H835" s="9" t="s">
        <v>7037</v>
      </c>
      <c r="I835" s="9">
        <v>12</v>
      </c>
      <c r="K835" s="9">
        <v>2009</v>
      </c>
      <c r="L835" s="9">
        <v>3</v>
      </c>
      <c r="M835" s="9" t="s">
        <v>483</v>
      </c>
      <c r="N835" s="9" t="s">
        <v>483</v>
      </c>
      <c r="O835" s="9" t="s">
        <v>263</v>
      </c>
      <c r="P835" s="9" t="s">
        <v>483</v>
      </c>
      <c r="Q835" s="9" t="s">
        <v>483</v>
      </c>
      <c r="R835" s="9" t="s">
        <v>588</v>
      </c>
      <c r="S835" s="9" t="s">
        <v>483</v>
      </c>
      <c r="T835" s="9" t="s">
        <v>6936</v>
      </c>
      <c r="U835" s="9" t="s">
        <v>7038</v>
      </c>
      <c r="V835" s="9" t="s">
        <v>483</v>
      </c>
      <c r="W835" s="9" t="s">
        <v>7039</v>
      </c>
      <c r="X835" s="9" t="s">
        <v>483</v>
      </c>
      <c r="Y835" s="9" t="s">
        <v>483</v>
      </c>
      <c r="Z835" s="9" t="s">
        <v>7040</v>
      </c>
      <c r="AA835" s="9" t="s">
        <v>96</v>
      </c>
      <c r="AB835" s="9" t="s">
        <v>96</v>
      </c>
      <c r="AC835" s="9" t="s">
        <v>96</v>
      </c>
      <c r="AD835" s="9" t="s">
        <v>96</v>
      </c>
      <c r="AE835" s="9" t="s">
        <v>483</v>
      </c>
      <c r="AF835" s="9" t="s">
        <v>1017</v>
      </c>
      <c r="AG835" s="9" t="s">
        <v>483</v>
      </c>
      <c r="AH835" s="9" t="s">
        <v>406</v>
      </c>
      <c r="AI835" s="9" t="s">
        <v>483</v>
      </c>
      <c r="AJ835" s="9" t="s">
        <v>483</v>
      </c>
      <c r="AK835" s="9" t="s">
        <v>483</v>
      </c>
      <c r="AL835" s="9">
        <v>64.7</v>
      </c>
      <c r="AM835" s="9">
        <v>1.59</v>
      </c>
      <c r="AN835" s="30">
        <v>76.8</v>
      </c>
      <c r="AO835" s="9">
        <v>98</v>
      </c>
      <c r="AP835" s="9">
        <v>37.5</v>
      </c>
      <c r="AQ835" s="9">
        <v>7</v>
      </c>
      <c r="AR835" s="9">
        <v>26.5</v>
      </c>
      <c r="AS835" s="9">
        <v>47</v>
      </c>
      <c r="AT835" s="30">
        <v>25.6</v>
      </c>
      <c r="AU835" s="9">
        <v>108</v>
      </c>
      <c r="AV835" s="9">
        <v>67</v>
      </c>
      <c r="AX835" s="9" t="s">
        <v>6537</v>
      </c>
      <c r="BB835" s="9" t="s">
        <v>3974</v>
      </c>
      <c r="BE835" s="9" t="s">
        <v>7009</v>
      </c>
      <c r="BF835" s="9" t="s">
        <v>323</v>
      </c>
      <c r="BG835" s="9" t="s">
        <v>483</v>
      </c>
      <c r="BH835" s="9" t="s">
        <v>323</v>
      </c>
      <c r="BI835" s="9" t="s">
        <v>483</v>
      </c>
      <c r="BJ835" s="9" t="s">
        <v>483</v>
      </c>
      <c r="BK835" s="9" t="s">
        <v>323</v>
      </c>
      <c r="BN835" s="9" t="s">
        <v>6513</v>
      </c>
      <c r="BO835" s="9" t="s">
        <v>467</v>
      </c>
      <c r="BP835" s="9" t="s">
        <v>6405</v>
      </c>
      <c r="BZ835" s="9" t="s">
        <v>7010</v>
      </c>
      <c r="CA835" s="9" t="s">
        <v>556</v>
      </c>
      <c r="CB835" s="9" t="s">
        <v>6508</v>
      </c>
      <c r="CL835" s="9" t="s">
        <v>6753</v>
      </c>
      <c r="CM835" s="9" t="s">
        <v>922</v>
      </c>
      <c r="CN835" s="9" t="s">
        <v>7041</v>
      </c>
      <c r="CP835" s="9" t="s">
        <v>6464</v>
      </c>
      <c r="CQ835" s="9" t="s">
        <v>1285</v>
      </c>
      <c r="CR835" s="9" t="s">
        <v>7024</v>
      </c>
      <c r="CT835" s="9" t="s">
        <v>564</v>
      </c>
      <c r="CU835" s="9" t="s">
        <v>6861</v>
      </c>
      <c r="CW835" s="9">
        <v>3</v>
      </c>
      <c r="CX835" s="9" t="s">
        <v>588</v>
      </c>
      <c r="CY835" s="9" t="s">
        <v>483</v>
      </c>
      <c r="CZ835" s="9">
        <v>40</v>
      </c>
      <c r="DA835" s="9">
        <v>20</v>
      </c>
      <c r="DB835" s="9">
        <v>40</v>
      </c>
      <c r="DC835" s="9">
        <v>85.8</v>
      </c>
      <c r="DD835" s="9">
        <v>0.36</v>
      </c>
      <c r="DE835" s="9">
        <v>198</v>
      </c>
      <c r="DF835" s="9">
        <v>48</v>
      </c>
      <c r="DG835" s="9">
        <f t="shared" ref="DG835:DG898" si="13">LN(DF835*DC835)/2</f>
        <v>4.1616100087009036</v>
      </c>
      <c r="DH835" s="9">
        <v>9.6</v>
      </c>
      <c r="DI835" s="9">
        <v>3.53</v>
      </c>
      <c r="DJ835" s="9">
        <v>14.3</v>
      </c>
      <c r="DK835" s="9">
        <v>19</v>
      </c>
      <c r="DP835" s="11">
        <v>3</v>
      </c>
      <c r="DQ835" s="9">
        <v>3</v>
      </c>
      <c r="DR835" s="9">
        <v>2</v>
      </c>
    </row>
    <row r="836" spans="1:125" x14ac:dyDescent="0.2">
      <c r="A836" s="9">
        <v>749</v>
      </c>
      <c r="B836" s="17">
        <v>43300</v>
      </c>
      <c r="C836" s="9" t="s">
        <v>107</v>
      </c>
      <c r="D836" s="9">
        <v>65</v>
      </c>
      <c r="E836" s="9" t="s">
        <v>5749</v>
      </c>
      <c r="F836" s="17">
        <v>19439</v>
      </c>
      <c r="G836" s="9" t="s">
        <v>6377</v>
      </c>
      <c r="H836" s="9" t="s">
        <v>1544</v>
      </c>
      <c r="M836" s="9" t="s">
        <v>263</v>
      </c>
      <c r="N836" s="9" t="s">
        <v>263</v>
      </c>
      <c r="O836" s="9" t="s">
        <v>263</v>
      </c>
      <c r="P836" s="9" t="s">
        <v>263</v>
      </c>
      <c r="Q836" s="9" t="s">
        <v>263</v>
      </c>
      <c r="R836" s="9" t="s">
        <v>263</v>
      </c>
      <c r="S836" s="9" t="s">
        <v>263</v>
      </c>
      <c r="T836" s="9" t="s">
        <v>263</v>
      </c>
      <c r="U836" s="9" t="s">
        <v>263</v>
      </c>
      <c r="V836" s="9" t="s">
        <v>263</v>
      </c>
      <c r="W836" s="9" t="s">
        <v>1943</v>
      </c>
      <c r="X836" s="9" t="s">
        <v>483</v>
      </c>
      <c r="Y836" s="9" t="s">
        <v>483</v>
      </c>
      <c r="Z836" s="9" t="s">
        <v>483</v>
      </c>
      <c r="AA836" s="9" t="s">
        <v>96</v>
      </c>
      <c r="AB836" s="9" t="s">
        <v>96</v>
      </c>
      <c r="AC836" s="9" t="s">
        <v>96</v>
      </c>
      <c r="AD836" s="9" t="s">
        <v>96</v>
      </c>
      <c r="AE836" s="9" t="s">
        <v>263</v>
      </c>
      <c r="AF836" s="9" t="s">
        <v>483</v>
      </c>
      <c r="AG836" s="9" t="s">
        <v>263</v>
      </c>
      <c r="AH836" s="9" t="s">
        <v>483</v>
      </c>
      <c r="AI836" s="9" t="s">
        <v>483</v>
      </c>
      <c r="AJ836" s="9" t="s">
        <v>483</v>
      </c>
      <c r="AK836" s="9" t="s">
        <v>483</v>
      </c>
      <c r="AL836" s="9">
        <v>77.7</v>
      </c>
      <c r="AM836" s="9">
        <v>1.76</v>
      </c>
      <c r="AN836" s="9">
        <v>96.5</v>
      </c>
      <c r="AO836" s="9">
        <v>101</v>
      </c>
      <c r="AP836" s="9">
        <v>32.200000000000003</v>
      </c>
      <c r="AQ836" s="9">
        <v>9</v>
      </c>
      <c r="AR836" s="9">
        <v>30.2</v>
      </c>
      <c r="AS836" s="9">
        <v>56</v>
      </c>
      <c r="AT836" s="9">
        <v>26.9</v>
      </c>
      <c r="AU836" s="9">
        <v>119</v>
      </c>
      <c r="AV836" s="9">
        <v>81</v>
      </c>
      <c r="DC836" s="9">
        <v>83.8</v>
      </c>
      <c r="DD836" s="9">
        <v>0.83</v>
      </c>
      <c r="DE836" s="9">
        <v>171</v>
      </c>
      <c r="DF836" s="9">
        <v>58</v>
      </c>
      <c r="DG836" s="9">
        <f t="shared" si="13"/>
        <v>4.2444380090172285</v>
      </c>
      <c r="DH836" s="9">
        <v>11.6</v>
      </c>
      <c r="DI836" s="9">
        <v>6.27</v>
      </c>
      <c r="DJ836" s="9">
        <v>21.3</v>
      </c>
      <c r="DK836" s="9">
        <v>19</v>
      </c>
      <c r="DP836" s="11">
        <v>3</v>
      </c>
      <c r="DR836" s="9">
        <v>2</v>
      </c>
    </row>
    <row r="837" spans="1:125" x14ac:dyDescent="0.2">
      <c r="A837" s="36">
        <v>750</v>
      </c>
      <c r="B837" s="17">
        <v>43286</v>
      </c>
      <c r="C837" s="9" t="s">
        <v>107</v>
      </c>
      <c r="D837" s="9">
        <v>58</v>
      </c>
      <c r="E837" s="9" t="s">
        <v>96</v>
      </c>
      <c r="F837" s="17">
        <v>23906</v>
      </c>
      <c r="G837" s="9" t="s">
        <v>3703</v>
      </c>
      <c r="H837" s="9" t="s">
        <v>7042</v>
      </c>
      <c r="M837" s="9" t="s">
        <v>7043</v>
      </c>
      <c r="N837" s="9" t="s">
        <v>7044</v>
      </c>
      <c r="O837" s="9" t="s">
        <v>7045</v>
      </c>
      <c r="P837" s="9" t="s">
        <v>588</v>
      </c>
      <c r="Q837" s="9" t="s">
        <v>588</v>
      </c>
      <c r="R837" s="9" t="s">
        <v>588</v>
      </c>
      <c r="S837" s="9" t="s">
        <v>483</v>
      </c>
      <c r="T837" s="9" t="s">
        <v>588</v>
      </c>
      <c r="U837" s="9" t="s">
        <v>7046</v>
      </c>
      <c r="V837" s="9" t="s">
        <v>483</v>
      </c>
      <c r="W837" s="9" t="s">
        <v>483</v>
      </c>
      <c r="X837" s="9" t="s">
        <v>483</v>
      </c>
      <c r="Z837" s="9" t="s">
        <v>7047</v>
      </c>
      <c r="AA837" s="9" t="s">
        <v>96</v>
      </c>
      <c r="AB837" s="9" t="s">
        <v>96</v>
      </c>
      <c r="AC837" s="9" t="s">
        <v>96</v>
      </c>
      <c r="AD837" s="9" t="s">
        <v>96</v>
      </c>
      <c r="AE837" s="9" t="s">
        <v>6996</v>
      </c>
      <c r="AF837" s="9" t="s">
        <v>7001</v>
      </c>
      <c r="AG837" s="9" t="s">
        <v>7048</v>
      </c>
      <c r="AH837" s="9" t="s">
        <v>7001</v>
      </c>
      <c r="AI837" s="9" t="s">
        <v>7049</v>
      </c>
      <c r="AJ837" s="9" t="s">
        <v>263</v>
      </c>
      <c r="AK837" s="9" t="s">
        <v>263</v>
      </c>
      <c r="AL837" s="9">
        <v>85.2</v>
      </c>
      <c r="AM837" s="9">
        <v>1.63</v>
      </c>
      <c r="AN837" s="9">
        <v>102</v>
      </c>
      <c r="AO837" s="9">
        <v>109</v>
      </c>
      <c r="AP837" s="9">
        <v>38.6</v>
      </c>
      <c r="AQ837" s="9">
        <v>17</v>
      </c>
      <c r="AR837" s="9">
        <v>33.6</v>
      </c>
      <c r="AS837" s="9">
        <v>51</v>
      </c>
      <c r="AT837" s="9">
        <v>32.1</v>
      </c>
      <c r="AU837" s="14">
        <v>199</v>
      </c>
      <c r="AV837" s="14">
        <v>116</v>
      </c>
      <c r="AX837" s="9" t="s">
        <v>6473</v>
      </c>
      <c r="BB837" s="9" t="s">
        <v>7050</v>
      </c>
      <c r="BF837" s="9" t="s">
        <v>6475</v>
      </c>
      <c r="BG837" s="9" t="s">
        <v>6476</v>
      </c>
      <c r="BH837" s="9" t="s">
        <v>500</v>
      </c>
      <c r="BI837" s="9" t="s">
        <v>500</v>
      </c>
      <c r="BJ837" s="9" t="s">
        <v>500</v>
      </c>
      <c r="BK837" s="9" t="s">
        <v>500</v>
      </c>
      <c r="BN837" s="9" t="s">
        <v>7051</v>
      </c>
      <c r="BZ837" s="9" t="s">
        <v>7052</v>
      </c>
      <c r="CL837" s="9" t="s">
        <v>7053</v>
      </c>
      <c r="CP837" s="9" t="s">
        <v>368</v>
      </c>
      <c r="CQ837" s="9" t="s">
        <v>7054</v>
      </c>
      <c r="CT837" s="9" t="s">
        <v>500</v>
      </c>
      <c r="CW837" s="9">
        <v>3</v>
      </c>
      <c r="CX837" s="9" t="s">
        <v>263</v>
      </c>
      <c r="CY837" s="9" t="s">
        <v>368</v>
      </c>
      <c r="CZ837" s="9">
        <v>10</v>
      </c>
      <c r="DA837" s="9">
        <v>10</v>
      </c>
      <c r="DB837" s="9">
        <v>80</v>
      </c>
      <c r="DC837" s="9">
        <v>86.5</v>
      </c>
      <c r="DD837" s="9">
        <v>1.3</v>
      </c>
      <c r="DE837" s="9">
        <v>173</v>
      </c>
      <c r="DF837" s="10">
        <v>226</v>
      </c>
      <c r="DG837" s="9">
        <f t="shared" si="13"/>
        <v>4.9403397066050596</v>
      </c>
      <c r="DH837" s="9">
        <v>45.2</v>
      </c>
      <c r="DI837" s="10">
        <v>8.18</v>
      </c>
      <c r="DJ837" s="9">
        <v>18.3</v>
      </c>
      <c r="DK837" s="9">
        <v>19.3</v>
      </c>
      <c r="DL837" s="10">
        <v>33.1</v>
      </c>
      <c r="DM837" s="9">
        <v>94.7</v>
      </c>
      <c r="DP837" s="11">
        <v>2</v>
      </c>
      <c r="DQ837" s="9">
        <v>2</v>
      </c>
      <c r="DR837" s="9">
        <v>3</v>
      </c>
      <c r="DU837" s="9">
        <v>7</v>
      </c>
    </row>
    <row r="838" spans="1:125" x14ac:dyDescent="0.2">
      <c r="A838" s="9" t="s">
        <v>7055</v>
      </c>
      <c r="DG838" s="9" t="e">
        <f t="shared" si="13"/>
        <v>#NUM!</v>
      </c>
    </row>
    <row r="839" spans="1:125" x14ac:dyDescent="0.2">
      <c r="A839" s="9" t="s">
        <v>7056</v>
      </c>
      <c r="DG839" s="9" t="e">
        <f t="shared" si="13"/>
        <v>#NUM!</v>
      </c>
    </row>
    <row r="840" spans="1:125" x14ac:dyDescent="0.2">
      <c r="A840" s="9" t="s">
        <v>7057</v>
      </c>
      <c r="DG840" s="9" t="e">
        <f t="shared" si="13"/>
        <v>#NUM!</v>
      </c>
    </row>
    <row r="841" spans="1:125" x14ac:dyDescent="0.2">
      <c r="A841" s="9" t="s">
        <v>7058</v>
      </c>
      <c r="DG841" s="9" t="e">
        <f t="shared" si="13"/>
        <v>#NUM!</v>
      </c>
    </row>
    <row r="842" spans="1:125" x14ac:dyDescent="0.2">
      <c r="A842" s="9" t="s">
        <v>7059</v>
      </c>
      <c r="DG842" s="9" t="e">
        <f t="shared" si="13"/>
        <v>#NUM!</v>
      </c>
    </row>
    <row r="843" spans="1:125" x14ac:dyDescent="0.2">
      <c r="A843" s="9" t="s">
        <v>7060</v>
      </c>
      <c r="DG843" s="9" t="e">
        <f t="shared" si="13"/>
        <v>#NUM!</v>
      </c>
    </row>
    <row r="844" spans="1:125" x14ac:dyDescent="0.2">
      <c r="A844" s="9" t="s">
        <v>7061</v>
      </c>
      <c r="DG844" s="9" t="e">
        <f t="shared" si="13"/>
        <v>#NUM!</v>
      </c>
    </row>
    <row r="845" spans="1:125" x14ac:dyDescent="0.2">
      <c r="A845" s="9" t="s">
        <v>7062</v>
      </c>
      <c r="DG845" s="9" t="e">
        <f t="shared" si="13"/>
        <v>#NUM!</v>
      </c>
    </row>
    <row r="846" spans="1:125" x14ac:dyDescent="0.2">
      <c r="A846" s="9" t="s">
        <v>7063</v>
      </c>
      <c r="DG846" s="9" t="e">
        <f t="shared" si="13"/>
        <v>#NUM!</v>
      </c>
    </row>
    <row r="847" spans="1:125" x14ac:dyDescent="0.2">
      <c r="A847" s="9" t="s">
        <v>7064</v>
      </c>
      <c r="DG847" s="9" t="e">
        <f t="shared" si="13"/>
        <v>#NUM!</v>
      </c>
    </row>
    <row r="848" spans="1:125" x14ac:dyDescent="0.2">
      <c r="A848" s="9" t="s">
        <v>7065</v>
      </c>
      <c r="DG848" s="9" t="e">
        <f t="shared" si="13"/>
        <v>#NUM!</v>
      </c>
    </row>
    <row r="849" spans="1:111" x14ac:dyDescent="0.2">
      <c r="A849" s="9" t="s">
        <v>7066</v>
      </c>
      <c r="DG849" s="9" t="e">
        <f t="shared" si="13"/>
        <v>#NUM!</v>
      </c>
    </row>
    <row r="850" spans="1:111" x14ac:dyDescent="0.2">
      <c r="A850" s="9" t="s">
        <v>7067</v>
      </c>
      <c r="DG850" s="9" t="e">
        <f t="shared" si="13"/>
        <v>#NUM!</v>
      </c>
    </row>
    <row r="851" spans="1:111" x14ac:dyDescent="0.2">
      <c r="A851" s="9" t="s">
        <v>7068</v>
      </c>
      <c r="DG851" s="9" t="e">
        <f t="shared" si="13"/>
        <v>#NUM!</v>
      </c>
    </row>
    <row r="852" spans="1:111" x14ac:dyDescent="0.2">
      <c r="A852" s="9" t="s">
        <v>7069</v>
      </c>
      <c r="DG852" s="9" t="e">
        <f t="shared" si="13"/>
        <v>#NUM!</v>
      </c>
    </row>
    <row r="853" spans="1:111" x14ac:dyDescent="0.2">
      <c r="A853" s="9" t="s">
        <v>7070</v>
      </c>
      <c r="DG853" s="9" t="e">
        <f t="shared" si="13"/>
        <v>#NUM!</v>
      </c>
    </row>
    <row r="854" spans="1:111" x14ac:dyDescent="0.2">
      <c r="A854" s="9" t="s">
        <v>7071</v>
      </c>
      <c r="DG854" s="9" t="e">
        <f t="shared" si="13"/>
        <v>#NUM!</v>
      </c>
    </row>
    <row r="855" spans="1:111" x14ac:dyDescent="0.2">
      <c r="A855" s="9" t="s">
        <v>7072</v>
      </c>
      <c r="DG855" s="9" t="e">
        <f t="shared" si="13"/>
        <v>#NUM!</v>
      </c>
    </row>
    <row r="856" spans="1:111" x14ac:dyDescent="0.2">
      <c r="A856" s="9" t="s">
        <v>7073</v>
      </c>
      <c r="DG856" s="9" t="e">
        <f t="shared" si="13"/>
        <v>#NUM!</v>
      </c>
    </row>
    <row r="857" spans="1:111" x14ac:dyDescent="0.2">
      <c r="A857" s="9" t="s">
        <v>7074</v>
      </c>
      <c r="DG857" s="9" t="e">
        <f t="shared" si="13"/>
        <v>#NUM!</v>
      </c>
    </row>
    <row r="858" spans="1:111" x14ac:dyDescent="0.2">
      <c r="A858" s="9" t="s">
        <v>7075</v>
      </c>
      <c r="DG858" s="9" t="e">
        <f t="shared" si="13"/>
        <v>#NUM!</v>
      </c>
    </row>
    <row r="859" spans="1:111" x14ac:dyDescent="0.2">
      <c r="A859" s="9" t="s">
        <v>7076</v>
      </c>
      <c r="DG859" s="9" t="e">
        <f t="shared" si="13"/>
        <v>#NUM!</v>
      </c>
    </row>
    <row r="860" spans="1:111" x14ac:dyDescent="0.2">
      <c r="A860" s="9" t="s">
        <v>7077</v>
      </c>
      <c r="DG860" s="9" t="e">
        <f t="shared" si="13"/>
        <v>#NUM!</v>
      </c>
    </row>
    <row r="861" spans="1:111" x14ac:dyDescent="0.2">
      <c r="A861" s="9" t="s">
        <v>7078</v>
      </c>
      <c r="DG861" s="9" t="e">
        <f t="shared" si="13"/>
        <v>#NUM!</v>
      </c>
    </row>
    <row r="862" spans="1:111" x14ac:dyDescent="0.2">
      <c r="A862" s="9" t="s">
        <v>7079</v>
      </c>
      <c r="DG862" s="9" t="e">
        <f t="shared" si="13"/>
        <v>#NUM!</v>
      </c>
    </row>
    <row r="863" spans="1:111" x14ac:dyDescent="0.2">
      <c r="A863" s="9" t="s">
        <v>7080</v>
      </c>
      <c r="DG863" s="9" t="e">
        <f t="shared" si="13"/>
        <v>#NUM!</v>
      </c>
    </row>
    <row r="864" spans="1:111" x14ac:dyDescent="0.2">
      <c r="A864" s="9" t="s">
        <v>7081</v>
      </c>
      <c r="DG864" s="9" t="e">
        <f t="shared" si="13"/>
        <v>#NUM!</v>
      </c>
    </row>
    <row r="865" spans="1:111" x14ac:dyDescent="0.2">
      <c r="A865" s="9" t="s">
        <v>7082</v>
      </c>
      <c r="DG865" s="9" t="e">
        <f t="shared" si="13"/>
        <v>#NUM!</v>
      </c>
    </row>
    <row r="866" spans="1:111" x14ac:dyDescent="0.2">
      <c r="A866" s="9" t="s">
        <v>7083</v>
      </c>
      <c r="DG866" s="9" t="e">
        <f t="shared" si="13"/>
        <v>#NUM!</v>
      </c>
    </row>
    <row r="867" spans="1:111" x14ac:dyDescent="0.2">
      <c r="A867" s="9" t="s">
        <v>7084</v>
      </c>
      <c r="DG867" s="9" t="e">
        <f t="shared" si="13"/>
        <v>#NUM!</v>
      </c>
    </row>
    <row r="868" spans="1:111" x14ac:dyDescent="0.2">
      <c r="A868" s="9" t="s">
        <v>7085</v>
      </c>
      <c r="DG868" s="9" t="e">
        <f t="shared" si="13"/>
        <v>#NUM!</v>
      </c>
    </row>
    <row r="869" spans="1:111" x14ac:dyDescent="0.2">
      <c r="A869" s="9" t="s">
        <v>7086</v>
      </c>
      <c r="DG869" s="9" t="e">
        <f t="shared" si="13"/>
        <v>#NUM!</v>
      </c>
    </row>
    <row r="870" spans="1:111" x14ac:dyDescent="0.2">
      <c r="A870" s="9" t="s">
        <v>7087</v>
      </c>
      <c r="DG870" s="9" t="e">
        <f t="shared" si="13"/>
        <v>#NUM!</v>
      </c>
    </row>
    <row r="871" spans="1:111" x14ac:dyDescent="0.2">
      <c r="A871" s="9" t="s">
        <v>7088</v>
      </c>
      <c r="DG871" s="9" t="e">
        <f t="shared" si="13"/>
        <v>#NUM!</v>
      </c>
    </row>
    <row r="872" spans="1:111" x14ac:dyDescent="0.2">
      <c r="A872" s="9" t="s">
        <v>7089</v>
      </c>
      <c r="DG872" s="9" t="e">
        <f t="shared" si="13"/>
        <v>#NUM!</v>
      </c>
    </row>
    <row r="873" spans="1:111" x14ac:dyDescent="0.2">
      <c r="A873" s="9" t="s">
        <v>7090</v>
      </c>
      <c r="DG873" s="9" t="e">
        <f t="shared" si="13"/>
        <v>#NUM!</v>
      </c>
    </row>
    <row r="874" spans="1:111" x14ac:dyDescent="0.2">
      <c r="A874" s="9" t="s">
        <v>7091</v>
      </c>
      <c r="DG874" s="9" t="e">
        <f t="shared" si="13"/>
        <v>#NUM!</v>
      </c>
    </row>
    <row r="875" spans="1:111" x14ac:dyDescent="0.2">
      <c r="A875" s="9" t="s">
        <v>7092</v>
      </c>
      <c r="DG875" s="9" t="e">
        <f t="shared" si="13"/>
        <v>#NUM!</v>
      </c>
    </row>
    <row r="876" spans="1:111" x14ac:dyDescent="0.2">
      <c r="A876" s="9" t="s">
        <v>7093</v>
      </c>
      <c r="DG876" s="9" t="e">
        <f t="shared" si="13"/>
        <v>#NUM!</v>
      </c>
    </row>
    <row r="877" spans="1:111" x14ac:dyDescent="0.2">
      <c r="A877" s="9" t="s">
        <v>7094</v>
      </c>
      <c r="DG877" s="9" t="e">
        <f t="shared" si="13"/>
        <v>#NUM!</v>
      </c>
    </row>
    <row r="878" spans="1:111" x14ac:dyDescent="0.2">
      <c r="A878" s="9" t="s">
        <v>7095</v>
      </c>
      <c r="DG878" s="9" t="e">
        <f t="shared" si="13"/>
        <v>#NUM!</v>
      </c>
    </row>
    <row r="879" spans="1:111" x14ac:dyDescent="0.2">
      <c r="A879" s="9" t="s">
        <v>7096</v>
      </c>
      <c r="DG879" s="9" t="e">
        <f t="shared" si="13"/>
        <v>#NUM!</v>
      </c>
    </row>
    <row r="880" spans="1:111" x14ac:dyDescent="0.2">
      <c r="A880" s="9" t="s">
        <v>7097</v>
      </c>
      <c r="DG880" s="9" t="e">
        <f t="shared" si="13"/>
        <v>#NUM!</v>
      </c>
    </row>
    <row r="881" spans="1:125" x14ac:dyDescent="0.2">
      <c r="A881" s="9" t="s">
        <v>7098</v>
      </c>
      <c r="DG881" s="9" t="e">
        <f t="shared" si="13"/>
        <v>#NUM!</v>
      </c>
    </row>
    <row r="882" spans="1:125" x14ac:dyDescent="0.2">
      <c r="A882" s="9" t="s">
        <v>7099</v>
      </c>
      <c r="DG882" s="9" t="e">
        <f t="shared" si="13"/>
        <v>#NUM!</v>
      </c>
    </row>
    <row r="883" spans="1:125" x14ac:dyDescent="0.2">
      <c r="A883" s="9" t="s">
        <v>7100</v>
      </c>
      <c r="DG883" s="9" t="e">
        <f t="shared" si="13"/>
        <v>#NUM!</v>
      </c>
    </row>
    <row r="884" spans="1:125" x14ac:dyDescent="0.2">
      <c r="A884" s="9" t="s">
        <v>7101</v>
      </c>
      <c r="DG884" s="9" t="e">
        <f t="shared" si="13"/>
        <v>#NUM!</v>
      </c>
    </row>
    <row r="885" spans="1:125" x14ac:dyDescent="0.2">
      <c r="A885" s="9" t="s">
        <v>7102</v>
      </c>
      <c r="DG885" s="9" t="e">
        <f t="shared" si="13"/>
        <v>#NUM!</v>
      </c>
    </row>
    <row r="886" spans="1:125" x14ac:dyDescent="0.2">
      <c r="A886" s="9" t="s">
        <v>7103</v>
      </c>
      <c r="DG886" s="9" t="e">
        <f t="shared" si="13"/>
        <v>#NUM!</v>
      </c>
    </row>
    <row r="887" spans="1:125" x14ac:dyDescent="0.2">
      <c r="A887" s="9" t="s">
        <v>7104</v>
      </c>
      <c r="DG887" s="9" t="e">
        <f t="shared" si="13"/>
        <v>#NUM!</v>
      </c>
    </row>
    <row r="888" spans="1:125" x14ac:dyDescent="0.2">
      <c r="A888" s="9" t="s">
        <v>7105</v>
      </c>
      <c r="B888" s="8">
        <v>43416</v>
      </c>
      <c r="C888" s="9" t="s">
        <v>196</v>
      </c>
      <c r="D888" s="9">
        <v>41</v>
      </c>
      <c r="E888" s="9" t="s">
        <v>96</v>
      </c>
      <c r="G888" s="9" t="s">
        <v>813</v>
      </c>
      <c r="H888" s="9" t="s">
        <v>7106</v>
      </c>
      <c r="I888" s="9">
        <v>11</v>
      </c>
      <c r="K888" s="9">
        <v>2013</v>
      </c>
      <c r="L888" s="9">
        <v>2</v>
      </c>
      <c r="M888" s="9" t="s">
        <v>99</v>
      </c>
      <c r="N888" s="9" t="s">
        <v>99</v>
      </c>
      <c r="O888" s="9" t="s">
        <v>110</v>
      </c>
      <c r="P888" s="9" t="s">
        <v>99</v>
      </c>
      <c r="Q888" s="9" t="s">
        <v>110</v>
      </c>
      <c r="R888" s="9" t="s">
        <v>110</v>
      </c>
      <c r="S888" s="9" t="s">
        <v>110</v>
      </c>
      <c r="T888" s="9" t="s">
        <v>110</v>
      </c>
      <c r="U888" s="9" t="s">
        <v>7107</v>
      </c>
      <c r="W888" s="9" t="s">
        <v>99</v>
      </c>
      <c r="Y888" s="9" t="s">
        <v>7108</v>
      </c>
      <c r="AA888" s="9" t="s">
        <v>1123</v>
      </c>
      <c r="AB888" s="9" t="s">
        <v>100</v>
      </c>
      <c r="AC888" s="9" t="s">
        <v>1123</v>
      </c>
      <c r="AD888" s="9" t="s">
        <v>100</v>
      </c>
      <c r="AE888" s="9" t="s">
        <v>7109</v>
      </c>
      <c r="AF888" s="9" t="s">
        <v>7110</v>
      </c>
      <c r="AG888" s="9" t="s">
        <v>99</v>
      </c>
      <c r="AH888" s="9" t="s">
        <v>2627</v>
      </c>
      <c r="AI888" s="9" t="s">
        <v>7111</v>
      </c>
      <c r="AJ888" s="9" t="s">
        <v>99</v>
      </c>
      <c r="AK888" s="9" t="s">
        <v>99</v>
      </c>
      <c r="AL888" s="9">
        <v>60.2</v>
      </c>
      <c r="AM888" s="9">
        <v>152</v>
      </c>
      <c r="AN888" s="30">
        <v>80</v>
      </c>
      <c r="AO888" s="9">
        <v>97</v>
      </c>
      <c r="AT888" s="30">
        <v>26</v>
      </c>
      <c r="AU888" s="9">
        <v>111</v>
      </c>
      <c r="AV888" s="9">
        <v>80</v>
      </c>
      <c r="DC888" s="10">
        <v>116.6</v>
      </c>
      <c r="DD888" s="9">
        <v>0.76</v>
      </c>
      <c r="DE888" s="9">
        <v>175</v>
      </c>
      <c r="DF888" s="10" t="s">
        <v>7112</v>
      </c>
      <c r="DG888" s="9" t="e">
        <f t="shared" si="13"/>
        <v>#VALUE!</v>
      </c>
      <c r="DH888" s="9">
        <v>29</v>
      </c>
      <c r="DI888" s="9">
        <v>4.3099999999999996</v>
      </c>
      <c r="DL888" s="9">
        <v>70</v>
      </c>
      <c r="DM888" s="9">
        <v>76</v>
      </c>
      <c r="DP888" s="11">
        <v>2</v>
      </c>
      <c r="DQ888" s="9">
        <v>2</v>
      </c>
      <c r="DR888" s="9">
        <v>2</v>
      </c>
      <c r="DT888" s="9">
        <v>13.3</v>
      </c>
      <c r="DU888" s="9">
        <v>3.72</v>
      </c>
    </row>
    <row r="889" spans="1:125" x14ac:dyDescent="0.2">
      <c r="A889" s="14" t="s">
        <v>7113</v>
      </c>
      <c r="B889" s="8">
        <v>43416</v>
      </c>
      <c r="C889" s="9" t="s">
        <v>675</v>
      </c>
      <c r="D889" s="9">
        <v>42</v>
      </c>
      <c r="E889" s="9" t="s">
        <v>96</v>
      </c>
      <c r="F889" s="17">
        <v>27870</v>
      </c>
      <c r="M889" s="9" t="s">
        <v>3537</v>
      </c>
      <c r="N889" s="9" t="s">
        <v>3537</v>
      </c>
      <c r="P889" s="9" t="s">
        <v>99</v>
      </c>
      <c r="Q889" s="9" t="s">
        <v>110</v>
      </c>
      <c r="Y889" s="9" t="s">
        <v>7114</v>
      </c>
      <c r="Z889" s="9" t="s">
        <v>3338</v>
      </c>
      <c r="AA889" s="9" t="s">
        <v>100</v>
      </c>
      <c r="AB889" s="9" t="s">
        <v>100</v>
      </c>
      <c r="AC889" s="9" t="s">
        <v>100</v>
      </c>
      <c r="AD889" s="9" t="s">
        <v>100</v>
      </c>
      <c r="AE889" s="9" t="s">
        <v>125</v>
      </c>
      <c r="AF889" s="9" t="s">
        <v>7115</v>
      </c>
      <c r="AG889" s="9" t="s">
        <v>118</v>
      </c>
      <c r="AH889" s="9" t="s">
        <v>7116</v>
      </c>
      <c r="AI889" s="9" t="s">
        <v>99</v>
      </c>
      <c r="AJ889" s="9" t="s">
        <v>99</v>
      </c>
      <c r="AK889" s="9" t="s">
        <v>99</v>
      </c>
      <c r="AL889" s="9">
        <v>90</v>
      </c>
      <c r="AM889" s="9">
        <v>175</v>
      </c>
      <c r="AN889" s="10">
        <v>107</v>
      </c>
      <c r="AO889" s="9">
        <v>120</v>
      </c>
      <c r="AT889" s="9">
        <v>29.4</v>
      </c>
      <c r="AU889" s="10">
        <v>130</v>
      </c>
      <c r="AV889" s="10">
        <v>87</v>
      </c>
      <c r="DC889" s="10">
        <v>179</v>
      </c>
      <c r="DD889" s="9">
        <v>0.93</v>
      </c>
      <c r="DE889" s="9">
        <v>166</v>
      </c>
      <c r="DF889" s="9">
        <v>84</v>
      </c>
      <c r="DG889" s="9">
        <f t="shared" si="13"/>
        <v>4.8091013023420341</v>
      </c>
      <c r="DH889" s="9">
        <v>16.8</v>
      </c>
      <c r="DI889" s="10">
        <v>9.09</v>
      </c>
      <c r="DL889" s="9">
        <v>63.3</v>
      </c>
      <c r="DM889" s="9">
        <v>85.9</v>
      </c>
      <c r="DP889" s="11">
        <v>2</v>
      </c>
      <c r="DQ889" s="9">
        <v>2</v>
      </c>
      <c r="DR889" s="9">
        <v>3</v>
      </c>
      <c r="DT889" s="9">
        <v>13.4</v>
      </c>
      <c r="DU889" s="9">
        <v>7</v>
      </c>
    </row>
    <row r="890" spans="1:125" x14ac:dyDescent="0.2">
      <c r="A890" s="9" t="s">
        <v>7117</v>
      </c>
      <c r="B890" s="8">
        <v>43416</v>
      </c>
      <c r="C890" s="9" t="s">
        <v>3955</v>
      </c>
      <c r="D890" s="9">
        <v>47</v>
      </c>
      <c r="M890" s="9" t="s">
        <v>99</v>
      </c>
      <c r="N890" s="9" t="s">
        <v>99</v>
      </c>
      <c r="O890" s="9" t="s">
        <v>99</v>
      </c>
      <c r="AE890" s="9" t="s">
        <v>110</v>
      </c>
      <c r="AL890" s="9">
        <v>71.7</v>
      </c>
      <c r="AM890" s="9">
        <v>174</v>
      </c>
      <c r="AN890" s="30">
        <v>99.7</v>
      </c>
      <c r="AO890" s="9">
        <v>113</v>
      </c>
      <c r="AT890" s="30">
        <v>23.6</v>
      </c>
      <c r="AU890" s="9">
        <v>100</v>
      </c>
      <c r="AV890" s="9">
        <v>73</v>
      </c>
      <c r="DC890" s="10">
        <v>107</v>
      </c>
      <c r="DG890" s="9" t="e">
        <f t="shared" si="13"/>
        <v>#NUM!</v>
      </c>
      <c r="DP890" s="18">
        <v>1</v>
      </c>
      <c r="DQ890" s="9">
        <v>3</v>
      </c>
      <c r="DR890" s="9">
        <v>3</v>
      </c>
      <c r="DT890" s="9">
        <v>18.7</v>
      </c>
    </row>
    <row r="891" spans="1:125" x14ac:dyDescent="0.2">
      <c r="A891" s="9" t="s">
        <v>7118</v>
      </c>
      <c r="B891" s="8">
        <v>43416</v>
      </c>
      <c r="C891" s="9" t="s">
        <v>3645</v>
      </c>
      <c r="D891" s="9">
        <v>46</v>
      </c>
      <c r="M891" s="9" t="s">
        <v>99</v>
      </c>
      <c r="N891" s="9" t="s">
        <v>99</v>
      </c>
      <c r="O891" s="9" t="s">
        <v>99</v>
      </c>
      <c r="AE891" s="9" t="s">
        <v>99</v>
      </c>
      <c r="AF891" s="9" t="s">
        <v>99</v>
      </c>
      <c r="AL891" s="9">
        <v>60.3</v>
      </c>
      <c r="AM891" s="9">
        <v>160</v>
      </c>
      <c r="AN891" s="30">
        <v>85</v>
      </c>
      <c r="AO891" s="9">
        <v>100</v>
      </c>
      <c r="AT891" s="30">
        <v>23.4</v>
      </c>
      <c r="AU891" s="9">
        <v>125</v>
      </c>
      <c r="AV891" s="9">
        <v>83</v>
      </c>
      <c r="DC891" s="10">
        <v>100.6</v>
      </c>
      <c r="DD891" s="9">
        <v>0.83</v>
      </c>
      <c r="DE891" s="9">
        <v>185</v>
      </c>
      <c r="DF891" s="9">
        <v>99</v>
      </c>
      <c r="DG891" s="9">
        <f t="shared" si="13"/>
        <v>4.6031360539001147</v>
      </c>
      <c r="DH891" s="9">
        <v>19.8</v>
      </c>
      <c r="DI891" s="9">
        <v>4.84</v>
      </c>
      <c r="DL891" s="9">
        <v>68.900000000000006</v>
      </c>
      <c r="DM891" s="9">
        <v>96.3</v>
      </c>
      <c r="DQ891" s="9">
        <v>2</v>
      </c>
      <c r="DR891" s="9">
        <v>2</v>
      </c>
      <c r="DT891" s="9">
        <v>12.6</v>
      </c>
      <c r="DU891" s="9">
        <v>3.7</v>
      </c>
    </row>
    <row r="892" spans="1:125" x14ac:dyDescent="0.2">
      <c r="A892" s="14" t="s">
        <v>7119</v>
      </c>
      <c r="B892" s="8">
        <v>43417</v>
      </c>
      <c r="C892" s="9" t="s">
        <v>3955</v>
      </c>
      <c r="N892" s="9" t="s">
        <v>99</v>
      </c>
      <c r="O892" s="9" t="s">
        <v>835</v>
      </c>
      <c r="AL892" s="9">
        <v>89</v>
      </c>
      <c r="AM892" s="9">
        <v>169</v>
      </c>
      <c r="AT892" s="9">
        <v>31</v>
      </c>
      <c r="AU892" s="9">
        <v>122</v>
      </c>
      <c r="AV892" s="9">
        <v>88</v>
      </c>
      <c r="DC892" s="10">
        <v>104.4</v>
      </c>
      <c r="DD892" s="9">
        <v>0.9</v>
      </c>
      <c r="DE892" s="9">
        <v>198</v>
      </c>
      <c r="DF892" s="10">
        <v>243</v>
      </c>
      <c r="DG892" s="9">
        <f t="shared" si="13"/>
        <v>5.070645559394543</v>
      </c>
      <c r="DH892" s="9">
        <v>48.6</v>
      </c>
      <c r="DI892" s="9">
        <v>7.09</v>
      </c>
      <c r="DL892" s="9">
        <v>56</v>
      </c>
      <c r="DM892" s="9">
        <v>93.4</v>
      </c>
      <c r="DP892" s="11">
        <v>3</v>
      </c>
      <c r="DQ892" s="9">
        <v>2</v>
      </c>
      <c r="DR892" s="9">
        <v>2</v>
      </c>
      <c r="DT892" s="9">
        <v>15</v>
      </c>
      <c r="DU892" s="9">
        <v>4.42</v>
      </c>
    </row>
    <row r="893" spans="1:125" x14ac:dyDescent="0.2">
      <c r="A893" s="14" t="s">
        <v>7120</v>
      </c>
      <c r="B893" s="8">
        <v>43417</v>
      </c>
      <c r="C893" s="9" t="s">
        <v>196</v>
      </c>
      <c r="D893" s="9">
        <v>43</v>
      </c>
      <c r="E893" s="9" t="s">
        <v>96</v>
      </c>
      <c r="F893" s="17">
        <v>27551</v>
      </c>
      <c r="G893" s="9" t="s">
        <v>3079</v>
      </c>
      <c r="H893" s="9" t="s">
        <v>2241</v>
      </c>
      <c r="I893" s="9">
        <v>11</v>
      </c>
      <c r="J893" s="9" t="s">
        <v>7121</v>
      </c>
      <c r="L893" s="9" t="s">
        <v>99</v>
      </c>
      <c r="M893" s="9" t="s">
        <v>7122</v>
      </c>
      <c r="N893" s="9" t="s">
        <v>99</v>
      </c>
      <c r="O893" s="9" t="s">
        <v>110</v>
      </c>
      <c r="P893" s="9" t="s">
        <v>99</v>
      </c>
      <c r="Q893" s="9" t="s">
        <v>110</v>
      </c>
      <c r="S893" s="9" t="s">
        <v>110</v>
      </c>
      <c r="T893" s="9" t="s">
        <v>110</v>
      </c>
      <c r="U893" s="9" t="s">
        <v>2418</v>
      </c>
      <c r="W893" s="9" t="s">
        <v>1046</v>
      </c>
      <c r="Y893" s="9" t="s">
        <v>7123</v>
      </c>
      <c r="Z893" s="9" t="s">
        <v>2949</v>
      </c>
      <c r="AA893" s="9" t="s">
        <v>100</v>
      </c>
      <c r="AB893" s="9" t="s">
        <v>100</v>
      </c>
      <c r="AC893" s="9" t="s">
        <v>7124</v>
      </c>
      <c r="AD893" s="9" t="s">
        <v>100</v>
      </c>
      <c r="AE893" s="9" t="s">
        <v>123</v>
      </c>
      <c r="AF893" s="9" t="s">
        <v>123</v>
      </c>
      <c r="AG893" s="9" t="s">
        <v>7125</v>
      </c>
      <c r="AH893" s="9" t="s">
        <v>99</v>
      </c>
      <c r="AI893" s="9" t="s">
        <v>99</v>
      </c>
      <c r="AJ893" s="9" t="s">
        <v>99</v>
      </c>
      <c r="AK893" s="9" t="s">
        <v>7126</v>
      </c>
      <c r="AL893" s="9">
        <v>87.2</v>
      </c>
      <c r="AM893" s="9">
        <v>162</v>
      </c>
      <c r="AN893" s="9">
        <v>106</v>
      </c>
      <c r="AO893" s="9">
        <v>112</v>
      </c>
      <c r="AT893" s="9">
        <v>33</v>
      </c>
      <c r="AU893" s="9">
        <v>90</v>
      </c>
      <c r="AV893" s="9">
        <v>77</v>
      </c>
      <c r="AX893" s="9" t="s">
        <v>7127</v>
      </c>
      <c r="AY893" s="9" t="s">
        <v>2896</v>
      </c>
      <c r="AZ893" s="9" t="s">
        <v>3151</v>
      </c>
      <c r="BB893" s="9" t="s">
        <v>346</v>
      </c>
      <c r="BC893" s="9" t="s">
        <v>3778</v>
      </c>
      <c r="BF893" s="9" t="s">
        <v>1099</v>
      </c>
      <c r="BG893" s="9" t="s">
        <v>7128</v>
      </c>
      <c r="BH893" s="9" t="s">
        <v>7129</v>
      </c>
      <c r="BI893" s="9" t="s">
        <v>1099</v>
      </c>
      <c r="BJ893" s="9" t="s">
        <v>7130</v>
      </c>
      <c r="BK893" s="9" t="s">
        <v>1172</v>
      </c>
      <c r="BN893" s="9" t="s">
        <v>2637</v>
      </c>
      <c r="BO893" s="9" t="s">
        <v>7131</v>
      </c>
      <c r="BZ893" s="9" t="s">
        <v>2911</v>
      </c>
      <c r="CA893" s="14" t="s">
        <v>7132</v>
      </c>
      <c r="CD893" s="9" t="s">
        <v>578</v>
      </c>
      <c r="CH893" s="9" t="s">
        <v>7133</v>
      </c>
      <c r="CL893" s="9" t="s">
        <v>3158</v>
      </c>
      <c r="CM893" s="9" t="s">
        <v>2558</v>
      </c>
      <c r="CP893" s="9" t="s">
        <v>715</v>
      </c>
      <c r="CQ893" s="9" t="s">
        <v>716</v>
      </c>
      <c r="CT893" s="9" t="s">
        <v>363</v>
      </c>
      <c r="CU893" s="9" t="s">
        <v>7134</v>
      </c>
      <c r="CW893" s="9">
        <v>3</v>
      </c>
      <c r="CX893" s="9" t="s">
        <v>110</v>
      </c>
      <c r="CY893" s="9" t="s">
        <v>99</v>
      </c>
      <c r="CZ893" s="9">
        <v>20</v>
      </c>
      <c r="DA893" s="9">
        <v>10</v>
      </c>
      <c r="DB893" s="9">
        <v>30</v>
      </c>
      <c r="DC893" s="10">
        <v>181.7</v>
      </c>
      <c r="DD893" s="9">
        <v>0.69</v>
      </c>
      <c r="DE893" s="10">
        <v>201</v>
      </c>
      <c r="DF893" s="10">
        <v>170</v>
      </c>
      <c r="DG893" s="9">
        <f t="shared" si="13"/>
        <v>5.1690777062261937</v>
      </c>
      <c r="DH893" s="9">
        <v>13.2</v>
      </c>
      <c r="DI893" s="9">
        <v>4.99</v>
      </c>
      <c r="DL893" s="9">
        <v>75.599999999999994</v>
      </c>
      <c r="DM893" s="9">
        <v>112.2</v>
      </c>
      <c r="DP893" s="11">
        <v>2</v>
      </c>
      <c r="DQ893" s="9">
        <v>3</v>
      </c>
      <c r="DR893" s="9">
        <v>2</v>
      </c>
      <c r="DU893" s="9">
        <v>4</v>
      </c>
    </row>
    <row r="894" spans="1:125" x14ac:dyDescent="0.2">
      <c r="A894" s="9" t="s">
        <v>7135</v>
      </c>
      <c r="B894" s="8">
        <v>43417</v>
      </c>
      <c r="C894" s="9" t="s">
        <v>3645</v>
      </c>
      <c r="E894" s="9" t="s">
        <v>96</v>
      </c>
      <c r="I894" s="9">
        <v>12</v>
      </c>
      <c r="K894" s="9" t="s">
        <v>7136</v>
      </c>
      <c r="L894" s="9" t="s">
        <v>6566</v>
      </c>
      <c r="M894" s="9" t="s">
        <v>99</v>
      </c>
      <c r="N894" s="9" t="s">
        <v>99</v>
      </c>
      <c r="O894" s="9" t="s">
        <v>99</v>
      </c>
      <c r="P894" s="9" t="s">
        <v>483</v>
      </c>
      <c r="Q894" s="9" t="s">
        <v>110</v>
      </c>
      <c r="R894" s="9" t="s">
        <v>110</v>
      </c>
      <c r="S894" s="9" t="s">
        <v>110</v>
      </c>
      <c r="T894" s="9" t="s">
        <v>99</v>
      </c>
      <c r="U894" s="9" t="s">
        <v>99</v>
      </c>
      <c r="W894" s="9" t="s">
        <v>99</v>
      </c>
      <c r="Y894" s="9" t="s">
        <v>99</v>
      </c>
      <c r="AA894" s="9" t="s">
        <v>100</v>
      </c>
      <c r="AB894" s="9" t="s">
        <v>100</v>
      </c>
      <c r="AC894" s="9" t="s">
        <v>7124</v>
      </c>
      <c r="AD894" s="9" t="s">
        <v>100</v>
      </c>
      <c r="AE894" s="9" t="s">
        <v>123</v>
      </c>
      <c r="AF894" s="9" t="s">
        <v>118</v>
      </c>
      <c r="AG894" s="9" t="s">
        <v>7137</v>
      </c>
      <c r="AH894" s="9" t="s">
        <v>99</v>
      </c>
      <c r="AI894" s="9" t="s">
        <v>99</v>
      </c>
      <c r="AJ894" s="9" t="s">
        <v>99</v>
      </c>
      <c r="AK894" s="9" t="s">
        <v>99</v>
      </c>
      <c r="AL894" s="9">
        <v>63.4</v>
      </c>
      <c r="AM894" s="9">
        <v>160</v>
      </c>
      <c r="AN894" s="9">
        <v>80</v>
      </c>
      <c r="AO894" s="9">
        <v>94</v>
      </c>
      <c r="AT894" s="9">
        <v>24.7</v>
      </c>
      <c r="AU894" s="9">
        <v>94</v>
      </c>
      <c r="AV894" s="9">
        <v>67</v>
      </c>
      <c r="DC894" s="10">
        <v>101.9</v>
      </c>
      <c r="DD894" s="9">
        <v>0.79</v>
      </c>
      <c r="DE894" s="10">
        <v>205</v>
      </c>
      <c r="DF894" s="9">
        <v>102</v>
      </c>
      <c r="DG894" s="9">
        <f t="shared" si="13"/>
        <v>4.6244823767564753</v>
      </c>
      <c r="DH894" s="9">
        <v>20.399999999999999</v>
      </c>
      <c r="DI894" s="9">
        <v>3.53</v>
      </c>
      <c r="DL894" s="9">
        <v>59.7</v>
      </c>
      <c r="DM894" s="9">
        <v>124.9</v>
      </c>
      <c r="DP894" s="11">
        <v>2</v>
      </c>
      <c r="DQ894" s="9">
        <v>3</v>
      </c>
      <c r="DR894" s="9">
        <v>2</v>
      </c>
      <c r="DT894" s="9">
        <v>12</v>
      </c>
    </row>
    <row r="895" spans="1:125" x14ac:dyDescent="0.2">
      <c r="A895" s="14" t="s">
        <v>7138</v>
      </c>
      <c r="B895" s="8">
        <v>43420</v>
      </c>
      <c r="C895" s="9" t="s">
        <v>3645</v>
      </c>
      <c r="D895" s="9">
        <v>53</v>
      </c>
      <c r="W895" s="9" t="s">
        <v>7139</v>
      </c>
      <c r="AE895" s="9" t="s">
        <v>99</v>
      </c>
      <c r="AF895" s="9" t="s">
        <v>99</v>
      </c>
      <c r="AL895" s="9">
        <v>65.099999999999994</v>
      </c>
      <c r="AM895" s="9">
        <v>159</v>
      </c>
      <c r="AN895" s="9">
        <v>84</v>
      </c>
      <c r="AO895" s="9">
        <v>100</v>
      </c>
      <c r="AT895" s="9">
        <v>25.7</v>
      </c>
      <c r="AU895" s="9">
        <v>110</v>
      </c>
      <c r="AV895" s="9">
        <v>75</v>
      </c>
      <c r="DC895" s="10">
        <v>100</v>
      </c>
      <c r="DD895" s="9">
        <v>0.86</v>
      </c>
      <c r="DE895" s="9">
        <v>181</v>
      </c>
      <c r="DF895" s="10">
        <v>206</v>
      </c>
      <c r="DG895" s="9">
        <f t="shared" si="13"/>
        <v>4.9665231773888365</v>
      </c>
      <c r="DH895" s="9">
        <v>41.2</v>
      </c>
      <c r="DI895" s="9">
        <v>5.18</v>
      </c>
      <c r="DL895" s="9">
        <v>72.099999999999994</v>
      </c>
      <c r="DM895" s="9">
        <v>67.7</v>
      </c>
      <c r="DP895" s="11">
        <v>2</v>
      </c>
      <c r="DQ895" s="9">
        <v>2</v>
      </c>
      <c r="DR895" s="9">
        <v>3</v>
      </c>
      <c r="DT895" s="9">
        <v>16.2</v>
      </c>
      <c r="DU895" s="9">
        <v>4.8499999999999996</v>
      </c>
    </row>
    <row r="896" spans="1:125" x14ac:dyDescent="0.2">
      <c r="A896" s="14" t="s">
        <v>7140</v>
      </c>
      <c r="B896" s="8">
        <v>43421</v>
      </c>
      <c r="C896" s="9" t="s">
        <v>107</v>
      </c>
      <c r="D896" s="9">
        <v>65</v>
      </c>
      <c r="AL896" s="9">
        <v>91.7</v>
      </c>
      <c r="AM896" s="9">
        <v>170</v>
      </c>
      <c r="AN896" s="9">
        <v>115</v>
      </c>
      <c r="AT896" s="9">
        <v>31.7</v>
      </c>
      <c r="AU896" s="9">
        <v>123</v>
      </c>
      <c r="AV896" s="9">
        <v>85</v>
      </c>
      <c r="DC896" s="10">
        <v>134.9</v>
      </c>
      <c r="DD896" s="9">
        <v>0.9</v>
      </c>
      <c r="DE896" s="9">
        <v>214</v>
      </c>
      <c r="DF896" s="14">
        <v>696</v>
      </c>
      <c r="DG896" s="9">
        <f t="shared" si="13"/>
        <v>5.7249417117740649</v>
      </c>
      <c r="DI896" s="10">
        <v>10.16</v>
      </c>
      <c r="DL896" s="10">
        <v>40.200000000000003</v>
      </c>
      <c r="DN896" s="14" t="s">
        <v>7141</v>
      </c>
      <c r="DP896" s="11">
        <v>2</v>
      </c>
      <c r="DQ896" s="9">
        <v>2</v>
      </c>
      <c r="DR896" s="9">
        <v>2</v>
      </c>
      <c r="DT896" s="9">
        <v>9.6</v>
      </c>
      <c r="DU896" s="9">
        <v>4.45</v>
      </c>
    </row>
    <row r="897" spans="1:125" x14ac:dyDescent="0.2">
      <c r="A897" s="37" t="s">
        <v>7142</v>
      </c>
      <c r="B897" s="8">
        <v>43422</v>
      </c>
      <c r="C897" s="9" t="s">
        <v>95</v>
      </c>
      <c r="D897" s="9">
        <v>67</v>
      </c>
      <c r="N897" s="9" t="s">
        <v>7143</v>
      </c>
      <c r="W897" s="9" t="s">
        <v>7144</v>
      </c>
      <c r="Y897" s="9" t="s">
        <v>7145</v>
      </c>
      <c r="AL897" s="9">
        <v>77.599999999999994</v>
      </c>
      <c r="AM897" s="9">
        <v>155</v>
      </c>
      <c r="AN897" s="9">
        <v>88</v>
      </c>
      <c r="AU897" s="9">
        <v>125</v>
      </c>
      <c r="AV897" s="9">
        <v>93</v>
      </c>
      <c r="DC897" s="9">
        <v>97.5</v>
      </c>
      <c r="DD897" s="9">
        <v>1.06</v>
      </c>
      <c r="DE897" s="9">
        <v>197</v>
      </c>
      <c r="DF897" s="9">
        <v>142</v>
      </c>
      <c r="DG897" s="9">
        <f t="shared" si="13"/>
        <v>4.7678397178025307</v>
      </c>
      <c r="DH897" s="9">
        <v>28.4</v>
      </c>
      <c r="DI897" s="9">
        <v>5.71</v>
      </c>
      <c r="DL897" s="9">
        <v>57.6</v>
      </c>
      <c r="DM897" s="9">
        <v>111</v>
      </c>
      <c r="DP897" s="11">
        <v>2</v>
      </c>
      <c r="DQ897" s="9">
        <v>2</v>
      </c>
      <c r="DR897" s="9">
        <v>3</v>
      </c>
      <c r="DU897" s="9">
        <v>3.76</v>
      </c>
    </row>
    <row r="898" spans="1:125" x14ac:dyDescent="0.2">
      <c r="A898" s="9" t="s">
        <v>7146</v>
      </c>
      <c r="B898" s="8">
        <v>43423</v>
      </c>
      <c r="DC898" s="9">
        <v>96</v>
      </c>
      <c r="DD898" s="9">
        <v>136</v>
      </c>
      <c r="DE898" s="9">
        <v>192</v>
      </c>
      <c r="DF898" s="9" t="s">
        <v>7147</v>
      </c>
      <c r="DG898" s="9" t="e">
        <f t="shared" si="13"/>
        <v>#VALUE!</v>
      </c>
      <c r="DH898" s="9">
        <v>11</v>
      </c>
      <c r="DI898" s="9">
        <v>4.13</v>
      </c>
      <c r="DL898" s="10">
        <v>111</v>
      </c>
      <c r="DM898" s="9">
        <v>70</v>
      </c>
      <c r="DP898" s="11">
        <v>2</v>
      </c>
      <c r="DQ898" s="9">
        <v>3</v>
      </c>
      <c r="DR898" s="9">
        <v>2</v>
      </c>
      <c r="DT898" s="9">
        <v>14.5</v>
      </c>
    </row>
    <row r="899" spans="1:125" x14ac:dyDescent="0.2">
      <c r="A899" s="9" t="s">
        <v>7148</v>
      </c>
      <c r="B899" s="8">
        <v>43424</v>
      </c>
      <c r="C899" s="9" t="s">
        <v>107</v>
      </c>
      <c r="D899" s="9">
        <v>46</v>
      </c>
      <c r="AL899" s="9">
        <v>85.2</v>
      </c>
      <c r="AM899" s="9">
        <v>172</v>
      </c>
      <c r="AN899" s="9">
        <v>98</v>
      </c>
      <c r="AT899" s="9">
        <v>28.8</v>
      </c>
      <c r="AU899" s="9">
        <v>126</v>
      </c>
      <c r="AV899" s="9">
        <v>67</v>
      </c>
      <c r="DC899" s="9">
        <v>95.8</v>
      </c>
      <c r="DD899" s="9">
        <v>1.17</v>
      </c>
      <c r="DE899" s="10">
        <v>223</v>
      </c>
      <c r="DF899" s="9">
        <v>101</v>
      </c>
      <c r="DG899" s="9">
        <f t="shared" ref="DG899:DG962" si="14">LN(DF899*DC899)/2</f>
        <v>4.588691600909037</v>
      </c>
      <c r="DH899" s="9">
        <v>20</v>
      </c>
      <c r="DI899" s="9">
        <v>7.92</v>
      </c>
      <c r="DL899" s="9">
        <v>49.4</v>
      </c>
      <c r="DP899" s="11">
        <v>3</v>
      </c>
      <c r="DQ899" s="9">
        <v>2</v>
      </c>
      <c r="DR899" s="9">
        <v>2</v>
      </c>
      <c r="DT899" s="9">
        <v>12.5</v>
      </c>
    </row>
    <row r="900" spans="1:125" x14ac:dyDescent="0.2">
      <c r="A900" s="14" t="s">
        <v>7149</v>
      </c>
      <c r="B900" s="8">
        <v>43425</v>
      </c>
      <c r="C900" s="9" t="s">
        <v>107</v>
      </c>
      <c r="D900" s="9">
        <v>52</v>
      </c>
      <c r="AL900" s="9">
        <v>79</v>
      </c>
      <c r="AM900" s="9">
        <v>160</v>
      </c>
      <c r="AN900" s="9">
        <v>97</v>
      </c>
      <c r="AU900" s="9">
        <v>117</v>
      </c>
      <c r="AV900" s="9">
        <v>83</v>
      </c>
      <c r="DC900" s="14">
        <v>309.89999999999998</v>
      </c>
      <c r="DD900" s="9">
        <v>0.82</v>
      </c>
      <c r="DE900" s="9">
        <v>166</v>
      </c>
      <c r="DF900" s="14">
        <v>304</v>
      </c>
      <c r="DG900" s="9">
        <f t="shared" si="14"/>
        <v>5.7266386830999618</v>
      </c>
      <c r="DH900" s="9">
        <v>60.8</v>
      </c>
      <c r="DI900" s="9">
        <v>5.12</v>
      </c>
      <c r="DL900" s="9">
        <v>49.8</v>
      </c>
      <c r="DM900" s="9">
        <v>55.4</v>
      </c>
      <c r="DP900" s="11">
        <v>3</v>
      </c>
      <c r="DQ900" s="9">
        <v>3</v>
      </c>
      <c r="DR900" s="9">
        <v>2</v>
      </c>
      <c r="DT900" s="9">
        <v>18</v>
      </c>
      <c r="DU900" s="9">
        <v>2.65</v>
      </c>
    </row>
    <row r="901" spans="1:125" x14ac:dyDescent="0.2">
      <c r="A901" s="9" t="s">
        <v>7150</v>
      </c>
      <c r="B901" s="8">
        <v>43426</v>
      </c>
      <c r="C901" s="9" t="s">
        <v>107</v>
      </c>
      <c r="D901" s="9">
        <v>62</v>
      </c>
      <c r="AM901" s="9">
        <v>165.5</v>
      </c>
      <c r="AN901" s="9">
        <v>110</v>
      </c>
      <c r="AT901" s="9">
        <v>33.700000000000003</v>
      </c>
      <c r="AU901" s="9">
        <v>126</v>
      </c>
      <c r="AV901" s="9">
        <v>80</v>
      </c>
      <c r="DC901" s="14">
        <v>318</v>
      </c>
      <c r="DD901" s="9">
        <v>0.92</v>
      </c>
      <c r="DE901" s="9">
        <v>146</v>
      </c>
      <c r="DF901" s="9">
        <v>115</v>
      </c>
      <c r="DG901" s="9">
        <f t="shared" si="14"/>
        <v>5.2534917555717131</v>
      </c>
      <c r="DH901" s="9">
        <v>23</v>
      </c>
      <c r="DI901" s="9">
        <v>4.04</v>
      </c>
      <c r="DL901" s="9">
        <v>56.3</v>
      </c>
      <c r="DM901" s="9">
        <v>67.7</v>
      </c>
      <c r="DP901" s="11">
        <v>2</v>
      </c>
      <c r="DQ901" s="9">
        <v>3</v>
      </c>
      <c r="DR901" s="9">
        <v>3</v>
      </c>
      <c r="DT901" s="9">
        <v>14</v>
      </c>
      <c r="DU901" s="9">
        <v>3.54</v>
      </c>
    </row>
    <row r="902" spans="1:125" x14ac:dyDescent="0.2">
      <c r="A902" s="9" t="s">
        <v>7151</v>
      </c>
      <c r="B902" s="8">
        <v>43427</v>
      </c>
      <c r="DC902" s="9">
        <v>95.6</v>
      </c>
      <c r="DD902" s="9">
        <v>1.33</v>
      </c>
      <c r="DE902" s="9" t="s">
        <v>7152</v>
      </c>
      <c r="DF902" s="9">
        <v>136</v>
      </c>
      <c r="DG902" s="9">
        <f t="shared" si="14"/>
        <v>4.7364138528967041</v>
      </c>
      <c r="DH902" s="9">
        <v>27.2</v>
      </c>
      <c r="DI902" s="9">
        <v>6.24</v>
      </c>
      <c r="DL902" s="9">
        <v>63.6</v>
      </c>
      <c r="DM902" s="9">
        <v>110.2</v>
      </c>
      <c r="DP902" s="11">
        <v>2</v>
      </c>
      <c r="DQ902" s="9">
        <v>3</v>
      </c>
      <c r="DR902" s="9">
        <v>2</v>
      </c>
      <c r="DT902" s="9">
        <v>14.4</v>
      </c>
    </row>
    <row r="903" spans="1:125" x14ac:dyDescent="0.2">
      <c r="A903" s="14" t="s">
        <v>7153</v>
      </c>
      <c r="B903" s="8">
        <v>43428</v>
      </c>
      <c r="C903" s="9" t="s">
        <v>3955</v>
      </c>
      <c r="D903" s="9">
        <v>65</v>
      </c>
      <c r="AL903" s="9">
        <v>80.5</v>
      </c>
      <c r="AM903" s="9">
        <v>169</v>
      </c>
      <c r="AN903" s="9">
        <v>104</v>
      </c>
      <c r="AT903" s="9">
        <v>28.1</v>
      </c>
      <c r="AU903" s="10">
        <v>151</v>
      </c>
      <c r="AV903" s="10">
        <v>89</v>
      </c>
      <c r="DC903" s="10">
        <v>153.4</v>
      </c>
      <c r="DD903" s="9">
        <v>1.1000000000000001</v>
      </c>
      <c r="DE903" s="9">
        <v>194</v>
      </c>
      <c r="DF903" s="10">
        <v>157</v>
      </c>
      <c r="DG903" s="9">
        <f t="shared" si="14"/>
        <v>5.0446473471407316</v>
      </c>
      <c r="DH903" s="9">
        <v>31.4</v>
      </c>
      <c r="DI903" s="9">
        <v>6.82</v>
      </c>
      <c r="DN903" s="14" t="s">
        <v>7154</v>
      </c>
      <c r="DP903" s="11">
        <v>3</v>
      </c>
      <c r="DQ903" s="9">
        <v>3</v>
      </c>
      <c r="DR903" s="9">
        <v>3</v>
      </c>
      <c r="DT903" s="9">
        <v>14.8</v>
      </c>
      <c r="DU903" s="9">
        <v>5.4</v>
      </c>
    </row>
    <row r="904" spans="1:125" x14ac:dyDescent="0.2">
      <c r="A904" s="9" t="s">
        <v>7155</v>
      </c>
      <c r="B904" s="8">
        <v>43429</v>
      </c>
      <c r="C904" s="9" t="s">
        <v>107</v>
      </c>
      <c r="D904" s="9">
        <v>44</v>
      </c>
      <c r="AL904" s="9">
        <v>108.3</v>
      </c>
      <c r="AM904" s="9">
        <v>181.5</v>
      </c>
      <c r="AN904" s="10">
        <v>102</v>
      </c>
      <c r="AU904" s="9">
        <v>117</v>
      </c>
      <c r="AV904" s="9">
        <v>87</v>
      </c>
      <c r="DC904" s="9">
        <v>97.1</v>
      </c>
      <c r="DD904" s="9">
        <v>0.83</v>
      </c>
      <c r="DE904" s="9">
        <v>231</v>
      </c>
      <c r="DF904" s="9">
        <v>80</v>
      </c>
      <c r="DG904" s="9">
        <f t="shared" si="14"/>
        <v>4.4788840049855807</v>
      </c>
      <c r="DH904" s="9">
        <v>16</v>
      </c>
      <c r="DI904" s="9">
        <v>6.02</v>
      </c>
    </row>
    <row r="905" spans="1:125" x14ac:dyDescent="0.2">
      <c r="A905" s="14" t="s">
        <v>7156</v>
      </c>
      <c r="B905" s="8">
        <v>43430</v>
      </c>
      <c r="C905" s="9" t="s">
        <v>107</v>
      </c>
      <c r="D905" s="9">
        <v>47</v>
      </c>
      <c r="AL905" s="9">
        <v>98</v>
      </c>
      <c r="AM905" s="9">
        <v>160</v>
      </c>
      <c r="AN905" s="10">
        <v>109</v>
      </c>
      <c r="AU905" s="10">
        <v>138</v>
      </c>
      <c r="AV905" s="10">
        <v>96</v>
      </c>
      <c r="DC905" s="10">
        <v>123.9</v>
      </c>
      <c r="DD905" s="9">
        <v>0.84</v>
      </c>
      <c r="DE905" s="9">
        <v>234</v>
      </c>
      <c r="DF905" s="9">
        <v>102</v>
      </c>
      <c r="DG905" s="9">
        <f t="shared" si="14"/>
        <v>4.722223800959684</v>
      </c>
      <c r="DH905" s="9">
        <v>20.399999999999999</v>
      </c>
      <c r="DI905" s="9">
        <v>5.6</v>
      </c>
      <c r="DP905" s="11">
        <v>2</v>
      </c>
      <c r="DQ905" s="9">
        <v>2</v>
      </c>
      <c r="DR905" s="9">
        <v>2</v>
      </c>
      <c r="DT905" s="9">
        <v>13</v>
      </c>
      <c r="DU905" s="9">
        <v>4</v>
      </c>
    </row>
    <row r="906" spans="1:125" x14ac:dyDescent="0.2">
      <c r="A906" s="9" t="s">
        <v>7157</v>
      </c>
      <c r="B906" s="8">
        <v>43431</v>
      </c>
      <c r="DC906" s="10">
        <v>118.6</v>
      </c>
      <c r="DD906" s="9">
        <v>0.5</v>
      </c>
      <c r="DE906" s="9">
        <v>191</v>
      </c>
      <c r="DF906" s="9">
        <v>137</v>
      </c>
      <c r="DG906" s="9">
        <f t="shared" si="14"/>
        <v>4.8478687061958752</v>
      </c>
      <c r="DH906" s="9">
        <v>27.4</v>
      </c>
      <c r="DI906" s="9">
        <v>4.87</v>
      </c>
      <c r="DP906" s="11">
        <v>2</v>
      </c>
      <c r="DR906" s="9">
        <v>2</v>
      </c>
      <c r="DT906" s="9">
        <v>12.5</v>
      </c>
      <c r="DU906" s="9">
        <v>3.26</v>
      </c>
    </row>
    <row r="907" spans="1:125" x14ac:dyDescent="0.2">
      <c r="A907" s="9" t="s">
        <v>7158</v>
      </c>
      <c r="B907" s="8">
        <v>43432</v>
      </c>
      <c r="D907" s="9">
        <v>46</v>
      </c>
      <c r="DC907" s="9">
        <v>93.5</v>
      </c>
      <c r="DD907" s="9">
        <v>0.82</v>
      </c>
      <c r="DE907" s="9">
        <v>182</v>
      </c>
      <c r="DF907" s="9">
        <v>85</v>
      </c>
      <c r="DG907" s="9">
        <f t="shared" si="14"/>
        <v>4.4903063463924786</v>
      </c>
      <c r="DH907" s="9">
        <v>17</v>
      </c>
      <c r="DI907" s="9">
        <v>3.67</v>
      </c>
      <c r="DP907" s="11">
        <v>3</v>
      </c>
      <c r="DQ907" s="9">
        <v>3</v>
      </c>
      <c r="DR907" s="9">
        <v>2</v>
      </c>
      <c r="DT907" s="9">
        <v>13</v>
      </c>
    </row>
    <row r="908" spans="1:125" x14ac:dyDescent="0.2">
      <c r="A908" s="9" t="s">
        <v>7159</v>
      </c>
      <c r="B908" s="8">
        <v>43433</v>
      </c>
      <c r="C908" s="9" t="s">
        <v>95</v>
      </c>
      <c r="D908" s="9">
        <v>40</v>
      </c>
      <c r="AL908" s="9">
        <v>57.2</v>
      </c>
      <c r="AM908" s="9">
        <v>154.80000000000001</v>
      </c>
      <c r="AT908" s="9">
        <v>23</v>
      </c>
      <c r="AU908" s="9">
        <v>120</v>
      </c>
      <c r="AV908" s="9">
        <v>85</v>
      </c>
      <c r="DC908" s="10">
        <v>121.5</v>
      </c>
      <c r="DD908" s="9">
        <v>0.55000000000000004</v>
      </c>
      <c r="DE908" s="9">
        <v>228</v>
      </c>
      <c r="DF908" s="10">
        <v>189</v>
      </c>
      <c r="DG908" s="9">
        <f t="shared" si="14"/>
        <v>5.0208306389201232</v>
      </c>
      <c r="DH908" s="9">
        <v>37.799999999999997</v>
      </c>
      <c r="DI908" s="9">
        <v>3.75</v>
      </c>
      <c r="DL908" s="9">
        <v>62.3</v>
      </c>
      <c r="DP908" s="11">
        <v>3</v>
      </c>
      <c r="DR908" s="9">
        <v>2</v>
      </c>
      <c r="DT908" s="9">
        <v>15.6</v>
      </c>
      <c r="DU908" s="9">
        <v>3.17</v>
      </c>
    </row>
    <row r="909" spans="1:125" x14ac:dyDescent="0.2">
      <c r="A909" s="9" t="s">
        <v>7160</v>
      </c>
      <c r="B909" s="8">
        <v>43434</v>
      </c>
      <c r="DC909" s="9">
        <v>88.9</v>
      </c>
      <c r="DD909" s="9">
        <v>0.87</v>
      </c>
      <c r="DE909" s="9">
        <v>194</v>
      </c>
      <c r="DF909" s="9">
        <v>112</v>
      </c>
      <c r="DG909" s="9">
        <f t="shared" si="14"/>
        <v>4.6030055069074765</v>
      </c>
      <c r="DH909" s="9">
        <v>22.4</v>
      </c>
      <c r="DI909" s="9">
        <v>6.33</v>
      </c>
      <c r="DP909" s="11">
        <v>2</v>
      </c>
      <c r="DR909" s="9">
        <v>2</v>
      </c>
      <c r="DT909" s="9">
        <v>12</v>
      </c>
    </row>
    <row r="910" spans="1:125" x14ac:dyDescent="0.2">
      <c r="A910" s="14" t="s">
        <v>7161</v>
      </c>
      <c r="B910" s="8">
        <v>43427</v>
      </c>
      <c r="C910" s="9" t="s">
        <v>95</v>
      </c>
      <c r="D910" s="9">
        <v>38</v>
      </c>
      <c r="N910" s="9" t="s">
        <v>588</v>
      </c>
      <c r="AL910" s="9">
        <v>78.7</v>
      </c>
      <c r="AM910" s="9">
        <v>157</v>
      </c>
      <c r="AN910" s="9">
        <v>103.2</v>
      </c>
      <c r="AU910" s="10">
        <v>136</v>
      </c>
      <c r="AV910" s="10">
        <v>93</v>
      </c>
      <c r="DC910" s="10">
        <v>104.6</v>
      </c>
      <c r="DD910" s="9">
        <v>0.66</v>
      </c>
      <c r="DE910" s="9">
        <v>214</v>
      </c>
      <c r="DF910" s="10">
        <v>192</v>
      </c>
      <c r="DG910" s="9">
        <f t="shared" si="14"/>
        <v>4.9538194618293021</v>
      </c>
      <c r="DH910" s="9">
        <v>38.4</v>
      </c>
      <c r="DI910" s="9">
        <v>5.14</v>
      </c>
      <c r="DL910" s="9" t="s">
        <v>7162</v>
      </c>
      <c r="DP910" s="11">
        <v>2</v>
      </c>
      <c r="DQ910" s="9">
        <v>3</v>
      </c>
      <c r="DR910" s="9">
        <v>3</v>
      </c>
      <c r="DT910" s="9">
        <v>16.2</v>
      </c>
      <c r="DU910" s="9">
        <v>3.9</v>
      </c>
    </row>
    <row r="911" spans="1:125" x14ac:dyDescent="0.2">
      <c r="A911" s="7" t="s">
        <v>7163</v>
      </c>
      <c r="B911" s="8">
        <v>43426</v>
      </c>
      <c r="C911" s="9" t="s">
        <v>3645</v>
      </c>
      <c r="E911" s="9" t="s">
        <v>100</v>
      </c>
      <c r="G911" s="9" t="s">
        <v>7164</v>
      </c>
      <c r="I911" s="9">
        <v>11</v>
      </c>
      <c r="J911" s="9" t="s">
        <v>7165</v>
      </c>
      <c r="L911" s="9" t="s">
        <v>99</v>
      </c>
      <c r="M911" s="9" t="s">
        <v>99</v>
      </c>
      <c r="N911" s="9" t="s">
        <v>99</v>
      </c>
      <c r="O911" s="9" t="s">
        <v>99</v>
      </c>
      <c r="P911" s="9" t="s">
        <v>99</v>
      </c>
      <c r="Q911" s="9" t="s">
        <v>110</v>
      </c>
      <c r="R911" s="9" t="s">
        <v>99</v>
      </c>
      <c r="S911" s="9" t="s">
        <v>99</v>
      </c>
      <c r="T911" s="9" t="s">
        <v>110</v>
      </c>
      <c r="U911" s="9" t="s">
        <v>7166</v>
      </c>
      <c r="V911" s="9" t="s">
        <v>99</v>
      </c>
      <c r="W911" s="9" t="s">
        <v>99</v>
      </c>
      <c r="Y911" s="9" t="s">
        <v>7167</v>
      </c>
      <c r="AA911" s="9" t="s">
        <v>100</v>
      </c>
      <c r="AB911" s="9" t="s">
        <v>100</v>
      </c>
      <c r="AC911" s="9" t="s">
        <v>7168</v>
      </c>
      <c r="AD911" s="9" t="s">
        <v>100</v>
      </c>
      <c r="AE911" s="9" t="s">
        <v>118</v>
      </c>
      <c r="AF911" s="9" t="s">
        <v>118</v>
      </c>
      <c r="AG911" s="9" t="s">
        <v>99</v>
      </c>
      <c r="AH911" s="9" t="s">
        <v>99</v>
      </c>
      <c r="AI911" s="9" t="s">
        <v>976</v>
      </c>
      <c r="AJ911" s="9" t="s">
        <v>99</v>
      </c>
      <c r="AK911" s="9" t="s">
        <v>99</v>
      </c>
      <c r="AL911" s="9">
        <v>50.6</v>
      </c>
      <c r="AM911" s="9">
        <v>158</v>
      </c>
      <c r="AN911" s="9">
        <v>68</v>
      </c>
      <c r="AU911" s="9">
        <v>102</v>
      </c>
      <c r="AV911" s="9">
        <v>80</v>
      </c>
      <c r="AX911" s="9" t="s">
        <v>7169</v>
      </c>
      <c r="AY911" s="9" t="s">
        <v>7170</v>
      </c>
      <c r="AZ911" s="9" t="s">
        <v>7171</v>
      </c>
      <c r="BB911" s="9" t="s">
        <v>7172</v>
      </c>
      <c r="BC911" s="9" t="s">
        <v>7173</v>
      </c>
      <c r="BD911" s="9" t="s">
        <v>7174</v>
      </c>
      <c r="BF911" s="9" t="s">
        <v>7175</v>
      </c>
      <c r="BG911" s="9" t="s">
        <v>7176</v>
      </c>
      <c r="BH911" s="9" t="s">
        <v>7177</v>
      </c>
      <c r="BI911" s="9" t="s">
        <v>7176</v>
      </c>
      <c r="BJ911" s="9" t="s">
        <v>7178</v>
      </c>
      <c r="BK911" s="9" t="s">
        <v>7179</v>
      </c>
      <c r="BN911" s="9" t="s">
        <v>7180</v>
      </c>
      <c r="BO911" s="9" t="s">
        <v>7181</v>
      </c>
      <c r="BP911" s="9" t="s">
        <v>7182</v>
      </c>
      <c r="BV911" s="9" t="s">
        <v>7183</v>
      </c>
      <c r="BW911" s="9" t="s">
        <v>7184</v>
      </c>
      <c r="BZ911" s="9" t="s">
        <v>7185</v>
      </c>
      <c r="CA911" s="9" t="s">
        <v>7186</v>
      </c>
      <c r="CB911" s="9" t="s">
        <v>7187</v>
      </c>
      <c r="CL911" s="9" t="s">
        <v>7188</v>
      </c>
      <c r="CM911" s="9" t="s">
        <v>7189</v>
      </c>
      <c r="CN911" s="9" t="s">
        <v>7190</v>
      </c>
      <c r="CP911" s="9" t="s">
        <v>637</v>
      </c>
      <c r="CQ911" s="9" t="s">
        <v>636</v>
      </c>
      <c r="CR911" s="9" t="s">
        <v>638</v>
      </c>
      <c r="CT911" s="9" t="s">
        <v>7191</v>
      </c>
      <c r="CU911" s="9" t="s">
        <v>7192</v>
      </c>
      <c r="CV911" s="9" t="s">
        <v>7193</v>
      </c>
      <c r="CW911" s="9">
        <v>2</v>
      </c>
      <c r="CX911" s="9" t="s">
        <v>588</v>
      </c>
      <c r="CY911" s="9" t="s">
        <v>588</v>
      </c>
      <c r="CZ911" s="9">
        <v>80</v>
      </c>
      <c r="DA911" s="9">
        <v>10</v>
      </c>
      <c r="DB911" s="9">
        <v>10</v>
      </c>
      <c r="DC911" s="9">
        <v>94</v>
      </c>
      <c r="DD911" s="9">
        <v>0.7</v>
      </c>
      <c r="DE911" s="9">
        <v>202</v>
      </c>
      <c r="DF911" s="9">
        <v>129</v>
      </c>
      <c r="DG911" s="9">
        <f t="shared" si="14"/>
        <v>4.7015535933158379</v>
      </c>
      <c r="DH911" s="9">
        <v>25.8</v>
      </c>
      <c r="DI911" s="9">
        <v>4.3600000000000003</v>
      </c>
      <c r="DL911" s="9">
        <v>78.7</v>
      </c>
      <c r="DM911" s="9">
        <v>97.5</v>
      </c>
      <c r="DP911" s="11">
        <v>3</v>
      </c>
      <c r="DQ911" s="9">
        <v>2</v>
      </c>
      <c r="DR911" s="9">
        <v>2</v>
      </c>
      <c r="DT911" s="9">
        <v>12</v>
      </c>
      <c r="DU911" s="9">
        <v>6</v>
      </c>
    </row>
    <row r="912" spans="1:125" x14ac:dyDescent="0.2">
      <c r="A912" s="9" t="s">
        <v>7194</v>
      </c>
      <c r="B912" s="8"/>
      <c r="C912" s="9" t="s">
        <v>675</v>
      </c>
      <c r="D912" s="9">
        <v>39</v>
      </c>
      <c r="AL912" s="9">
        <v>98.9</v>
      </c>
      <c r="AN912" s="9">
        <v>105</v>
      </c>
      <c r="AT912" s="30">
        <v>25</v>
      </c>
      <c r="AU912" s="9">
        <v>130</v>
      </c>
      <c r="AV912" s="9">
        <v>80</v>
      </c>
      <c r="DG912" s="9" t="e">
        <f t="shared" si="14"/>
        <v>#NUM!</v>
      </c>
      <c r="DP912" s="29">
        <v>3</v>
      </c>
      <c r="DQ912" s="9">
        <v>2</v>
      </c>
      <c r="DR912" s="9">
        <v>2</v>
      </c>
    </row>
    <row r="913" spans="1:157" x14ac:dyDescent="0.2">
      <c r="A913" s="9" t="s">
        <v>7195</v>
      </c>
      <c r="B913" s="8"/>
      <c r="C913" s="9" t="s">
        <v>196</v>
      </c>
      <c r="AL913" s="9">
        <v>72</v>
      </c>
      <c r="AN913" s="9">
        <v>95</v>
      </c>
      <c r="AT913" s="30">
        <v>25</v>
      </c>
      <c r="AU913" s="9">
        <v>130</v>
      </c>
      <c r="AV913" s="9">
        <v>82</v>
      </c>
      <c r="DG913" s="9" t="e">
        <f t="shared" si="14"/>
        <v>#NUM!</v>
      </c>
      <c r="DP913" s="29">
        <v>2</v>
      </c>
      <c r="DQ913" s="9">
        <v>3</v>
      </c>
    </row>
    <row r="914" spans="1:157" x14ac:dyDescent="0.2">
      <c r="A914" s="9" t="s">
        <v>7196</v>
      </c>
      <c r="B914" s="8"/>
      <c r="C914" s="9" t="s">
        <v>196</v>
      </c>
      <c r="AL914" s="9">
        <v>84.9</v>
      </c>
      <c r="AN914" s="9">
        <v>110.2</v>
      </c>
      <c r="AT914" s="30">
        <v>25</v>
      </c>
      <c r="AU914" s="9">
        <v>134</v>
      </c>
      <c r="AV914" s="9">
        <v>73</v>
      </c>
      <c r="DG914" s="9" t="e">
        <f t="shared" si="14"/>
        <v>#NUM!</v>
      </c>
      <c r="DP914" s="29">
        <v>2</v>
      </c>
      <c r="DQ914" s="9">
        <v>2</v>
      </c>
      <c r="DR914" s="9">
        <v>2</v>
      </c>
    </row>
    <row r="915" spans="1:157" x14ac:dyDescent="0.2">
      <c r="A915" s="9" t="s">
        <v>7197</v>
      </c>
      <c r="B915" s="8"/>
      <c r="C915" s="9" t="s">
        <v>196</v>
      </c>
      <c r="AL915" s="9">
        <v>80.900000000000006</v>
      </c>
      <c r="AN915" s="9">
        <v>96.5</v>
      </c>
      <c r="AT915" s="30">
        <v>25</v>
      </c>
      <c r="AU915" s="9">
        <v>109</v>
      </c>
      <c r="AV915" s="9">
        <v>69</v>
      </c>
      <c r="DG915" s="9" t="e">
        <f t="shared" si="14"/>
        <v>#NUM!</v>
      </c>
      <c r="DP915" s="31">
        <v>1</v>
      </c>
      <c r="DQ915" s="9">
        <v>2</v>
      </c>
      <c r="DR915" s="30">
        <v>1</v>
      </c>
    </row>
    <row r="916" spans="1:157" x14ac:dyDescent="0.2">
      <c r="A916" s="9" t="s">
        <v>7198</v>
      </c>
      <c r="C916" s="9" t="s">
        <v>675</v>
      </c>
      <c r="D916" s="9">
        <v>57</v>
      </c>
      <c r="DC916" s="9">
        <v>130</v>
      </c>
      <c r="DG916" s="9" t="e">
        <f t="shared" si="14"/>
        <v>#NUM!</v>
      </c>
      <c r="DP916" s="29">
        <v>2</v>
      </c>
      <c r="DQ916" s="9">
        <v>2</v>
      </c>
    </row>
    <row r="917" spans="1:157" x14ac:dyDescent="0.2">
      <c r="A917" s="9" t="s">
        <v>7199</v>
      </c>
      <c r="B917" s="21">
        <v>43690</v>
      </c>
      <c r="C917" s="20" t="s">
        <v>675</v>
      </c>
      <c r="D917" s="20">
        <v>24</v>
      </c>
      <c r="E917" s="20" t="s">
        <v>1001</v>
      </c>
      <c r="F917" s="21">
        <v>34619</v>
      </c>
      <c r="G917" s="20" t="s">
        <v>2313</v>
      </c>
      <c r="H917" s="20" t="s">
        <v>7200</v>
      </c>
      <c r="I917" s="20"/>
      <c r="J917" s="20"/>
      <c r="K917" s="20"/>
      <c r="L917" s="20"/>
      <c r="M917" s="20" t="s">
        <v>99</v>
      </c>
      <c r="N917" s="20" t="s">
        <v>99</v>
      </c>
      <c r="O917" s="20" t="s">
        <v>99</v>
      </c>
      <c r="P917" s="20" t="s">
        <v>99</v>
      </c>
      <c r="Q917" s="20" t="s">
        <v>99</v>
      </c>
      <c r="R917" s="20" t="s">
        <v>2046</v>
      </c>
      <c r="S917" s="20" t="s">
        <v>110</v>
      </c>
      <c r="T917" s="20" t="s">
        <v>110</v>
      </c>
      <c r="U917" s="20" t="s">
        <v>99</v>
      </c>
      <c r="V917" s="20" t="s">
        <v>99</v>
      </c>
      <c r="W917" s="20" t="s">
        <v>7201</v>
      </c>
      <c r="X917" s="20" t="s">
        <v>99</v>
      </c>
      <c r="Y917" s="20"/>
      <c r="Z917" s="20" t="s">
        <v>7202</v>
      </c>
      <c r="AA917" s="20" t="s">
        <v>1001</v>
      </c>
      <c r="AB917" s="20" t="s">
        <v>1001</v>
      </c>
      <c r="AC917" s="20" t="s">
        <v>1001</v>
      </c>
      <c r="AD917" s="20" t="s">
        <v>1654</v>
      </c>
      <c r="AE917" s="20" t="s">
        <v>7203</v>
      </c>
      <c r="AF917" s="20" t="s">
        <v>1127</v>
      </c>
      <c r="AG917" s="20" t="s">
        <v>7204</v>
      </c>
      <c r="AH917" s="168" t="s">
        <v>99</v>
      </c>
      <c r="AI917" s="20" t="s">
        <v>343</v>
      </c>
      <c r="AJ917" s="20" t="s">
        <v>99</v>
      </c>
      <c r="AK917" s="20" t="s">
        <v>99</v>
      </c>
      <c r="AL917" s="20" t="s">
        <v>7205</v>
      </c>
      <c r="AM917" s="20">
        <v>180</v>
      </c>
      <c r="AN917" s="20">
        <v>96</v>
      </c>
      <c r="AO917" s="20">
        <v>111</v>
      </c>
      <c r="AP917" s="20" t="s">
        <v>4605</v>
      </c>
      <c r="AQ917" s="20">
        <v>12</v>
      </c>
      <c r="AR917" s="20" t="s">
        <v>4377</v>
      </c>
      <c r="AS917" s="20">
        <v>61</v>
      </c>
      <c r="AT917" s="20" t="s">
        <v>4331</v>
      </c>
      <c r="AU917" s="20"/>
      <c r="AV917" s="20"/>
      <c r="AW917" s="20"/>
      <c r="AX917" s="20" t="s">
        <v>7206</v>
      </c>
      <c r="AY917" s="20" t="s">
        <v>7207</v>
      </c>
      <c r="AZ917" s="20" t="s">
        <v>7208</v>
      </c>
      <c r="BA917" s="20"/>
      <c r="BB917" s="20" t="s">
        <v>7209</v>
      </c>
      <c r="BC917" s="20" t="s">
        <v>7210</v>
      </c>
      <c r="BD917" s="20" t="s">
        <v>7211</v>
      </c>
      <c r="BE917" s="20"/>
      <c r="BF917" s="20" t="s">
        <v>7212</v>
      </c>
      <c r="BG917" s="20" t="s">
        <v>7213</v>
      </c>
      <c r="BH917" s="20" t="s">
        <v>7214</v>
      </c>
      <c r="BI917" s="20" t="s">
        <v>7215</v>
      </c>
      <c r="BJ917" s="20" t="s">
        <v>7216</v>
      </c>
      <c r="BK917" s="20" t="s">
        <v>7217</v>
      </c>
      <c r="BL917" s="20"/>
      <c r="BM917" s="20"/>
      <c r="BN917" s="20" t="s">
        <v>7218</v>
      </c>
      <c r="BO917" s="20" t="s">
        <v>7219</v>
      </c>
      <c r="BP917" s="20" t="s">
        <v>7220</v>
      </c>
      <c r="BQ917" s="20"/>
      <c r="BR917" s="20"/>
      <c r="BS917" s="20"/>
      <c r="BT917" s="20"/>
      <c r="BU917" s="20"/>
      <c r="BV917" s="20" t="s">
        <v>7221</v>
      </c>
      <c r="BW917" s="20"/>
      <c r="BX917" s="20"/>
      <c r="BY917" s="20"/>
      <c r="BZ917" s="20" t="s">
        <v>7222</v>
      </c>
      <c r="CA917" s="20" t="s">
        <v>7223</v>
      </c>
      <c r="CB917" s="20" t="s">
        <v>7224</v>
      </c>
      <c r="CC917" s="20"/>
      <c r="CD917" s="20"/>
      <c r="CE917" s="20"/>
      <c r="CF917" s="20"/>
      <c r="CG917" s="20"/>
      <c r="CH917" s="20" t="s">
        <v>7225</v>
      </c>
      <c r="CI917" s="20"/>
      <c r="CJ917" s="20"/>
      <c r="CK917" s="20"/>
      <c r="CL917" s="20" t="s">
        <v>7226</v>
      </c>
      <c r="CM917" s="20" t="s">
        <v>7227</v>
      </c>
      <c r="CN917" s="20" t="s">
        <v>7228</v>
      </c>
      <c r="CO917" s="20"/>
      <c r="CP917" s="20" t="s">
        <v>7229</v>
      </c>
      <c r="CQ917" s="20" t="s">
        <v>7230</v>
      </c>
      <c r="CR917" s="20" t="s">
        <v>7231</v>
      </c>
      <c r="CS917" s="20"/>
      <c r="CT917" s="20" t="s">
        <v>7232</v>
      </c>
      <c r="CU917" s="20" t="s">
        <v>7233</v>
      </c>
      <c r="CV917" s="20" t="s">
        <v>7234</v>
      </c>
      <c r="CW917" s="169" t="s">
        <v>2006</v>
      </c>
      <c r="CX917" s="20" t="s">
        <v>99</v>
      </c>
      <c r="CY917" s="20" t="s">
        <v>7235</v>
      </c>
      <c r="CZ917" s="20">
        <v>15</v>
      </c>
      <c r="DA917" s="20">
        <v>35</v>
      </c>
      <c r="DB917" s="20">
        <v>50</v>
      </c>
      <c r="DC917" s="20" t="s">
        <v>7236</v>
      </c>
      <c r="DD917" s="20" t="s">
        <v>4686</v>
      </c>
      <c r="DE917" s="20">
        <v>170</v>
      </c>
      <c r="DF917" s="20">
        <v>138</v>
      </c>
      <c r="DG917" s="9">
        <f t="shared" si="14"/>
        <v>4.658376167334894</v>
      </c>
      <c r="DH917" s="20" t="s">
        <v>7237</v>
      </c>
      <c r="DI917" s="20" t="s">
        <v>7238</v>
      </c>
      <c r="DJ917" s="20"/>
      <c r="DK917" s="20"/>
      <c r="DL917" s="20" t="s">
        <v>7239</v>
      </c>
      <c r="DM917" s="20" t="s">
        <v>7240</v>
      </c>
      <c r="DN917" s="20"/>
      <c r="DO917" s="20"/>
      <c r="DP917" s="29"/>
      <c r="DQ917" s="9">
        <v>2</v>
      </c>
      <c r="DR917" s="9">
        <v>3</v>
      </c>
      <c r="DT917" s="9">
        <v>12.2</v>
      </c>
      <c r="DU917" s="9">
        <v>6.95</v>
      </c>
    </row>
    <row r="918" spans="1:157" x14ac:dyDescent="0.2">
      <c r="A918" s="7" t="s">
        <v>7241</v>
      </c>
      <c r="C918" s="9" t="s">
        <v>107</v>
      </c>
      <c r="D918" s="9">
        <v>24</v>
      </c>
      <c r="E918" s="9" t="s">
        <v>96</v>
      </c>
      <c r="AN918" s="9">
        <v>86</v>
      </c>
      <c r="AO918" s="9">
        <v>102</v>
      </c>
      <c r="AP918" s="9" t="s">
        <v>167</v>
      </c>
      <c r="AQ918" s="9">
        <v>7</v>
      </c>
      <c r="AR918" s="9" t="s">
        <v>7242</v>
      </c>
      <c r="AS918" s="9">
        <v>46</v>
      </c>
      <c r="AT918" s="9" t="s">
        <v>7243</v>
      </c>
      <c r="AU918" s="9">
        <v>118</v>
      </c>
      <c r="AV918" s="9">
        <v>84</v>
      </c>
      <c r="DC918" s="9" t="s">
        <v>7244</v>
      </c>
      <c r="DD918" s="9" t="s">
        <v>7245</v>
      </c>
      <c r="DE918" s="9">
        <v>136</v>
      </c>
      <c r="DF918" s="9">
        <v>91</v>
      </c>
      <c r="DG918" s="9">
        <f t="shared" si="14"/>
        <v>4.4755775246573535</v>
      </c>
      <c r="DH918" s="9" t="s">
        <v>7246</v>
      </c>
      <c r="DI918" s="9" t="s">
        <v>7247</v>
      </c>
      <c r="DL918" s="9" t="s">
        <v>7248</v>
      </c>
      <c r="DM918" s="9" t="s">
        <v>7249</v>
      </c>
      <c r="DP918" s="29">
        <v>1</v>
      </c>
      <c r="DQ918" s="9">
        <v>3</v>
      </c>
      <c r="DR918" s="9">
        <v>3</v>
      </c>
      <c r="DT918" s="9">
        <v>10.7</v>
      </c>
      <c r="DU918" s="9">
        <v>6.64</v>
      </c>
    </row>
    <row r="919" spans="1:157" x14ac:dyDescent="0.2">
      <c r="A919" s="9" t="s">
        <v>7250</v>
      </c>
      <c r="DG919" s="9" t="e">
        <f t="shared" si="14"/>
        <v>#NUM!</v>
      </c>
      <c r="DP919" s="29"/>
      <c r="DR919" s="9">
        <v>3</v>
      </c>
    </row>
    <row r="920" spans="1:157" s="33" customFormat="1" x14ac:dyDescent="0.2">
      <c r="A920" s="70" t="s">
        <v>7251</v>
      </c>
      <c r="B920" s="32">
        <v>43794</v>
      </c>
      <c r="C920" s="31" t="s">
        <v>196</v>
      </c>
      <c r="D920" s="31">
        <v>35</v>
      </c>
      <c r="E920" s="31" t="s">
        <v>100</v>
      </c>
      <c r="F920" s="32">
        <v>30682</v>
      </c>
      <c r="G920" s="31" t="s">
        <v>7252</v>
      </c>
      <c r="H920" s="31" t="s">
        <v>2807</v>
      </c>
      <c r="I920" s="31" t="s">
        <v>4974</v>
      </c>
      <c r="J920" s="31"/>
      <c r="K920" s="31">
        <v>2010</v>
      </c>
      <c r="L920" s="31">
        <v>1</v>
      </c>
      <c r="M920" s="31" t="s">
        <v>99</v>
      </c>
      <c r="N920" s="31" t="s">
        <v>99</v>
      </c>
      <c r="O920" s="31" t="s">
        <v>99</v>
      </c>
      <c r="P920" s="31" t="s">
        <v>99</v>
      </c>
      <c r="Q920" s="31" t="s">
        <v>99</v>
      </c>
      <c r="R920" s="31" t="s">
        <v>7253</v>
      </c>
      <c r="S920" s="31" t="s">
        <v>99</v>
      </c>
      <c r="T920" s="31" t="s">
        <v>99</v>
      </c>
      <c r="U920" s="31" t="s">
        <v>5892</v>
      </c>
      <c r="V920" s="31" t="s">
        <v>99</v>
      </c>
      <c r="W920" s="31" t="s">
        <v>7254</v>
      </c>
      <c r="X920" s="31" t="s">
        <v>99</v>
      </c>
      <c r="Y920" s="31"/>
      <c r="Z920" s="31"/>
      <c r="AA920" s="31" t="s">
        <v>100</v>
      </c>
      <c r="AB920" s="31" t="s">
        <v>100</v>
      </c>
      <c r="AC920" s="31" t="s">
        <v>100</v>
      </c>
      <c r="AD920" s="31" t="s">
        <v>100</v>
      </c>
      <c r="AE920" s="31" t="s">
        <v>2047</v>
      </c>
      <c r="AF920" s="31" t="s">
        <v>2047</v>
      </c>
      <c r="AG920" s="31" t="s">
        <v>7255</v>
      </c>
      <c r="AH920" s="31" t="s">
        <v>99</v>
      </c>
      <c r="AI920" s="31" t="s">
        <v>1126</v>
      </c>
      <c r="AJ920" s="31" t="s">
        <v>99</v>
      </c>
      <c r="AK920" s="31" t="s">
        <v>99</v>
      </c>
      <c r="AL920" s="31">
        <v>52.6</v>
      </c>
      <c r="AM920" s="31">
        <v>1.59</v>
      </c>
      <c r="AN920" s="31">
        <v>74</v>
      </c>
      <c r="AO920" s="31">
        <v>84</v>
      </c>
      <c r="AP920" s="31">
        <v>28.5</v>
      </c>
      <c r="AQ920" s="31">
        <v>4</v>
      </c>
      <c r="AR920" s="31">
        <v>29.3</v>
      </c>
      <c r="AS920" s="31">
        <v>30</v>
      </c>
      <c r="AT920" s="31">
        <v>20.8</v>
      </c>
      <c r="AU920" s="31">
        <v>89</v>
      </c>
      <c r="AV920" s="31">
        <v>58</v>
      </c>
      <c r="AW920" s="31"/>
      <c r="AX920" s="31" t="s">
        <v>7256</v>
      </c>
      <c r="AY920" s="31" t="s">
        <v>679</v>
      </c>
      <c r="AZ920" s="31" t="s">
        <v>6087</v>
      </c>
      <c r="BA920" s="31"/>
      <c r="BB920" s="31" t="s">
        <v>346</v>
      </c>
      <c r="BC920" s="31"/>
      <c r="BD920" s="31"/>
      <c r="BE920" s="31"/>
      <c r="BF920" s="31" t="s">
        <v>707</v>
      </c>
      <c r="BG920" s="31" t="s">
        <v>1469</v>
      </c>
      <c r="BH920" s="31" t="s">
        <v>707</v>
      </c>
      <c r="BI920" s="31" t="s">
        <v>213</v>
      </c>
      <c r="BJ920" s="31" t="s">
        <v>176</v>
      </c>
      <c r="BK920" s="31" t="s">
        <v>216</v>
      </c>
      <c r="BL920" s="31"/>
      <c r="BM920" s="31"/>
      <c r="BN920" s="31" t="s">
        <v>125</v>
      </c>
      <c r="BO920" s="31" t="s">
        <v>179</v>
      </c>
      <c r="BP920" s="31" t="s">
        <v>219</v>
      </c>
      <c r="BQ920" s="31"/>
      <c r="BR920" s="31"/>
      <c r="BS920" s="31"/>
      <c r="BT920" s="31"/>
      <c r="BU920" s="31"/>
      <c r="BV920" s="31"/>
      <c r="BW920" s="31"/>
      <c r="BX920" s="31"/>
      <c r="BY920" s="31"/>
      <c r="BZ920" s="31" t="s">
        <v>182</v>
      </c>
      <c r="CA920" s="31" t="s">
        <v>577</v>
      </c>
      <c r="CB920" s="31"/>
      <c r="CC920" s="31"/>
      <c r="CD920" s="31"/>
      <c r="CE920" s="31"/>
      <c r="CF920" s="31"/>
      <c r="CG920" s="31"/>
      <c r="CH920" s="31" t="s">
        <v>7257</v>
      </c>
      <c r="CI920" s="31"/>
      <c r="CJ920" s="31"/>
      <c r="CK920" s="31"/>
      <c r="CL920" s="31" t="s">
        <v>887</v>
      </c>
      <c r="CM920" s="31"/>
      <c r="CN920" s="31"/>
      <c r="CO920" s="31"/>
      <c r="CP920" s="31" t="s">
        <v>890</v>
      </c>
      <c r="CQ920" s="31"/>
      <c r="CR920" s="31"/>
      <c r="CS920" s="31"/>
      <c r="CT920" s="31" t="s">
        <v>7258</v>
      </c>
      <c r="CU920" s="31"/>
      <c r="CV920" s="31"/>
      <c r="CW920" s="31">
        <v>3</v>
      </c>
      <c r="CX920" s="31" t="s">
        <v>99</v>
      </c>
      <c r="CY920" s="31" t="s">
        <v>99</v>
      </c>
      <c r="CZ920" s="31">
        <v>35</v>
      </c>
      <c r="DA920" s="31">
        <v>10</v>
      </c>
      <c r="DB920" s="31">
        <v>55</v>
      </c>
      <c r="DC920" s="31">
        <v>74</v>
      </c>
      <c r="DD920" s="31">
        <v>0.67</v>
      </c>
      <c r="DE920" s="31">
        <v>146</v>
      </c>
      <c r="DF920" s="31">
        <v>49</v>
      </c>
      <c r="DG920" s="9">
        <f t="shared" si="14"/>
        <v>4.0979426956573981</v>
      </c>
      <c r="DH920" s="31">
        <v>9.8000000000000007</v>
      </c>
      <c r="DI920" s="31">
        <v>4.8499999999999996</v>
      </c>
      <c r="DJ920" s="31"/>
      <c r="DK920" s="31"/>
      <c r="DL920" s="31">
        <v>53.5</v>
      </c>
      <c r="DM920" s="31">
        <v>82.7</v>
      </c>
      <c r="DN920" s="31"/>
      <c r="DO920" s="31"/>
      <c r="DP920" s="31"/>
      <c r="DQ920" s="31"/>
      <c r="DR920" s="31">
        <v>2</v>
      </c>
      <c r="DS920" s="31"/>
      <c r="DT920" s="31"/>
      <c r="DU920" s="31">
        <v>4.0999999999999996</v>
      </c>
      <c r="DV920" s="31"/>
      <c r="DW920" s="31"/>
      <c r="DX920" s="31"/>
      <c r="DY920" s="31"/>
      <c r="DZ920" s="31"/>
      <c r="EA920" s="31"/>
      <c r="EB920" s="31"/>
      <c r="EC920" s="31"/>
      <c r="ED920" s="31"/>
      <c r="EE920" s="31"/>
      <c r="EF920" s="31"/>
      <c r="EG920" s="31"/>
      <c r="EH920" s="31"/>
      <c r="EI920" s="31"/>
      <c r="EJ920" s="31"/>
      <c r="EK920" s="31"/>
      <c r="EL920" s="31"/>
      <c r="EM920" s="31"/>
      <c r="EN920" s="31"/>
      <c r="EO920" s="31"/>
      <c r="EP920" s="31"/>
      <c r="EQ920" s="31"/>
      <c r="ER920" s="31"/>
      <c r="ES920" s="31"/>
      <c r="ET920" s="31"/>
      <c r="EU920" s="31"/>
      <c r="EV920" s="31"/>
      <c r="EW920" s="31"/>
      <c r="EX920" s="31"/>
      <c r="EY920" s="31"/>
      <c r="EZ920" s="31"/>
      <c r="FA920" s="31"/>
    </row>
    <row r="921" spans="1:157" customFormat="1" x14ac:dyDescent="0.2">
      <c r="A921" t="s">
        <v>7259</v>
      </c>
      <c r="B921" s="26">
        <v>43794</v>
      </c>
      <c r="C921" t="s">
        <v>258</v>
      </c>
      <c r="D921" t="s">
        <v>7260</v>
      </c>
      <c r="E921" t="s">
        <v>7261</v>
      </c>
      <c r="F921" s="26">
        <v>22219</v>
      </c>
      <c r="G921" t="s">
        <v>959</v>
      </c>
      <c r="H921" t="s">
        <v>7026</v>
      </c>
      <c r="M921" t="s">
        <v>263</v>
      </c>
      <c r="N921" t="s">
        <v>7262</v>
      </c>
      <c r="O921" t="s">
        <v>263</v>
      </c>
      <c r="P921" t="s">
        <v>263</v>
      </c>
      <c r="Q921" t="s">
        <v>7263</v>
      </c>
      <c r="R921" t="s">
        <v>7264</v>
      </c>
      <c r="S921" t="s">
        <v>7265</v>
      </c>
      <c r="T921" t="s">
        <v>7266</v>
      </c>
      <c r="U921" t="s">
        <v>7267</v>
      </c>
      <c r="W921" t="s">
        <v>7268</v>
      </c>
      <c r="X921" t="s">
        <v>263</v>
      </c>
      <c r="Z921" t="s">
        <v>7269</v>
      </c>
      <c r="AA921" t="s">
        <v>7270</v>
      </c>
      <c r="AB921" t="s">
        <v>6499</v>
      </c>
      <c r="AC921" t="s">
        <v>7271</v>
      </c>
      <c r="AD921" t="s">
        <v>6499</v>
      </c>
      <c r="AE921" t="s">
        <v>7272</v>
      </c>
      <c r="AF921" t="s">
        <v>1444</v>
      </c>
      <c r="AG921" t="s">
        <v>263</v>
      </c>
      <c r="AH921" t="s">
        <v>263</v>
      </c>
      <c r="AI921" t="s">
        <v>263</v>
      </c>
      <c r="AJ921" t="s">
        <v>263</v>
      </c>
      <c r="AK921" t="s">
        <v>7273</v>
      </c>
      <c r="AL921">
        <v>80.900000000000006</v>
      </c>
      <c r="AM921">
        <v>1.74</v>
      </c>
      <c r="AN921">
        <v>104</v>
      </c>
      <c r="AO921">
        <v>94</v>
      </c>
      <c r="AP921">
        <v>27.6</v>
      </c>
      <c r="AQ921">
        <v>12</v>
      </c>
      <c r="AR921">
        <v>32.1</v>
      </c>
      <c r="AS921">
        <v>58</v>
      </c>
      <c r="AT921">
        <v>26.7</v>
      </c>
      <c r="AU921">
        <v>136</v>
      </c>
      <c r="AV921">
        <v>84</v>
      </c>
      <c r="AX921" t="s">
        <v>168</v>
      </c>
      <c r="AY921" t="s">
        <v>7274</v>
      </c>
      <c r="AZ921" t="s">
        <v>7275</v>
      </c>
      <c r="BB921" t="s">
        <v>409</v>
      </c>
      <c r="BC921" t="s">
        <v>7276</v>
      </c>
      <c r="BD921" t="s">
        <v>7277</v>
      </c>
      <c r="BF921" t="s">
        <v>2211</v>
      </c>
      <c r="BG921" t="s">
        <v>7278</v>
      </c>
      <c r="BH921" t="s">
        <v>7279</v>
      </c>
      <c r="BI921" t="s">
        <v>322</v>
      </c>
      <c r="BJ921" t="s">
        <v>7280</v>
      </c>
      <c r="BK921" t="s">
        <v>274</v>
      </c>
      <c r="BN921" t="s">
        <v>327</v>
      </c>
      <c r="BO921" t="s">
        <v>394</v>
      </c>
      <c r="BP921" t="s">
        <v>412</v>
      </c>
      <c r="BZ921" t="s">
        <v>330</v>
      </c>
      <c r="CA921" t="s">
        <v>7281</v>
      </c>
      <c r="CB921" t="s">
        <v>7282</v>
      </c>
      <c r="CL921" t="s">
        <v>7283</v>
      </c>
      <c r="CM921" t="s">
        <v>1155</v>
      </c>
      <c r="CN921" t="s">
        <v>1966</v>
      </c>
      <c r="CP921" t="s">
        <v>1212</v>
      </c>
      <c r="CQ921" t="s">
        <v>1211</v>
      </c>
      <c r="CR921" t="s">
        <v>5179</v>
      </c>
      <c r="CT921" t="s">
        <v>7284</v>
      </c>
      <c r="CU921" t="s">
        <v>7285</v>
      </c>
      <c r="CV921" t="s">
        <v>7286</v>
      </c>
      <c r="CW921">
        <v>3</v>
      </c>
      <c r="CX921" t="s">
        <v>285</v>
      </c>
      <c r="CY921" t="s">
        <v>263</v>
      </c>
      <c r="CZ921">
        <v>20</v>
      </c>
      <c r="DA921">
        <v>60</v>
      </c>
      <c r="DB921">
        <v>20</v>
      </c>
      <c r="DC921">
        <v>73</v>
      </c>
      <c r="DD921">
        <v>1</v>
      </c>
      <c r="DE921">
        <v>223</v>
      </c>
      <c r="DF921">
        <v>61</v>
      </c>
      <c r="DG921" s="9">
        <f t="shared" si="14"/>
        <v>4.2006666526608516</v>
      </c>
      <c r="DH921">
        <v>12.2</v>
      </c>
      <c r="DI921">
        <v>5.05</v>
      </c>
      <c r="DL921">
        <v>68.900000000000006</v>
      </c>
      <c r="DM921">
        <v>141.9</v>
      </c>
      <c r="DR921">
        <v>3</v>
      </c>
    </row>
    <row r="922" spans="1:157" x14ac:dyDescent="0.2">
      <c r="A922" s="39" t="s">
        <v>7287</v>
      </c>
      <c r="B922" s="8"/>
      <c r="AT922" s="30"/>
      <c r="DG922" s="9" t="e">
        <f t="shared" si="14"/>
        <v>#NUM!</v>
      </c>
      <c r="DP922" s="29"/>
      <c r="DQ922" s="9">
        <v>2</v>
      </c>
      <c r="DT922" s="9">
        <v>16.3</v>
      </c>
      <c r="DU922" s="9">
        <v>5.0999999999999996</v>
      </c>
    </row>
    <row r="923" spans="1:157" customFormat="1" x14ac:dyDescent="0.2">
      <c r="A923" t="s">
        <v>7288</v>
      </c>
      <c r="B923" s="26">
        <v>43794</v>
      </c>
      <c r="C923" t="s">
        <v>258</v>
      </c>
      <c r="D923" t="s">
        <v>7289</v>
      </c>
      <c r="E923" t="s">
        <v>1521</v>
      </c>
      <c r="F923" s="26">
        <v>24040</v>
      </c>
      <c r="G923" t="s">
        <v>7290</v>
      </c>
      <c r="H923" t="s">
        <v>6432</v>
      </c>
      <c r="M923" t="s">
        <v>263</v>
      </c>
      <c r="N923" t="s">
        <v>263</v>
      </c>
      <c r="O923" t="s">
        <v>263</v>
      </c>
      <c r="P923" t="s">
        <v>263</v>
      </c>
      <c r="Q923" t="s">
        <v>7291</v>
      </c>
      <c r="R923" t="s">
        <v>7292</v>
      </c>
      <c r="S923" t="s">
        <v>7293</v>
      </c>
      <c r="T923" t="s">
        <v>263</v>
      </c>
      <c r="U923" t="s">
        <v>263</v>
      </c>
      <c r="V923" t="s">
        <v>263</v>
      </c>
      <c r="W923" t="s">
        <v>263</v>
      </c>
      <c r="X923" t="s">
        <v>263</v>
      </c>
      <c r="Y923" t="s">
        <v>263</v>
      </c>
      <c r="AA923" t="s">
        <v>6867</v>
      </c>
      <c r="AB923" t="s">
        <v>7294</v>
      </c>
      <c r="AC923" t="s">
        <v>7295</v>
      </c>
      <c r="AD923" t="s">
        <v>7296</v>
      </c>
      <c r="AE923" t="s">
        <v>7297</v>
      </c>
      <c r="AF923" t="s">
        <v>292</v>
      </c>
      <c r="AG923" t="s">
        <v>263</v>
      </c>
      <c r="AH923" t="s">
        <v>7298</v>
      </c>
      <c r="AI923" t="s">
        <v>263</v>
      </c>
      <c r="AJ923" t="s">
        <v>263</v>
      </c>
      <c r="AK923" t="s">
        <v>263</v>
      </c>
      <c r="AL923">
        <v>86.3</v>
      </c>
      <c r="AM923">
        <v>1.73</v>
      </c>
      <c r="AN923">
        <v>102</v>
      </c>
      <c r="AO923">
        <v>103</v>
      </c>
      <c r="AP923">
        <v>29.9</v>
      </c>
      <c r="AQ923">
        <v>14</v>
      </c>
      <c r="AR923">
        <v>31.6</v>
      </c>
      <c r="AS923">
        <v>61</v>
      </c>
      <c r="AT923">
        <v>28.8</v>
      </c>
      <c r="AU923">
        <v>120</v>
      </c>
      <c r="AV923">
        <v>76</v>
      </c>
      <c r="AX923" t="s">
        <v>7299</v>
      </c>
      <c r="AY923" t="s">
        <v>1034</v>
      </c>
      <c r="AZ923" t="s">
        <v>168</v>
      </c>
      <c r="BB923" t="s">
        <v>7300</v>
      </c>
      <c r="BC923" t="s">
        <v>7301</v>
      </c>
      <c r="BD923" t="s">
        <v>1255</v>
      </c>
      <c r="BF923" t="s">
        <v>322</v>
      </c>
      <c r="BG923" t="s">
        <v>322</v>
      </c>
      <c r="BH923" t="s">
        <v>7302</v>
      </c>
      <c r="BI923" t="s">
        <v>375</v>
      </c>
      <c r="BJ923" t="s">
        <v>322</v>
      </c>
      <c r="BK923" t="s">
        <v>7303</v>
      </c>
      <c r="BN923" t="s">
        <v>303</v>
      </c>
      <c r="BO923" t="s">
        <v>302</v>
      </c>
      <c r="BP923" t="s">
        <v>7304</v>
      </c>
      <c r="BV923" t="s">
        <v>7305</v>
      </c>
      <c r="BZ923" t="s">
        <v>7306</v>
      </c>
      <c r="CA923" t="s">
        <v>7307</v>
      </c>
      <c r="CB923" t="s">
        <v>7308</v>
      </c>
      <c r="CL923" t="s">
        <v>7309</v>
      </c>
      <c r="CM923" t="s">
        <v>7310</v>
      </c>
      <c r="CN923" t="s">
        <v>335</v>
      </c>
      <c r="CP923" t="s">
        <v>452</v>
      </c>
      <c r="CT923" t="s">
        <v>7311</v>
      </c>
      <c r="CW923" t="s">
        <v>1633</v>
      </c>
      <c r="CX923" t="s">
        <v>285</v>
      </c>
      <c r="CY923" t="s">
        <v>7312</v>
      </c>
      <c r="CZ923">
        <v>10</v>
      </c>
      <c r="DA923">
        <v>40</v>
      </c>
      <c r="DB923">
        <v>50</v>
      </c>
      <c r="DC923">
        <v>79.400000000000006</v>
      </c>
      <c r="DD923">
        <v>0.82</v>
      </c>
      <c r="DE923">
        <v>133</v>
      </c>
      <c r="DF923">
        <v>120</v>
      </c>
      <c r="DG923" s="9">
        <f t="shared" si="14"/>
        <v>4.580995055517568</v>
      </c>
      <c r="DH923">
        <v>24</v>
      </c>
      <c r="DI923">
        <v>5.0999999999999996</v>
      </c>
      <c r="DL923">
        <v>41.3</v>
      </c>
      <c r="DM923">
        <v>67.7</v>
      </c>
      <c r="DR923">
        <v>2</v>
      </c>
    </row>
    <row r="924" spans="1:157" s="33" customFormat="1" x14ac:dyDescent="0.2">
      <c r="A924" s="70" t="s">
        <v>7313</v>
      </c>
      <c r="B924" s="32">
        <v>43794</v>
      </c>
      <c r="C924" s="31" t="s">
        <v>675</v>
      </c>
      <c r="D924" s="31">
        <v>32</v>
      </c>
      <c r="E924" s="31" t="s">
        <v>100</v>
      </c>
      <c r="F924" s="32">
        <v>32021</v>
      </c>
      <c r="G924" s="31" t="s">
        <v>7314</v>
      </c>
      <c r="H924" s="31" t="s">
        <v>7315</v>
      </c>
      <c r="I924" s="31"/>
      <c r="J924" s="31"/>
      <c r="K924" s="31"/>
      <c r="L924" s="31"/>
      <c r="M924" s="31" t="s">
        <v>99</v>
      </c>
      <c r="N924" s="31" t="s">
        <v>99</v>
      </c>
      <c r="O924" s="31" t="s">
        <v>99</v>
      </c>
      <c r="P924" s="31" t="s">
        <v>99</v>
      </c>
      <c r="Q924" s="31" t="s">
        <v>690</v>
      </c>
      <c r="R924" s="31" t="s">
        <v>99</v>
      </c>
      <c r="S924" s="31" t="s">
        <v>110</v>
      </c>
      <c r="T924" s="31" t="s">
        <v>110</v>
      </c>
      <c r="U924" s="31" t="s">
        <v>148</v>
      </c>
      <c r="V924" s="31" t="s">
        <v>99</v>
      </c>
      <c r="W924" s="31" t="s">
        <v>7316</v>
      </c>
      <c r="X924" s="31"/>
      <c r="Y924" s="31"/>
      <c r="Z924" s="31" t="s">
        <v>7317</v>
      </c>
      <c r="AA924" s="31" t="s">
        <v>100</v>
      </c>
      <c r="AB924" s="31" t="s">
        <v>100</v>
      </c>
      <c r="AC924" s="31" t="s">
        <v>100</v>
      </c>
      <c r="AD924" s="31" t="s">
        <v>100</v>
      </c>
      <c r="AE924" s="31" t="s">
        <v>246</v>
      </c>
      <c r="AF924" s="31" t="s">
        <v>99</v>
      </c>
      <c r="AG924" s="31" t="s">
        <v>7318</v>
      </c>
      <c r="AH924" s="31" t="s">
        <v>99</v>
      </c>
      <c r="AI924" s="31" t="s">
        <v>99</v>
      </c>
      <c r="AJ924" s="31" t="s">
        <v>99</v>
      </c>
      <c r="AK924" s="31"/>
      <c r="AL924" s="31">
        <v>72.8</v>
      </c>
      <c r="AM924" s="31">
        <v>171</v>
      </c>
      <c r="AN924" s="31"/>
      <c r="AO924" s="31"/>
      <c r="AP924" s="31">
        <v>20.9</v>
      </c>
      <c r="AQ924" s="31">
        <v>8</v>
      </c>
      <c r="AR924" s="31">
        <v>39.200000000000003</v>
      </c>
      <c r="AS924" s="31">
        <v>36</v>
      </c>
      <c r="AT924" s="31">
        <v>24.9</v>
      </c>
      <c r="AU924" s="31">
        <v>95</v>
      </c>
      <c r="AV924" s="31">
        <v>53</v>
      </c>
      <c r="AW924" s="31"/>
      <c r="AX924" s="31" t="s">
        <v>7319</v>
      </c>
      <c r="AY924" s="31" t="s">
        <v>7320</v>
      </c>
      <c r="AZ924" s="31"/>
      <c r="BA924" s="31"/>
      <c r="BB924" s="31" t="s">
        <v>5551</v>
      </c>
      <c r="BC924" s="31" t="s">
        <v>2965</v>
      </c>
      <c r="BD924" s="31"/>
      <c r="BE924" s="31"/>
      <c r="BF924" s="31" t="s">
        <v>213</v>
      </c>
      <c r="BG924" s="31" t="s">
        <v>176</v>
      </c>
      <c r="BH924" s="31" t="s">
        <v>4984</v>
      </c>
      <c r="BI924" s="31" t="s">
        <v>4984</v>
      </c>
      <c r="BJ924" s="31" t="s">
        <v>5513</v>
      </c>
      <c r="BK924" s="31" t="s">
        <v>5513</v>
      </c>
      <c r="BL924" s="31"/>
      <c r="BM924" s="31"/>
      <c r="BN924" s="31" t="s">
        <v>4014</v>
      </c>
      <c r="BO924" s="31" t="s">
        <v>219</v>
      </c>
      <c r="BP924" s="31" t="s">
        <v>180</v>
      </c>
      <c r="BQ924" s="31"/>
      <c r="BR924" s="31"/>
      <c r="BS924" s="31"/>
      <c r="BT924" s="31"/>
      <c r="BU924" s="31"/>
      <c r="BV924" s="31"/>
      <c r="BW924" s="31"/>
      <c r="BX924" s="31"/>
      <c r="BY924" s="31"/>
      <c r="BZ924" s="31" t="s">
        <v>2096</v>
      </c>
      <c r="CA924" s="31" t="s">
        <v>182</v>
      </c>
      <c r="CB924" s="31" t="s">
        <v>709</v>
      </c>
      <c r="CC924" s="31"/>
      <c r="CD924" s="31"/>
      <c r="CE924" s="31"/>
      <c r="CF924" s="31"/>
      <c r="CG924" s="31"/>
      <c r="CH924" s="31"/>
      <c r="CI924" s="31"/>
      <c r="CJ924" s="31"/>
      <c r="CK924" s="31"/>
      <c r="CL924" s="31" t="s">
        <v>823</v>
      </c>
      <c r="CM924" s="31" t="s">
        <v>7321</v>
      </c>
      <c r="CN924" s="31" t="s">
        <v>580</v>
      </c>
      <c r="CO924" s="31"/>
      <c r="CP924" s="31" t="s">
        <v>716</v>
      </c>
      <c r="CQ924" s="31" t="s">
        <v>362</v>
      </c>
      <c r="CR924" s="31"/>
      <c r="CS924" s="31"/>
      <c r="CT924" s="31" t="s">
        <v>7322</v>
      </c>
      <c r="CU924" s="31" t="s">
        <v>2662</v>
      </c>
      <c r="CV924" s="31"/>
      <c r="CW924" s="31">
        <v>2</v>
      </c>
      <c r="CX924" s="31" t="s">
        <v>99</v>
      </c>
      <c r="CY924" s="31" t="s">
        <v>110</v>
      </c>
      <c r="CZ924" s="31">
        <v>25</v>
      </c>
      <c r="DA924" s="31">
        <v>25</v>
      </c>
      <c r="DB924" s="31">
        <v>45</v>
      </c>
      <c r="DC924" s="31">
        <v>74.7</v>
      </c>
      <c r="DD924" s="31">
        <v>1.1000000000000001</v>
      </c>
      <c r="DE924" s="31">
        <v>175</v>
      </c>
      <c r="DF924" s="31">
        <v>51</v>
      </c>
      <c r="DG924" s="9">
        <f t="shared" si="14"/>
        <v>4.1226528624315488</v>
      </c>
      <c r="DH924" s="31">
        <v>10.199999999999999</v>
      </c>
      <c r="DI924" s="31">
        <v>4.33</v>
      </c>
      <c r="DJ924" s="31"/>
      <c r="DK924" s="31"/>
      <c r="DL924" s="31">
        <v>63.2</v>
      </c>
      <c r="DM924" s="31">
        <v>101.6</v>
      </c>
      <c r="DN924" s="31"/>
      <c r="DO924" s="31"/>
      <c r="DP924" s="31">
        <v>3</v>
      </c>
      <c r="DQ924" s="31"/>
      <c r="DR924" s="31"/>
      <c r="DS924" s="31"/>
      <c r="DT924" s="31"/>
      <c r="DU924" s="31">
        <v>3</v>
      </c>
      <c r="DV924" s="31"/>
      <c r="DW924" s="31"/>
      <c r="DX924" s="31"/>
      <c r="DY924" s="31"/>
      <c r="DZ924" s="31"/>
      <c r="EA924" s="31"/>
      <c r="EB924" s="31"/>
      <c r="EC924" s="31"/>
      <c r="ED924" s="31"/>
      <c r="EE924" s="31"/>
      <c r="EF924" s="31"/>
      <c r="EG924" s="31"/>
      <c r="EH924" s="31"/>
      <c r="EI924" s="31"/>
      <c r="EJ924" s="31"/>
      <c r="EK924" s="31"/>
      <c r="EL924" s="31"/>
      <c r="EM924" s="31"/>
      <c r="EN924" s="31"/>
      <c r="EO924" s="31"/>
      <c r="EP924" s="31"/>
      <c r="EQ924" s="31"/>
      <c r="ER924" s="31"/>
      <c r="ES924" s="31"/>
      <c r="ET924" s="31"/>
      <c r="EU924" s="31"/>
      <c r="EV924" s="31"/>
      <c r="EW924" s="31"/>
      <c r="EX924" s="31"/>
      <c r="EY924" s="31"/>
      <c r="EZ924" s="31"/>
      <c r="FA924" s="31"/>
    </row>
    <row r="925" spans="1:157" s="171" customFormat="1" x14ac:dyDescent="0.2">
      <c r="A925" s="74" t="s">
        <v>7323</v>
      </c>
      <c r="B925" s="170">
        <v>43795</v>
      </c>
      <c r="C925" s="62" t="s">
        <v>196</v>
      </c>
      <c r="D925" s="62">
        <v>53</v>
      </c>
      <c r="E925" s="62" t="s">
        <v>2267</v>
      </c>
      <c r="F925" s="170">
        <v>24097</v>
      </c>
      <c r="G925" s="62"/>
      <c r="H925" s="62"/>
      <c r="I925" s="62"/>
      <c r="J925" s="62">
        <v>2015</v>
      </c>
      <c r="K925" s="62"/>
      <c r="L925" s="62"/>
      <c r="M925" s="62"/>
      <c r="N925" s="62"/>
      <c r="O925" s="62" t="s">
        <v>7324</v>
      </c>
      <c r="P925" s="62"/>
      <c r="Q925" s="62"/>
      <c r="R925" s="62" t="s">
        <v>7325</v>
      </c>
      <c r="S925" s="62" t="s">
        <v>99</v>
      </c>
      <c r="T925" s="62" t="s">
        <v>99</v>
      </c>
      <c r="U925" s="62"/>
      <c r="V925" s="62"/>
      <c r="W925" s="62"/>
      <c r="X925" s="62"/>
      <c r="Y925" s="62"/>
      <c r="Z925" s="62"/>
      <c r="AA925" s="62" t="s">
        <v>2267</v>
      </c>
      <c r="AB925" s="62" t="s">
        <v>2267</v>
      </c>
      <c r="AC925" s="62" t="s">
        <v>2267</v>
      </c>
      <c r="AD925" s="62" t="s">
        <v>2267</v>
      </c>
      <c r="AE925" s="62" t="s">
        <v>7326</v>
      </c>
      <c r="AF925" s="62" t="s">
        <v>7327</v>
      </c>
      <c r="AG925" s="62"/>
      <c r="AH925" s="62" t="s">
        <v>246</v>
      </c>
      <c r="AI925" s="62"/>
      <c r="AJ925" s="62"/>
      <c r="AK925" s="62"/>
      <c r="AL925" s="62">
        <v>84.7</v>
      </c>
      <c r="AM925" s="62">
        <v>165</v>
      </c>
      <c r="AN925" s="62">
        <v>105</v>
      </c>
      <c r="AO925" s="62">
        <v>112</v>
      </c>
      <c r="AP925" s="62">
        <v>44.7</v>
      </c>
      <c r="AQ925" s="62">
        <v>10</v>
      </c>
      <c r="AR925" s="62">
        <v>24.2</v>
      </c>
      <c r="AS925" s="62">
        <v>63</v>
      </c>
      <c r="AT925" s="62">
        <v>31.1</v>
      </c>
      <c r="AU925" s="62">
        <v>110</v>
      </c>
      <c r="AV925" s="62">
        <v>62</v>
      </c>
      <c r="AW925" s="62"/>
      <c r="AX925" s="62" t="s">
        <v>350</v>
      </c>
      <c r="AY925" s="62"/>
      <c r="AZ925" s="62"/>
      <c r="BA925" s="62"/>
      <c r="BB925" s="62" t="s">
        <v>750</v>
      </c>
      <c r="BC925" s="62"/>
      <c r="BD925" s="62"/>
      <c r="BE925" s="62"/>
      <c r="BF925" s="62" t="s">
        <v>707</v>
      </c>
      <c r="BG925" s="62" t="s">
        <v>350</v>
      </c>
      <c r="BH925" s="62" t="s">
        <v>350</v>
      </c>
      <c r="BI925" s="62" t="s">
        <v>350</v>
      </c>
      <c r="BJ925" s="62" t="s">
        <v>350</v>
      </c>
      <c r="BK925" s="62" t="s">
        <v>1979</v>
      </c>
      <c r="BL925" s="62"/>
      <c r="BM925" s="62"/>
      <c r="BN925" s="62" t="s">
        <v>180</v>
      </c>
      <c r="BO925" s="62" t="s">
        <v>179</v>
      </c>
      <c r="BP925" s="62" t="s">
        <v>219</v>
      </c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62"/>
      <c r="CU925" s="62"/>
      <c r="CV925" s="62"/>
      <c r="CW925" s="62"/>
      <c r="CX925" s="62"/>
      <c r="CY925" s="62"/>
      <c r="CZ925" s="62"/>
      <c r="DA925" s="62"/>
      <c r="DB925" s="62"/>
      <c r="DC925" s="48">
        <v>120.7</v>
      </c>
      <c r="DD925" s="62">
        <v>1.1200000000000001</v>
      </c>
      <c r="DE925" s="48">
        <v>311</v>
      </c>
      <c r="DF925" s="62">
        <v>125</v>
      </c>
      <c r="DG925" s="9">
        <f t="shared" si="14"/>
        <v>4.8108109327028936</v>
      </c>
      <c r="DH925" s="62">
        <v>25</v>
      </c>
      <c r="DI925" s="48">
        <v>6.12</v>
      </c>
      <c r="DJ925" s="62"/>
      <c r="DK925" s="62"/>
      <c r="DL925" s="48">
        <v>50</v>
      </c>
      <c r="DM925" s="62">
        <v>236</v>
      </c>
      <c r="DN925" s="62"/>
      <c r="DO925" s="62"/>
      <c r="DP925" s="62">
        <v>1</v>
      </c>
      <c r="DQ925" s="62"/>
      <c r="DR925" s="62">
        <v>2</v>
      </c>
      <c r="DS925" s="62"/>
      <c r="DT925" s="62"/>
      <c r="DU925" s="62">
        <v>3</v>
      </c>
      <c r="DV925" s="62"/>
      <c r="DW925" s="62"/>
      <c r="DX925" s="62"/>
      <c r="DY925" s="62"/>
      <c r="DZ925" s="62"/>
      <c r="EA925" s="62"/>
      <c r="EB925" s="62"/>
      <c r="EC925" s="62"/>
      <c r="ED925" s="62"/>
      <c r="EE925" s="62"/>
      <c r="EF925" s="62"/>
      <c r="EG925" s="62"/>
      <c r="EH925" s="62"/>
      <c r="EI925" s="62"/>
      <c r="EJ925" s="62"/>
      <c r="EK925" s="62"/>
      <c r="EL925" s="62"/>
      <c r="EM925" s="62"/>
      <c r="EN925" s="62"/>
      <c r="EO925" s="62"/>
      <c r="EP925" s="62"/>
      <c r="EQ925" s="62"/>
      <c r="ER925" s="62"/>
      <c r="ES925" s="62"/>
      <c r="ET925" s="62"/>
      <c r="EU925" s="62"/>
      <c r="EV925" s="62"/>
      <c r="EW925" s="62"/>
      <c r="EX925" s="62"/>
      <c r="EY925" s="62"/>
      <c r="EZ925" s="62"/>
      <c r="FA925" s="62"/>
    </row>
    <row r="926" spans="1:157" s="171" customFormat="1" x14ac:dyDescent="0.2">
      <c r="A926" s="70" t="s">
        <v>7328</v>
      </c>
      <c r="B926" s="170">
        <v>43794</v>
      </c>
      <c r="C926" s="62" t="s">
        <v>196</v>
      </c>
      <c r="D926" s="62">
        <v>22</v>
      </c>
      <c r="E926" s="62" t="s">
        <v>100</v>
      </c>
      <c r="F926" s="170">
        <v>35736</v>
      </c>
      <c r="G926" s="62" t="s">
        <v>339</v>
      </c>
      <c r="H926" s="62" t="s">
        <v>7329</v>
      </c>
      <c r="I926" s="62" t="s">
        <v>7330</v>
      </c>
      <c r="J926" s="62"/>
      <c r="K926" s="62"/>
      <c r="L926" s="62"/>
      <c r="M926" s="62" t="s">
        <v>99</v>
      </c>
      <c r="N926" s="62" t="s">
        <v>99</v>
      </c>
      <c r="O926" s="62" t="s">
        <v>99</v>
      </c>
      <c r="P926" s="62" t="s">
        <v>99</v>
      </c>
      <c r="Q926" s="62" t="s">
        <v>99</v>
      </c>
      <c r="R926" s="62" t="s">
        <v>99</v>
      </c>
      <c r="S926" s="62" t="s">
        <v>110</v>
      </c>
      <c r="T926" s="62" t="s">
        <v>110</v>
      </c>
      <c r="U926" s="62"/>
      <c r="V926" s="62"/>
      <c r="W926" s="62" t="s">
        <v>7331</v>
      </c>
      <c r="X926" s="62"/>
      <c r="Y926" s="62"/>
      <c r="Z926" s="62"/>
      <c r="AA926" s="62" t="s">
        <v>100</v>
      </c>
      <c r="AB926" s="62" t="s">
        <v>100</v>
      </c>
      <c r="AC926" s="62" t="s">
        <v>100</v>
      </c>
      <c r="AD926" s="62" t="s">
        <v>2234</v>
      </c>
      <c r="AE926" s="62" t="s">
        <v>99</v>
      </c>
      <c r="AF926" s="62" t="s">
        <v>343</v>
      </c>
      <c r="AG926" s="62" t="s">
        <v>343</v>
      </c>
      <c r="AH926" s="62" t="s">
        <v>99</v>
      </c>
      <c r="AI926" s="62" t="s">
        <v>99</v>
      </c>
      <c r="AJ926" s="62" t="s">
        <v>99</v>
      </c>
      <c r="AK926" s="62" t="s">
        <v>99</v>
      </c>
      <c r="AL926" s="62">
        <v>56.4</v>
      </c>
      <c r="AM926" s="62">
        <v>153</v>
      </c>
      <c r="AN926" s="62">
        <v>66</v>
      </c>
      <c r="AO926" s="62">
        <v>95</v>
      </c>
      <c r="AP926" s="62">
        <v>37.4</v>
      </c>
      <c r="AQ926" s="62">
        <v>5</v>
      </c>
      <c r="AR926" s="62">
        <v>25.7</v>
      </c>
      <c r="AS926" s="62">
        <v>36</v>
      </c>
      <c r="AT926" s="62">
        <v>24.1</v>
      </c>
      <c r="AU926" s="62">
        <v>92</v>
      </c>
      <c r="AV926" s="62">
        <v>68</v>
      </c>
      <c r="AW926" s="62"/>
      <c r="AX926" s="62" t="s">
        <v>592</v>
      </c>
      <c r="AY926" s="62" t="s">
        <v>1128</v>
      </c>
      <c r="AZ926" s="62" t="s">
        <v>4983</v>
      </c>
      <c r="BA926" s="62"/>
      <c r="BB926" s="62" t="s">
        <v>750</v>
      </c>
      <c r="BC926" s="62" t="s">
        <v>749</v>
      </c>
      <c r="BD926" s="62" t="s">
        <v>1130</v>
      </c>
      <c r="BE926" s="62"/>
      <c r="BF926" s="62" t="s">
        <v>213</v>
      </c>
      <c r="BG926" s="62" t="s">
        <v>216</v>
      </c>
      <c r="BH926" s="62"/>
      <c r="BI926" s="62" t="s">
        <v>213</v>
      </c>
      <c r="BJ926" s="62" t="s">
        <v>216</v>
      </c>
      <c r="BK926" s="62" t="s">
        <v>213</v>
      </c>
      <c r="BL926" s="62"/>
      <c r="BM926" s="62"/>
      <c r="BN926" s="62" t="s">
        <v>219</v>
      </c>
      <c r="BO926" s="62" t="s">
        <v>125</v>
      </c>
      <c r="BP926" s="62" t="s">
        <v>178</v>
      </c>
      <c r="BQ926" s="62"/>
      <c r="BR926" s="62"/>
      <c r="BS926" s="62"/>
      <c r="BT926" s="62"/>
      <c r="BU926" s="62"/>
      <c r="BV926" s="62" t="s">
        <v>734</v>
      </c>
      <c r="BW926" s="62"/>
      <c r="BX926" s="62"/>
      <c r="BY926" s="62"/>
      <c r="BZ926" s="62" t="s">
        <v>7332</v>
      </c>
      <c r="CA926" s="62" t="s">
        <v>183</v>
      </c>
      <c r="CB926" s="62" t="s">
        <v>822</v>
      </c>
      <c r="CC926" s="62"/>
      <c r="CD926" s="62"/>
      <c r="CE926" s="62"/>
      <c r="CF926" s="62"/>
      <c r="CG926" s="62"/>
      <c r="CH926" s="62"/>
      <c r="CI926" s="62"/>
      <c r="CJ926" s="62"/>
      <c r="CK926" s="62"/>
      <c r="CL926" s="62" t="s">
        <v>579</v>
      </c>
      <c r="CM926" s="62" t="s">
        <v>7333</v>
      </c>
      <c r="CN926" s="62" t="s">
        <v>825</v>
      </c>
      <c r="CO926" s="62"/>
      <c r="CP926" s="62" t="s">
        <v>2098</v>
      </c>
      <c r="CQ926" s="62" t="s">
        <v>3037</v>
      </c>
      <c r="CR926" s="62"/>
      <c r="CS926" s="62"/>
      <c r="CT926" s="62" t="s">
        <v>7334</v>
      </c>
      <c r="CU926" s="62" t="s">
        <v>7335</v>
      </c>
      <c r="CV926" s="62" t="s">
        <v>7336</v>
      </c>
      <c r="CW926" s="62">
        <v>3</v>
      </c>
      <c r="CX926" s="62" t="s">
        <v>110</v>
      </c>
      <c r="CY926" s="62" t="s">
        <v>110</v>
      </c>
      <c r="CZ926" s="62">
        <v>50</v>
      </c>
      <c r="DA926" s="62">
        <v>15</v>
      </c>
      <c r="DB926" s="62">
        <v>35</v>
      </c>
      <c r="DC926" s="62">
        <v>79.400000000000006</v>
      </c>
      <c r="DD926" s="62">
        <v>0.6</v>
      </c>
      <c r="DE926" s="62">
        <v>159</v>
      </c>
      <c r="DF926" s="62">
        <v>76</v>
      </c>
      <c r="DG926" s="9">
        <f t="shared" si="14"/>
        <v>4.3526158542697102</v>
      </c>
      <c r="DH926" s="62">
        <v>15.2</v>
      </c>
      <c r="DI926" s="62">
        <v>4.47</v>
      </c>
      <c r="DJ926" s="62"/>
      <c r="DK926" s="62"/>
      <c r="DL926" s="62">
        <v>50.3</v>
      </c>
      <c r="DM926" s="62">
        <v>93.5</v>
      </c>
      <c r="DN926" s="62"/>
      <c r="DO926" s="62"/>
      <c r="DP926" s="62"/>
      <c r="DQ926" s="62"/>
      <c r="DR926" s="62">
        <v>2</v>
      </c>
      <c r="DS926" s="62"/>
      <c r="DT926" s="62"/>
      <c r="DU926" s="62">
        <v>7.4</v>
      </c>
      <c r="DV926" s="62"/>
      <c r="DW926" s="62"/>
      <c r="DX926" s="62"/>
      <c r="DY926" s="62"/>
      <c r="DZ926" s="62"/>
      <c r="EA926" s="62"/>
      <c r="EB926" s="62"/>
      <c r="EC926" s="62"/>
      <c r="ED926" s="62"/>
      <c r="EE926" s="62"/>
      <c r="EF926" s="62"/>
      <c r="EG926" s="62"/>
      <c r="EH926" s="62"/>
      <c r="EI926" s="62"/>
      <c r="EJ926" s="62"/>
      <c r="EK926" s="62"/>
      <c r="EL926" s="62"/>
      <c r="EM926" s="62"/>
      <c r="EN926" s="62"/>
      <c r="EO926" s="62"/>
      <c r="EP926" s="62"/>
      <c r="EQ926" s="62"/>
      <c r="ER926" s="62"/>
      <c r="ES926" s="62"/>
      <c r="ET926" s="62"/>
      <c r="EU926" s="62"/>
      <c r="EV926" s="62"/>
      <c r="EW926" s="62"/>
      <c r="EX926" s="62"/>
      <c r="EY926" s="62"/>
      <c r="EZ926" s="62"/>
      <c r="FA926" s="62"/>
    </row>
    <row r="927" spans="1:157" s="33" customFormat="1" x14ac:dyDescent="0.2">
      <c r="A927" s="146" t="s">
        <v>7337</v>
      </c>
      <c r="B927" s="32">
        <v>43794</v>
      </c>
      <c r="C927" s="31" t="s">
        <v>196</v>
      </c>
      <c r="D927" s="31">
        <v>24</v>
      </c>
      <c r="E927" s="31" t="s">
        <v>100</v>
      </c>
      <c r="F927" s="32">
        <v>34897</v>
      </c>
      <c r="G927" s="31" t="s">
        <v>234</v>
      </c>
      <c r="H927" s="31" t="s">
        <v>7338</v>
      </c>
      <c r="I927" s="31" t="s">
        <v>236</v>
      </c>
      <c r="J927" s="31"/>
      <c r="K927" s="31"/>
      <c r="L927" s="31"/>
      <c r="M927" s="31" t="s">
        <v>99</v>
      </c>
      <c r="N927" s="31" t="s">
        <v>99</v>
      </c>
      <c r="O927" s="31" t="s">
        <v>99</v>
      </c>
      <c r="P927" s="31" t="s">
        <v>7339</v>
      </c>
      <c r="Q927" s="31" t="s">
        <v>4975</v>
      </c>
      <c r="R927" s="31" t="s">
        <v>110</v>
      </c>
      <c r="S927" s="31"/>
      <c r="T927" s="31" t="s">
        <v>110</v>
      </c>
      <c r="U927" s="31" t="s">
        <v>7340</v>
      </c>
      <c r="V927" s="31"/>
      <c r="W927" s="31"/>
      <c r="X927" s="31"/>
      <c r="Y927" s="31"/>
      <c r="Z927" s="31" t="s">
        <v>7341</v>
      </c>
      <c r="AA927" s="31" t="s">
        <v>1123</v>
      </c>
      <c r="AB927" s="31" t="s">
        <v>100</v>
      </c>
      <c r="AC927" s="31" t="s">
        <v>1123</v>
      </c>
      <c r="AD927" s="31" t="s">
        <v>100</v>
      </c>
      <c r="AE927" s="31" t="s">
        <v>7342</v>
      </c>
      <c r="AF927" s="31" t="s">
        <v>7343</v>
      </c>
      <c r="AG927" s="31" t="s">
        <v>4981</v>
      </c>
      <c r="AH927" s="31" t="s">
        <v>99</v>
      </c>
      <c r="AI927" s="31" t="s">
        <v>99</v>
      </c>
      <c r="AJ927" s="31" t="s">
        <v>99</v>
      </c>
      <c r="AK927" s="31" t="s">
        <v>7344</v>
      </c>
      <c r="AL927" s="31">
        <v>60.9</v>
      </c>
      <c r="AM927" s="31">
        <v>163</v>
      </c>
      <c r="AN927" s="31"/>
      <c r="AO927" s="31"/>
      <c r="AP927" s="31">
        <v>37.700000000000003</v>
      </c>
      <c r="AQ927" s="31">
        <v>4</v>
      </c>
      <c r="AR927" s="31">
        <v>24</v>
      </c>
      <c r="AS927" s="31">
        <v>28</v>
      </c>
      <c r="AT927" s="31">
        <v>22.8</v>
      </c>
      <c r="AU927" s="31"/>
      <c r="AV927" s="31"/>
      <c r="AW927" s="31" t="s">
        <v>176</v>
      </c>
      <c r="AX927" s="31" t="s">
        <v>4983</v>
      </c>
      <c r="AY927" s="31" t="s">
        <v>573</v>
      </c>
      <c r="AZ927" s="31" t="s">
        <v>592</v>
      </c>
      <c r="BA927" s="31" t="s">
        <v>351</v>
      </c>
      <c r="BB927" s="31" t="s">
        <v>749</v>
      </c>
      <c r="BC927" s="31" t="s">
        <v>5595</v>
      </c>
      <c r="BD927" s="31" t="s">
        <v>7345</v>
      </c>
      <c r="BE927" s="31" t="s">
        <v>351</v>
      </c>
      <c r="BF927" s="31" t="s">
        <v>7346</v>
      </c>
      <c r="BG927" s="31" t="s">
        <v>7347</v>
      </c>
      <c r="BH927" s="31" t="s">
        <v>4708</v>
      </c>
      <c r="BI927" s="31" t="s">
        <v>176</v>
      </c>
      <c r="BJ927" s="31" t="s">
        <v>4984</v>
      </c>
      <c r="BK927" s="31" t="s">
        <v>682</v>
      </c>
      <c r="BL927" s="31" t="s">
        <v>351</v>
      </c>
      <c r="BM927" s="31"/>
      <c r="BN927" s="31" t="s">
        <v>353</v>
      </c>
      <c r="BO927" s="31" t="s">
        <v>1664</v>
      </c>
      <c r="BP927" s="31" t="s">
        <v>179</v>
      </c>
      <c r="BQ927" s="31"/>
      <c r="BR927" s="31"/>
      <c r="BS927" s="31"/>
      <c r="BT927" s="31"/>
      <c r="BU927" s="31"/>
      <c r="BV927" s="31"/>
      <c r="BW927" s="31"/>
      <c r="BX927" s="31"/>
      <c r="BY927" s="31" t="s">
        <v>351</v>
      </c>
      <c r="BZ927" s="31" t="s">
        <v>7348</v>
      </c>
      <c r="CA927" s="31" t="s">
        <v>7349</v>
      </c>
      <c r="CB927" s="31" t="s">
        <v>7350</v>
      </c>
      <c r="CC927" s="31"/>
      <c r="CD927" s="31" t="s">
        <v>578</v>
      </c>
      <c r="CE927" s="31" t="s">
        <v>1137</v>
      </c>
      <c r="CF927" s="31"/>
      <c r="CG927" s="31"/>
      <c r="CH927" s="31"/>
      <c r="CI927" s="31"/>
      <c r="CJ927" s="31"/>
      <c r="CK927" s="31"/>
      <c r="CL927" s="31" t="s">
        <v>579</v>
      </c>
      <c r="CM927" s="31" t="s">
        <v>4827</v>
      </c>
      <c r="CN927" s="31" t="s">
        <v>825</v>
      </c>
      <c r="CO927" s="31" t="s">
        <v>351</v>
      </c>
      <c r="CP927" s="31" t="s">
        <v>362</v>
      </c>
      <c r="CQ927" s="31" t="s">
        <v>716</v>
      </c>
      <c r="CR927" s="31" t="s">
        <v>2614</v>
      </c>
      <c r="CS927" s="31" t="s">
        <v>7351</v>
      </c>
      <c r="CT927" s="31" t="s">
        <v>1732</v>
      </c>
      <c r="CU927" s="31"/>
      <c r="CV927" s="31"/>
      <c r="CW927" s="31">
        <v>3</v>
      </c>
      <c r="CX927" s="31"/>
      <c r="CY927" s="31"/>
      <c r="CZ927" s="31"/>
      <c r="DA927" s="31"/>
      <c r="DB927" s="31"/>
      <c r="DC927" s="31">
        <v>75.8</v>
      </c>
      <c r="DD927" s="31">
        <v>0.61</v>
      </c>
      <c r="DE927" s="31">
        <v>192</v>
      </c>
      <c r="DF927" s="31">
        <v>72</v>
      </c>
      <c r="DG927" s="9">
        <f t="shared" si="14"/>
        <v>4.302382205832191</v>
      </c>
      <c r="DH927" s="31">
        <v>14.4</v>
      </c>
      <c r="DI927" s="31">
        <v>3.87</v>
      </c>
      <c r="DJ927" s="31"/>
      <c r="DK927" s="31"/>
      <c r="DL927" s="31">
        <v>63.2</v>
      </c>
      <c r="DM927" s="31">
        <v>114.4</v>
      </c>
      <c r="DN927" s="31"/>
      <c r="DO927" s="31"/>
      <c r="DP927" s="31"/>
      <c r="DQ927" s="31"/>
      <c r="DR927" s="31">
        <v>2</v>
      </c>
      <c r="DS927" s="31"/>
      <c r="DT927" s="31"/>
      <c r="DU927" s="31">
        <v>5.0999999999999996</v>
      </c>
      <c r="DV927" s="31"/>
    </row>
    <row r="928" spans="1:157" customFormat="1" x14ac:dyDescent="0.2">
      <c r="A928" t="s">
        <v>7352</v>
      </c>
      <c r="B928" s="26">
        <v>43795</v>
      </c>
      <c r="C928" t="s">
        <v>258</v>
      </c>
      <c r="D928" t="s">
        <v>7353</v>
      </c>
      <c r="E928" t="s">
        <v>7354</v>
      </c>
      <c r="F928" s="26">
        <v>33326</v>
      </c>
      <c r="G928" t="s">
        <v>7355</v>
      </c>
      <c r="M928" t="s">
        <v>263</v>
      </c>
      <c r="N928" t="s">
        <v>263</v>
      </c>
      <c r="O928" t="s">
        <v>263</v>
      </c>
      <c r="P928" t="s">
        <v>263</v>
      </c>
      <c r="Q928" t="s">
        <v>7356</v>
      </c>
      <c r="R928" t="s">
        <v>7357</v>
      </c>
      <c r="S928" t="s">
        <v>1407</v>
      </c>
      <c r="U928" t="s">
        <v>263</v>
      </c>
      <c r="V928" t="s">
        <v>263</v>
      </c>
      <c r="W928" t="s">
        <v>263</v>
      </c>
      <c r="X928" t="s">
        <v>263</v>
      </c>
      <c r="Y928" t="s">
        <v>263</v>
      </c>
      <c r="AA928" t="s">
        <v>7358</v>
      </c>
      <c r="AB928" t="s">
        <v>7359</v>
      </c>
      <c r="AC928" t="s">
        <v>7358</v>
      </c>
      <c r="AD928" t="s">
        <v>7358</v>
      </c>
      <c r="AE928" t="s">
        <v>263</v>
      </c>
      <c r="AF928" t="s">
        <v>263</v>
      </c>
      <c r="AG928" t="s">
        <v>7360</v>
      </c>
      <c r="AH928" t="s">
        <v>263</v>
      </c>
      <c r="AI928" t="s">
        <v>292</v>
      </c>
      <c r="AJ928" t="s">
        <v>263</v>
      </c>
      <c r="AK928" t="s">
        <v>263</v>
      </c>
      <c r="AL928">
        <v>91.6</v>
      </c>
      <c r="AM928">
        <v>1.76</v>
      </c>
      <c r="AN928">
        <v>102</v>
      </c>
      <c r="AO928">
        <v>109</v>
      </c>
      <c r="AP928">
        <v>29.8</v>
      </c>
      <c r="AQ928">
        <v>12</v>
      </c>
      <c r="AR928">
        <v>34.200000000000003</v>
      </c>
      <c r="AS928">
        <v>56</v>
      </c>
      <c r="AT928">
        <v>29.6</v>
      </c>
      <c r="AU928">
        <v>123</v>
      </c>
      <c r="AV928">
        <v>70</v>
      </c>
      <c r="AX928" t="s">
        <v>7361</v>
      </c>
      <c r="AY928" t="s">
        <v>7362</v>
      </c>
      <c r="AZ928" t="s">
        <v>7363</v>
      </c>
      <c r="BF928" t="s">
        <v>5138</v>
      </c>
      <c r="BG928" t="s">
        <v>1897</v>
      </c>
      <c r="BH928" t="s">
        <v>5132</v>
      </c>
      <c r="BI928" t="s">
        <v>5132</v>
      </c>
      <c r="BJ928" t="s">
        <v>5132</v>
      </c>
      <c r="BK928" t="s">
        <v>7364</v>
      </c>
      <c r="BN928" t="s">
        <v>7365</v>
      </c>
      <c r="BO928" t="s">
        <v>7366</v>
      </c>
      <c r="BV928" t="s">
        <v>7367</v>
      </c>
      <c r="DC928">
        <v>68.8</v>
      </c>
      <c r="DD928">
        <v>1.06</v>
      </c>
      <c r="DE928">
        <v>167</v>
      </c>
      <c r="DF928">
        <v>71</v>
      </c>
      <c r="DG928" s="9">
        <f t="shared" si="14"/>
        <v>4.2469418109903065</v>
      </c>
      <c r="DH928">
        <v>14.2</v>
      </c>
      <c r="DI928">
        <v>8.5</v>
      </c>
      <c r="DL928">
        <v>48.3</v>
      </c>
      <c r="DM928">
        <v>104.5</v>
      </c>
      <c r="DR928">
        <v>3</v>
      </c>
    </row>
    <row r="929" spans="1:157" customFormat="1" x14ac:dyDescent="0.2">
      <c r="A929" t="s">
        <v>7368</v>
      </c>
      <c r="B929" s="26">
        <v>43795</v>
      </c>
      <c r="C929" t="s">
        <v>258</v>
      </c>
      <c r="D929" t="s">
        <v>4209</v>
      </c>
      <c r="E929" t="s">
        <v>1472</v>
      </c>
      <c r="F929" s="26">
        <v>35960</v>
      </c>
      <c r="G929" t="s">
        <v>97</v>
      </c>
      <c r="H929" t="s">
        <v>1521</v>
      </c>
      <c r="AL929">
        <v>113.6</v>
      </c>
      <c r="AM929">
        <v>1.8</v>
      </c>
      <c r="AN929">
        <v>104</v>
      </c>
      <c r="AO929">
        <v>121</v>
      </c>
      <c r="AP929">
        <v>38.799999999999997</v>
      </c>
      <c r="AQ929">
        <v>15</v>
      </c>
      <c r="AR929">
        <v>29.3</v>
      </c>
      <c r="AS929">
        <v>72</v>
      </c>
      <c r="AT929">
        <v>35.1</v>
      </c>
      <c r="AU929">
        <v>108</v>
      </c>
      <c r="AV929">
        <v>65</v>
      </c>
      <c r="DC929">
        <v>85</v>
      </c>
      <c r="DD929">
        <v>0.75</v>
      </c>
      <c r="DE929">
        <v>178</v>
      </c>
      <c r="DF929">
        <v>122</v>
      </c>
      <c r="DG929" s="9">
        <f t="shared" si="14"/>
        <v>4.6233361506117863</v>
      </c>
      <c r="DH929">
        <v>24.4</v>
      </c>
      <c r="DI929">
        <v>6.98</v>
      </c>
      <c r="DL929">
        <v>45.8</v>
      </c>
      <c r="DM929">
        <v>107.8</v>
      </c>
    </row>
    <row r="930" spans="1:157" s="33" customFormat="1" x14ac:dyDescent="0.2">
      <c r="A930" s="60" t="s">
        <v>7369</v>
      </c>
      <c r="B930" s="32">
        <v>43794</v>
      </c>
      <c r="C930" s="31" t="s">
        <v>675</v>
      </c>
      <c r="D930" s="31">
        <v>43</v>
      </c>
      <c r="E930" s="31" t="s">
        <v>100</v>
      </c>
      <c r="F930" s="32">
        <v>27647</v>
      </c>
      <c r="G930" s="31" t="s">
        <v>339</v>
      </c>
      <c r="H930" s="31"/>
      <c r="I930" s="31"/>
      <c r="J930" s="31"/>
      <c r="K930" s="31"/>
      <c r="L930" s="31"/>
      <c r="M930" s="31" t="s">
        <v>99</v>
      </c>
      <c r="N930" s="31" t="s">
        <v>99</v>
      </c>
      <c r="O930" s="31" t="s">
        <v>99</v>
      </c>
      <c r="P930" s="31" t="s">
        <v>99</v>
      </c>
      <c r="Q930" s="31" t="s">
        <v>7370</v>
      </c>
      <c r="R930" s="31"/>
      <c r="S930" s="31" t="s">
        <v>110</v>
      </c>
      <c r="T930" s="31" t="s">
        <v>99</v>
      </c>
      <c r="U930" s="31" t="s">
        <v>99</v>
      </c>
      <c r="V930" s="31" t="s">
        <v>99</v>
      </c>
      <c r="W930" s="31"/>
      <c r="X930" s="31"/>
      <c r="Y930" s="31"/>
      <c r="Z930" s="31"/>
      <c r="AA930" s="31" t="s">
        <v>100</v>
      </c>
      <c r="AB930" s="31" t="s">
        <v>100</v>
      </c>
      <c r="AC930" s="31" t="s">
        <v>7371</v>
      </c>
      <c r="AD930" s="31" t="s">
        <v>100</v>
      </c>
      <c r="AE930" s="31" t="s">
        <v>99</v>
      </c>
      <c r="AF930" s="31" t="s">
        <v>246</v>
      </c>
      <c r="AG930" s="31" t="s">
        <v>99</v>
      </c>
      <c r="AH930" s="31" t="s">
        <v>246</v>
      </c>
      <c r="AI930" s="31" t="s">
        <v>99</v>
      </c>
      <c r="AJ930" s="31" t="s">
        <v>99</v>
      </c>
      <c r="AK930" s="31" t="s">
        <v>7372</v>
      </c>
      <c r="AL930" s="31">
        <v>104.3</v>
      </c>
      <c r="AM930" s="31">
        <v>167</v>
      </c>
      <c r="AN930" s="31">
        <v>109</v>
      </c>
      <c r="AO930" s="31">
        <v>119</v>
      </c>
      <c r="AP930" s="31">
        <v>36.6</v>
      </c>
      <c r="AQ930" s="31">
        <v>21</v>
      </c>
      <c r="AR930" s="31">
        <v>29.5</v>
      </c>
      <c r="AS930" s="31">
        <v>71</v>
      </c>
      <c r="AT930" s="31">
        <v>37.4</v>
      </c>
      <c r="AU930" s="31">
        <v>114</v>
      </c>
      <c r="AV930" s="31">
        <v>80</v>
      </c>
      <c r="AW930" s="31"/>
      <c r="AX930" s="31" t="s">
        <v>350</v>
      </c>
      <c r="AY930" s="31"/>
      <c r="AZ930" s="31"/>
      <c r="BA930" s="31"/>
      <c r="BB930" s="31" t="s">
        <v>351</v>
      </c>
      <c r="BC930" s="31"/>
      <c r="BD930" s="31"/>
      <c r="BE930" s="31"/>
      <c r="BF930" s="31" t="s">
        <v>351</v>
      </c>
      <c r="BG930" s="31"/>
      <c r="BH930" s="31"/>
      <c r="BI930" s="31" t="s">
        <v>350</v>
      </c>
      <c r="BJ930" s="31"/>
      <c r="BK930" s="31" t="s">
        <v>350</v>
      </c>
      <c r="BL930" s="31"/>
      <c r="BM930" s="31"/>
      <c r="BN930" s="31" t="s">
        <v>351</v>
      </c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 t="s">
        <v>351</v>
      </c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 t="s">
        <v>351</v>
      </c>
      <c r="CM930" s="31"/>
      <c r="CN930" s="31"/>
      <c r="CO930" s="31"/>
      <c r="CP930" s="31" t="s">
        <v>351</v>
      </c>
      <c r="CQ930" s="31"/>
      <c r="CR930" s="31"/>
      <c r="CS930" s="31"/>
      <c r="CT930" s="31" t="s">
        <v>351</v>
      </c>
      <c r="CU930" s="31"/>
      <c r="CV930" s="31"/>
      <c r="CW930" s="31" t="s">
        <v>5419</v>
      </c>
      <c r="CX930" s="31" t="s">
        <v>99</v>
      </c>
      <c r="CY930" s="31" t="s">
        <v>110</v>
      </c>
      <c r="CZ930" s="31">
        <v>50</v>
      </c>
      <c r="DA930" s="31">
        <v>30</v>
      </c>
      <c r="DB930" s="31">
        <v>20</v>
      </c>
      <c r="DC930" s="31">
        <v>75.5</v>
      </c>
      <c r="DD930" s="31">
        <v>0.71</v>
      </c>
      <c r="DE930" s="48">
        <v>207</v>
      </c>
      <c r="DF930" s="48">
        <v>169</v>
      </c>
      <c r="DG930" s="9">
        <f t="shared" si="14"/>
        <v>4.7270156855890262</v>
      </c>
      <c r="DH930" s="31">
        <v>33.799999999999997</v>
      </c>
      <c r="DI930" s="31">
        <v>6.63</v>
      </c>
      <c r="DJ930" s="31"/>
      <c r="DK930" s="31"/>
      <c r="DL930" s="31">
        <v>47.1</v>
      </c>
      <c r="DM930" s="31">
        <v>126.1</v>
      </c>
      <c r="DN930" s="31"/>
      <c r="DO930" s="31"/>
      <c r="DP930" s="31"/>
      <c r="DQ930" s="31"/>
      <c r="DR930" s="31">
        <v>2</v>
      </c>
      <c r="DS930" s="31"/>
      <c r="DT930" s="31"/>
      <c r="DU930" s="31">
        <v>5.6</v>
      </c>
      <c r="DV930" s="31"/>
    </row>
    <row r="931" spans="1:157" s="33" customFormat="1" x14ac:dyDescent="0.2">
      <c r="A931" s="146" t="s">
        <v>7373</v>
      </c>
      <c r="B931" s="32">
        <v>43795</v>
      </c>
      <c r="C931" s="31" t="s">
        <v>196</v>
      </c>
      <c r="D931" s="31">
        <v>49</v>
      </c>
      <c r="E931" s="31" t="s">
        <v>100</v>
      </c>
      <c r="F931" s="32">
        <v>25723</v>
      </c>
      <c r="G931" s="31" t="s">
        <v>7374</v>
      </c>
      <c r="H931" s="31" t="s">
        <v>3102</v>
      </c>
      <c r="I931" s="31" t="s">
        <v>1594</v>
      </c>
      <c r="J931" s="31"/>
      <c r="K931" s="31">
        <v>2005</v>
      </c>
      <c r="L931" s="31">
        <v>1</v>
      </c>
      <c r="M931" s="31" t="s">
        <v>99</v>
      </c>
      <c r="N931" s="31" t="s">
        <v>99</v>
      </c>
      <c r="O931" s="31" t="s">
        <v>99</v>
      </c>
      <c r="P931" s="31" t="s">
        <v>99</v>
      </c>
      <c r="Q931" s="31" t="s">
        <v>5429</v>
      </c>
      <c r="R931" s="31" t="s">
        <v>99</v>
      </c>
      <c r="S931" s="31" t="s">
        <v>99</v>
      </c>
      <c r="T931" s="31" t="s">
        <v>99</v>
      </c>
      <c r="U931" s="31" t="s">
        <v>99</v>
      </c>
      <c r="V931" s="31" t="s">
        <v>99</v>
      </c>
      <c r="W931" s="31" t="s">
        <v>7375</v>
      </c>
      <c r="X931" s="31"/>
      <c r="Y931" s="31"/>
      <c r="Z931" s="31"/>
      <c r="AA931" s="31" t="s">
        <v>100</v>
      </c>
      <c r="AB931" s="31" t="s">
        <v>840</v>
      </c>
      <c r="AC931" s="31" t="s">
        <v>100</v>
      </c>
      <c r="AD931" s="31" t="s">
        <v>7376</v>
      </c>
      <c r="AE931" s="31" t="s">
        <v>7377</v>
      </c>
      <c r="AF931" s="31" t="s">
        <v>99</v>
      </c>
      <c r="AG931" s="31" t="s">
        <v>7378</v>
      </c>
      <c r="AH931" s="31" t="s">
        <v>7379</v>
      </c>
      <c r="AI931" s="31" t="s">
        <v>1127</v>
      </c>
      <c r="AJ931" s="31" t="s">
        <v>99</v>
      </c>
      <c r="AK931" s="31" t="s">
        <v>99</v>
      </c>
      <c r="AL931" s="31">
        <v>59.1</v>
      </c>
      <c r="AM931" s="31">
        <v>167</v>
      </c>
      <c r="AN931" s="31">
        <v>78</v>
      </c>
      <c r="AO931" s="31">
        <v>98</v>
      </c>
      <c r="AP931" s="31">
        <v>32.4</v>
      </c>
      <c r="AQ931" s="31">
        <v>5</v>
      </c>
      <c r="AR931" s="31">
        <v>26.7</v>
      </c>
      <c r="AS931" s="31">
        <v>35</v>
      </c>
      <c r="AT931" s="31">
        <v>21.2</v>
      </c>
      <c r="AU931" s="31">
        <v>97</v>
      </c>
      <c r="AV931" s="31">
        <v>59</v>
      </c>
      <c r="AW931" s="31" t="s">
        <v>351</v>
      </c>
      <c r="AX931" s="31" t="s">
        <v>1656</v>
      </c>
      <c r="AY931" s="31" t="s">
        <v>4983</v>
      </c>
      <c r="AZ931" s="31" t="s">
        <v>1128</v>
      </c>
      <c r="BA931" s="31" t="s">
        <v>350</v>
      </c>
      <c r="BB931" s="31"/>
      <c r="BC931" s="31" t="s">
        <v>1081</v>
      </c>
      <c r="BD931" s="31" t="s">
        <v>2692</v>
      </c>
      <c r="BE931" s="31" t="s">
        <v>351</v>
      </c>
      <c r="BF931" s="31" t="s">
        <v>351</v>
      </c>
      <c r="BG931" s="31" t="s">
        <v>351</v>
      </c>
      <c r="BH931" s="31"/>
      <c r="BI931" s="31"/>
      <c r="BJ931" s="31"/>
      <c r="BK931" s="31" t="s">
        <v>2656</v>
      </c>
      <c r="BL931" s="31"/>
      <c r="BM931" s="31"/>
      <c r="BN931" s="31" t="s">
        <v>351</v>
      </c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 t="s">
        <v>7380</v>
      </c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 t="s">
        <v>7381</v>
      </c>
      <c r="CM931" s="31"/>
      <c r="CN931" s="31"/>
      <c r="CO931" s="31" t="s">
        <v>351</v>
      </c>
      <c r="CP931" s="31"/>
      <c r="CQ931" s="31"/>
      <c r="CR931" s="31"/>
      <c r="CS931" s="31" t="s">
        <v>5513</v>
      </c>
      <c r="CT931" s="31"/>
      <c r="CU931" s="31"/>
      <c r="CV931" s="31"/>
      <c r="CW931" s="31">
        <v>2</v>
      </c>
      <c r="CX931" s="31" t="s">
        <v>99</v>
      </c>
      <c r="CY931" s="31" t="s">
        <v>110</v>
      </c>
      <c r="CZ931" s="31">
        <v>20</v>
      </c>
      <c r="DA931" s="31"/>
      <c r="DB931" s="31">
        <v>80</v>
      </c>
      <c r="DC931" s="31">
        <v>78.3</v>
      </c>
      <c r="DD931" s="31">
        <v>0.36</v>
      </c>
      <c r="DE931" s="31">
        <v>164</v>
      </c>
      <c r="DF931" s="31">
        <v>98</v>
      </c>
      <c r="DG931" s="9">
        <f t="shared" si="14"/>
        <v>4.4727575408336646</v>
      </c>
      <c r="DH931" s="31">
        <v>19.600000000000001</v>
      </c>
      <c r="DI931" s="31">
        <v>5.62</v>
      </c>
      <c r="DJ931" s="31"/>
      <c r="DK931" s="31"/>
      <c r="DL931" s="31">
        <v>58.9</v>
      </c>
      <c r="DM931" s="31">
        <v>85.5</v>
      </c>
      <c r="DN931" s="31"/>
      <c r="DO931" s="31"/>
      <c r="DP931" s="31">
        <v>3</v>
      </c>
      <c r="DQ931" s="31"/>
      <c r="DR931" s="31">
        <v>2</v>
      </c>
      <c r="DS931" s="31"/>
      <c r="DT931" s="31"/>
      <c r="DU931" s="31">
        <v>7.9</v>
      </c>
      <c r="DV931" s="31"/>
    </row>
    <row r="932" spans="1:157" customFormat="1" x14ac:dyDescent="0.2">
      <c r="A932" t="s">
        <v>7382</v>
      </c>
      <c r="B932" s="26">
        <v>43795</v>
      </c>
      <c r="C932" t="s">
        <v>95</v>
      </c>
      <c r="I932">
        <v>1972</v>
      </c>
      <c r="J932">
        <v>2007</v>
      </c>
      <c r="K932">
        <v>1996</v>
      </c>
      <c r="L932">
        <v>2</v>
      </c>
      <c r="M932" t="s">
        <v>285</v>
      </c>
      <c r="N932" t="s">
        <v>285</v>
      </c>
      <c r="AA932" t="s">
        <v>1697</v>
      </c>
      <c r="AB932" t="s">
        <v>1697</v>
      </c>
      <c r="AC932" t="s">
        <v>1697</v>
      </c>
      <c r="AD932" t="s">
        <v>1697</v>
      </c>
      <c r="AE932" t="s">
        <v>7383</v>
      </c>
      <c r="AF932" t="s">
        <v>7384</v>
      </c>
      <c r="AG932" t="s">
        <v>263</v>
      </c>
      <c r="AH932" t="s">
        <v>292</v>
      </c>
      <c r="AI932" t="s">
        <v>263</v>
      </c>
      <c r="AJ932" t="s">
        <v>263</v>
      </c>
      <c r="AK932" t="s">
        <v>263</v>
      </c>
      <c r="AL932">
        <v>84.3</v>
      </c>
      <c r="AM932">
        <v>1.53</v>
      </c>
      <c r="AN932">
        <v>102</v>
      </c>
      <c r="AO932">
        <v>121</v>
      </c>
      <c r="AP932">
        <v>51.9</v>
      </c>
      <c r="AQ932">
        <v>14</v>
      </c>
      <c r="AR932">
        <v>20.8</v>
      </c>
      <c r="AS932">
        <v>78</v>
      </c>
      <c r="AT932">
        <v>36</v>
      </c>
      <c r="AU932">
        <v>122</v>
      </c>
      <c r="AV932">
        <v>85</v>
      </c>
      <c r="DC932">
        <v>91.9</v>
      </c>
      <c r="DD932">
        <v>0.45</v>
      </c>
      <c r="DE932">
        <v>199</v>
      </c>
      <c r="DF932">
        <v>102</v>
      </c>
      <c r="DG932" s="9">
        <f t="shared" si="14"/>
        <v>4.5728369213229563</v>
      </c>
      <c r="DH932">
        <v>20.399999999999999</v>
      </c>
      <c r="DI932">
        <v>5.17</v>
      </c>
      <c r="DL932">
        <v>51.9</v>
      </c>
      <c r="DM932">
        <v>126.7</v>
      </c>
      <c r="DR932" s="31">
        <v>2</v>
      </c>
    </row>
    <row r="933" spans="1:157" customFormat="1" x14ac:dyDescent="0.2">
      <c r="A933" t="s">
        <v>7385</v>
      </c>
      <c r="B933" s="26">
        <v>43795</v>
      </c>
      <c r="C933" t="s">
        <v>258</v>
      </c>
      <c r="D933" t="s">
        <v>3588</v>
      </c>
      <c r="E933" t="s">
        <v>313</v>
      </c>
      <c r="F933" s="26">
        <v>30945</v>
      </c>
      <c r="G933" t="s">
        <v>777</v>
      </c>
      <c r="H933" t="s">
        <v>7386</v>
      </c>
      <c r="P933" t="s">
        <v>7387</v>
      </c>
      <c r="Q933" t="s">
        <v>7388</v>
      </c>
      <c r="S933" t="s">
        <v>588</v>
      </c>
      <c r="AA933" t="s">
        <v>313</v>
      </c>
      <c r="AB933" t="s">
        <v>313</v>
      </c>
      <c r="AC933" t="s">
        <v>7389</v>
      </c>
      <c r="AD933" t="s">
        <v>1339</v>
      </c>
      <c r="AE933" t="s">
        <v>1384</v>
      </c>
      <c r="AF933" t="s">
        <v>7390</v>
      </c>
      <c r="AG933" t="s">
        <v>7360</v>
      </c>
      <c r="AH933" t="s">
        <v>7391</v>
      </c>
      <c r="AI933" t="s">
        <v>263</v>
      </c>
      <c r="AJ933" t="s">
        <v>263</v>
      </c>
      <c r="AK933" t="s">
        <v>263</v>
      </c>
      <c r="AL933">
        <v>100.1</v>
      </c>
      <c r="AM933">
        <v>1.73</v>
      </c>
      <c r="AN933">
        <v>110</v>
      </c>
      <c r="AO933">
        <v>107</v>
      </c>
      <c r="AP933">
        <v>37.700000000000003</v>
      </c>
      <c r="AQ933">
        <v>16</v>
      </c>
      <c r="AR933">
        <v>29.1</v>
      </c>
      <c r="AS933">
        <v>67</v>
      </c>
      <c r="AT933">
        <v>33.4</v>
      </c>
      <c r="AU933">
        <v>112</v>
      </c>
      <c r="AV933">
        <v>82</v>
      </c>
      <c r="AX933" t="s">
        <v>904</v>
      </c>
      <c r="AY933" t="s">
        <v>321</v>
      </c>
      <c r="BB933" t="s">
        <v>1411</v>
      </c>
      <c r="BC933" t="s">
        <v>1050</v>
      </c>
      <c r="BD933" t="s">
        <v>7392</v>
      </c>
      <c r="BF933" t="s">
        <v>375</v>
      </c>
      <c r="BG933" t="s">
        <v>323</v>
      </c>
      <c r="BH933" t="s">
        <v>375</v>
      </c>
      <c r="BI933" t="s">
        <v>323</v>
      </c>
      <c r="BJ933" t="s">
        <v>322</v>
      </c>
      <c r="BK933" t="s">
        <v>323</v>
      </c>
      <c r="BN933" t="s">
        <v>376</v>
      </c>
      <c r="BO933" t="s">
        <v>414</v>
      </c>
      <c r="BP933" t="s">
        <v>7393</v>
      </c>
      <c r="BR933" t="s">
        <v>64</v>
      </c>
      <c r="BS933" t="s">
        <v>60</v>
      </c>
      <c r="BT933" t="s">
        <v>58</v>
      </c>
      <c r="BZ933" t="s">
        <v>7394</v>
      </c>
      <c r="CA933" t="s">
        <v>7395</v>
      </c>
      <c r="CB933" t="s">
        <v>7393</v>
      </c>
      <c r="CD933" t="s">
        <v>1883</v>
      </c>
      <c r="CE933" t="s">
        <v>7396</v>
      </c>
      <c r="CL933" t="s">
        <v>7397</v>
      </c>
      <c r="CM933" t="s">
        <v>450</v>
      </c>
      <c r="CN933" t="s">
        <v>434</v>
      </c>
      <c r="CP933" t="s">
        <v>1212</v>
      </c>
      <c r="CQ933" t="s">
        <v>1035</v>
      </c>
      <c r="CT933" t="s">
        <v>7398</v>
      </c>
      <c r="CU933" t="s">
        <v>336</v>
      </c>
      <c r="CW933">
        <v>3</v>
      </c>
      <c r="CX933" t="s">
        <v>285</v>
      </c>
      <c r="CY933" t="s">
        <v>7399</v>
      </c>
      <c r="CZ933">
        <v>10</v>
      </c>
      <c r="DA933">
        <v>70</v>
      </c>
      <c r="DB933">
        <v>20</v>
      </c>
      <c r="DC933">
        <v>78.099999999999994</v>
      </c>
      <c r="DD933">
        <v>0.82</v>
      </c>
      <c r="DE933">
        <v>226</v>
      </c>
      <c r="DF933">
        <v>149</v>
      </c>
      <c r="DG933" s="9">
        <f t="shared" si="14"/>
        <v>4.6809681813955493</v>
      </c>
      <c r="DH933">
        <v>29.8</v>
      </c>
      <c r="DI933">
        <v>6.41</v>
      </c>
      <c r="DL933">
        <v>26.6</v>
      </c>
      <c r="DM933">
        <v>159.6</v>
      </c>
      <c r="DR933">
        <v>3</v>
      </c>
    </row>
    <row r="934" spans="1:157" customFormat="1" x14ac:dyDescent="0.2">
      <c r="A934" t="s">
        <v>7400</v>
      </c>
      <c r="B934" s="26">
        <v>43795</v>
      </c>
      <c r="C934" t="s">
        <v>258</v>
      </c>
      <c r="D934" t="s">
        <v>3588</v>
      </c>
      <c r="E934" t="s">
        <v>313</v>
      </c>
      <c r="F934" s="26">
        <v>30867</v>
      </c>
      <c r="G934" t="s">
        <v>1431</v>
      </c>
      <c r="H934" t="s">
        <v>7401</v>
      </c>
      <c r="M934" t="s">
        <v>263</v>
      </c>
      <c r="N934" t="s">
        <v>263</v>
      </c>
      <c r="O934" t="s">
        <v>263</v>
      </c>
      <c r="P934" t="s">
        <v>263</v>
      </c>
      <c r="Q934" t="s">
        <v>7402</v>
      </c>
      <c r="S934" t="s">
        <v>285</v>
      </c>
      <c r="T934" t="s">
        <v>7403</v>
      </c>
      <c r="AE934" t="s">
        <v>263</v>
      </c>
      <c r="AF934" t="s">
        <v>292</v>
      </c>
      <c r="AG934" t="s">
        <v>7404</v>
      </c>
      <c r="AH934" t="s">
        <v>263</v>
      </c>
      <c r="AI934" t="s">
        <v>263</v>
      </c>
      <c r="AJ934" t="s">
        <v>263</v>
      </c>
      <c r="AK934" t="s">
        <v>263</v>
      </c>
      <c r="AL934">
        <v>87.2</v>
      </c>
      <c r="AM934">
        <v>1.76</v>
      </c>
      <c r="AN934">
        <v>94</v>
      </c>
      <c r="AO934">
        <v>103</v>
      </c>
      <c r="AP934">
        <v>28.5</v>
      </c>
      <c r="AQ934">
        <v>11</v>
      </c>
      <c r="AR934">
        <v>34.200000000000003</v>
      </c>
      <c r="AS934">
        <v>54</v>
      </c>
      <c r="AT934">
        <v>28.2</v>
      </c>
      <c r="AU934">
        <v>114</v>
      </c>
      <c r="AV934">
        <v>82</v>
      </c>
      <c r="AX934" t="s">
        <v>168</v>
      </c>
      <c r="AY934" t="s">
        <v>7405</v>
      </c>
      <c r="AZ934" t="s">
        <v>7406</v>
      </c>
      <c r="BB934" t="s">
        <v>409</v>
      </c>
      <c r="BC934" t="s">
        <v>785</v>
      </c>
      <c r="BD934" t="s">
        <v>7407</v>
      </c>
      <c r="BF934" t="s">
        <v>7408</v>
      </c>
      <c r="BG934" t="s">
        <v>323</v>
      </c>
      <c r="BH934" t="s">
        <v>324</v>
      </c>
      <c r="BI934" t="s">
        <v>323</v>
      </c>
      <c r="BJ934" t="s">
        <v>323</v>
      </c>
      <c r="BK934" t="s">
        <v>323</v>
      </c>
      <c r="BN934" t="s">
        <v>376</v>
      </c>
      <c r="BO934" t="s">
        <v>498</v>
      </c>
      <c r="BP934" t="s">
        <v>499</v>
      </c>
      <c r="BR934" t="s">
        <v>323</v>
      </c>
      <c r="BV934" t="s">
        <v>7409</v>
      </c>
      <c r="BW934" t="s">
        <v>7410</v>
      </c>
      <c r="BZ934" t="s">
        <v>7411</v>
      </c>
      <c r="CA934" t="s">
        <v>277</v>
      </c>
      <c r="CT934" t="s">
        <v>5222</v>
      </c>
      <c r="CU934" t="s">
        <v>1869</v>
      </c>
      <c r="CW934">
        <v>4</v>
      </c>
      <c r="CX934" t="s">
        <v>285</v>
      </c>
      <c r="CY934" t="s">
        <v>285</v>
      </c>
      <c r="DC934">
        <v>75.5</v>
      </c>
      <c r="DD934">
        <v>0.96</v>
      </c>
      <c r="DE934">
        <v>131</v>
      </c>
      <c r="DF934">
        <v>147</v>
      </c>
      <c r="DG934" s="9">
        <f t="shared" si="14"/>
        <v>4.6572826215168579</v>
      </c>
      <c r="DH934">
        <v>29.4</v>
      </c>
      <c r="DI934">
        <v>6.6</v>
      </c>
      <c r="DL934">
        <v>34.200000000000003</v>
      </c>
      <c r="DM934">
        <v>67.400000000000006</v>
      </c>
    </row>
    <row r="935" spans="1:157" s="171" customFormat="1" x14ac:dyDescent="0.2">
      <c r="A935" s="31" t="s">
        <v>7412</v>
      </c>
      <c r="B935" s="170">
        <v>43795</v>
      </c>
      <c r="C935" s="62" t="s">
        <v>675</v>
      </c>
      <c r="D935" s="62">
        <v>31</v>
      </c>
      <c r="E935" s="62" t="s">
        <v>100</v>
      </c>
      <c r="F935" s="170">
        <v>32250</v>
      </c>
      <c r="G935" s="62"/>
      <c r="H935" s="62"/>
      <c r="I935" s="62"/>
      <c r="J935" s="62"/>
      <c r="K935" s="62"/>
      <c r="L935" s="62"/>
      <c r="M935" s="62" t="s">
        <v>99</v>
      </c>
      <c r="N935" s="62" t="s">
        <v>99</v>
      </c>
      <c r="O935" s="62" t="s">
        <v>99</v>
      </c>
      <c r="P935" s="62" t="s">
        <v>99</v>
      </c>
      <c r="Q935" s="62" t="s">
        <v>1668</v>
      </c>
      <c r="R935" s="62"/>
      <c r="S935" s="62" t="s">
        <v>110</v>
      </c>
      <c r="T935" s="62" t="s">
        <v>110</v>
      </c>
      <c r="U935" s="62" t="s">
        <v>7413</v>
      </c>
      <c r="V935" s="62"/>
      <c r="W935" s="62"/>
      <c r="X935" s="62"/>
      <c r="Y935" s="62"/>
      <c r="Z935" s="62"/>
      <c r="AA935" s="62" t="s">
        <v>100</v>
      </c>
      <c r="AB935" s="62"/>
      <c r="AC935" s="62"/>
      <c r="AD935" s="62"/>
      <c r="AE935" s="62" t="s">
        <v>99</v>
      </c>
      <c r="AF935" s="62" t="s">
        <v>99</v>
      </c>
      <c r="AG935" s="62" t="s">
        <v>99</v>
      </c>
      <c r="AH935" s="62" t="s">
        <v>99</v>
      </c>
      <c r="AI935" s="62" t="s">
        <v>99</v>
      </c>
      <c r="AJ935" s="62" t="s">
        <v>99</v>
      </c>
      <c r="AK935" s="62"/>
      <c r="AL935" s="62">
        <v>77.7</v>
      </c>
      <c r="AM935" s="62">
        <v>176</v>
      </c>
      <c r="AN935" s="62">
        <v>87</v>
      </c>
      <c r="AO935" s="62">
        <v>101</v>
      </c>
      <c r="AP935" s="62">
        <v>21.6</v>
      </c>
      <c r="AQ935" s="62">
        <v>8</v>
      </c>
      <c r="AR935" s="62">
        <v>38.5</v>
      </c>
      <c r="AS935" s="62">
        <v>41</v>
      </c>
      <c r="AT935" s="62">
        <v>25.1</v>
      </c>
      <c r="AU935" s="62">
        <v>96</v>
      </c>
      <c r="AV935" s="62">
        <v>61</v>
      </c>
      <c r="AW935" s="62"/>
      <c r="AX935" s="62" t="s">
        <v>1656</v>
      </c>
      <c r="AY935" s="62"/>
      <c r="AZ935" s="62"/>
      <c r="BA935" s="62"/>
      <c r="BB935" s="62"/>
      <c r="BC935" s="62"/>
      <c r="BD935" s="62"/>
      <c r="BE935" s="62"/>
      <c r="BF935" s="62" t="s">
        <v>176</v>
      </c>
      <c r="BG935" s="62" t="s">
        <v>176</v>
      </c>
      <c r="BH935" s="62" t="s">
        <v>176</v>
      </c>
      <c r="BI935" s="62" t="s">
        <v>176</v>
      </c>
      <c r="BJ935" s="62" t="s">
        <v>176</v>
      </c>
      <c r="BK935" s="62" t="s">
        <v>1979</v>
      </c>
      <c r="BL935" s="62"/>
      <c r="BM935" s="62"/>
      <c r="BN935" s="62"/>
      <c r="BO935" s="62"/>
      <c r="BP935" s="62"/>
      <c r="BQ935" s="62"/>
      <c r="BR935" s="62"/>
      <c r="BS935" s="62"/>
      <c r="BT935" s="62"/>
      <c r="BU935" s="62"/>
      <c r="BV935" s="62"/>
      <c r="BW935" s="62"/>
      <c r="BX935" s="62"/>
      <c r="BY935" s="62"/>
      <c r="BZ935" s="62"/>
      <c r="CA935" s="62"/>
      <c r="CB935" s="62"/>
      <c r="CC935" s="62"/>
      <c r="CD935" s="62"/>
      <c r="CE935" s="62"/>
      <c r="CF935" s="62"/>
      <c r="CG935" s="62"/>
      <c r="CH935" s="62"/>
      <c r="CI935" s="62"/>
      <c r="CJ935" s="62"/>
      <c r="CK935" s="62"/>
      <c r="CL935" s="62"/>
      <c r="CM935" s="62"/>
      <c r="CN935" s="62"/>
      <c r="CO935" s="62"/>
      <c r="CP935" s="62"/>
      <c r="CQ935" s="62"/>
      <c r="CR935" s="62"/>
      <c r="CS935" s="62"/>
      <c r="CT935" s="62"/>
      <c r="CU935" s="62"/>
      <c r="CV935" s="62"/>
      <c r="CW935" s="62"/>
      <c r="CX935" s="62"/>
      <c r="CY935" s="62"/>
      <c r="CZ935" s="62"/>
      <c r="DA935" s="62"/>
      <c r="DB935" s="62"/>
      <c r="DC935" s="62">
        <v>78</v>
      </c>
      <c r="DD935" s="62">
        <v>0.83</v>
      </c>
      <c r="DE935" s="62">
        <v>186</v>
      </c>
      <c r="DF935" s="62">
        <v>117</v>
      </c>
      <c r="DG935" s="9">
        <f t="shared" si="14"/>
        <v>4.5594413807436736</v>
      </c>
      <c r="DH935" s="62">
        <v>23.4</v>
      </c>
      <c r="DI935" s="62">
        <v>5.21</v>
      </c>
      <c r="DJ935" s="62"/>
      <c r="DK935" s="62"/>
      <c r="DL935" s="62">
        <v>42.7</v>
      </c>
      <c r="DM935" s="62">
        <v>119.9</v>
      </c>
      <c r="DN935" s="62"/>
      <c r="DO935" s="62"/>
      <c r="DP935" s="62"/>
      <c r="DQ935" s="62"/>
      <c r="DR935" s="62"/>
      <c r="DS935" s="62"/>
      <c r="DT935" s="62"/>
      <c r="DU935" s="62"/>
      <c r="DV935" s="62"/>
      <c r="DW935" s="62"/>
      <c r="DX935" s="62"/>
      <c r="DY935" s="62"/>
      <c r="DZ935" s="62"/>
      <c r="EA935" s="62"/>
      <c r="EB935" s="62"/>
      <c r="EC935" s="62"/>
      <c r="ED935" s="62"/>
      <c r="EE935" s="62"/>
      <c r="EF935" s="62"/>
      <c r="EG935" s="62"/>
      <c r="EH935" s="62"/>
      <c r="EI935" s="62"/>
      <c r="EJ935" s="62"/>
      <c r="EK935" s="62"/>
      <c r="EL935" s="62"/>
      <c r="EM935" s="62"/>
      <c r="EN935" s="62"/>
      <c r="EO935" s="62"/>
      <c r="EP935" s="62"/>
      <c r="EQ935" s="62"/>
      <c r="ER935" s="62"/>
      <c r="ES935" s="62"/>
      <c r="ET935" s="62"/>
      <c r="EU935" s="62"/>
      <c r="EV935" s="62"/>
      <c r="EW935" s="62"/>
      <c r="EX935" s="62"/>
      <c r="EY935" s="62"/>
      <c r="EZ935" s="62"/>
      <c r="FA935" s="62"/>
    </row>
    <row r="936" spans="1:157" s="33" customFormat="1" x14ac:dyDescent="0.2">
      <c r="A936" s="146" t="s">
        <v>7414</v>
      </c>
      <c r="B936" s="31"/>
      <c r="C936" s="31" t="s">
        <v>196</v>
      </c>
      <c r="D936" s="31">
        <v>22</v>
      </c>
      <c r="E936" s="31" t="s">
        <v>100</v>
      </c>
      <c r="F936" s="32">
        <v>35745</v>
      </c>
      <c r="G936" s="31" t="s">
        <v>1509</v>
      </c>
      <c r="H936" s="31" t="s">
        <v>3102</v>
      </c>
      <c r="I936" s="31"/>
      <c r="J936" s="31"/>
      <c r="K936" s="31"/>
      <c r="L936" s="31"/>
      <c r="M936" s="31" t="s">
        <v>99</v>
      </c>
      <c r="N936" s="31" t="s">
        <v>99</v>
      </c>
      <c r="O936" s="31" t="s">
        <v>99</v>
      </c>
      <c r="P936" s="31" t="s">
        <v>99</v>
      </c>
      <c r="Q936" s="31" t="s">
        <v>99</v>
      </c>
      <c r="R936" s="31" t="s">
        <v>99</v>
      </c>
      <c r="S936" s="31" t="s">
        <v>99</v>
      </c>
      <c r="T936" s="31" t="s">
        <v>99</v>
      </c>
      <c r="U936" s="31" t="s">
        <v>99</v>
      </c>
      <c r="V936" s="31" t="s">
        <v>99</v>
      </c>
      <c r="W936" s="31" t="s">
        <v>7415</v>
      </c>
      <c r="X936" s="31"/>
      <c r="Y936" s="31"/>
      <c r="Z936" s="31"/>
      <c r="AA936" s="31" t="s">
        <v>100</v>
      </c>
      <c r="AB936" s="31" t="s">
        <v>7416</v>
      </c>
      <c r="AC936" s="31" t="s">
        <v>100</v>
      </c>
      <c r="AD936" s="31" t="s">
        <v>7416</v>
      </c>
      <c r="AE936" s="31" t="s">
        <v>4725</v>
      </c>
      <c r="AF936" s="31" t="s">
        <v>1511</v>
      </c>
      <c r="AG936" s="31" t="s">
        <v>4981</v>
      </c>
      <c r="AH936" s="31" t="s">
        <v>99</v>
      </c>
      <c r="AI936" s="31" t="s">
        <v>99</v>
      </c>
      <c r="AJ936" s="31" t="s">
        <v>99</v>
      </c>
      <c r="AK936" s="31" t="s">
        <v>7417</v>
      </c>
      <c r="AL936" s="31">
        <v>57.7</v>
      </c>
      <c r="AM936" s="31">
        <v>167</v>
      </c>
      <c r="AN936" s="31">
        <v>68</v>
      </c>
      <c r="AO936" s="31">
        <v>88</v>
      </c>
      <c r="AP936" s="31">
        <v>30.4</v>
      </c>
      <c r="AQ936" s="31">
        <v>3</v>
      </c>
      <c r="AR936" s="31">
        <v>28.2</v>
      </c>
      <c r="AS936" s="31">
        <v>19</v>
      </c>
      <c r="AT936" s="31">
        <v>20.7</v>
      </c>
      <c r="AU936" s="31">
        <v>109</v>
      </c>
      <c r="AV936" s="31">
        <v>72</v>
      </c>
      <c r="AW936" s="31"/>
      <c r="AX936" s="31" t="s">
        <v>572</v>
      </c>
      <c r="AY936" s="31" t="s">
        <v>592</v>
      </c>
      <c r="AZ936" s="31" t="s">
        <v>7418</v>
      </c>
      <c r="BA936" s="31"/>
      <c r="BB936" s="31" t="s">
        <v>2950</v>
      </c>
      <c r="BC936" s="31" t="s">
        <v>7419</v>
      </c>
      <c r="BD936" s="31" t="s">
        <v>750</v>
      </c>
      <c r="BE936" s="31"/>
      <c r="BF936" s="31" t="s">
        <v>707</v>
      </c>
      <c r="BG936" s="31" t="s">
        <v>1469</v>
      </c>
      <c r="BH936" s="31" t="s">
        <v>707</v>
      </c>
      <c r="BI936" s="31" t="s">
        <v>213</v>
      </c>
      <c r="BJ936" s="31" t="s">
        <v>213</v>
      </c>
      <c r="BK936" s="31" t="s">
        <v>216</v>
      </c>
      <c r="BL936" s="31"/>
      <c r="BM936" s="31"/>
      <c r="BN936" s="31" t="s">
        <v>179</v>
      </c>
      <c r="BO936" s="31" t="s">
        <v>219</v>
      </c>
      <c r="BP936" s="31" t="s">
        <v>178</v>
      </c>
      <c r="BQ936" s="31"/>
      <c r="BR936" s="31"/>
      <c r="BS936" s="31"/>
      <c r="BT936" s="31"/>
      <c r="BU936" s="31"/>
      <c r="BV936" s="31" t="s">
        <v>734</v>
      </c>
      <c r="BW936" s="31" t="s">
        <v>1573</v>
      </c>
      <c r="BX936" s="31"/>
      <c r="BY936" s="31"/>
      <c r="BZ936" s="31" t="s">
        <v>182</v>
      </c>
      <c r="CA936" s="31" t="s">
        <v>183</v>
      </c>
      <c r="CB936" s="31" t="s">
        <v>709</v>
      </c>
      <c r="CC936" s="31"/>
      <c r="CD936" s="31"/>
      <c r="CE936" s="31"/>
      <c r="CF936" s="31"/>
      <c r="CG936" s="31"/>
      <c r="CH936" s="31" t="s">
        <v>7420</v>
      </c>
      <c r="CI936" s="31"/>
      <c r="CJ936" s="31"/>
      <c r="CK936" s="31"/>
      <c r="CL936" s="31" t="s">
        <v>7421</v>
      </c>
      <c r="CM936" s="31" t="s">
        <v>7422</v>
      </c>
      <c r="CN936" s="31" t="s">
        <v>3158</v>
      </c>
      <c r="CO936" s="31"/>
      <c r="CP936" s="31" t="s">
        <v>2098</v>
      </c>
      <c r="CQ936" s="31" t="s">
        <v>716</v>
      </c>
      <c r="CR936" s="31"/>
      <c r="CS936" s="31"/>
      <c r="CT936" s="31" t="s">
        <v>2617</v>
      </c>
      <c r="CU936" s="31"/>
      <c r="CV936" s="31"/>
      <c r="CW936" s="31">
        <v>3</v>
      </c>
      <c r="CX936" s="31" t="s">
        <v>110</v>
      </c>
      <c r="CY936" s="31" t="s">
        <v>110</v>
      </c>
      <c r="CZ936" s="31">
        <v>20</v>
      </c>
      <c r="DA936" s="31">
        <v>20</v>
      </c>
      <c r="DB936" s="31">
        <v>60</v>
      </c>
      <c r="DC936" s="31">
        <v>78.8</v>
      </c>
      <c r="DD936" s="31">
        <v>0.56000000000000005</v>
      </c>
      <c r="DE936" s="31">
        <v>145</v>
      </c>
      <c r="DF936" s="31">
        <v>62</v>
      </c>
      <c r="DG936" s="9">
        <f t="shared" si="14"/>
        <v>4.2470236909544621</v>
      </c>
      <c r="DH936" s="31">
        <v>12.4</v>
      </c>
      <c r="DI936" s="31">
        <v>4.32</v>
      </c>
      <c r="DJ936" s="31"/>
      <c r="DK936" s="31"/>
      <c r="DL936" s="31">
        <v>53.2</v>
      </c>
      <c r="DM936" s="31">
        <v>79.400000000000006</v>
      </c>
      <c r="DN936" s="31"/>
      <c r="DO936" s="31"/>
      <c r="DP936" s="31"/>
      <c r="DQ936" s="31"/>
      <c r="DR936" s="31">
        <v>2</v>
      </c>
      <c r="DS936" s="31"/>
      <c r="DT936" s="31"/>
      <c r="DU936" s="31">
        <v>7.8</v>
      </c>
      <c r="DV936" s="31"/>
    </row>
    <row r="937" spans="1:157" customFormat="1" x14ac:dyDescent="0.2">
      <c r="A937" t="s">
        <v>7423</v>
      </c>
      <c r="B937" s="26">
        <v>43795</v>
      </c>
      <c r="C937" t="s">
        <v>95</v>
      </c>
      <c r="D937" t="s">
        <v>7424</v>
      </c>
      <c r="E937" t="s">
        <v>260</v>
      </c>
      <c r="F937" s="26">
        <v>20263</v>
      </c>
      <c r="G937" t="s">
        <v>7425</v>
      </c>
      <c r="H937" t="s">
        <v>1377</v>
      </c>
      <c r="I937" t="s">
        <v>4270</v>
      </c>
      <c r="J937" t="s">
        <v>2021</v>
      </c>
      <c r="K937">
        <v>1977</v>
      </c>
      <c r="L937">
        <v>2</v>
      </c>
      <c r="M937" t="s">
        <v>263</v>
      </c>
      <c r="N937" t="s">
        <v>7426</v>
      </c>
      <c r="O937" t="s">
        <v>7427</v>
      </c>
      <c r="P937" t="s">
        <v>285</v>
      </c>
      <c r="Q937" t="s">
        <v>7291</v>
      </c>
      <c r="R937" t="s">
        <v>1751</v>
      </c>
      <c r="S937" t="s">
        <v>7428</v>
      </c>
      <c r="U937" t="s">
        <v>7429</v>
      </c>
      <c r="V937" t="s">
        <v>7430</v>
      </c>
      <c r="X937" t="s">
        <v>7431</v>
      </c>
      <c r="Y937" t="s">
        <v>7432</v>
      </c>
      <c r="AA937" t="s">
        <v>5813</v>
      </c>
      <c r="AB937" t="s">
        <v>440</v>
      </c>
      <c r="AC937" t="s">
        <v>7433</v>
      </c>
      <c r="AD937" t="s">
        <v>7434</v>
      </c>
      <c r="AE937" t="s">
        <v>263</v>
      </c>
      <c r="AF937" t="s">
        <v>7435</v>
      </c>
      <c r="AG937" t="s">
        <v>263</v>
      </c>
      <c r="AH937" t="s">
        <v>292</v>
      </c>
      <c r="AI937" t="s">
        <v>263</v>
      </c>
      <c r="AJ937" t="s">
        <v>263</v>
      </c>
      <c r="AK937" t="s">
        <v>263</v>
      </c>
      <c r="AL937">
        <v>88.5</v>
      </c>
      <c r="AM937">
        <v>1.54</v>
      </c>
      <c r="AN937">
        <v>120</v>
      </c>
      <c r="AO937">
        <v>12.6</v>
      </c>
      <c r="AP937">
        <v>45.8</v>
      </c>
      <c r="AQ937">
        <v>14</v>
      </c>
      <c r="AR937">
        <v>24.6</v>
      </c>
      <c r="AS937">
        <v>78</v>
      </c>
      <c r="AT937">
        <v>37.299999999999997</v>
      </c>
      <c r="AU937">
        <v>102</v>
      </c>
      <c r="AV937">
        <v>63</v>
      </c>
      <c r="DC937">
        <v>74.900000000000006</v>
      </c>
      <c r="DD937">
        <v>0.75</v>
      </c>
      <c r="DE937">
        <v>167</v>
      </c>
      <c r="DF937">
        <v>146</v>
      </c>
      <c r="DG937" s="9">
        <f t="shared" si="14"/>
        <v>4.6498802561157548</v>
      </c>
      <c r="DH937">
        <v>29.2</v>
      </c>
      <c r="DI937">
        <v>5.0999999999999996</v>
      </c>
      <c r="DL937">
        <v>41.4</v>
      </c>
      <c r="DM937">
        <v>96.4</v>
      </c>
      <c r="DR937">
        <v>2</v>
      </c>
    </row>
    <row r="938" spans="1:157" customFormat="1" x14ac:dyDescent="0.2">
      <c r="A938" s="127" t="s">
        <v>7436</v>
      </c>
      <c r="B938" s="128">
        <v>43774</v>
      </c>
      <c r="C938" s="127" t="s">
        <v>196</v>
      </c>
      <c r="D938" s="127">
        <v>23</v>
      </c>
      <c r="E938" s="127" t="s">
        <v>100</v>
      </c>
      <c r="F938" s="128">
        <v>35305</v>
      </c>
      <c r="G938" s="127" t="s">
        <v>7437</v>
      </c>
      <c r="H938" s="127" t="s">
        <v>7438</v>
      </c>
      <c r="I938" s="127" t="s">
        <v>3222</v>
      </c>
      <c r="J938" s="127" t="s">
        <v>500</v>
      </c>
      <c r="K938" s="127" t="s">
        <v>500</v>
      </c>
      <c r="L938" s="127" t="s">
        <v>500</v>
      </c>
      <c r="M938" s="127" t="s">
        <v>99</v>
      </c>
      <c r="N938" s="127" t="s">
        <v>99</v>
      </c>
      <c r="O938" s="127" t="s">
        <v>99</v>
      </c>
      <c r="P938" s="127" t="s">
        <v>7439</v>
      </c>
      <c r="Q938" s="127" t="s">
        <v>5421</v>
      </c>
      <c r="R938" s="127" t="s">
        <v>99</v>
      </c>
      <c r="S938" s="127" t="s">
        <v>99</v>
      </c>
      <c r="T938" s="127" t="s">
        <v>99</v>
      </c>
      <c r="U938" s="127" t="s">
        <v>7440</v>
      </c>
      <c r="V938" s="127" t="s">
        <v>500</v>
      </c>
      <c r="W938" s="127" t="s">
        <v>500</v>
      </c>
      <c r="X938" s="127" t="s">
        <v>500</v>
      </c>
      <c r="Y938" s="127" t="s">
        <v>500</v>
      </c>
      <c r="Z938" s="127" t="s">
        <v>500</v>
      </c>
      <c r="AA938" s="127" t="s">
        <v>100</v>
      </c>
      <c r="AB938" s="127" t="s">
        <v>100</v>
      </c>
      <c r="AC938" s="127" t="s">
        <v>100</v>
      </c>
      <c r="AD938" s="127" t="s">
        <v>100</v>
      </c>
      <c r="AE938" s="127" t="s">
        <v>99</v>
      </c>
      <c r="AF938" s="127" t="s">
        <v>99</v>
      </c>
      <c r="AG938" s="127" t="s">
        <v>99</v>
      </c>
      <c r="AH938" s="129" t="s">
        <v>99</v>
      </c>
      <c r="AI938" s="127" t="s">
        <v>99</v>
      </c>
      <c r="AJ938" s="127" t="s">
        <v>99</v>
      </c>
      <c r="AK938" s="127" t="s">
        <v>99</v>
      </c>
      <c r="AL938" s="9">
        <v>60</v>
      </c>
      <c r="AM938" s="9">
        <v>168</v>
      </c>
      <c r="AN938" s="7">
        <v>70</v>
      </c>
      <c r="AO938" s="9">
        <v>90</v>
      </c>
      <c r="AP938" s="9" t="s">
        <v>7441</v>
      </c>
      <c r="AQ938" s="9">
        <v>4</v>
      </c>
      <c r="AR938" s="9" t="s">
        <v>7442</v>
      </c>
      <c r="AS938" s="9">
        <v>27</v>
      </c>
      <c r="AT938" s="7" t="s">
        <v>7443</v>
      </c>
      <c r="AU938" s="9">
        <v>94</v>
      </c>
      <c r="AV938" s="9">
        <v>62</v>
      </c>
      <c r="AW938" s="9"/>
      <c r="AX938" s="9" t="s">
        <v>212</v>
      </c>
      <c r="AY938" s="9"/>
      <c r="AZ938" s="9"/>
      <c r="BA938" s="9"/>
      <c r="BB938" s="9" t="s">
        <v>213</v>
      </c>
      <c r="BC938" s="9"/>
      <c r="BD938" s="9"/>
      <c r="BE938" s="9"/>
      <c r="BF938" s="9" t="s">
        <v>176</v>
      </c>
      <c r="BG938" s="9" t="s">
        <v>707</v>
      </c>
      <c r="BH938" s="9" t="s">
        <v>707</v>
      </c>
      <c r="BI938" s="9" t="s">
        <v>213</v>
      </c>
      <c r="BJ938" s="9" t="s">
        <v>176</v>
      </c>
      <c r="BK938" s="9"/>
      <c r="BL938" s="9" t="s">
        <v>176</v>
      </c>
      <c r="BM938" s="9"/>
      <c r="BN938" s="9" t="s">
        <v>212</v>
      </c>
      <c r="BO938" s="9" t="s">
        <v>500</v>
      </c>
      <c r="BP938" s="9" t="s">
        <v>500</v>
      </c>
      <c r="BQ938" s="9" t="s">
        <v>7444</v>
      </c>
      <c r="BR938" s="9"/>
      <c r="BS938" s="9"/>
      <c r="BT938" s="9"/>
      <c r="BU938" s="9" t="s">
        <v>7444</v>
      </c>
      <c r="BV938" s="9"/>
      <c r="BW938" s="9"/>
      <c r="BX938" s="9"/>
      <c r="BY938" s="9" t="s">
        <v>176</v>
      </c>
      <c r="BZ938" s="9"/>
      <c r="CA938" s="9"/>
      <c r="CB938" s="9"/>
      <c r="CC938" s="9" t="s">
        <v>7444</v>
      </c>
      <c r="CD938" s="9"/>
      <c r="CE938" s="9"/>
      <c r="CF938" s="9"/>
      <c r="CG938" s="9" t="s">
        <v>7444</v>
      </c>
      <c r="CH938" s="9"/>
      <c r="CI938" s="9"/>
      <c r="CJ938" s="9"/>
      <c r="CK938" s="9"/>
      <c r="CL938" s="9" t="s">
        <v>7445</v>
      </c>
      <c r="CM938" s="9"/>
      <c r="CN938" s="9"/>
      <c r="CO938" s="9"/>
      <c r="CP938" s="9"/>
      <c r="CQ938" s="9"/>
      <c r="CR938" s="9"/>
      <c r="CS938" s="9" t="s">
        <v>213</v>
      </c>
      <c r="CT938" s="9"/>
      <c r="CU938" s="9"/>
      <c r="CV938" s="9"/>
      <c r="CW938" s="9">
        <v>4</v>
      </c>
      <c r="CX938" s="9" t="s">
        <v>99</v>
      </c>
      <c r="CY938" s="9" t="s">
        <v>110</v>
      </c>
      <c r="CZ938" s="9">
        <v>30</v>
      </c>
      <c r="DA938" s="9">
        <v>20</v>
      </c>
      <c r="DB938" s="9">
        <v>50</v>
      </c>
      <c r="DC938" s="9">
        <v>77</v>
      </c>
      <c r="DD938" s="9">
        <v>0.67</v>
      </c>
      <c r="DE938" s="10">
        <v>257</v>
      </c>
      <c r="DF938" s="9">
        <v>89</v>
      </c>
      <c r="DG938" s="9">
        <f t="shared" si="14"/>
        <v>4.4162208957929119</v>
      </c>
      <c r="DH938" s="9">
        <v>17.8</v>
      </c>
      <c r="DI938" s="9">
        <v>3.95</v>
      </c>
      <c r="DJ938" s="9"/>
      <c r="DK938" s="9"/>
      <c r="DL938" s="9">
        <v>70</v>
      </c>
      <c r="DM938" s="9">
        <v>169</v>
      </c>
      <c r="DN938" s="9"/>
      <c r="DO938" s="9"/>
      <c r="DR938" s="33">
        <v>1</v>
      </c>
    </row>
    <row r="939" spans="1:157" customFormat="1" x14ac:dyDescent="0.2">
      <c r="A939" s="127" t="s">
        <v>7446</v>
      </c>
      <c r="B939" s="128">
        <v>43805</v>
      </c>
      <c r="C939" s="127" t="s">
        <v>196</v>
      </c>
      <c r="D939" s="127">
        <v>46</v>
      </c>
      <c r="E939" s="127" t="s">
        <v>100</v>
      </c>
      <c r="F939" s="128">
        <v>26971</v>
      </c>
      <c r="G939" s="127" t="s">
        <v>813</v>
      </c>
      <c r="H939" s="127" t="s">
        <v>5495</v>
      </c>
      <c r="I939" s="127" t="s">
        <v>4856</v>
      </c>
      <c r="J939" s="127" t="s">
        <v>5879</v>
      </c>
      <c r="K939" s="128">
        <v>35499</v>
      </c>
      <c r="L939" s="127">
        <v>2</v>
      </c>
      <c r="M939" s="127" t="s">
        <v>7447</v>
      </c>
      <c r="N939" s="127" t="s">
        <v>5493</v>
      </c>
      <c r="O939" s="127" t="s">
        <v>99</v>
      </c>
      <c r="P939" s="127" t="s">
        <v>5493</v>
      </c>
      <c r="Q939" s="127" t="s">
        <v>5493</v>
      </c>
      <c r="R939" s="127" t="s">
        <v>110</v>
      </c>
      <c r="S939" s="127" t="s">
        <v>99</v>
      </c>
      <c r="T939" s="127" t="s">
        <v>99</v>
      </c>
      <c r="U939" s="127" t="s">
        <v>99</v>
      </c>
      <c r="V939" s="127" t="s">
        <v>99</v>
      </c>
      <c r="W939" s="127" t="s">
        <v>99</v>
      </c>
      <c r="X939" s="127" t="s">
        <v>99</v>
      </c>
      <c r="Y939" s="127" t="s">
        <v>500</v>
      </c>
      <c r="Z939" s="127" t="s">
        <v>500</v>
      </c>
      <c r="AA939" s="127" t="s">
        <v>100</v>
      </c>
      <c r="AB939" s="127" t="s">
        <v>2234</v>
      </c>
      <c r="AC939" s="127" t="s">
        <v>100</v>
      </c>
      <c r="AD939" s="127" t="s">
        <v>2234</v>
      </c>
      <c r="AE939" s="127" t="s">
        <v>1125</v>
      </c>
      <c r="AF939" s="127" t="s">
        <v>5104</v>
      </c>
      <c r="AG939" s="127" t="s">
        <v>7448</v>
      </c>
      <c r="AH939" s="129" t="s">
        <v>99</v>
      </c>
      <c r="AI939" s="127" t="s">
        <v>99</v>
      </c>
      <c r="AJ939" s="9" t="s">
        <v>99</v>
      </c>
      <c r="AK939" s="9" t="s">
        <v>99</v>
      </c>
      <c r="AL939" s="9" t="s">
        <v>4501</v>
      </c>
      <c r="AM939" s="9">
        <v>162</v>
      </c>
      <c r="AN939" s="10">
        <v>97</v>
      </c>
      <c r="AO939" s="9">
        <v>105</v>
      </c>
      <c r="AP939" s="9" t="s">
        <v>4287</v>
      </c>
      <c r="AQ939" s="9">
        <v>9</v>
      </c>
      <c r="AR939" s="9" t="s">
        <v>4730</v>
      </c>
      <c r="AS939" s="9"/>
      <c r="AT939" s="9">
        <v>29</v>
      </c>
      <c r="AU939" s="9">
        <v>125</v>
      </c>
      <c r="AV939" s="9">
        <v>86</v>
      </c>
      <c r="AW939" s="9"/>
      <c r="AX939" s="9" t="s">
        <v>212</v>
      </c>
      <c r="AY939" s="9"/>
      <c r="AZ939" s="9"/>
      <c r="BA939" s="9"/>
      <c r="BB939" s="9" t="s">
        <v>7449</v>
      </c>
      <c r="BC939" s="9"/>
      <c r="BD939" s="9"/>
      <c r="BE939" s="9"/>
      <c r="BF939" s="9" t="s">
        <v>7449</v>
      </c>
      <c r="BG939" s="9" t="s">
        <v>7450</v>
      </c>
      <c r="BH939" s="9" t="s">
        <v>176</v>
      </c>
      <c r="BI939" s="9" t="s">
        <v>350</v>
      </c>
      <c r="BJ939" s="9" t="s">
        <v>176</v>
      </c>
      <c r="BK939" s="9" t="s">
        <v>350</v>
      </c>
      <c r="BL939" s="9"/>
      <c r="BM939" s="9" t="s">
        <v>7451</v>
      </c>
      <c r="BN939" s="9"/>
      <c r="BO939" s="9"/>
      <c r="BP939" s="9"/>
      <c r="BQ939" s="9" t="s">
        <v>500</v>
      </c>
      <c r="BR939" s="9"/>
      <c r="BS939" s="9"/>
      <c r="BT939" s="9"/>
      <c r="BU939" s="9"/>
      <c r="BV939" s="9" t="s">
        <v>99</v>
      </c>
      <c r="BW939" s="9"/>
      <c r="BX939" s="9"/>
      <c r="BY939" s="9"/>
      <c r="BZ939" s="9" t="s">
        <v>7451</v>
      </c>
      <c r="CA939" s="9"/>
      <c r="CB939" s="9"/>
      <c r="CC939" s="9" t="s">
        <v>500</v>
      </c>
      <c r="CD939" s="9"/>
      <c r="CE939" s="9"/>
      <c r="CF939" s="9"/>
      <c r="CG939" s="9"/>
      <c r="CH939" s="9" t="s">
        <v>99</v>
      </c>
      <c r="CI939" s="9"/>
      <c r="CJ939" s="9"/>
      <c r="CK939" s="9"/>
      <c r="CL939" s="9" t="s">
        <v>7452</v>
      </c>
      <c r="CM939" s="9"/>
      <c r="CN939" s="9"/>
      <c r="CO939" s="9"/>
      <c r="CP939" s="9" t="s">
        <v>7451</v>
      </c>
      <c r="CQ939" s="9"/>
      <c r="CR939" s="9"/>
      <c r="CS939" s="9" t="s">
        <v>7453</v>
      </c>
      <c r="CT939" s="9"/>
      <c r="CU939" s="9"/>
      <c r="CV939" s="9"/>
      <c r="CW939" s="9">
        <v>3</v>
      </c>
      <c r="CX939" s="9" t="s">
        <v>5978</v>
      </c>
      <c r="CY939" s="9" t="s">
        <v>99</v>
      </c>
      <c r="CZ939" s="9">
        <v>50</v>
      </c>
      <c r="DA939" s="9">
        <v>40</v>
      </c>
      <c r="DB939" s="9"/>
      <c r="DC939" s="9">
        <v>89.7</v>
      </c>
      <c r="DD939" s="9">
        <v>0.6</v>
      </c>
      <c r="DE939" s="10">
        <v>219</v>
      </c>
      <c r="DF939" s="9">
        <v>88</v>
      </c>
      <c r="DG939" s="9">
        <f t="shared" si="14"/>
        <v>4.4869037917714785</v>
      </c>
      <c r="DH939" s="9">
        <v>17.600000000000001</v>
      </c>
      <c r="DI939" s="9">
        <v>4.83</v>
      </c>
      <c r="DJ939" s="9"/>
      <c r="DK939" s="9"/>
      <c r="DL939" s="10">
        <v>47.1</v>
      </c>
      <c r="DM939" s="9">
        <v>154.30000000000001</v>
      </c>
      <c r="DN939" s="9"/>
      <c r="DO939" s="9"/>
      <c r="DR939">
        <v>3</v>
      </c>
    </row>
    <row r="940" spans="1:157" customFormat="1" x14ac:dyDescent="0.2">
      <c r="A940" s="127" t="s">
        <v>7454</v>
      </c>
      <c r="B940" s="128">
        <v>43805</v>
      </c>
      <c r="C940" s="127" t="s">
        <v>196</v>
      </c>
      <c r="D940" s="127">
        <v>25</v>
      </c>
      <c r="E940" s="127" t="s">
        <v>100</v>
      </c>
      <c r="F940" s="127"/>
      <c r="G940" s="127" t="s">
        <v>837</v>
      </c>
      <c r="H940" s="127" t="s">
        <v>7455</v>
      </c>
      <c r="I940" s="127" t="s">
        <v>500</v>
      </c>
      <c r="J940" s="127" t="s">
        <v>500</v>
      </c>
      <c r="K940" s="127" t="s">
        <v>500</v>
      </c>
      <c r="L940" s="127" t="s">
        <v>500</v>
      </c>
      <c r="M940" s="127" t="s">
        <v>99</v>
      </c>
      <c r="N940" s="127" t="s">
        <v>99</v>
      </c>
      <c r="O940" s="127" t="s">
        <v>99</v>
      </c>
      <c r="P940" s="127" t="s">
        <v>7456</v>
      </c>
      <c r="Q940" s="127" t="s">
        <v>99</v>
      </c>
      <c r="R940" s="127" t="s">
        <v>99</v>
      </c>
      <c r="S940" s="127" t="s">
        <v>99</v>
      </c>
      <c r="T940" s="127" t="s">
        <v>99</v>
      </c>
      <c r="U940" s="127" t="s">
        <v>99</v>
      </c>
      <c r="V940" s="127" t="s">
        <v>99</v>
      </c>
      <c r="W940" s="127" t="s">
        <v>7457</v>
      </c>
      <c r="X940" s="127" t="s">
        <v>99</v>
      </c>
      <c r="Y940" s="127" t="s">
        <v>500</v>
      </c>
      <c r="Z940" s="127" t="s">
        <v>500</v>
      </c>
      <c r="AA940" s="127" t="s">
        <v>100</v>
      </c>
      <c r="AB940" s="127" t="s">
        <v>100</v>
      </c>
      <c r="AC940" s="127" t="s">
        <v>100</v>
      </c>
      <c r="AD940" s="127" t="s">
        <v>100</v>
      </c>
      <c r="AE940" s="127" t="s">
        <v>99</v>
      </c>
      <c r="AF940" s="127" t="s">
        <v>5284</v>
      </c>
      <c r="AG940" s="127" t="s">
        <v>1598</v>
      </c>
      <c r="AH940" s="129" t="s">
        <v>343</v>
      </c>
      <c r="AI940" s="127" t="s">
        <v>5493</v>
      </c>
      <c r="AJ940" s="9" t="s">
        <v>99</v>
      </c>
      <c r="AK940" s="9" t="s">
        <v>99</v>
      </c>
      <c r="AL940" s="9" t="s">
        <v>7458</v>
      </c>
      <c r="AM940" s="9">
        <v>170</v>
      </c>
      <c r="AN940" s="10">
        <v>84</v>
      </c>
      <c r="AO940" s="9">
        <v>101</v>
      </c>
      <c r="AP940" s="9" t="s">
        <v>7459</v>
      </c>
      <c r="AQ940" s="9">
        <v>4</v>
      </c>
      <c r="AR940" s="9" t="s">
        <v>167</v>
      </c>
      <c r="AS940" s="9">
        <v>30</v>
      </c>
      <c r="AT940" s="7" t="s">
        <v>4730</v>
      </c>
      <c r="AU940" s="9">
        <v>95</v>
      </c>
      <c r="AV940" s="9">
        <v>64</v>
      </c>
      <c r="AW940" s="9" t="s">
        <v>350</v>
      </c>
      <c r="AX940" s="9"/>
      <c r="AY940" s="9"/>
      <c r="AZ940" s="9"/>
      <c r="BA940" s="9" t="s">
        <v>351</v>
      </c>
      <c r="BB940" s="9"/>
      <c r="BC940" s="9"/>
      <c r="BD940" s="9"/>
      <c r="BE940" s="9" t="s">
        <v>351</v>
      </c>
      <c r="BF940" s="9" t="s">
        <v>110</v>
      </c>
      <c r="BG940" s="9" t="s">
        <v>110</v>
      </c>
      <c r="BH940" s="9" t="s">
        <v>99</v>
      </c>
      <c r="BI940" s="9" t="s">
        <v>110</v>
      </c>
      <c r="BJ940" s="9" t="s">
        <v>110</v>
      </c>
      <c r="BK940" s="9" t="s">
        <v>99</v>
      </c>
      <c r="BL940" s="9" t="s">
        <v>350</v>
      </c>
      <c r="BM940" s="9"/>
      <c r="BN940" s="9"/>
      <c r="BO940" s="9"/>
      <c r="BP940" s="9"/>
      <c r="BQ940" s="9"/>
      <c r="BR940" s="9" t="s">
        <v>110</v>
      </c>
      <c r="BS940" s="9"/>
      <c r="BT940" s="9"/>
      <c r="BU940" s="9"/>
      <c r="BV940" s="9" t="s">
        <v>110</v>
      </c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>
        <v>83.8</v>
      </c>
      <c r="DD940" s="9">
        <v>0.96</v>
      </c>
      <c r="DE940" s="9">
        <v>186</v>
      </c>
      <c r="DF940" s="9">
        <v>80</v>
      </c>
      <c r="DG940" s="9">
        <f t="shared" si="14"/>
        <v>4.4052298210809591</v>
      </c>
      <c r="DH940" s="9">
        <v>16</v>
      </c>
      <c r="DI940" s="9">
        <v>4.83</v>
      </c>
      <c r="DJ940" s="9"/>
      <c r="DK940" s="9"/>
      <c r="DL940" s="10">
        <v>42.8</v>
      </c>
      <c r="DM940" s="9">
        <v>127.2</v>
      </c>
      <c r="DN940" s="9"/>
      <c r="DO940" s="9"/>
      <c r="DP940" s="53">
        <v>1</v>
      </c>
      <c r="DU940">
        <v>6.8</v>
      </c>
    </row>
    <row r="941" spans="1:157" customFormat="1" x14ac:dyDescent="0.2">
      <c r="A941" s="143" t="s">
        <v>7460</v>
      </c>
      <c r="B941" s="128">
        <v>43805</v>
      </c>
      <c r="C941" s="127" t="s">
        <v>675</v>
      </c>
      <c r="D941" s="127">
        <v>34</v>
      </c>
      <c r="E941" s="127" t="s">
        <v>100</v>
      </c>
      <c r="F941" s="128">
        <v>31328</v>
      </c>
      <c r="G941" s="127" t="s">
        <v>837</v>
      </c>
      <c r="H941" s="127" t="s">
        <v>7461</v>
      </c>
      <c r="I941" s="127"/>
      <c r="J941" s="127"/>
      <c r="K941" s="127"/>
      <c r="L941" s="127"/>
      <c r="M941" s="127" t="s">
        <v>99</v>
      </c>
      <c r="N941" s="127" t="s">
        <v>99</v>
      </c>
      <c r="O941" s="127" t="s">
        <v>110</v>
      </c>
      <c r="P941" s="127" t="s">
        <v>1638</v>
      </c>
      <c r="Q941" s="127" t="s">
        <v>7122</v>
      </c>
      <c r="R941" s="127" t="s">
        <v>110</v>
      </c>
      <c r="S941" s="127" t="s">
        <v>99</v>
      </c>
      <c r="T941" s="127" t="s">
        <v>110</v>
      </c>
      <c r="U941" s="127" t="s">
        <v>99</v>
      </c>
      <c r="V941" s="127" t="s">
        <v>99</v>
      </c>
      <c r="W941" s="127" t="s">
        <v>99</v>
      </c>
      <c r="X941" s="127" t="s">
        <v>500</v>
      </c>
      <c r="Y941" s="127" t="s">
        <v>500</v>
      </c>
      <c r="Z941" s="127" t="s">
        <v>500</v>
      </c>
      <c r="AA941" s="127" t="s">
        <v>100</v>
      </c>
      <c r="AB941" s="127" t="s">
        <v>100</v>
      </c>
      <c r="AC941" s="127" t="s">
        <v>100</v>
      </c>
      <c r="AD941" s="127" t="s">
        <v>100</v>
      </c>
      <c r="AE941" s="127" t="s">
        <v>1959</v>
      </c>
      <c r="AF941" s="127" t="s">
        <v>99</v>
      </c>
      <c r="AG941" s="127" t="s">
        <v>1959</v>
      </c>
      <c r="AH941" s="129" t="s">
        <v>7462</v>
      </c>
      <c r="AI941" s="127" t="s">
        <v>7463</v>
      </c>
      <c r="AJ941" s="9" t="s">
        <v>99</v>
      </c>
      <c r="AK941" s="9" t="s">
        <v>99</v>
      </c>
      <c r="AL941" s="9" t="s">
        <v>4775</v>
      </c>
      <c r="AM941" s="9">
        <v>174</v>
      </c>
      <c r="AN941" s="7">
        <v>80</v>
      </c>
      <c r="AO941" s="9">
        <v>95</v>
      </c>
      <c r="AP941" s="9" t="s">
        <v>7464</v>
      </c>
      <c r="AQ941" s="9">
        <v>6</v>
      </c>
      <c r="AR941" s="9" t="s">
        <v>7465</v>
      </c>
      <c r="AS941" s="9">
        <v>34</v>
      </c>
      <c r="AT941" s="7" t="s">
        <v>7466</v>
      </c>
      <c r="AU941" s="9">
        <v>126</v>
      </c>
      <c r="AV941" s="9">
        <v>85</v>
      </c>
      <c r="AW941" s="9" t="s">
        <v>351</v>
      </c>
      <c r="AX941" s="9" t="s">
        <v>729</v>
      </c>
      <c r="AY941" s="9" t="s">
        <v>1128</v>
      </c>
      <c r="AZ941" s="9" t="s">
        <v>1800</v>
      </c>
      <c r="BA941" s="9" t="s">
        <v>351</v>
      </c>
      <c r="BB941" s="9" t="s">
        <v>2541</v>
      </c>
      <c r="BC941" s="9" t="s">
        <v>5595</v>
      </c>
      <c r="BD941" s="9" t="s">
        <v>1130</v>
      </c>
      <c r="BE941" s="9" t="s">
        <v>351</v>
      </c>
      <c r="BF941" s="9" t="s">
        <v>174</v>
      </c>
      <c r="BG941" s="9" t="s">
        <v>7467</v>
      </c>
      <c r="BH941" s="9" t="s">
        <v>99</v>
      </c>
      <c r="BI941" s="9" t="s">
        <v>7468</v>
      </c>
      <c r="BJ941" s="9" t="s">
        <v>7468</v>
      </c>
      <c r="BK941" s="9" t="s">
        <v>7468</v>
      </c>
      <c r="BL941" s="9" t="s">
        <v>351</v>
      </c>
      <c r="BM941" s="9"/>
      <c r="BN941" s="9" t="s">
        <v>180</v>
      </c>
      <c r="BO941" s="9" t="s">
        <v>219</v>
      </c>
      <c r="BP941" s="9" t="s">
        <v>6000</v>
      </c>
      <c r="BQ941" s="9"/>
      <c r="BR941" s="9" t="s">
        <v>99</v>
      </c>
      <c r="BS941" s="9" t="s">
        <v>99</v>
      </c>
      <c r="BT941" s="9" t="s">
        <v>99</v>
      </c>
      <c r="BU941" s="9"/>
      <c r="BV941" s="9" t="s">
        <v>99</v>
      </c>
      <c r="BW941" s="9" t="s">
        <v>99</v>
      </c>
      <c r="BX941" s="9" t="s">
        <v>99</v>
      </c>
      <c r="BY941" s="9" t="s">
        <v>176</v>
      </c>
      <c r="BZ941" s="9" t="s">
        <v>7222</v>
      </c>
      <c r="CA941" s="9" t="s">
        <v>357</v>
      </c>
      <c r="CB941" s="9" t="s">
        <v>184</v>
      </c>
      <c r="CC941" s="9" t="s">
        <v>99</v>
      </c>
      <c r="CD941" s="9"/>
      <c r="CE941" s="9"/>
      <c r="CF941" s="9"/>
      <c r="CG941" s="9" t="s">
        <v>99</v>
      </c>
      <c r="CH941" s="9"/>
      <c r="CI941" s="9"/>
      <c r="CJ941" s="9"/>
      <c r="CK941" s="9" t="s">
        <v>7469</v>
      </c>
      <c r="CL941" s="9" t="s">
        <v>579</v>
      </c>
      <c r="CM941" s="9" t="s">
        <v>4827</v>
      </c>
      <c r="CN941" s="9" t="s">
        <v>825</v>
      </c>
      <c r="CO941" s="9" t="s">
        <v>351</v>
      </c>
      <c r="CP941" s="9" t="s">
        <v>757</v>
      </c>
      <c r="CQ941" s="9" t="s">
        <v>716</v>
      </c>
      <c r="CR941" s="9" t="s">
        <v>362</v>
      </c>
      <c r="CS941" s="9" t="s">
        <v>350</v>
      </c>
      <c r="CT941" s="9" t="s">
        <v>187</v>
      </c>
      <c r="CU941" s="9" t="s">
        <v>1729</v>
      </c>
      <c r="CV941" s="9" t="s">
        <v>980</v>
      </c>
      <c r="CW941" s="9">
        <v>5</v>
      </c>
      <c r="CX941" s="9" t="s">
        <v>110</v>
      </c>
      <c r="CY941" s="9" t="s">
        <v>110</v>
      </c>
      <c r="CZ941" s="9">
        <v>50</v>
      </c>
      <c r="DA941" s="9">
        <v>40</v>
      </c>
      <c r="DB941" s="9"/>
      <c r="DC941" s="9">
        <v>88.3</v>
      </c>
      <c r="DD941" s="9">
        <v>0.75</v>
      </c>
      <c r="DE941" s="9">
        <v>184</v>
      </c>
      <c r="DF941" s="9">
        <v>94</v>
      </c>
      <c r="DG941" s="9">
        <f t="shared" si="14"/>
        <v>4.5120174449399588</v>
      </c>
      <c r="DH941" s="9">
        <v>18.8</v>
      </c>
      <c r="DI941" s="9">
        <v>5.16</v>
      </c>
      <c r="DJ941" s="9"/>
      <c r="DK941" s="9"/>
      <c r="DL941" s="9">
        <v>47</v>
      </c>
      <c r="DM941" s="9">
        <v>118.2</v>
      </c>
      <c r="DN941" s="9"/>
      <c r="DO941" s="9"/>
      <c r="DP941" s="53">
        <v>1</v>
      </c>
      <c r="DR941">
        <v>3</v>
      </c>
      <c r="DU941">
        <v>4.3</v>
      </c>
    </row>
    <row r="942" spans="1:157" customFormat="1" x14ac:dyDescent="0.2">
      <c r="A942" s="127" t="s">
        <v>7470</v>
      </c>
      <c r="B942" s="128">
        <v>40518</v>
      </c>
      <c r="C942" s="127" t="s">
        <v>675</v>
      </c>
      <c r="D942" s="127">
        <v>21</v>
      </c>
      <c r="E942" s="127" t="s">
        <v>100</v>
      </c>
      <c r="F942" s="128">
        <v>35900</v>
      </c>
      <c r="G942" s="127" t="s">
        <v>7471</v>
      </c>
      <c r="H942" s="127" t="s">
        <v>7472</v>
      </c>
      <c r="I942" s="127"/>
      <c r="J942" s="127"/>
      <c r="K942" s="127"/>
      <c r="L942" s="127"/>
      <c r="M942" s="127" t="s">
        <v>99</v>
      </c>
      <c r="N942" s="127" t="s">
        <v>99</v>
      </c>
      <c r="O942" s="127" t="s">
        <v>99</v>
      </c>
      <c r="P942" s="127" t="s">
        <v>1638</v>
      </c>
      <c r="Q942" s="127" t="s">
        <v>4975</v>
      </c>
      <c r="R942" s="127" t="s">
        <v>99</v>
      </c>
      <c r="S942" s="127" t="s">
        <v>99</v>
      </c>
      <c r="T942" s="127" t="s">
        <v>110</v>
      </c>
      <c r="U942" s="127" t="s">
        <v>99</v>
      </c>
      <c r="V942" s="127" t="s">
        <v>99</v>
      </c>
      <c r="W942" s="127" t="s">
        <v>7473</v>
      </c>
      <c r="X942" s="127" t="s">
        <v>500</v>
      </c>
      <c r="Y942" s="127" t="s">
        <v>500</v>
      </c>
      <c r="Z942" s="127" t="s">
        <v>500</v>
      </c>
      <c r="AA942" s="127" t="s">
        <v>100</v>
      </c>
      <c r="AB942" s="127" t="s">
        <v>100</v>
      </c>
      <c r="AC942" s="127" t="s">
        <v>5409</v>
      </c>
      <c r="AD942" s="127" t="s">
        <v>5409</v>
      </c>
      <c r="AE942" s="127" t="s">
        <v>4981</v>
      </c>
      <c r="AF942" s="127"/>
      <c r="AG942" s="127"/>
      <c r="AH942" s="129"/>
      <c r="AI942" s="127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>
        <v>87.1</v>
      </c>
      <c r="DD942" s="9">
        <v>0.86</v>
      </c>
      <c r="DE942" s="9">
        <v>171</v>
      </c>
      <c r="DF942" s="9">
        <v>135</v>
      </c>
      <c r="DG942" s="9">
        <f t="shared" si="14"/>
        <v>4.6861658311484433</v>
      </c>
      <c r="DH942" s="9">
        <v>27</v>
      </c>
      <c r="DI942" s="10">
        <v>8.19</v>
      </c>
      <c r="DJ942" s="9"/>
      <c r="DK942" s="9"/>
      <c r="DL942" s="9">
        <v>49</v>
      </c>
      <c r="DM942" s="9">
        <v>95</v>
      </c>
      <c r="DN942" s="9"/>
      <c r="DO942" s="9"/>
      <c r="DP942" s="53">
        <v>3</v>
      </c>
      <c r="DR942">
        <v>3</v>
      </c>
      <c r="DU942">
        <v>7.5</v>
      </c>
    </row>
    <row r="943" spans="1:157" customFormat="1" x14ac:dyDescent="0.2">
      <c r="A943" s="127" t="s">
        <v>7474</v>
      </c>
      <c r="B943" s="127">
        <v>43804</v>
      </c>
      <c r="C943" s="127" t="s">
        <v>196</v>
      </c>
      <c r="D943" s="127">
        <v>48</v>
      </c>
      <c r="E943" s="127" t="s">
        <v>100</v>
      </c>
      <c r="F943" s="127">
        <v>26268</v>
      </c>
      <c r="G943" s="127"/>
      <c r="H943" s="127"/>
      <c r="I943" s="127" t="s">
        <v>198</v>
      </c>
      <c r="J943" s="127" t="s">
        <v>500</v>
      </c>
      <c r="K943" s="127">
        <v>2003</v>
      </c>
      <c r="L943" s="127">
        <v>4</v>
      </c>
      <c r="M943" s="127" t="s">
        <v>99</v>
      </c>
      <c r="N943" s="127" t="s">
        <v>99</v>
      </c>
      <c r="O943" s="127" t="s">
        <v>110</v>
      </c>
      <c r="P943" s="127" t="s">
        <v>99</v>
      </c>
      <c r="Q943" s="127" t="s">
        <v>1571</v>
      </c>
      <c r="R943" s="127" t="s">
        <v>110</v>
      </c>
      <c r="S943" s="127" t="s">
        <v>99</v>
      </c>
      <c r="T943" s="127" t="s">
        <v>99</v>
      </c>
      <c r="U943" s="127" t="s">
        <v>7475</v>
      </c>
      <c r="V943" s="127" t="s">
        <v>99</v>
      </c>
      <c r="W943" s="127" t="s">
        <v>7476</v>
      </c>
      <c r="X943" s="127" t="s">
        <v>99</v>
      </c>
      <c r="Y943" s="127" t="s">
        <v>500</v>
      </c>
      <c r="Z943" s="127"/>
      <c r="AA943" s="127" t="s">
        <v>100</v>
      </c>
      <c r="AB943" s="127" t="s">
        <v>100</v>
      </c>
      <c r="AC943" s="127" t="s">
        <v>100</v>
      </c>
      <c r="AD943" s="127" t="s">
        <v>100</v>
      </c>
      <c r="AE943" s="127" t="s">
        <v>7477</v>
      </c>
      <c r="AF943" s="127" t="s">
        <v>7478</v>
      </c>
      <c r="AG943" s="127" t="s">
        <v>99</v>
      </c>
      <c r="AH943" s="129" t="s">
        <v>246</v>
      </c>
      <c r="AI943" s="127" t="s">
        <v>99</v>
      </c>
      <c r="AJ943" s="9" t="s">
        <v>99</v>
      </c>
      <c r="AK943" s="9" t="s">
        <v>99</v>
      </c>
      <c r="AL943" s="9">
        <v>78</v>
      </c>
      <c r="AM943" s="9"/>
      <c r="AN943" s="9"/>
      <c r="AO943" s="9"/>
      <c r="AP943" s="9">
        <v>44.5</v>
      </c>
      <c r="AQ943" s="9">
        <v>11</v>
      </c>
      <c r="AR943" s="9">
        <v>25.3</v>
      </c>
      <c r="AS943" s="9">
        <v>68</v>
      </c>
      <c r="AT943" s="9">
        <v>34.700000000000003</v>
      </c>
      <c r="AU943" s="9">
        <v>126</v>
      </c>
      <c r="AV943" s="9">
        <v>81</v>
      </c>
      <c r="AW943" s="9"/>
      <c r="AX943" s="9" t="s">
        <v>7451</v>
      </c>
      <c r="AY943" s="9"/>
      <c r="AZ943" s="9"/>
      <c r="BA943" s="9"/>
      <c r="BB943" s="9" t="s">
        <v>7451</v>
      </c>
      <c r="BC943" s="9"/>
      <c r="BD943" s="9"/>
      <c r="BE943" s="9"/>
      <c r="BF943" s="9" t="s">
        <v>7479</v>
      </c>
      <c r="BG943" s="9" t="s">
        <v>7480</v>
      </c>
      <c r="BH943" s="9" t="s">
        <v>7481</v>
      </c>
      <c r="BI943" s="9" t="s">
        <v>7451</v>
      </c>
      <c r="BJ943" s="9" t="s">
        <v>7482</v>
      </c>
      <c r="BK943" s="9" t="s">
        <v>7483</v>
      </c>
      <c r="BL943" s="9" t="s">
        <v>7451</v>
      </c>
      <c r="BM943" s="9"/>
      <c r="BN943" s="9"/>
      <c r="BO943" s="9"/>
      <c r="BP943" s="9"/>
      <c r="BQ943" s="9"/>
      <c r="BR943" s="9" t="s">
        <v>7473</v>
      </c>
      <c r="BS943" s="9"/>
      <c r="BT943" s="9"/>
      <c r="BU943" s="9"/>
      <c r="BV943" s="9" t="s">
        <v>7473</v>
      </c>
      <c r="BW943" s="9"/>
      <c r="BX943" s="9"/>
      <c r="BY943" s="9"/>
      <c r="BZ943" s="9" t="s">
        <v>7451</v>
      </c>
      <c r="CA943" s="9"/>
      <c r="CB943" s="9"/>
      <c r="CC943" s="9"/>
      <c r="CD943" s="9" t="s">
        <v>7484</v>
      </c>
      <c r="CE943" s="9"/>
      <c r="CF943" s="9"/>
      <c r="CG943" s="9"/>
      <c r="CH943" s="9" t="s">
        <v>7473</v>
      </c>
      <c r="CI943" s="9"/>
      <c r="CJ943" s="9"/>
      <c r="CK943" s="9"/>
      <c r="CL943" s="9" t="s">
        <v>7485</v>
      </c>
      <c r="CM943" s="9"/>
      <c r="CN943" s="9"/>
      <c r="CO943" s="9"/>
      <c r="CP943" s="9" t="s">
        <v>7486</v>
      </c>
      <c r="CQ943" s="9"/>
      <c r="CR943" s="9"/>
      <c r="CS943" s="9"/>
      <c r="CT943" s="9" t="s">
        <v>7451</v>
      </c>
      <c r="CU943" s="9"/>
      <c r="CV943" s="9"/>
      <c r="CW943" s="9">
        <v>4</v>
      </c>
      <c r="CX943" s="9" t="s">
        <v>99</v>
      </c>
      <c r="CY943" s="9" t="s">
        <v>99</v>
      </c>
      <c r="CZ943" s="9">
        <v>50</v>
      </c>
      <c r="DA943" s="9">
        <v>20</v>
      </c>
      <c r="DB943" s="9">
        <v>30</v>
      </c>
      <c r="DC943" s="9">
        <v>89.9</v>
      </c>
      <c r="DD943" s="9">
        <v>0.64</v>
      </c>
      <c r="DE943" s="173">
        <v>245</v>
      </c>
      <c r="DF943" s="9">
        <v>141</v>
      </c>
      <c r="DG943" s="9">
        <f t="shared" si="14"/>
        <v>4.7237289159278717</v>
      </c>
      <c r="DH943" s="9">
        <v>28.2</v>
      </c>
      <c r="DI943" s="9">
        <v>3.9</v>
      </c>
      <c r="DJ943" s="9"/>
      <c r="DK943" s="9"/>
      <c r="DL943" s="9">
        <v>68.2</v>
      </c>
      <c r="DM943" s="9">
        <v>148.6</v>
      </c>
      <c r="DN943" s="9"/>
      <c r="DO943" s="9"/>
      <c r="DR943">
        <v>2</v>
      </c>
    </row>
    <row r="944" spans="1:157" customFormat="1" x14ac:dyDescent="0.2">
      <c r="A944" s="127" t="s">
        <v>7487</v>
      </c>
      <c r="B944" s="127">
        <v>43804</v>
      </c>
      <c r="C944" s="127" t="s">
        <v>196</v>
      </c>
      <c r="D944" s="127">
        <v>46</v>
      </c>
      <c r="E944" s="127" t="s">
        <v>100</v>
      </c>
      <c r="F944" s="127">
        <v>28523</v>
      </c>
      <c r="G944" s="127" t="s">
        <v>837</v>
      </c>
      <c r="H944" s="127" t="s">
        <v>7488</v>
      </c>
      <c r="I944" s="127" t="s">
        <v>198</v>
      </c>
      <c r="J944" s="127" t="s">
        <v>500</v>
      </c>
      <c r="K944" s="127">
        <v>38085</v>
      </c>
      <c r="L944" s="127">
        <v>3</v>
      </c>
      <c r="M944" s="127" t="s">
        <v>99</v>
      </c>
      <c r="N944" s="127" t="s">
        <v>99</v>
      </c>
      <c r="O944" s="127" t="s">
        <v>99</v>
      </c>
      <c r="P944" s="127" t="s">
        <v>99</v>
      </c>
      <c r="Q944" s="127" t="s">
        <v>99</v>
      </c>
      <c r="R944" s="127" t="s">
        <v>99</v>
      </c>
      <c r="S944" s="127" t="s">
        <v>99</v>
      </c>
      <c r="T944" s="127" t="s">
        <v>99</v>
      </c>
      <c r="U944" s="127" t="s">
        <v>99</v>
      </c>
      <c r="V944" s="127" t="s">
        <v>99</v>
      </c>
      <c r="W944" s="127" t="s">
        <v>99</v>
      </c>
      <c r="X944" s="127"/>
      <c r="Y944" s="127"/>
      <c r="Z944" s="127"/>
      <c r="AA944" s="127" t="s">
        <v>7489</v>
      </c>
      <c r="AB944" s="127" t="s">
        <v>7490</v>
      </c>
      <c r="AC944" s="127" t="s">
        <v>7489</v>
      </c>
      <c r="AD944" s="127" t="s">
        <v>5409</v>
      </c>
      <c r="AE944" s="127" t="s">
        <v>99</v>
      </c>
      <c r="AF944" s="127" t="s">
        <v>1127</v>
      </c>
      <c r="AG944" s="127" t="s">
        <v>110</v>
      </c>
      <c r="AH944" s="129" t="s">
        <v>99</v>
      </c>
      <c r="AI944" s="127" t="s">
        <v>99</v>
      </c>
      <c r="AJ944" s="9" t="s">
        <v>99</v>
      </c>
      <c r="AK944" s="9" t="s">
        <v>99</v>
      </c>
      <c r="AL944" s="9">
        <v>66.599999999999994</v>
      </c>
      <c r="AM944" s="9">
        <v>169</v>
      </c>
      <c r="AN944" s="7">
        <v>78</v>
      </c>
      <c r="AO944" s="9">
        <v>98.5</v>
      </c>
      <c r="AP944" s="9">
        <v>40.6</v>
      </c>
      <c r="AQ944" s="9">
        <v>6</v>
      </c>
      <c r="AR944" s="9">
        <v>21.5</v>
      </c>
      <c r="AS944" s="9">
        <v>33</v>
      </c>
      <c r="AT944" s="7">
        <v>23.3</v>
      </c>
      <c r="AU944" s="9">
        <v>117</v>
      </c>
      <c r="AV944" s="9">
        <v>82</v>
      </c>
      <c r="AW944" s="9"/>
      <c r="AX944" s="9" t="s">
        <v>7491</v>
      </c>
      <c r="AY944" s="9"/>
      <c r="AZ944" s="9"/>
      <c r="BA944" s="9"/>
      <c r="BB944" s="9" t="s">
        <v>7451</v>
      </c>
      <c r="BC944" s="9"/>
      <c r="BD944" s="9"/>
      <c r="BE944" s="9"/>
      <c r="BF944" s="9" t="s">
        <v>7492</v>
      </c>
      <c r="BG944" s="9" t="s">
        <v>7483</v>
      </c>
      <c r="BH944" s="9" t="s">
        <v>7493</v>
      </c>
      <c r="BI944" s="9" t="s">
        <v>7482</v>
      </c>
      <c r="BJ944" s="9" t="s">
        <v>7482</v>
      </c>
      <c r="BK944" s="9" t="s">
        <v>7494</v>
      </c>
      <c r="BL944" s="9"/>
      <c r="BM944" s="9"/>
      <c r="BN944" s="9" t="s">
        <v>7493</v>
      </c>
      <c r="BO944" s="9"/>
      <c r="BP944" s="9"/>
      <c r="BQ944" s="9"/>
      <c r="BR944" s="9" t="s">
        <v>7483</v>
      </c>
      <c r="BS944" s="9"/>
      <c r="BT944" s="9"/>
      <c r="BU944" s="9"/>
      <c r="BV944" s="9" t="s">
        <v>7493</v>
      </c>
      <c r="BW944" s="9"/>
      <c r="BX944" s="9"/>
      <c r="BY944" s="9"/>
      <c r="BZ944" s="9" t="s">
        <v>7495</v>
      </c>
      <c r="CA944" s="9"/>
      <c r="CB944" s="9"/>
      <c r="CC944" s="9"/>
      <c r="CD944" s="9" t="s">
        <v>7495</v>
      </c>
      <c r="CE944" s="9"/>
      <c r="CF944" s="9"/>
      <c r="CG944" s="9"/>
      <c r="CH944" s="9" t="s">
        <v>7479</v>
      </c>
      <c r="CI944" s="9"/>
      <c r="CJ944" s="9"/>
      <c r="CK944" s="9"/>
      <c r="CL944" s="9" t="s">
        <v>7496</v>
      </c>
      <c r="CM944" s="9"/>
      <c r="CN944" s="9"/>
      <c r="CO944" s="9"/>
      <c r="CP944" s="9"/>
      <c r="CQ944" s="9"/>
      <c r="CR944" s="9"/>
      <c r="CS944" s="9"/>
      <c r="CT944" s="9" t="s">
        <v>7482</v>
      </c>
      <c r="CU944" s="9"/>
      <c r="CV944" s="9"/>
      <c r="CW944" s="9">
        <v>4</v>
      </c>
      <c r="CX944" s="9" t="s">
        <v>110</v>
      </c>
      <c r="CY944" s="9" t="s">
        <v>110</v>
      </c>
      <c r="CZ944" s="9">
        <v>10</v>
      </c>
      <c r="DA944" s="9">
        <v>10</v>
      </c>
      <c r="DB944" s="9">
        <v>80</v>
      </c>
      <c r="DC944" s="9">
        <v>81.099999999999994</v>
      </c>
      <c r="DD944" s="9">
        <v>0.6</v>
      </c>
      <c r="DE944" s="9">
        <v>198</v>
      </c>
      <c r="DF944" s="9">
        <v>130</v>
      </c>
      <c r="DG944" s="9">
        <f t="shared" si="14"/>
        <v>4.6316087057884747</v>
      </c>
      <c r="DH944" s="9">
        <v>26</v>
      </c>
      <c r="DI944" s="9">
        <v>4.2300000000000004</v>
      </c>
      <c r="DJ944" s="9"/>
      <c r="DK944" s="9"/>
      <c r="DL944" s="173">
        <v>41.9</v>
      </c>
      <c r="DM944" s="9">
        <v>130.1</v>
      </c>
      <c r="DN944" s="9"/>
      <c r="DO944" s="9"/>
      <c r="DR944">
        <v>3</v>
      </c>
    </row>
    <row r="945" spans="1:125" customFormat="1" x14ac:dyDescent="0.2">
      <c r="A945" s="127" t="s">
        <v>7497</v>
      </c>
      <c r="B945" s="127">
        <v>43804</v>
      </c>
      <c r="C945" s="127" t="s">
        <v>196</v>
      </c>
      <c r="D945" s="127">
        <v>45</v>
      </c>
      <c r="E945" s="127" t="s">
        <v>100</v>
      </c>
      <c r="F945" s="127">
        <v>27103</v>
      </c>
      <c r="G945" s="127"/>
      <c r="H945" s="127" t="s">
        <v>5520</v>
      </c>
      <c r="I945" s="127" t="s">
        <v>198</v>
      </c>
      <c r="J945" s="127" t="s">
        <v>500</v>
      </c>
      <c r="K945" s="127">
        <v>2002</v>
      </c>
      <c r="L945" s="127">
        <v>1</v>
      </c>
      <c r="M945" s="127" t="s">
        <v>99</v>
      </c>
      <c r="N945" s="127" t="s">
        <v>7498</v>
      </c>
      <c r="O945" s="127" t="s">
        <v>99</v>
      </c>
      <c r="P945" s="127" t="s">
        <v>99</v>
      </c>
      <c r="Q945" s="127" t="s">
        <v>7499</v>
      </c>
      <c r="R945" s="127" t="s">
        <v>110</v>
      </c>
      <c r="S945" s="127" t="s">
        <v>110</v>
      </c>
      <c r="T945" s="127" t="s">
        <v>99</v>
      </c>
      <c r="U945" s="127" t="s">
        <v>7444</v>
      </c>
      <c r="V945" s="127" t="s">
        <v>99</v>
      </c>
      <c r="W945" s="127" t="s">
        <v>7444</v>
      </c>
      <c r="X945" s="127"/>
      <c r="Y945" s="127"/>
      <c r="Z945" s="127"/>
      <c r="AA945" s="127" t="s">
        <v>100</v>
      </c>
      <c r="AB945" s="127" t="s">
        <v>100</v>
      </c>
      <c r="AC945" s="127" t="s">
        <v>100</v>
      </c>
      <c r="AD945" s="127" t="s">
        <v>100</v>
      </c>
      <c r="AE945" s="127" t="s">
        <v>1127</v>
      </c>
      <c r="AF945" s="127" t="s">
        <v>1127</v>
      </c>
      <c r="AG945" s="127" t="s">
        <v>5104</v>
      </c>
      <c r="AH945" s="129" t="s">
        <v>99</v>
      </c>
      <c r="AI945" s="127" t="s">
        <v>99</v>
      </c>
      <c r="AJ945" s="9" t="s">
        <v>99</v>
      </c>
      <c r="AK945" s="9" t="s">
        <v>99</v>
      </c>
      <c r="AL945" s="9">
        <v>67.099999999999994</v>
      </c>
      <c r="AM945" s="9">
        <v>156</v>
      </c>
      <c r="AN945" s="9">
        <v>90</v>
      </c>
      <c r="AO945" s="9">
        <v>110</v>
      </c>
      <c r="AP945" s="9">
        <v>45.3</v>
      </c>
      <c r="AQ945" s="9">
        <v>8</v>
      </c>
      <c r="AR945" s="9">
        <v>21.8</v>
      </c>
      <c r="AS945" s="9">
        <v>55</v>
      </c>
      <c r="AT945" s="9">
        <v>27.6</v>
      </c>
      <c r="AU945" s="9">
        <v>116</v>
      </c>
      <c r="AV945" s="9">
        <v>84</v>
      </c>
      <c r="AW945" s="9"/>
      <c r="AX945" s="9" t="s">
        <v>176</v>
      </c>
      <c r="AY945" s="9"/>
      <c r="AZ945" s="9"/>
      <c r="BA945" s="9"/>
      <c r="BB945" s="9" t="s">
        <v>176</v>
      </c>
      <c r="BC945" s="9"/>
      <c r="BD945" s="9"/>
      <c r="BE945" s="9"/>
      <c r="BF945" s="9" t="s">
        <v>7500</v>
      </c>
      <c r="BG945" s="9" t="s">
        <v>3215</v>
      </c>
      <c r="BH945" s="9" t="s">
        <v>350</v>
      </c>
      <c r="BI945" s="9" t="s">
        <v>350</v>
      </c>
      <c r="BJ945" s="9" t="s">
        <v>351</v>
      </c>
      <c r="BK945" s="9" t="s">
        <v>350</v>
      </c>
      <c r="BL945" s="9" t="s">
        <v>351</v>
      </c>
      <c r="BM945" s="9"/>
      <c r="BN945" s="9" t="s">
        <v>176</v>
      </c>
      <c r="BO945" s="9"/>
      <c r="BP945" s="9"/>
      <c r="BQ945" s="9"/>
      <c r="BR945" s="9"/>
      <c r="BS945" s="9"/>
      <c r="BT945" s="9"/>
      <c r="BU945" s="9"/>
      <c r="BV945" s="9" t="s">
        <v>216</v>
      </c>
      <c r="BW945" s="9"/>
      <c r="BX945" s="9"/>
      <c r="BY945" s="9"/>
      <c r="BZ945" s="9" t="s">
        <v>176</v>
      </c>
      <c r="CA945" s="9"/>
      <c r="CB945" s="9"/>
      <c r="CC945" s="9"/>
      <c r="CD945" s="9" t="s">
        <v>7501</v>
      </c>
      <c r="CE945" s="9"/>
      <c r="CF945" s="9"/>
      <c r="CG945" s="9"/>
      <c r="CH945" s="9" t="s">
        <v>216</v>
      </c>
      <c r="CI945" s="9"/>
      <c r="CJ945" s="9"/>
      <c r="CK945" s="9"/>
      <c r="CL945" s="9" t="s">
        <v>7502</v>
      </c>
      <c r="CM945" s="9"/>
      <c r="CN945" s="9"/>
      <c r="CO945" s="9"/>
      <c r="CP945" s="9" t="s">
        <v>7503</v>
      </c>
      <c r="CQ945" s="9"/>
      <c r="CR945" s="9"/>
      <c r="CS945" s="9"/>
      <c r="CT945" s="9" t="s">
        <v>7504</v>
      </c>
      <c r="CU945" s="9"/>
      <c r="CV945" s="9"/>
      <c r="CW945" s="9">
        <v>3</v>
      </c>
      <c r="CX945" s="9" t="s">
        <v>99</v>
      </c>
      <c r="CY945" s="9" t="s">
        <v>110</v>
      </c>
      <c r="CZ945" s="9">
        <v>50</v>
      </c>
      <c r="DA945" s="9">
        <v>50</v>
      </c>
      <c r="DB945" s="9"/>
      <c r="DC945" s="53">
        <v>94.7</v>
      </c>
      <c r="DD945" s="53">
        <v>0.59</v>
      </c>
      <c r="DE945" s="53">
        <v>123</v>
      </c>
      <c r="DF945" s="53">
        <v>94</v>
      </c>
      <c r="DG945" s="9">
        <f t="shared" si="14"/>
        <v>4.5470043912310185</v>
      </c>
      <c r="DH945" s="53">
        <v>18.8</v>
      </c>
      <c r="DI945" s="53">
        <v>3.99</v>
      </c>
      <c r="DL945" s="139">
        <v>36.200000000000003</v>
      </c>
      <c r="DM945" s="53">
        <v>68</v>
      </c>
      <c r="DN945" s="9"/>
      <c r="DO945" s="9"/>
      <c r="DR945">
        <v>2</v>
      </c>
    </row>
    <row r="946" spans="1:125" customFormat="1" x14ac:dyDescent="0.2">
      <c r="A946" s="143" t="s">
        <v>7505</v>
      </c>
      <c r="B946" s="127">
        <v>43804</v>
      </c>
      <c r="C946" s="127" t="s">
        <v>196</v>
      </c>
      <c r="D946" s="127">
        <v>28</v>
      </c>
      <c r="E946" s="127" t="s">
        <v>100</v>
      </c>
      <c r="F946" s="127">
        <v>33500</v>
      </c>
      <c r="G946" s="127"/>
      <c r="H946" s="127" t="s">
        <v>7506</v>
      </c>
      <c r="I946" s="127" t="s">
        <v>3222</v>
      </c>
      <c r="J946" s="127" t="s">
        <v>500</v>
      </c>
      <c r="K946" s="127" t="s">
        <v>500</v>
      </c>
      <c r="L946" s="127" t="s">
        <v>99</v>
      </c>
      <c r="M946" s="127" t="s">
        <v>99</v>
      </c>
      <c r="N946" s="127" t="s">
        <v>99</v>
      </c>
      <c r="O946" s="127" t="s">
        <v>99</v>
      </c>
      <c r="P946" s="127" t="s">
        <v>7507</v>
      </c>
      <c r="Q946" s="127" t="s">
        <v>7499</v>
      </c>
      <c r="R946" s="127" t="s">
        <v>99</v>
      </c>
      <c r="S946" s="127" t="s">
        <v>99</v>
      </c>
      <c r="T946" s="127" t="s">
        <v>99</v>
      </c>
      <c r="U946" s="127" t="s">
        <v>99</v>
      </c>
      <c r="V946" s="127" t="s">
        <v>99</v>
      </c>
      <c r="W946" s="127" t="s">
        <v>99</v>
      </c>
      <c r="X946" s="127" t="s">
        <v>99</v>
      </c>
      <c r="Y946" s="127" t="s">
        <v>99</v>
      </c>
      <c r="Z946" s="127" t="s">
        <v>99</v>
      </c>
      <c r="AA946" s="127" t="s">
        <v>100</v>
      </c>
      <c r="AB946" s="127" t="s">
        <v>100</v>
      </c>
      <c r="AC946" s="127" t="s">
        <v>100</v>
      </c>
      <c r="AD946" s="127" t="s">
        <v>100</v>
      </c>
      <c r="AE946" s="127" t="s">
        <v>1905</v>
      </c>
      <c r="AF946" s="127" t="s">
        <v>343</v>
      </c>
      <c r="AG946" s="127" t="s">
        <v>4981</v>
      </c>
      <c r="AH946" s="129" t="s">
        <v>5545</v>
      </c>
      <c r="AI946" s="127" t="s">
        <v>99</v>
      </c>
      <c r="AJ946" s="9" t="s">
        <v>99</v>
      </c>
      <c r="AK946" s="9" t="s">
        <v>99</v>
      </c>
      <c r="AL946" s="9">
        <v>51</v>
      </c>
      <c r="AM946" s="9">
        <v>151</v>
      </c>
      <c r="AN946" s="7">
        <v>74.5</v>
      </c>
      <c r="AO946" s="9">
        <v>91</v>
      </c>
      <c r="AP946" s="9">
        <v>30.3</v>
      </c>
      <c r="AQ946" s="9">
        <v>4</v>
      </c>
      <c r="AR946" s="9">
        <v>29.6</v>
      </c>
      <c r="AS946" s="9">
        <v>34</v>
      </c>
      <c r="AT946" s="7">
        <v>22.4</v>
      </c>
      <c r="AU946" s="9">
        <v>106</v>
      </c>
      <c r="AV946" s="9">
        <v>70</v>
      </c>
      <c r="AW946" s="9"/>
      <c r="AX946" s="9" t="s">
        <v>7508</v>
      </c>
      <c r="AY946" s="9"/>
      <c r="AZ946" s="9"/>
      <c r="BA946" s="9"/>
      <c r="BB946" s="9" t="s">
        <v>7451</v>
      </c>
      <c r="BC946" s="9"/>
      <c r="BD946" s="9"/>
      <c r="BE946" s="9"/>
      <c r="BF946" s="9" t="s">
        <v>7492</v>
      </c>
      <c r="BG946" s="9" t="s">
        <v>7508</v>
      </c>
      <c r="BH946" s="9" t="s">
        <v>7493</v>
      </c>
      <c r="BI946" s="9" t="s">
        <v>7495</v>
      </c>
      <c r="BJ946" s="9" t="s">
        <v>7492</v>
      </c>
      <c r="BK946" s="9" t="s">
        <v>7504</v>
      </c>
      <c r="BL946" s="9"/>
      <c r="BM946" s="9"/>
      <c r="BN946" s="9" t="s">
        <v>7495</v>
      </c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 t="s">
        <v>7493</v>
      </c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 t="s">
        <v>7509</v>
      </c>
      <c r="CM946" s="9"/>
      <c r="CN946" s="9"/>
      <c r="CO946" s="9"/>
      <c r="CP946" s="9" t="s">
        <v>7503</v>
      </c>
      <c r="CQ946" s="9"/>
      <c r="CR946" s="9"/>
      <c r="CS946" s="9"/>
      <c r="CT946" s="9" t="s">
        <v>7495</v>
      </c>
      <c r="CU946" s="9"/>
      <c r="CV946" s="9"/>
      <c r="CW946" s="9">
        <v>3</v>
      </c>
      <c r="CX946" s="9" t="s">
        <v>99</v>
      </c>
      <c r="CY946" s="9" t="s">
        <v>110</v>
      </c>
      <c r="CZ946" s="9">
        <v>5</v>
      </c>
      <c r="DA946" s="9">
        <v>30</v>
      </c>
      <c r="DB946" s="9">
        <v>65</v>
      </c>
      <c r="DC946" s="9">
        <v>88.6</v>
      </c>
      <c r="DD946" s="9">
        <v>0.84</v>
      </c>
      <c r="DE946" s="9">
        <v>169</v>
      </c>
      <c r="DF946" s="9">
        <v>73</v>
      </c>
      <c r="DG946" s="9">
        <f t="shared" si="14"/>
        <v>4.3872956493797135</v>
      </c>
      <c r="DH946" s="9">
        <v>14.6</v>
      </c>
      <c r="DI946" s="9">
        <v>6.13</v>
      </c>
      <c r="DJ946" s="9"/>
      <c r="DK946" s="9"/>
      <c r="DL946" s="9">
        <v>60.6</v>
      </c>
      <c r="DM946" s="9">
        <v>93.8</v>
      </c>
      <c r="DN946" s="9"/>
      <c r="DO946" s="9"/>
      <c r="DP946" s="53">
        <v>3</v>
      </c>
      <c r="DR946">
        <v>3</v>
      </c>
      <c r="DU946">
        <v>7.7</v>
      </c>
    </row>
    <row r="947" spans="1:125" customFormat="1" x14ac:dyDescent="0.2">
      <c r="A947" s="143" t="s">
        <v>7510</v>
      </c>
      <c r="B947" s="127">
        <v>43804</v>
      </c>
      <c r="C947" s="127" t="s">
        <v>196</v>
      </c>
      <c r="D947" s="127">
        <v>52</v>
      </c>
      <c r="E947" s="127" t="s">
        <v>100</v>
      </c>
      <c r="F947" s="127">
        <v>24468</v>
      </c>
      <c r="G947" s="127" t="s">
        <v>7511</v>
      </c>
      <c r="H947" s="127" t="s">
        <v>7512</v>
      </c>
      <c r="I947" s="127" t="s">
        <v>198</v>
      </c>
      <c r="J947" s="127" t="s">
        <v>7513</v>
      </c>
      <c r="K947" s="127">
        <v>1998</v>
      </c>
      <c r="L947" s="127">
        <v>3</v>
      </c>
      <c r="M947" s="127" t="s">
        <v>99</v>
      </c>
      <c r="N947" s="127" t="s">
        <v>99</v>
      </c>
      <c r="O947" s="127" t="s">
        <v>99</v>
      </c>
      <c r="P947" s="127" t="s">
        <v>7514</v>
      </c>
      <c r="Q947" s="127" t="s">
        <v>7515</v>
      </c>
      <c r="R947" s="127" t="s">
        <v>7516</v>
      </c>
      <c r="S947" s="127" t="s">
        <v>99</v>
      </c>
      <c r="T947" s="127" t="s">
        <v>7517</v>
      </c>
      <c r="U947" s="127" t="s">
        <v>7518</v>
      </c>
      <c r="V947" s="127" t="s">
        <v>7519</v>
      </c>
      <c r="W947" s="127" t="s">
        <v>99</v>
      </c>
      <c r="X947" s="127" t="s">
        <v>99</v>
      </c>
      <c r="Y947" s="127" t="s">
        <v>99</v>
      </c>
      <c r="Z947" s="127" t="s">
        <v>99</v>
      </c>
      <c r="AA947" s="127" t="s">
        <v>100</v>
      </c>
      <c r="AB947" s="127" t="s">
        <v>100</v>
      </c>
      <c r="AC947" s="127" t="s">
        <v>100</v>
      </c>
      <c r="AD947" s="127" t="s">
        <v>100</v>
      </c>
      <c r="AE947" s="127" t="s">
        <v>7520</v>
      </c>
      <c r="AF947" s="127" t="s">
        <v>7520</v>
      </c>
      <c r="AG947" s="127" t="s">
        <v>7521</v>
      </c>
      <c r="AH947" s="129" t="s">
        <v>99</v>
      </c>
      <c r="AI947" s="127" t="s">
        <v>110</v>
      </c>
      <c r="AJ947" s="9" t="s">
        <v>99</v>
      </c>
      <c r="AK947" s="9" t="s">
        <v>99</v>
      </c>
      <c r="AL947" s="9">
        <v>65.5</v>
      </c>
      <c r="AM947" s="9">
        <v>172</v>
      </c>
      <c r="AN947" s="7">
        <v>79</v>
      </c>
      <c r="AO947" s="9">
        <v>102</v>
      </c>
      <c r="AP947" s="9">
        <v>32.200000000000003</v>
      </c>
      <c r="AQ947" s="9">
        <v>5</v>
      </c>
      <c r="AR947" s="9">
        <v>28.2</v>
      </c>
      <c r="AS947" s="9">
        <v>38</v>
      </c>
      <c r="AT947" s="7">
        <v>22.1</v>
      </c>
      <c r="AU947" s="9">
        <v>99</v>
      </c>
      <c r="AV947" s="9">
        <v>62</v>
      </c>
      <c r="AW947" s="9"/>
      <c r="AX947" s="9" t="s">
        <v>7522</v>
      </c>
      <c r="AY947" s="9" t="s">
        <v>7523</v>
      </c>
      <c r="AZ947" s="9" t="s">
        <v>2633</v>
      </c>
      <c r="BA947" s="9"/>
      <c r="BB947" s="9" t="s">
        <v>7524</v>
      </c>
      <c r="BC947" s="9" t="s">
        <v>7525</v>
      </c>
      <c r="BD947" s="9" t="s">
        <v>7526</v>
      </c>
      <c r="BE947" s="9"/>
      <c r="BF947" s="9" t="s">
        <v>176</v>
      </c>
      <c r="BG947" s="9" t="s">
        <v>176</v>
      </c>
      <c r="BH947" s="9" t="s">
        <v>99</v>
      </c>
      <c r="BI947" s="9" t="s">
        <v>99</v>
      </c>
      <c r="BJ947" s="9" t="s">
        <v>99</v>
      </c>
      <c r="BK947" s="9" t="s">
        <v>7351</v>
      </c>
      <c r="BL947" s="9"/>
      <c r="BM947" s="9"/>
      <c r="BN947" s="9" t="s">
        <v>1136</v>
      </c>
      <c r="BO947" s="9" t="s">
        <v>7527</v>
      </c>
      <c r="BP947" s="9" t="s">
        <v>7528</v>
      </c>
      <c r="BQ947" s="9"/>
      <c r="BR947" s="9"/>
      <c r="BS947" s="9"/>
      <c r="BT947" s="9"/>
      <c r="BU947" s="9"/>
      <c r="BV947" s="9"/>
      <c r="BW947" s="9"/>
      <c r="BX947" s="9"/>
      <c r="BY947" s="9"/>
      <c r="BZ947" s="9" t="s">
        <v>7529</v>
      </c>
      <c r="CA947" s="9" t="s">
        <v>7530</v>
      </c>
      <c r="CB947" s="9" t="s">
        <v>7531</v>
      </c>
      <c r="CC947" s="9"/>
      <c r="CD947" s="9"/>
      <c r="CE947" s="9"/>
      <c r="CF947" s="9"/>
      <c r="CG947" s="9"/>
      <c r="CH947" s="9"/>
      <c r="CI947" s="9"/>
      <c r="CJ947" s="9"/>
      <c r="CK947" s="9"/>
      <c r="CL947" s="9" t="s">
        <v>7532</v>
      </c>
      <c r="CM947" s="9" t="s">
        <v>7533</v>
      </c>
      <c r="CN947" s="9"/>
      <c r="CO947" s="9" t="s">
        <v>176</v>
      </c>
      <c r="CP947" s="9" t="s">
        <v>716</v>
      </c>
      <c r="CQ947" s="9" t="s">
        <v>362</v>
      </c>
      <c r="CR947" s="9"/>
      <c r="CS947" s="9"/>
      <c r="CT947" s="9" t="s">
        <v>7534</v>
      </c>
      <c r="CU947" s="9"/>
      <c r="CV947" s="9"/>
      <c r="CW947" s="9">
        <v>3</v>
      </c>
      <c r="CX947" s="9" t="s">
        <v>110</v>
      </c>
      <c r="CY947" s="9" t="s">
        <v>110</v>
      </c>
      <c r="CZ947" s="9">
        <v>40</v>
      </c>
      <c r="DA947" s="9">
        <v>30</v>
      </c>
      <c r="DB947" s="9">
        <v>30</v>
      </c>
      <c r="DC947" s="9">
        <v>79.099999999999994</v>
      </c>
      <c r="DD947" s="9">
        <v>0.92</v>
      </c>
      <c r="DE947" s="9">
        <v>191</v>
      </c>
      <c r="DF947" s="9">
        <v>127</v>
      </c>
      <c r="DG947" s="9">
        <f t="shared" si="14"/>
        <v>4.6074499806160993</v>
      </c>
      <c r="DH947" s="9">
        <v>25.4</v>
      </c>
      <c r="DI947" s="9">
        <v>4.9000000000000004</v>
      </c>
      <c r="DJ947" s="9"/>
      <c r="DK947" s="9"/>
      <c r="DL947" s="9">
        <v>50.6</v>
      </c>
      <c r="DM947" s="9">
        <v>115</v>
      </c>
      <c r="DN947" s="9"/>
      <c r="DO947" s="9"/>
      <c r="DP947" s="53">
        <v>1</v>
      </c>
      <c r="DR947">
        <v>2</v>
      </c>
      <c r="DU947">
        <v>5.8</v>
      </c>
    </row>
    <row r="948" spans="1:125" customFormat="1" x14ac:dyDescent="0.2">
      <c r="A948" s="127" t="s">
        <v>7535</v>
      </c>
      <c r="B948" s="127">
        <v>43804</v>
      </c>
      <c r="C948" s="127" t="s">
        <v>675</v>
      </c>
      <c r="D948" s="127">
        <v>51</v>
      </c>
      <c r="E948" s="127" t="s">
        <v>100</v>
      </c>
      <c r="F948" s="127">
        <v>25148</v>
      </c>
      <c r="G948" s="127" t="s">
        <v>5527</v>
      </c>
      <c r="H948" s="127" t="s">
        <v>4138</v>
      </c>
      <c r="I948" s="127"/>
      <c r="J948" s="127"/>
      <c r="K948" s="127"/>
      <c r="L948" s="127"/>
      <c r="M948" s="127" t="s">
        <v>99</v>
      </c>
      <c r="N948" s="127" t="s">
        <v>99</v>
      </c>
      <c r="O948" s="127" t="s">
        <v>99</v>
      </c>
      <c r="P948" s="127" t="s">
        <v>99</v>
      </c>
      <c r="Q948" s="127" t="s">
        <v>99</v>
      </c>
      <c r="R948" s="127" t="s">
        <v>99</v>
      </c>
      <c r="S948" s="127" t="s">
        <v>99</v>
      </c>
      <c r="T948" s="127" t="s">
        <v>99</v>
      </c>
      <c r="U948" s="127" t="s">
        <v>99</v>
      </c>
      <c r="V948" s="127" t="s">
        <v>99</v>
      </c>
      <c r="W948" s="127" t="s">
        <v>99</v>
      </c>
      <c r="X948" s="127" t="s">
        <v>99</v>
      </c>
      <c r="Y948" s="127" t="s">
        <v>99</v>
      </c>
      <c r="Z948" s="127" t="s">
        <v>99</v>
      </c>
      <c r="AA948" s="127" t="s">
        <v>100</v>
      </c>
      <c r="AB948" s="127" t="s">
        <v>100</v>
      </c>
      <c r="AC948" s="127"/>
      <c r="AD948" s="127"/>
      <c r="AE948" s="127" t="s">
        <v>99</v>
      </c>
      <c r="AF948" s="127" t="s">
        <v>7536</v>
      </c>
      <c r="AG948" s="127" t="s">
        <v>99</v>
      </c>
      <c r="AH948" s="129" t="s">
        <v>99</v>
      </c>
      <c r="AI948" s="127" t="s">
        <v>99</v>
      </c>
      <c r="AJ948" s="9" t="s">
        <v>99</v>
      </c>
      <c r="AK948" s="9" t="s">
        <v>99</v>
      </c>
      <c r="AL948" s="9">
        <v>83.4</v>
      </c>
      <c r="AM948" s="9">
        <v>185</v>
      </c>
      <c r="AN948" s="7">
        <v>84</v>
      </c>
      <c r="AO948" s="9">
        <v>94</v>
      </c>
      <c r="AP948" s="9">
        <v>20.7</v>
      </c>
      <c r="AQ948" s="9">
        <v>8</v>
      </c>
      <c r="AR948" s="9">
        <v>36.200000000000003</v>
      </c>
      <c r="AS948" s="9">
        <v>56</v>
      </c>
      <c r="AT948" s="7">
        <v>24.4</v>
      </c>
      <c r="AU948" s="9">
        <v>120</v>
      </c>
      <c r="AV948" s="9">
        <v>77</v>
      </c>
      <c r="AW948" s="9"/>
      <c r="AX948" s="9" t="s">
        <v>592</v>
      </c>
      <c r="AY948" s="9" t="s">
        <v>1656</v>
      </c>
      <c r="AZ948" s="9" t="s">
        <v>573</v>
      </c>
      <c r="BA948" s="9" t="s">
        <v>351</v>
      </c>
      <c r="BB948" s="9" t="s">
        <v>750</v>
      </c>
      <c r="BC948" s="9" t="s">
        <v>749</v>
      </c>
      <c r="BD948" s="9"/>
      <c r="BE948" s="9" t="s">
        <v>351</v>
      </c>
      <c r="BF948" s="9" t="s">
        <v>7537</v>
      </c>
      <c r="BG948" s="9" t="s">
        <v>350</v>
      </c>
      <c r="BH948" s="9" t="s">
        <v>350</v>
      </c>
      <c r="BI948" s="9" t="s">
        <v>350</v>
      </c>
      <c r="BJ948" s="9" t="s">
        <v>176</v>
      </c>
      <c r="BK948" s="9" t="s">
        <v>350</v>
      </c>
      <c r="BL948" s="9" t="s">
        <v>350</v>
      </c>
      <c r="BM948" s="9"/>
      <c r="BN948" s="9" t="s">
        <v>7538</v>
      </c>
      <c r="BO948" s="9" t="s">
        <v>179</v>
      </c>
      <c r="BP948" s="9" t="s">
        <v>2534</v>
      </c>
      <c r="BQ948" s="9"/>
      <c r="BR948" s="9" t="s">
        <v>7539</v>
      </c>
      <c r="BS948" s="9"/>
      <c r="BT948" s="9"/>
      <c r="BU948" s="9"/>
      <c r="BV948" s="9" t="s">
        <v>7539</v>
      </c>
      <c r="BW948" s="9"/>
      <c r="BX948" s="9"/>
      <c r="BY948" s="9" t="s">
        <v>350</v>
      </c>
      <c r="BZ948" s="9" t="s">
        <v>182</v>
      </c>
      <c r="CA948" s="9" t="s">
        <v>577</v>
      </c>
      <c r="CB948" s="9" t="s">
        <v>183</v>
      </c>
      <c r="CC948" s="9"/>
      <c r="CD948" s="9" t="s">
        <v>99</v>
      </c>
      <c r="CE948" s="9"/>
      <c r="CF948" s="9"/>
      <c r="CG948" s="9" t="s">
        <v>1979</v>
      </c>
      <c r="CH948" s="9"/>
      <c r="CI948" s="9"/>
      <c r="CJ948" s="9"/>
      <c r="CK948" s="9" t="s">
        <v>351</v>
      </c>
      <c r="CL948" s="9" t="s">
        <v>1181</v>
      </c>
      <c r="CM948" s="9" t="s">
        <v>7540</v>
      </c>
      <c r="CN948" s="9" t="s">
        <v>7541</v>
      </c>
      <c r="CO948" s="9"/>
      <c r="CP948" s="9" t="s">
        <v>362</v>
      </c>
      <c r="CQ948" s="9"/>
      <c r="CR948" s="9"/>
      <c r="CS948" s="9"/>
      <c r="CT948" s="9" t="s">
        <v>1732</v>
      </c>
      <c r="CU948" s="9" t="s">
        <v>2566</v>
      </c>
      <c r="CV948" s="9"/>
      <c r="CW948" s="9">
        <v>3</v>
      </c>
      <c r="CX948" s="9" t="s">
        <v>110</v>
      </c>
      <c r="CY948" s="9" t="s">
        <v>110</v>
      </c>
      <c r="CZ948" s="9">
        <v>25</v>
      </c>
      <c r="DA948" s="9">
        <v>50</v>
      </c>
      <c r="DB948" s="9">
        <v>25</v>
      </c>
      <c r="DC948" s="14">
        <v>154.6</v>
      </c>
      <c r="DD948" s="9">
        <v>1.01</v>
      </c>
      <c r="DE948" s="173">
        <v>210</v>
      </c>
      <c r="DF948" s="9">
        <v>121</v>
      </c>
      <c r="DG948" s="9">
        <f t="shared" si="14"/>
        <v>4.9183158408750316</v>
      </c>
      <c r="DH948" s="9">
        <v>24.2</v>
      </c>
      <c r="DI948" s="9">
        <v>4.79</v>
      </c>
      <c r="DJ948" s="9"/>
      <c r="DK948" s="9"/>
      <c r="DL948" s="9">
        <v>45.5</v>
      </c>
      <c r="DM948" s="9">
        <v>140.30000000000001</v>
      </c>
      <c r="DN948" s="9"/>
      <c r="DO948" s="9"/>
      <c r="DR948">
        <v>2</v>
      </c>
    </row>
    <row r="949" spans="1:125" customFormat="1" x14ac:dyDescent="0.2">
      <c r="A949" s="144" t="s">
        <v>7542</v>
      </c>
      <c r="B949" s="127">
        <v>43804</v>
      </c>
      <c r="C949" s="127" t="s">
        <v>675</v>
      </c>
      <c r="D949" s="127">
        <v>45</v>
      </c>
      <c r="E949" s="127" t="s">
        <v>100</v>
      </c>
      <c r="F949" s="127">
        <v>27072</v>
      </c>
      <c r="G949" s="127" t="s">
        <v>837</v>
      </c>
      <c r="H949" s="127" t="s">
        <v>7543</v>
      </c>
      <c r="I949" s="127"/>
      <c r="J949" s="127"/>
      <c r="K949" s="127"/>
      <c r="L949" s="127"/>
      <c r="M949" s="127" t="s">
        <v>99</v>
      </c>
      <c r="N949" s="127" t="s">
        <v>99</v>
      </c>
      <c r="O949" s="127" t="s">
        <v>99</v>
      </c>
      <c r="P949" s="127" t="s">
        <v>99</v>
      </c>
      <c r="Q949" s="127" t="s">
        <v>99</v>
      </c>
      <c r="R949" s="127" t="s">
        <v>110</v>
      </c>
      <c r="S949" s="127" t="s">
        <v>99</v>
      </c>
      <c r="T949" s="127" t="s">
        <v>99</v>
      </c>
      <c r="U949" s="127" t="s">
        <v>99</v>
      </c>
      <c r="V949" s="127" t="s">
        <v>99</v>
      </c>
      <c r="W949" s="127" t="s">
        <v>99</v>
      </c>
      <c r="X949" s="127" t="s">
        <v>99</v>
      </c>
      <c r="Y949" s="127" t="s">
        <v>99</v>
      </c>
      <c r="Z949" s="127" t="s">
        <v>99</v>
      </c>
      <c r="AA949" s="127" t="s">
        <v>100</v>
      </c>
      <c r="AB949" s="127" t="s">
        <v>100</v>
      </c>
      <c r="AC949" s="127" t="s">
        <v>100</v>
      </c>
      <c r="AD949" s="127" t="s">
        <v>100</v>
      </c>
      <c r="AE949" s="127" t="s">
        <v>99</v>
      </c>
      <c r="AF949" s="127" t="s">
        <v>7520</v>
      </c>
      <c r="AG949" s="127" t="s">
        <v>99</v>
      </c>
      <c r="AH949" s="129" t="s">
        <v>99</v>
      </c>
      <c r="AI949" s="127" t="s">
        <v>7544</v>
      </c>
      <c r="AJ949" s="9" t="s">
        <v>99</v>
      </c>
      <c r="AK949" s="9" t="s">
        <v>99</v>
      </c>
      <c r="AL949" s="9">
        <v>96.6</v>
      </c>
      <c r="AM949" s="9">
        <v>174</v>
      </c>
      <c r="AN949" s="173">
        <v>105</v>
      </c>
      <c r="AO949" s="9">
        <v>111</v>
      </c>
      <c r="AP949" s="9">
        <v>30.3</v>
      </c>
      <c r="AQ949" s="9">
        <v>16</v>
      </c>
      <c r="AR949" s="9">
        <v>32.5</v>
      </c>
      <c r="AS949" s="9">
        <v>66</v>
      </c>
      <c r="AT949" s="9">
        <v>31.9</v>
      </c>
      <c r="AU949" s="173">
        <v>129</v>
      </c>
      <c r="AV949" s="173">
        <v>91</v>
      </c>
      <c r="AW949" s="9"/>
      <c r="AX949" s="9" t="s">
        <v>7545</v>
      </c>
      <c r="AY949" s="9"/>
      <c r="AZ949" s="9"/>
      <c r="BA949" s="9"/>
      <c r="BB949" s="9" t="s">
        <v>7545</v>
      </c>
      <c r="BC949" s="9"/>
      <c r="BD949" s="9"/>
      <c r="BE949" s="9"/>
      <c r="BF949" s="9" t="s">
        <v>7545</v>
      </c>
      <c r="BG949" s="9" t="s">
        <v>7479</v>
      </c>
      <c r="BH949" s="9" t="s">
        <v>7483</v>
      </c>
      <c r="BI949" s="9" t="s">
        <v>7483</v>
      </c>
      <c r="BJ949" s="9" t="s">
        <v>7545</v>
      </c>
      <c r="BK949" s="9" t="s">
        <v>7493</v>
      </c>
      <c r="BL949" s="9"/>
      <c r="BM949" s="9"/>
      <c r="BN949" s="9" t="s">
        <v>7495</v>
      </c>
      <c r="BO949" s="9"/>
      <c r="BP949" s="9"/>
      <c r="BQ949" s="9"/>
      <c r="BR949" s="9" t="s">
        <v>99</v>
      </c>
      <c r="BS949" s="9"/>
      <c r="BT949" s="9"/>
      <c r="BU949" s="9"/>
      <c r="BV949" s="9" t="s">
        <v>99</v>
      </c>
      <c r="BW949" s="9"/>
      <c r="BX949" s="9"/>
      <c r="BY949" s="9"/>
      <c r="BZ949" s="9" t="s">
        <v>7479</v>
      </c>
      <c r="CA949" s="9"/>
      <c r="CB949" s="9"/>
      <c r="CC949" s="9"/>
      <c r="CD949" s="9" t="s">
        <v>99</v>
      </c>
      <c r="CE949" s="9"/>
      <c r="CF949" s="9"/>
      <c r="CG949" s="9"/>
      <c r="CH949" s="9" t="s">
        <v>99</v>
      </c>
      <c r="CI949" s="9"/>
      <c r="CJ949" s="9"/>
      <c r="CK949" s="9"/>
      <c r="CL949" s="9" t="s">
        <v>7546</v>
      </c>
      <c r="CM949" s="9"/>
      <c r="CN949" s="9"/>
      <c r="CO949" s="9"/>
      <c r="CP949" s="9" t="s">
        <v>7503</v>
      </c>
      <c r="CQ949" s="9"/>
      <c r="CR949" s="9"/>
      <c r="CS949" s="9"/>
      <c r="CT949" s="9" t="s">
        <v>7493</v>
      </c>
      <c r="CU949" s="9"/>
      <c r="CV949" s="9"/>
      <c r="CW949" s="9">
        <v>3</v>
      </c>
      <c r="CX949" s="9" t="s">
        <v>99</v>
      </c>
      <c r="CY949" s="9" t="s">
        <v>110</v>
      </c>
      <c r="CZ949" s="9">
        <v>25</v>
      </c>
      <c r="DA949" s="9">
        <v>20</v>
      </c>
      <c r="DB949" s="9">
        <v>55</v>
      </c>
      <c r="DC949" s="173">
        <v>101.8</v>
      </c>
      <c r="DD949" s="9">
        <v>1.05</v>
      </c>
      <c r="DE949" s="9">
        <v>174</v>
      </c>
      <c r="DF949" s="9">
        <v>73</v>
      </c>
      <c r="DG949" s="9">
        <f t="shared" si="14"/>
        <v>4.4567347726324069</v>
      </c>
      <c r="DH949" s="9">
        <v>14.6</v>
      </c>
      <c r="DI949" s="9">
        <v>7.2</v>
      </c>
      <c r="DJ949" s="9"/>
      <c r="DK949" s="9"/>
      <c r="DL949" s="9">
        <v>42.8</v>
      </c>
      <c r="DM949" s="9">
        <v>116.6</v>
      </c>
      <c r="DN949" s="9"/>
      <c r="DO949" s="9"/>
      <c r="DR949">
        <v>3</v>
      </c>
      <c r="DU949">
        <v>4.8</v>
      </c>
    </row>
    <row r="950" spans="1:125" customFormat="1" x14ac:dyDescent="0.2">
      <c r="A950" s="172" t="s">
        <v>7547</v>
      </c>
      <c r="B950" s="127">
        <v>43804</v>
      </c>
      <c r="C950" s="127" t="s">
        <v>675</v>
      </c>
      <c r="D950" s="127">
        <v>27</v>
      </c>
      <c r="E950" s="127" t="s">
        <v>100</v>
      </c>
      <c r="F950" s="127">
        <v>33998</v>
      </c>
      <c r="G950" s="127" t="s">
        <v>7471</v>
      </c>
      <c r="H950" s="127" t="s">
        <v>1727</v>
      </c>
      <c r="I950" s="127"/>
      <c r="J950" s="127"/>
      <c r="K950" s="127"/>
      <c r="L950" s="127"/>
      <c r="M950" s="127" t="s">
        <v>99</v>
      </c>
      <c r="N950" s="127" t="s">
        <v>99</v>
      </c>
      <c r="O950" s="127" t="s">
        <v>99</v>
      </c>
      <c r="P950" s="127" t="s">
        <v>99</v>
      </c>
      <c r="Q950" s="127" t="s">
        <v>7548</v>
      </c>
      <c r="R950" s="127" t="s">
        <v>7549</v>
      </c>
      <c r="S950" s="127" t="s">
        <v>110</v>
      </c>
      <c r="T950" s="127" t="s">
        <v>110</v>
      </c>
      <c r="U950" s="127" t="s">
        <v>99</v>
      </c>
      <c r="V950" s="127" t="s">
        <v>99</v>
      </c>
      <c r="W950" s="127" t="s">
        <v>7473</v>
      </c>
      <c r="X950" s="127"/>
      <c r="Y950" s="127"/>
      <c r="Z950" s="127"/>
      <c r="AA950" s="127" t="s">
        <v>5481</v>
      </c>
      <c r="AB950" s="127" t="s">
        <v>7550</v>
      </c>
      <c r="AC950" s="127" t="s">
        <v>7550</v>
      </c>
      <c r="AD950" s="127" t="s">
        <v>7550</v>
      </c>
      <c r="AE950" s="127" t="s">
        <v>7520</v>
      </c>
      <c r="AF950" s="127" t="s">
        <v>99</v>
      </c>
      <c r="AG950" s="127" t="s">
        <v>99</v>
      </c>
      <c r="AH950" s="129" t="s">
        <v>99</v>
      </c>
      <c r="AI950" s="127" t="s">
        <v>99</v>
      </c>
      <c r="AJ950" s="9" t="s">
        <v>99</v>
      </c>
      <c r="AK950" s="9" t="s">
        <v>99</v>
      </c>
      <c r="AL950" s="9">
        <v>89.2</v>
      </c>
      <c r="AM950" s="9">
        <v>162</v>
      </c>
      <c r="AN950" s="173">
        <v>105</v>
      </c>
      <c r="AO950" s="9">
        <v>108</v>
      </c>
      <c r="AP950" s="9">
        <v>32.5</v>
      </c>
      <c r="AQ950" s="9">
        <v>15</v>
      </c>
      <c r="AR950" s="9">
        <v>33.799999999999997</v>
      </c>
      <c r="AS950" s="9">
        <v>53</v>
      </c>
      <c r="AT950" s="9">
        <v>33.799999999999997</v>
      </c>
      <c r="AU950" s="173">
        <v>132</v>
      </c>
      <c r="AV950" s="173">
        <v>87</v>
      </c>
      <c r="AW950" s="9"/>
      <c r="AX950" s="9" t="s">
        <v>7451</v>
      </c>
      <c r="AY950" s="9"/>
      <c r="AZ950" s="9"/>
      <c r="BA950" s="9"/>
      <c r="BB950" s="9" t="s">
        <v>7451</v>
      </c>
      <c r="BC950" s="9"/>
      <c r="BD950" s="9"/>
      <c r="BE950" s="9"/>
      <c r="BF950" s="9" t="s">
        <v>7451</v>
      </c>
      <c r="BG950" s="9" t="s">
        <v>7495</v>
      </c>
      <c r="BH950" s="9" t="s">
        <v>7508</v>
      </c>
      <c r="BI950" s="9" t="s">
        <v>7495</v>
      </c>
      <c r="BJ950" s="9" t="s">
        <v>7495</v>
      </c>
      <c r="BK950" s="9" t="s">
        <v>7482</v>
      </c>
      <c r="BL950" s="9"/>
      <c r="BM950" s="9"/>
      <c r="BN950" s="9" t="s">
        <v>7545</v>
      </c>
      <c r="BO950" s="9"/>
      <c r="BP950" s="9"/>
      <c r="BQ950" s="9"/>
      <c r="BR950" s="9" t="s">
        <v>7473</v>
      </c>
      <c r="BS950" s="9"/>
      <c r="BT950" s="9"/>
      <c r="BU950" s="9"/>
      <c r="BV950" s="9" t="s">
        <v>7473</v>
      </c>
      <c r="BW950" s="9"/>
      <c r="BX950" s="9"/>
      <c r="BY950" s="9"/>
      <c r="BZ950" s="9" t="s">
        <v>7545</v>
      </c>
      <c r="CA950" s="9"/>
      <c r="CB950" s="9"/>
      <c r="CC950" s="9"/>
      <c r="CD950" s="9" t="s">
        <v>7473</v>
      </c>
      <c r="CE950" s="9"/>
      <c r="CF950" s="9"/>
      <c r="CG950" s="9"/>
      <c r="CH950" s="9" t="s">
        <v>7473</v>
      </c>
      <c r="CI950" s="9"/>
      <c r="CJ950" s="9"/>
      <c r="CK950" s="9"/>
      <c r="CL950" s="9" t="s">
        <v>7551</v>
      </c>
      <c r="CM950" s="9"/>
      <c r="CN950" s="9"/>
      <c r="CO950" s="9"/>
      <c r="CP950" s="9" t="s">
        <v>7503</v>
      </c>
      <c r="CQ950" s="9"/>
      <c r="CR950" s="9"/>
      <c r="CS950" s="9"/>
      <c r="CT950" s="9" t="s">
        <v>7545</v>
      </c>
      <c r="CU950" s="9"/>
      <c r="CV950" s="9"/>
      <c r="CW950" s="9">
        <v>3</v>
      </c>
      <c r="CX950" s="9" t="s">
        <v>99</v>
      </c>
      <c r="CY950" s="9" t="s">
        <v>110</v>
      </c>
      <c r="CZ950" s="9">
        <v>40</v>
      </c>
      <c r="DA950" s="9">
        <v>40</v>
      </c>
      <c r="DB950" s="9">
        <v>20</v>
      </c>
      <c r="DC950" s="9">
        <v>90.9</v>
      </c>
      <c r="DD950" s="9">
        <v>1.29</v>
      </c>
      <c r="DE950" s="9">
        <v>182</v>
      </c>
      <c r="DF950" s="9">
        <v>209</v>
      </c>
      <c r="DG950" s="9">
        <f t="shared" si="14"/>
        <v>4.9260471265741224</v>
      </c>
      <c r="DH950" s="9">
        <v>41.8</v>
      </c>
      <c r="DI950" s="9">
        <v>8.39</v>
      </c>
      <c r="DJ950" s="9"/>
      <c r="DK950" s="9"/>
      <c r="DL950" s="9">
        <v>43.2</v>
      </c>
      <c r="DM950" s="9">
        <v>97</v>
      </c>
      <c r="DN950" s="9"/>
      <c r="DO950" s="9"/>
      <c r="DP950" s="53">
        <v>3</v>
      </c>
      <c r="DR950">
        <v>3</v>
      </c>
    </row>
    <row r="951" spans="1:125" customFormat="1" x14ac:dyDescent="0.2">
      <c r="A951" s="127" t="s">
        <v>7552</v>
      </c>
      <c r="B951" s="127">
        <v>43804</v>
      </c>
      <c r="C951" s="127" t="s">
        <v>196</v>
      </c>
      <c r="D951" s="127">
        <v>62</v>
      </c>
      <c r="E951" s="127" t="s">
        <v>100</v>
      </c>
      <c r="F951" s="127">
        <v>21035</v>
      </c>
      <c r="G951" s="127" t="s">
        <v>2495</v>
      </c>
      <c r="H951" s="127"/>
      <c r="I951" s="127" t="s">
        <v>198</v>
      </c>
      <c r="J951" s="127"/>
      <c r="K951" s="127">
        <v>1981</v>
      </c>
      <c r="L951" s="127">
        <v>1</v>
      </c>
      <c r="M951" s="127" t="s">
        <v>99</v>
      </c>
      <c r="N951" s="127" t="s">
        <v>7498</v>
      </c>
      <c r="O951" s="127" t="s">
        <v>110</v>
      </c>
      <c r="P951" s="127" t="s">
        <v>99</v>
      </c>
      <c r="Q951" s="127" t="s">
        <v>99</v>
      </c>
      <c r="R951" s="127" t="s">
        <v>99</v>
      </c>
      <c r="S951" s="127" t="s">
        <v>110</v>
      </c>
      <c r="T951" s="127" t="s">
        <v>99</v>
      </c>
      <c r="U951" s="127" t="s">
        <v>7553</v>
      </c>
      <c r="V951" s="127" t="s">
        <v>99</v>
      </c>
      <c r="W951" s="127" t="s">
        <v>99</v>
      </c>
      <c r="X951" s="127"/>
      <c r="Y951" s="127"/>
      <c r="Z951" s="127"/>
      <c r="AA951" s="127" t="s">
        <v>100</v>
      </c>
      <c r="AB951" s="127" t="s">
        <v>100</v>
      </c>
      <c r="AC951" s="127" t="s">
        <v>100</v>
      </c>
      <c r="AD951" s="127" t="s">
        <v>100</v>
      </c>
      <c r="AE951" s="127" t="s">
        <v>7554</v>
      </c>
      <c r="AF951" s="127" t="s">
        <v>7555</v>
      </c>
      <c r="AG951" s="127" t="s">
        <v>99</v>
      </c>
      <c r="AH951" s="129" t="s">
        <v>1127</v>
      </c>
      <c r="AI951" s="127" t="s">
        <v>7327</v>
      </c>
      <c r="AJ951" s="9" t="s">
        <v>99</v>
      </c>
      <c r="AK951" s="9" t="s">
        <v>99</v>
      </c>
      <c r="AL951" s="9">
        <v>64.099999999999994</v>
      </c>
      <c r="AM951" s="9"/>
      <c r="AN951" s="173">
        <v>85</v>
      </c>
      <c r="AO951" s="9">
        <v>97</v>
      </c>
      <c r="AP951" s="9">
        <v>37.5</v>
      </c>
      <c r="AQ951" s="9">
        <v>7</v>
      </c>
      <c r="AR951" s="9">
        <v>26.7</v>
      </c>
      <c r="AS951" s="9">
        <v>52</v>
      </c>
      <c r="AT951" s="7">
        <v>24.8</v>
      </c>
      <c r="AU951" s="9">
        <v>123</v>
      </c>
      <c r="AV951" s="9">
        <v>87</v>
      </c>
      <c r="AW951" s="9"/>
      <c r="AX951" s="9" t="s">
        <v>7451</v>
      </c>
      <c r="AY951" s="9"/>
      <c r="AZ951" s="9"/>
      <c r="BA951" s="9"/>
      <c r="BB951" s="9" t="s">
        <v>7451</v>
      </c>
      <c r="BC951" s="9"/>
      <c r="BD951" s="9"/>
      <c r="BE951" s="9"/>
      <c r="BF951" s="9" t="s">
        <v>7495</v>
      </c>
      <c r="BG951" s="9" t="s">
        <v>7495</v>
      </c>
      <c r="BH951" s="9" t="s">
        <v>7493</v>
      </c>
      <c r="BI951" s="9" t="s">
        <v>7493</v>
      </c>
      <c r="BJ951" s="9" t="s">
        <v>7493</v>
      </c>
      <c r="BK951" s="9" t="s">
        <v>7493</v>
      </c>
      <c r="BL951" s="9"/>
      <c r="BM951" s="9"/>
      <c r="BN951" s="9" t="s">
        <v>7545</v>
      </c>
      <c r="BO951" s="9"/>
      <c r="BP951" s="9"/>
      <c r="BQ951" s="9"/>
      <c r="BR951" s="9" t="s">
        <v>7473</v>
      </c>
      <c r="BS951" s="9"/>
      <c r="BT951" s="9"/>
      <c r="BU951" s="9"/>
      <c r="BV951" s="9" t="s">
        <v>7473</v>
      </c>
      <c r="BW951" s="9"/>
      <c r="BX951" s="9"/>
      <c r="BY951" s="9"/>
      <c r="BZ951" s="9" t="s">
        <v>7451</v>
      </c>
      <c r="CA951" s="9"/>
      <c r="CB951" s="9"/>
      <c r="CC951" s="9"/>
      <c r="CD951" s="9" t="s">
        <v>7473</v>
      </c>
      <c r="CE951" s="9"/>
      <c r="CF951" s="9"/>
      <c r="CG951" s="9"/>
      <c r="CH951" s="9" t="s">
        <v>7473</v>
      </c>
      <c r="CI951" s="9"/>
      <c r="CJ951" s="9"/>
      <c r="CK951" s="9"/>
      <c r="CL951" s="9" t="s">
        <v>7496</v>
      </c>
      <c r="CM951" s="9"/>
      <c r="CN951" s="9"/>
      <c r="CO951" s="9"/>
      <c r="CP951" s="9" t="s">
        <v>7503</v>
      </c>
      <c r="CQ951" s="9"/>
      <c r="CR951" s="9"/>
      <c r="CS951" s="9"/>
      <c r="CT951" s="9" t="s">
        <v>7556</v>
      </c>
      <c r="CU951" s="9"/>
      <c r="CV951" s="9"/>
      <c r="CW951" s="9">
        <v>3</v>
      </c>
      <c r="CX951" s="9" t="s">
        <v>99</v>
      </c>
      <c r="CY951" s="9" t="s">
        <v>99</v>
      </c>
      <c r="CZ951" s="9">
        <v>50</v>
      </c>
      <c r="DA951" s="9">
        <v>10</v>
      </c>
      <c r="DB951" s="9">
        <v>40</v>
      </c>
      <c r="DC951" s="9">
        <v>95</v>
      </c>
      <c r="DD951" s="9">
        <v>0.64</v>
      </c>
      <c r="DE951" s="173">
        <v>261</v>
      </c>
      <c r="DF951" s="173">
        <v>153</v>
      </c>
      <c r="DG951" s="9">
        <f t="shared" si="14"/>
        <v>4.7921574064964885</v>
      </c>
      <c r="DH951" s="9">
        <v>30.6</v>
      </c>
      <c r="DI951" s="9">
        <v>4.0199999999999996</v>
      </c>
      <c r="DJ951" s="9"/>
      <c r="DK951" s="9"/>
      <c r="DL951" s="9">
        <v>45.5</v>
      </c>
      <c r="DM951" s="9">
        <v>184.9</v>
      </c>
      <c r="DN951" s="9"/>
      <c r="DO951" s="9"/>
      <c r="DR951">
        <v>2</v>
      </c>
    </row>
    <row r="952" spans="1:125" customFormat="1" x14ac:dyDescent="0.2">
      <c r="A952" s="127" t="s">
        <v>7557</v>
      </c>
      <c r="B952" s="127">
        <v>43804</v>
      </c>
      <c r="C952" s="127" t="s">
        <v>196</v>
      </c>
      <c r="D952" s="127">
        <v>29</v>
      </c>
      <c r="E952" s="127" t="s">
        <v>7558</v>
      </c>
      <c r="F952" s="127">
        <v>33112</v>
      </c>
      <c r="G952" s="127" t="s">
        <v>3288</v>
      </c>
      <c r="H952" s="127" t="s">
        <v>5940</v>
      </c>
      <c r="I952" s="127" t="s">
        <v>1594</v>
      </c>
      <c r="J952" s="127"/>
      <c r="K952" s="127" t="s">
        <v>500</v>
      </c>
      <c r="L952" s="127" t="s">
        <v>500</v>
      </c>
      <c r="M952" s="127" t="s">
        <v>99</v>
      </c>
      <c r="N952" s="127" t="s">
        <v>99</v>
      </c>
      <c r="O952" s="127" t="s">
        <v>99</v>
      </c>
      <c r="P952" s="127" t="s">
        <v>99</v>
      </c>
      <c r="Q952" s="127" t="s">
        <v>7559</v>
      </c>
      <c r="R952" s="127" t="s">
        <v>99</v>
      </c>
      <c r="S952" s="127" t="s">
        <v>99</v>
      </c>
      <c r="T952" s="127" t="s">
        <v>110</v>
      </c>
      <c r="U952" s="127" t="s">
        <v>99</v>
      </c>
      <c r="V952" s="127" t="s">
        <v>99</v>
      </c>
      <c r="W952" s="127" t="s">
        <v>7560</v>
      </c>
      <c r="X952" s="127" t="s">
        <v>99</v>
      </c>
      <c r="Y952" s="127"/>
      <c r="Z952" s="127" t="s">
        <v>7561</v>
      </c>
      <c r="AA952" s="127" t="s">
        <v>1654</v>
      </c>
      <c r="AB952" s="127" t="s">
        <v>1654</v>
      </c>
      <c r="AC952" s="127" t="s">
        <v>7562</v>
      </c>
      <c r="AD952" s="127" t="s">
        <v>1654</v>
      </c>
      <c r="AE952" s="127" t="s">
        <v>343</v>
      </c>
      <c r="AF952" s="127" t="s">
        <v>6074</v>
      </c>
      <c r="AG952" s="127" t="s">
        <v>6074</v>
      </c>
      <c r="AH952" s="129" t="s">
        <v>6075</v>
      </c>
      <c r="AI952" s="127" t="s">
        <v>99</v>
      </c>
      <c r="AJ952" s="9" t="s">
        <v>99</v>
      </c>
      <c r="AK952" s="9" t="s">
        <v>99</v>
      </c>
      <c r="AL952" s="9">
        <v>53.2</v>
      </c>
      <c r="AM952" s="9">
        <v>157</v>
      </c>
      <c r="AN952" s="7">
        <v>68</v>
      </c>
      <c r="AO952" s="9">
        <v>95</v>
      </c>
      <c r="AP952" s="9">
        <v>31.4</v>
      </c>
      <c r="AQ952" s="9">
        <v>4</v>
      </c>
      <c r="AR952" s="9">
        <v>28</v>
      </c>
      <c r="AS952" s="9">
        <v>29</v>
      </c>
      <c r="AT952" s="7">
        <v>21.6</v>
      </c>
      <c r="AU952" s="9">
        <v>101</v>
      </c>
      <c r="AV952" s="9">
        <v>73</v>
      </c>
      <c r="AW952" s="9"/>
      <c r="AX952" s="9" t="s">
        <v>7563</v>
      </c>
      <c r="AY952" s="9" t="s">
        <v>7564</v>
      </c>
      <c r="AZ952" s="9"/>
      <c r="BA952" s="9"/>
      <c r="BB952" s="9" t="s">
        <v>1130</v>
      </c>
      <c r="BC952" s="9" t="s">
        <v>5595</v>
      </c>
      <c r="BD952" s="9" t="s">
        <v>749</v>
      </c>
      <c r="BE952" s="9"/>
      <c r="BF952" s="9" t="s">
        <v>176</v>
      </c>
      <c r="BG952" s="9" t="s">
        <v>212</v>
      </c>
      <c r="BH952" s="9" t="s">
        <v>99</v>
      </c>
      <c r="BI952" s="9" t="s">
        <v>176</v>
      </c>
      <c r="BJ952" s="9" t="s">
        <v>176</v>
      </c>
      <c r="BK952" s="9" t="s">
        <v>5871</v>
      </c>
      <c r="BL952" s="9" t="s">
        <v>176</v>
      </c>
      <c r="BM952" s="9" t="s">
        <v>7565</v>
      </c>
      <c r="BN952" s="9" t="s">
        <v>2534</v>
      </c>
      <c r="BO952" s="9" t="s">
        <v>5578</v>
      </c>
      <c r="BP952" s="9"/>
      <c r="BQ952" s="9"/>
      <c r="BR952" s="9"/>
      <c r="BS952" s="9"/>
      <c r="BT952" s="9"/>
      <c r="BU952" s="9"/>
      <c r="BV952" s="9" t="s">
        <v>7566</v>
      </c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 t="s">
        <v>7567</v>
      </c>
      <c r="CM952" s="9" t="s">
        <v>7568</v>
      </c>
      <c r="CN952" s="9" t="s">
        <v>7569</v>
      </c>
      <c r="CO952" s="9"/>
      <c r="CP952" s="9" t="s">
        <v>716</v>
      </c>
      <c r="CQ952" s="9" t="s">
        <v>362</v>
      </c>
      <c r="CR952" s="9" t="s">
        <v>7570</v>
      </c>
      <c r="CS952" s="9"/>
      <c r="CT952" s="9" t="s">
        <v>7571</v>
      </c>
      <c r="CU952" s="9" t="s">
        <v>2662</v>
      </c>
      <c r="CV952" s="9"/>
      <c r="CW952" s="9" t="s">
        <v>110</v>
      </c>
      <c r="CX952" s="9" t="s">
        <v>110</v>
      </c>
      <c r="CY952" s="9" t="s">
        <v>110</v>
      </c>
      <c r="CZ952" s="9"/>
      <c r="DA952" s="9"/>
      <c r="DB952" s="9"/>
      <c r="DC952" s="9">
        <v>85.6</v>
      </c>
      <c r="DD952" s="173">
        <v>0.3</v>
      </c>
      <c r="DE952" s="9">
        <v>169</v>
      </c>
      <c r="DF952" s="9">
        <v>49</v>
      </c>
      <c r="DG952" s="9">
        <f t="shared" si="14"/>
        <v>4.1707527906291615</v>
      </c>
      <c r="DH952" s="9">
        <v>9.8000000000000007</v>
      </c>
      <c r="DI952" s="9">
        <v>2.6</v>
      </c>
      <c r="DJ952" s="9"/>
      <c r="DK952" s="9"/>
      <c r="DL952" s="9">
        <v>58.7</v>
      </c>
      <c r="DM952" s="9">
        <v>100.5</v>
      </c>
      <c r="DN952" s="9"/>
      <c r="DO952" s="9"/>
      <c r="DP952" s="53">
        <v>3</v>
      </c>
    </row>
    <row r="953" spans="1:125" customFormat="1" x14ac:dyDescent="0.2">
      <c r="A953" s="127" t="s">
        <v>7572</v>
      </c>
      <c r="B953" s="127">
        <v>43804</v>
      </c>
      <c r="C953" s="127" t="s">
        <v>675</v>
      </c>
      <c r="D953" s="127">
        <v>34</v>
      </c>
      <c r="E953" s="127" t="s">
        <v>100</v>
      </c>
      <c r="F953" s="127">
        <v>29264</v>
      </c>
      <c r="G953" s="127" t="s">
        <v>837</v>
      </c>
      <c r="H953" s="127"/>
      <c r="I953" s="127"/>
      <c r="J953" s="127"/>
      <c r="K953" s="127"/>
      <c r="L953" s="127"/>
      <c r="M953" s="127" t="s">
        <v>99</v>
      </c>
      <c r="N953" s="127" t="s">
        <v>99</v>
      </c>
      <c r="O953" s="127" t="s">
        <v>7573</v>
      </c>
      <c r="P953" s="127" t="s">
        <v>99</v>
      </c>
      <c r="Q953" s="127" t="s">
        <v>6121</v>
      </c>
      <c r="R953" s="127" t="s">
        <v>110</v>
      </c>
      <c r="S953" s="127" t="s">
        <v>110</v>
      </c>
      <c r="T953" s="127" t="s">
        <v>110</v>
      </c>
      <c r="U953" s="127" t="s">
        <v>99</v>
      </c>
      <c r="V953" s="127" t="s">
        <v>99</v>
      </c>
      <c r="W953" s="127" t="s">
        <v>7473</v>
      </c>
      <c r="X953" s="127"/>
      <c r="Y953" s="127"/>
      <c r="Z953" s="127"/>
      <c r="AA953" s="127" t="s">
        <v>100</v>
      </c>
      <c r="AB953" s="127" t="s">
        <v>100</v>
      </c>
      <c r="AC953" s="127" t="s">
        <v>7550</v>
      </c>
      <c r="AD953" s="127" t="s">
        <v>7550</v>
      </c>
      <c r="AE953" s="127" t="s">
        <v>99</v>
      </c>
      <c r="AF953" s="127" t="s">
        <v>99</v>
      </c>
      <c r="AG953" s="127" t="s">
        <v>99</v>
      </c>
      <c r="AH953" s="129" t="s">
        <v>7574</v>
      </c>
      <c r="AI953" s="127" t="s">
        <v>99</v>
      </c>
      <c r="AJ953" s="9" t="s">
        <v>99</v>
      </c>
      <c r="AK953" s="9" t="s">
        <v>99</v>
      </c>
      <c r="AL953" s="9">
        <v>92.5</v>
      </c>
      <c r="AM953" s="9">
        <v>177</v>
      </c>
      <c r="AN953" s="9">
        <v>88</v>
      </c>
      <c r="AO953" s="9">
        <v>110</v>
      </c>
      <c r="AP953" s="9">
        <v>28.4</v>
      </c>
      <c r="AQ953" s="9">
        <v>13</v>
      </c>
      <c r="AR953" s="9">
        <v>33.799999999999997</v>
      </c>
      <c r="AS953" s="9">
        <v>60</v>
      </c>
      <c r="AT953" s="9">
        <v>29.5</v>
      </c>
      <c r="AU953" s="9">
        <v>127</v>
      </c>
      <c r="AV953" s="9">
        <v>74</v>
      </c>
      <c r="AW953" s="9"/>
      <c r="AX953" s="9" t="s">
        <v>7508</v>
      </c>
      <c r="AY953" s="9"/>
      <c r="AZ953" s="9"/>
      <c r="BA953" s="9"/>
      <c r="BB953" s="9" t="s">
        <v>7545</v>
      </c>
      <c r="BC953" s="9"/>
      <c r="BD953" s="9"/>
      <c r="BE953" s="9"/>
      <c r="BF953" s="9" t="s">
        <v>7492</v>
      </c>
      <c r="BG953" s="9" t="s">
        <v>7493</v>
      </c>
      <c r="BH953" s="9" t="s">
        <v>7493</v>
      </c>
      <c r="BI953" s="9" t="s">
        <v>7495</v>
      </c>
      <c r="BJ953" s="9" t="s">
        <v>7482</v>
      </c>
      <c r="BK953" s="9" t="s">
        <v>7575</v>
      </c>
      <c r="BL953" s="9"/>
      <c r="BM953" s="9"/>
      <c r="BN953" s="9" t="s">
        <v>7508</v>
      </c>
      <c r="BO953" s="9"/>
      <c r="BP953" s="9"/>
      <c r="BQ953" s="9"/>
      <c r="BR953" s="9" t="s">
        <v>7473</v>
      </c>
      <c r="BS953" s="9"/>
      <c r="BT953" s="9"/>
      <c r="BU953" s="9"/>
      <c r="BV953" s="9" t="s">
        <v>7473</v>
      </c>
      <c r="BW953" s="9"/>
      <c r="BX953" s="9"/>
      <c r="BY953" s="9"/>
      <c r="BZ953" s="9" t="s">
        <v>7451</v>
      </c>
      <c r="CA953" s="9"/>
      <c r="CB953" s="9"/>
      <c r="CC953" s="9"/>
      <c r="CD953" s="9" t="s">
        <v>7473</v>
      </c>
      <c r="CE953" s="9"/>
      <c r="CF953" s="9"/>
      <c r="CG953" s="9"/>
      <c r="CH953" s="9" t="s">
        <v>7473</v>
      </c>
      <c r="CI953" s="9"/>
      <c r="CJ953" s="9"/>
      <c r="CK953" s="9"/>
      <c r="CL953" s="9" t="s">
        <v>7576</v>
      </c>
      <c r="CM953" s="9"/>
      <c r="CN953" s="9"/>
      <c r="CO953" s="9"/>
      <c r="CP953" s="9" t="s">
        <v>7503</v>
      </c>
      <c r="CQ953" s="9"/>
      <c r="CR953" s="9"/>
      <c r="CS953" s="9"/>
      <c r="CT953" s="9" t="s">
        <v>7493</v>
      </c>
      <c r="CU953" s="9"/>
      <c r="CV953" s="9"/>
      <c r="CW953" s="9">
        <v>1</v>
      </c>
      <c r="CX953" s="9" t="s">
        <v>110</v>
      </c>
      <c r="CY953" s="9" t="s">
        <v>110</v>
      </c>
      <c r="CZ953" s="9">
        <v>30</v>
      </c>
      <c r="DA953" s="9">
        <v>15</v>
      </c>
      <c r="DB953" s="9">
        <v>55</v>
      </c>
      <c r="DC953" s="9">
        <v>96.3</v>
      </c>
      <c r="DD953" s="9">
        <v>1.1100000000000001</v>
      </c>
      <c r="DE953" s="173">
        <v>256</v>
      </c>
      <c r="DF953" s="173">
        <v>243</v>
      </c>
      <c r="DG953" s="9">
        <f t="shared" si="14"/>
        <v>5.0302648810723145</v>
      </c>
      <c r="DH953" s="9">
        <v>48.6</v>
      </c>
      <c r="DI953" s="9">
        <v>6.85</v>
      </c>
      <c r="DJ953" s="9"/>
      <c r="DK953" s="9"/>
      <c r="DL953" s="9">
        <v>42.2</v>
      </c>
      <c r="DM953" s="9">
        <v>165.2</v>
      </c>
      <c r="DN953" s="9"/>
      <c r="DO953" s="9"/>
      <c r="DR953">
        <v>2</v>
      </c>
    </row>
    <row r="954" spans="1:125" customFormat="1" x14ac:dyDescent="0.2">
      <c r="A954" s="172" t="s">
        <v>7577</v>
      </c>
      <c r="B954" s="127">
        <v>43804</v>
      </c>
      <c r="C954" s="127" t="s">
        <v>675</v>
      </c>
      <c r="D954" s="127">
        <v>47</v>
      </c>
      <c r="E954" s="127" t="s">
        <v>100</v>
      </c>
      <c r="F954" s="127">
        <v>26318</v>
      </c>
      <c r="G954" s="127" t="s">
        <v>837</v>
      </c>
      <c r="H954" s="127" t="s">
        <v>7578</v>
      </c>
      <c r="I954" s="127"/>
      <c r="J954" s="127"/>
      <c r="K954" s="127"/>
      <c r="L954" s="127"/>
      <c r="M954" s="127" t="s">
        <v>99</v>
      </c>
      <c r="N954" s="127" t="s">
        <v>7579</v>
      </c>
      <c r="O954" s="127" t="s">
        <v>7580</v>
      </c>
      <c r="P954" s="127" t="s">
        <v>99</v>
      </c>
      <c r="Q954" s="127" t="s">
        <v>99</v>
      </c>
      <c r="R954" s="127" t="s">
        <v>110</v>
      </c>
      <c r="S954" s="127" t="s">
        <v>110</v>
      </c>
      <c r="T954" s="127" t="s">
        <v>7581</v>
      </c>
      <c r="U954" s="127" t="s">
        <v>7582</v>
      </c>
      <c r="V954" s="127" t="s">
        <v>99</v>
      </c>
      <c r="W954" s="127" t="s">
        <v>99</v>
      </c>
      <c r="X954" s="127" t="s">
        <v>99</v>
      </c>
      <c r="Y954" s="127" t="s">
        <v>99</v>
      </c>
      <c r="Z954" s="127" t="s">
        <v>7583</v>
      </c>
      <c r="AA954" s="127" t="s">
        <v>5481</v>
      </c>
      <c r="AB954" s="127" t="s">
        <v>1738</v>
      </c>
      <c r="AC954" s="127" t="s">
        <v>7584</v>
      </c>
      <c r="AD954" s="127" t="s">
        <v>1738</v>
      </c>
      <c r="AE954" s="127" t="s">
        <v>7574</v>
      </c>
      <c r="AF954" s="127" t="s">
        <v>7585</v>
      </c>
      <c r="AG954" s="127" t="s">
        <v>99</v>
      </c>
      <c r="AH954" s="129" t="s">
        <v>99</v>
      </c>
      <c r="AI954" s="127" t="s">
        <v>99</v>
      </c>
      <c r="AJ954" s="9" t="s">
        <v>99</v>
      </c>
      <c r="AK954" s="9"/>
      <c r="AL954" s="9">
        <v>80.2</v>
      </c>
      <c r="AM954" s="9">
        <v>167.5</v>
      </c>
      <c r="AN954" s="173">
        <v>95</v>
      </c>
      <c r="AO954" s="9">
        <v>104</v>
      </c>
      <c r="AP954" s="9">
        <v>28.6</v>
      </c>
      <c r="AQ954" s="9">
        <v>13</v>
      </c>
      <c r="AR954" s="9">
        <v>33.4</v>
      </c>
      <c r="AS954" s="9">
        <v>52</v>
      </c>
      <c r="AT954" s="9">
        <v>28.6</v>
      </c>
      <c r="AU954" s="9">
        <v>126</v>
      </c>
      <c r="AV954" s="9">
        <v>78</v>
      </c>
      <c r="AW954" s="9"/>
      <c r="AX954" s="9" t="s">
        <v>7586</v>
      </c>
      <c r="AY954" s="9" t="s">
        <v>7587</v>
      </c>
      <c r="AZ954" s="9"/>
      <c r="BA954" s="9" t="s">
        <v>351</v>
      </c>
      <c r="BB954" s="9" t="s">
        <v>1130</v>
      </c>
      <c r="BC954" s="9" t="s">
        <v>2603</v>
      </c>
      <c r="BD954" s="9"/>
      <c r="BE954" s="9" t="s">
        <v>350</v>
      </c>
      <c r="BF954" s="9" t="s">
        <v>7588</v>
      </c>
      <c r="BG954" s="9">
        <v>2</v>
      </c>
      <c r="BH954" s="9" t="s">
        <v>7589</v>
      </c>
      <c r="BI954" s="9">
        <v>1</v>
      </c>
      <c r="BJ954" s="9">
        <v>1</v>
      </c>
      <c r="BK954" s="9" t="s">
        <v>216</v>
      </c>
      <c r="BL954" s="9" t="s">
        <v>350</v>
      </c>
      <c r="BM954" s="9"/>
      <c r="BN954" s="9" t="s">
        <v>7590</v>
      </c>
      <c r="BO954" s="9" t="s">
        <v>7591</v>
      </c>
      <c r="BP954" s="9" t="s">
        <v>7592</v>
      </c>
      <c r="BQ954" s="9"/>
      <c r="BR954" s="9"/>
      <c r="BS954" s="9"/>
      <c r="BT954" s="9"/>
      <c r="BU954" s="9"/>
      <c r="BV954" s="9"/>
      <c r="BW954" s="9"/>
      <c r="BX954" s="9"/>
      <c r="BY954" s="9" t="s">
        <v>176</v>
      </c>
      <c r="BZ954" s="9" t="s">
        <v>357</v>
      </c>
      <c r="CA954" s="9" t="s">
        <v>822</v>
      </c>
      <c r="CB954" s="9" t="s">
        <v>708</v>
      </c>
      <c r="CC954" s="9"/>
      <c r="CD954" s="9"/>
      <c r="CE954" s="9"/>
      <c r="CF954" s="9"/>
      <c r="CG954" s="9"/>
      <c r="CH954" s="9"/>
      <c r="CI954" s="9"/>
      <c r="CJ954" s="9"/>
      <c r="CK954" s="9" t="s">
        <v>351</v>
      </c>
      <c r="CL954" s="9" t="s">
        <v>825</v>
      </c>
      <c r="CM954" s="9" t="s">
        <v>2590</v>
      </c>
      <c r="CN954" s="9" t="s">
        <v>1181</v>
      </c>
      <c r="CO954" s="9" t="s">
        <v>351</v>
      </c>
      <c r="CP954" s="9" t="s">
        <v>715</v>
      </c>
      <c r="CQ954" s="9" t="s">
        <v>361</v>
      </c>
      <c r="CR954" s="9" t="s">
        <v>7593</v>
      </c>
      <c r="CS954" s="9"/>
      <c r="CT954" s="9" t="s">
        <v>7594</v>
      </c>
      <c r="CU954" s="9"/>
      <c r="CV954" s="9"/>
      <c r="CW954" s="9" t="s">
        <v>7595</v>
      </c>
      <c r="CX954" s="9" t="s">
        <v>99</v>
      </c>
      <c r="CY954" s="9" t="s">
        <v>110</v>
      </c>
      <c r="CZ954" s="9">
        <v>40</v>
      </c>
      <c r="DA954" s="9">
        <v>10</v>
      </c>
      <c r="DB954" s="9">
        <v>50</v>
      </c>
      <c r="DC954" s="9">
        <v>84.6</v>
      </c>
      <c r="DD954" s="9">
        <v>0.93</v>
      </c>
      <c r="DE954" s="9">
        <v>164</v>
      </c>
      <c r="DF954" s="173">
        <v>158</v>
      </c>
      <c r="DG954" s="9">
        <f t="shared" si="14"/>
        <v>4.750264649819572</v>
      </c>
      <c r="DH954" s="9">
        <v>31.6</v>
      </c>
      <c r="DI954" s="9">
        <v>6.82</v>
      </c>
      <c r="DJ954" s="9"/>
      <c r="DK954" s="9"/>
      <c r="DL954" s="173">
        <v>36</v>
      </c>
      <c r="DM954" s="9">
        <v>96.4</v>
      </c>
      <c r="DN954" s="9"/>
      <c r="DO954" s="9"/>
      <c r="DP954" s="53">
        <v>3</v>
      </c>
      <c r="DR954">
        <v>2</v>
      </c>
    </row>
    <row r="955" spans="1:125" customFormat="1" x14ac:dyDescent="0.2">
      <c r="A955" s="127" t="s">
        <v>7596</v>
      </c>
      <c r="B955" s="127">
        <v>43804</v>
      </c>
      <c r="C955" s="127" t="s">
        <v>196</v>
      </c>
      <c r="D955" s="127">
        <v>42</v>
      </c>
      <c r="E955" s="127" t="s">
        <v>100</v>
      </c>
      <c r="F955" s="127">
        <v>28195</v>
      </c>
      <c r="G955" s="127" t="s">
        <v>813</v>
      </c>
      <c r="H955" s="127" t="s">
        <v>7597</v>
      </c>
      <c r="I955" s="127" t="s">
        <v>4856</v>
      </c>
      <c r="J955" s="127"/>
      <c r="K955" s="127"/>
      <c r="L955" s="127">
        <v>0</v>
      </c>
      <c r="M955" s="127" t="s">
        <v>99</v>
      </c>
      <c r="N955" s="127" t="s">
        <v>99</v>
      </c>
      <c r="O955" s="127" t="s">
        <v>99</v>
      </c>
      <c r="P955" s="127" t="s">
        <v>99</v>
      </c>
      <c r="Q955" s="127" t="s">
        <v>99</v>
      </c>
      <c r="R955" s="127" t="s">
        <v>7598</v>
      </c>
      <c r="S955" s="127" t="s">
        <v>99</v>
      </c>
      <c r="T955" s="127" t="s">
        <v>99</v>
      </c>
      <c r="U955" s="127" t="s">
        <v>7599</v>
      </c>
      <c r="V955" s="127" t="s">
        <v>99</v>
      </c>
      <c r="W955" s="127" t="s">
        <v>99</v>
      </c>
      <c r="X955" s="127" t="s">
        <v>99</v>
      </c>
      <c r="Y955" s="127" t="s">
        <v>99</v>
      </c>
      <c r="Z955" s="127" t="s">
        <v>7600</v>
      </c>
      <c r="AA955" s="127" t="s">
        <v>1123</v>
      </c>
      <c r="AB955" s="127" t="s">
        <v>100</v>
      </c>
      <c r="AC955" s="127" t="s">
        <v>1123</v>
      </c>
      <c r="AD955" s="127" t="s">
        <v>100</v>
      </c>
      <c r="AE955" s="127" t="s">
        <v>7601</v>
      </c>
      <c r="AF955" s="127" t="s">
        <v>99</v>
      </c>
      <c r="AG955" s="127" t="s">
        <v>99</v>
      </c>
      <c r="AH955" s="129" t="s">
        <v>6074</v>
      </c>
      <c r="AI955" s="127" t="s">
        <v>99</v>
      </c>
      <c r="AJ955" s="9" t="s">
        <v>99</v>
      </c>
      <c r="AK955" s="9" t="s">
        <v>99</v>
      </c>
      <c r="AL955" s="9">
        <v>71.8</v>
      </c>
      <c r="AM955" s="9">
        <v>165</v>
      </c>
      <c r="AN955" s="9">
        <v>78.5</v>
      </c>
      <c r="AO955" s="9">
        <v>111</v>
      </c>
      <c r="AP955" s="9">
        <v>41.1</v>
      </c>
      <c r="AQ955" s="9">
        <v>7</v>
      </c>
      <c r="AR955" s="9">
        <v>24.9</v>
      </c>
      <c r="AS955" s="9">
        <v>49</v>
      </c>
      <c r="AT955" s="9">
        <v>26.7</v>
      </c>
      <c r="AU955" s="9">
        <v>113</v>
      </c>
      <c r="AV955" s="9">
        <v>82</v>
      </c>
      <c r="AW955" s="9"/>
      <c r="AX955" s="9" t="s">
        <v>573</v>
      </c>
      <c r="AY955" s="9" t="s">
        <v>748</v>
      </c>
      <c r="AZ955" s="9" t="s">
        <v>6129</v>
      </c>
      <c r="BA955" s="9"/>
      <c r="BB955" s="9" t="s">
        <v>750</v>
      </c>
      <c r="BC955" s="9" t="s">
        <v>1130</v>
      </c>
      <c r="BD955" s="9"/>
      <c r="BE955" s="9"/>
      <c r="BF955" s="9" t="s">
        <v>7602</v>
      </c>
      <c r="BG955" s="9" t="s">
        <v>7603</v>
      </c>
      <c r="BH955" s="9" t="s">
        <v>7603</v>
      </c>
      <c r="BI955" s="9" t="s">
        <v>7604</v>
      </c>
      <c r="BJ955" s="9" t="s">
        <v>7604</v>
      </c>
      <c r="BK955" s="9" t="s">
        <v>7603</v>
      </c>
      <c r="BL955" s="9"/>
      <c r="BM955" s="9"/>
      <c r="BN955" s="9" t="s">
        <v>1664</v>
      </c>
      <c r="BO955" s="9" t="s">
        <v>2534</v>
      </c>
      <c r="BP955" s="9" t="s">
        <v>5578</v>
      </c>
      <c r="BQ955" s="9"/>
      <c r="BR955" s="9"/>
      <c r="BS955" s="9"/>
      <c r="BT955" s="9"/>
      <c r="BU955" s="9"/>
      <c r="BV955" s="9" t="s">
        <v>1573</v>
      </c>
      <c r="BW955" s="9"/>
      <c r="BX955" s="9"/>
      <c r="BY955" s="9"/>
      <c r="BZ955" s="9" t="s">
        <v>821</v>
      </c>
      <c r="CA955" s="9" t="s">
        <v>182</v>
      </c>
      <c r="CB955" s="9" t="s">
        <v>183</v>
      </c>
      <c r="CC955" s="9"/>
      <c r="CD955" s="9"/>
      <c r="CE955" s="9"/>
      <c r="CF955" s="9"/>
      <c r="CG955" s="9"/>
      <c r="CH955" s="9"/>
      <c r="CI955" s="9"/>
      <c r="CJ955" s="9"/>
      <c r="CK955" s="9" t="s">
        <v>351</v>
      </c>
      <c r="CL955" s="9" t="s">
        <v>825</v>
      </c>
      <c r="CM955" s="9" t="s">
        <v>2590</v>
      </c>
      <c r="CN955" s="9" t="s">
        <v>7605</v>
      </c>
      <c r="CO955" s="9"/>
      <c r="CP955" s="9" t="s">
        <v>362</v>
      </c>
      <c r="CQ955" s="9" t="s">
        <v>7606</v>
      </c>
      <c r="CR955" s="9" t="s">
        <v>7593</v>
      </c>
      <c r="CS955" s="9" t="s">
        <v>350</v>
      </c>
      <c r="CT955" s="9" t="s">
        <v>7607</v>
      </c>
      <c r="CU955" s="9" t="s">
        <v>1732</v>
      </c>
      <c r="CV955" s="9"/>
      <c r="CW955" s="9">
        <v>3</v>
      </c>
      <c r="CX955" s="9" t="s">
        <v>99</v>
      </c>
      <c r="CY955" s="9" t="s">
        <v>110</v>
      </c>
      <c r="CZ955" s="9">
        <v>20</v>
      </c>
      <c r="DA955" s="9">
        <v>50</v>
      </c>
      <c r="DB955" s="9">
        <v>30</v>
      </c>
      <c r="DC955" s="9">
        <v>84.8</v>
      </c>
      <c r="DD955" s="9">
        <v>0.73</v>
      </c>
      <c r="DE955" s="9">
        <v>165</v>
      </c>
      <c r="DF955" s="9">
        <v>79</v>
      </c>
      <c r="DG955" s="9">
        <f t="shared" si="14"/>
        <v>4.4048716976324398</v>
      </c>
      <c r="DH955" s="9">
        <v>15.8</v>
      </c>
      <c r="DI955" s="9">
        <v>3.24</v>
      </c>
      <c r="DJ955" s="9"/>
      <c r="DK955" s="9"/>
      <c r="DL955" s="173">
        <v>49.9</v>
      </c>
      <c r="DM955" s="9">
        <v>99.3</v>
      </c>
      <c r="DN955" s="9"/>
      <c r="DO955" s="9"/>
    </row>
    <row r="956" spans="1:125" customFormat="1" x14ac:dyDescent="0.2">
      <c r="A956" s="127" t="s">
        <v>7608</v>
      </c>
      <c r="B956" s="127">
        <v>43775</v>
      </c>
      <c r="C956" s="127" t="s">
        <v>196</v>
      </c>
      <c r="D956" s="127">
        <v>46</v>
      </c>
      <c r="E956" s="127" t="s">
        <v>100</v>
      </c>
      <c r="F956" s="127"/>
      <c r="G956" s="127" t="s">
        <v>7609</v>
      </c>
      <c r="H956" s="127" t="s">
        <v>100</v>
      </c>
      <c r="I956" s="127" t="s">
        <v>3222</v>
      </c>
      <c r="J956" s="127"/>
      <c r="K956" s="127">
        <v>2004</v>
      </c>
      <c r="L956" s="127">
        <v>3</v>
      </c>
      <c r="M956" s="127" t="s">
        <v>99</v>
      </c>
      <c r="N956" s="127" t="s">
        <v>7610</v>
      </c>
      <c r="O956" s="127" t="s">
        <v>99</v>
      </c>
      <c r="P956" s="127" t="s">
        <v>7611</v>
      </c>
      <c r="Q956" s="127" t="s">
        <v>7612</v>
      </c>
      <c r="R956" s="127" t="s">
        <v>7613</v>
      </c>
      <c r="S956" s="127" t="s">
        <v>7614</v>
      </c>
      <c r="T956" s="127" t="s">
        <v>7615</v>
      </c>
      <c r="U956" s="127" t="s">
        <v>7616</v>
      </c>
      <c r="V956" s="127" t="s">
        <v>99</v>
      </c>
      <c r="W956" s="127" t="s">
        <v>7617</v>
      </c>
      <c r="X956" s="127" t="s">
        <v>99</v>
      </c>
      <c r="Y956" s="127" t="s">
        <v>99</v>
      </c>
      <c r="Z956" s="127" t="s">
        <v>99</v>
      </c>
      <c r="AA956" s="127" t="s">
        <v>3194</v>
      </c>
      <c r="AB956" s="127" t="s">
        <v>3194</v>
      </c>
      <c r="AC956" s="127" t="s">
        <v>100</v>
      </c>
      <c r="AD956" s="127" t="s">
        <v>3194</v>
      </c>
      <c r="AE956" s="127" t="s">
        <v>99</v>
      </c>
      <c r="AF956" s="127" t="s">
        <v>7618</v>
      </c>
      <c r="AG956" s="127" t="s">
        <v>99</v>
      </c>
      <c r="AH956" s="129" t="s">
        <v>6074</v>
      </c>
      <c r="AI956" s="127" t="s">
        <v>7619</v>
      </c>
      <c r="AJ956" s="9" t="s">
        <v>99</v>
      </c>
      <c r="AK956" s="9" t="s">
        <v>99</v>
      </c>
      <c r="AL956" s="9">
        <v>63.6</v>
      </c>
      <c r="AM956" s="9">
        <v>158</v>
      </c>
      <c r="AN956" s="9">
        <v>83</v>
      </c>
      <c r="AO956" s="9">
        <v>95</v>
      </c>
      <c r="AP956" s="9">
        <v>42.4</v>
      </c>
      <c r="AQ956" s="9">
        <v>8</v>
      </c>
      <c r="AR956" s="9">
        <v>22.4</v>
      </c>
      <c r="AS956" s="9">
        <v>50</v>
      </c>
      <c r="AT956" s="9">
        <v>25.5</v>
      </c>
      <c r="AU956" s="9">
        <v>110</v>
      </c>
      <c r="AV956" s="9">
        <v>57</v>
      </c>
      <c r="AW956" s="9"/>
      <c r="AX956" s="9" t="s">
        <v>7620</v>
      </c>
      <c r="AY956" s="9" t="s">
        <v>7621</v>
      </c>
      <c r="AZ956" s="9" t="s">
        <v>7622</v>
      </c>
      <c r="BA956" s="9" t="s">
        <v>351</v>
      </c>
      <c r="BB956" s="9" t="s">
        <v>5595</v>
      </c>
      <c r="BC956" s="9"/>
      <c r="BD956" s="9"/>
      <c r="BE956" s="9" t="s">
        <v>351</v>
      </c>
      <c r="BF956" s="9" t="s">
        <v>7602</v>
      </c>
      <c r="BG956" s="9" t="s">
        <v>3614</v>
      </c>
      <c r="BH956" s="9" t="s">
        <v>350</v>
      </c>
      <c r="BI956" s="9" t="s">
        <v>1172</v>
      </c>
      <c r="BJ956" s="9" t="s">
        <v>1172</v>
      </c>
      <c r="BK956" s="9" t="s">
        <v>7623</v>
      </c>
      <c r="BL956" s="9" t="s">
        <v>351</v>
      </c>
      <c r="BM956" s="9"/>
      <c r="BN956" s="9" t="s">
        <v>179</v>
      </c>
      <c r="BO956" s="9" t="s">
        <v>125</v>
      </c>
      <c r="BP956" s="9" t="s">
        <v>219</v>
      </c>
      <c r="BQ956" s="9"/>
      <c r="BR956" s="9"/>
      <c r="BS956" s="9"/>
      <c r="BT956" s="9"/>
      <c r="BU956" s="9"/>
      <c r="BV956" s="9"/>
      <c r="BW956" s="9"/>
      <c r="BX956" s="9"/>
      <c r="BY956" s="9" t="s">
        <v>351</v>
      </c>
      <c r="BZ956" s="9" t="s">
        <v>709</v>
      </c>
      <c r="CA956" s="9" t="s">
        <v>357</v>
      </c>
      <c r="CB956" s="9" t="s">
        <v>822</v>
      </c>
      <c r="CC956" s="9"/>
      <c r="CD956" s="9"/>
      <c r="CE956" s="9"/>
      <c r="CF956" s="9"/>
      <c r="CG956" s="9"/>
      <c r="CH956" s="9"/>
      <c r="CI956" s="9"/>
      <c r="CJ956" s="9"/>
      <c r="CK956" s="9" t="s">
        <v>351</v>
      </c>
      <c r="CL956" s="9" t="s">
        <v>7624</v>
      </c>
      <c r="CM956" s="9" t="s">
        <v>1181</v>
      </c>
      <c r="CN956" s="9" t="s">
        <v>2590</v>
      </c>
      <c r="CO956" s="9" t="s">
        <v>351</v>
      </c>
      <c r="CP956" s="9" t="s">
        <v>362</v>
      </c>
      <c r="CQ956" s="9" t="s">
        <v>7625</v>
      </c>
      <c r="CR956" s="9" t="s">
        <v>7593</v>
      </c>
      <c r="CS956" s="9" t="s">
        <v>7626</v>
      </c>
      <c r="CT956" s="9" t="s">
        <v>1732</v>
      </c>
      <c r="CU956" s="9"/>
      <c r="CV956" s="9"/>
      <c r="CW956" s="9">
        <v>2</v>
      </c>
      <c r="CX956" s="9" t="s">
        <v>99</v>
      </c>
      <c r="CY956" s="9" t="s">
        <v>99</v>
      </c>
      <c r="CZ956" s="9">
        <v>60</v>
      </c>
      <c r="DA956" s="9">
        <v>10</v>
      </c>
      <c r="DB956" s="9">
        <v>30</v>
      </c>
      <c r="DC956" s="9">
        <v>80.2</v>
      </c>
      <c r="DD956" s="173">
        <v>0.1</v>
      </c>
      <c r="DE956" s="9">
        <v>168</v>
      </c>
      <c r="DF956" s="9">
        <v>91</v>
      </c>
      <c r="DG956" s="9">
        <f t="shared" si="14"/>
        <v>4.4476915106946597</v>
      </c>
      <c r="DH956" s="9">
        <v>18.2</v>
      </c>
      <c r="DI956" s="9">
        <v>5.14</v>
      </c>
      <c r="DJ956" s="9"/>
      <c r="DK956" s="9"/>
      <c r="DL956" s="173">
        <v>33.299999999999997</v>
      </c>
      <c r="DM956" s="9">
        <v>116.5</v>
      </c>
      <c r="DN956" s="9"/>
      <c r="DO956" s="9"/>
      <c r="DR956">
        <v>2</v>
      </c>
    </row>
    <row r="957" spans="1:125" customFormat="1" x14ac:dyDescent="0.2">
      <c r="A957" s="143" t="s">
        <v>7627</v>
      </c>
      <c r="B957" s="127">
        <v>43804</v>
      </c>
      <c r="C957" s="127" t="s">
        <v>196</v>
      </c>
      <c r="D957" s="127">
        <v>21</v>
      </c>
      <c r="E957" s="127" t="s">
        <v>100</v>
      </c>
      <c r="F957" s="127">
        <v>35968</v>
      </c>
      <c r="G957" s="127" t="s">
        <v>1509</v>
      </c>
      <c r="H957" s="127" t="s">
        <v>7512</v>
      </c>
      <c r="I957" s="127" t="s">
        <v>645</v>
      </c>
      <c r="J957" s="127"/>
      <c r="K957" s="127"/>
      <c r="L957" s="127"/>
      <c r="M957" s="127" t="s">
        <v>99</v>
      </c>
      <c r="N957" s="127" t="s">
        <v>99</v>
      </c>
      <c r="O957" s="127" t="s">
        <v>99</v>
      </c>
      <c r="P957" s="127" t="s">
        <v>99</v>
      </c>
      <c r="Q957" s="127" t="s">
        <v>7612</v>
      </c>
      <c r="R957" s="127" t="s">
        <v>99</v>
      </c>
      <c r="S957" s="127" t="s">
        <v>99</v>
      </c>
      <c r="T957" s="127" t="s">
        <v>5451</v>
      </c>
      <c r="U957" s="127" t="s">
        <v>99</v>
      </c>
      <c r="V957" s="127" t="s">
        <v>99</v>
      </c>
      <c r="W957" s="127" t="s">
        <v>7628</v>
      </c>
      <c r="X957" s="127" t="s">
        <v>99</v>
      </c>
      <c r="Y957" s="127" t="s">
        <v>99</v>
      </c>
      <c r="Z957" s="127" t="s">
        <v>7629</v>
      </c>
      <c r="AA957" s="127" t="s">
        <v>100</v>
      </c>
      <c r="AB957" s="127" t="s">
        <v>100</v>
      </c>
      <c r="AC957" s="127" t="s">
        <v>100</v>
      </c>
      <c r="AD957" s="127" t="s">
        <v>100</v>
      </c>
      <c r="AE957" s="127" t="s">
        <v>7630</v>
      </c>
      <c r="AF957" s="127" t="s">
        <v>7631</v>
      </c>
      <c r="AG957" s="127" t="s">
        <v>7632</v>
      </c>
      <c r="AH957" s="129" t="s">
        <v>7574</v>
      </c>
      <c r="AI957" s="127" t="s">
        <v>6074</v>
      </c>
      <c r="AJ957" s="9" t="s">
        <v>99</v>
      </c>
      <c r="AK957" s="9" t="s">
        <v>99</v>
      </c>
      <c r="AL957" s="9">
        <v>59.5</v>
      </c>
      <c r="AM957" s="9">
        <v>173</v>
      </c>
      <c r="AN957" s="7">
        <v>69</v>
      </c>
      <c r="AO957" s="9">
        <v>92</v>
      </c>
      <c r="AP957" s="9">
        <v>27.3</v>
      </c>
      <c r="AQ957" s="9">
        <v>2</v>
      </c>
      <c r="AR957" s="9">
        <v>30</v>
      </c>
      <c r="AS957" s="9">
        <v>18</v>
      </c>
      <c r="AT957" s="7">
        <v>19.899999999999999</v>
      </c>
      <c r="AU957" s="9">
        <v>105</v>
      </c>
      <c r="AV957" s="9">
        <v>64</v>
      </c>
      <c r="AW957" s="9"/>
      <c r="AX957" s="9" t="s">
        <v>7633</v>
      </c>
      <c r="AY957" s="9" t="s">
        <v>7522</v>
      </c>
      <c r="AZ957" s="9"/>
      <c r="BA957" s="9"/>
      <c r="BB957" s="9" t="s">
        <v>7634</v>
      </c>
      <c r="BC957" s="9" t="s">
        <v>346</v>
      </c>
      <c r="BD957" s="9"/>
      <c r="BE957" s="9"/>
      <c r="BF957" s="9" t="s">
        <v>707</v>
      </c>
      <c r="BG957" s="9" t="s">
        <v>176</v>
      </c>
      <c r="BH957" s="9" t="s">
        <v>99</v>
      </c>
      <c r="BI957" s="9" t="s">
        <v>7635</v>
      </c>
      <c r="BJ957" s="9" t="s">
        <v>7636</v>
      </c>
      <c r="BK957" s="9" t="s">
        <v>1469</v>
      </c>
      <c r="BL957" s="9" t="s">
        <v>176</v>
      </c>
      <c r="BM957" s="9"/>
      <c r="BN957" s="9" t="s">
        <v>180</v>
      </c>
      <c r="BO957" s="9" t="s">
        <v>7637</v>
      </c>
      <c r="BP957" s="9" t="s">
        <v>1664</v>
      </c>
      <c r="BQ957" s="9"/>
      <c r="BR957" s="9"/>
      <c r="BS957" s="9"/>
      <c r="BT957" s="9"/>
      <c r="BU957" s="9"/>
      <c r="BV957" s="9"/>
      <c r="BW957" s="9"/>
      <c r="BX957" s="9"/>
      <c r="BY957" s="9" t="s">
        <v>351</v>
      </c>
      <c r="BZ957" s="9" t="s">
        <v>7638</v>
      </c>
      <c r="CA957" s="9" t="s">
        <v>822</v>
      </c>
      <c r="CB957" s="9" t="s">
        <v>182</v>
      </c>
      <c r="CC957" s="9" t="s">
        <v>213</v>
      </c>
      <c r="CD957" s="9" t="s">
        <v>578</v>
      </c>
      <c r="CE957" s="9" t="s">
        <v>184</v>
      </c>
      <c r="CF957" s="9"/>
      <c r="CG957" s="9"/>
      <c r="CH957" s="9"/>
      <c r="CI957" s="9"/>
      <c r="CJ957" s="9"/>
      <c r="CK957" s="9" t="s">
        <v>351</v>
      </c>
      <c r="CL957" s="9" t="s">
        <v>7639</v>
      </c>
      <c r="CM957" s="9" t="s">
        <v>7640</v>
      </c>
      <c r="CN957" s="9" t="s">
        <v>7641</v>
      </c>
      <c r="CO957" s="9"/>
      <c r="CP957" s="9"/>
      <c r="CQ957" s="9"/>
      <c r="CR957" s="9"/>
      <c r="CS957" s="9"/>
      <c r="CT957" s="9" t="s">
        <v>7642</v>
      </c>
      <c r="CU957" s="9" t="s">
        <v>7643</v>
      </c>
      <c r="CV957" s="9"/>
      <c r="CW957" s="9" t="s">
        <v>7644</v>
      </c>
      <c r="CX957" s="9" t="s">
        <v>110</v>
      </c>
      <c r="CY957" s="9" t="s">
        <v>110</v>
      </c>
      <c r="CZ957" s="9">
        <v>50</v>
      </c>
      <c r="DA957" s="9">
        <v>25</v>
      </c>
      <c r="DB957" s="9">
        <v>25</v>
      </c>
      <c r="DC957" s="9">
        <v>81.3</v>
      </c>
      <c r="DD957" s="9">
        <v>0.75</v>
      </c>
      <c r="DE957" s="9">
        <v>186</v>
      </c>
      <c r="DF957" s="9">
        <v>84</v>
      </c>
      <c r="DG957" s="9">
        <f t="shared" si="14"/>
        <v>4.4144814076985393</v>
      </c>
      <c r="DH957" s="9">
        <v>16.8</v>
      </c>
      <c r="DI957" s="9">
        <v>3.41</v>
      </c>
      <c r="DJ957" s="9"/>
      <c r="DK957" s="9"/>
      <c r="DL957" s="9">
        <v>54.6</v>
      </c>
      <c r="DM957" s="9">
        <v>114.6</v>
      </c>
      <c r="DN957" s="9"/>
      <c r="DO957" s="9"/>
      <c r="DP957" s="53">
        <v>3</v>
      </c>
      <c r="DR957">
        <v>3</v>
      </c>
      <c r="DU957">
        <v>5</v>
      </c>
    </row>
    <row r="958" spans="1:125" customFormat="1" x14ac:dyDescent="0.2">
      <c r="A958" s="127" t="s">
        <v>7645</v>
      </c>
      <c r="B958" s="127">
        <v>43804</v>
      </c>
      <c r="C958" s="127" t="s">
        <v>196</v>
      </c>
      <c r="D958" s="127">
        <v>41</v>
      </c>
      <c r="E958" s="127" t="s">
        <v>100</v>
      </c>
      <c r="F958" s="127"/>
      <c r="G958" s="127" t="s">
        <v>813</v>
      </c>
      <c r="H958" s="127"/>
      <c r="I958" s="127"/>
      <c r="J958" s="127"/>
      <c r="K958" s="127"/>
      <c r="L958" s="127">
        <v>3</v>
      </c>
      <c r="M958" s="127" t="s">
        <v>99</v>
      </c>
      <c r="N958" s="127" t="s">
        <v>99</v>
      </c>
      <c r="O958" s="127" t="s">
        <v>99</v>
      </c>
      <c r="P958" s="127" t="s">
        <v>99</v>
      </c>
      <c r="Q958" s="127" t="s">
        <v>99</v>
      </c>
      <c r="R958" s="127" t="s">
        <v>99</v>
      </c>
      <c r="S958" s="127" t="s">
        <v>99</v>
      </c>
      <c r="T958" s="127" t="s">
        <v>99</v>
      </c>
      <c r="U958" s="127" t="s">
        <v>99</v>
      </c>
      <c r="V958" s="127" t="s">
        <v>99</v>
      </c>
      <c r="W958" s="127" t="s">
        <v>7646</v>
      </c>
      <c r="X958" s="127" t="s">
        <v>99</v>
      </c>
      <c r="Y958" s="127" t="s">
        <v>99</v>
      </c>
      <c r="Z958" s="127" t="s">
        <v>99</v>
      </c>
      <c r="AA958" s="127" t="s">
        <v>840</v>
      </c>
      <c r="AB958" s="127" t="s">
        <v>7647</v>
      </c>
      <c r="AC958" s="127" t="s">
        <v>840</v>
      </c>
      <c r="AD958" s="127" t="s">
        <v>7647</v>
      </c>
      <c r="AE958" s="127" t="s">
        <v>99</v>
      </c>
      <c r="AF958" s="127" t="s">
        <v>99</v>
      </c>
      <c r="AG958" s="127" t="s">
        <v>99</v>
      </c>
      <c r="AH958" s="129" t="s">
        <v>99</v>
      </c>
      <c r="AI958" s="127" t="s">
        <v>99</v>
      </c>
      <c r="AJ958" s="9" t="s">
        <v>99</v>
      </c>
      <c r="AK958" s="9" t="s">
        <v>99</v>
      </c>
      <c r="AL958" s="9">
        <v>80.7</v>
      </c>
      <c r="AM958" s="9">
        <v>170</v>
      </c>
      <c r="AN958" s="9">
        <v>96</v>
      </c>
      <c r="AO958" s="9">
        <v>15</v>
      </c>
      <c r="AP958" s="9">
        <v>41.6</v>
      </c>
      <c r="AQ958" s="9">
        <v>7</v>
      </c>
      <c r="AR958" s="9">
        <v>25.4</v>
      </c>
      <c r="AS958" s="9">
        <v>49</v>
      </c>
      <c r="AT958" s="9">
        <v>27.9</v>
      </c>
      <c r="AU958" s="9">
        <v>111</v>
      </c>
      <c r="AV958" s="9">
        <v>74</v>
      </c>
      <c r="AW958" s="9" t="s">
        <v>350</v>
      </c>
      <c r="AX958" s="9"/>
      <c r="AY958" s="9"/>
      <c r="AZ958" s="9"/>
      <c r="BA958" s="9"/>
      <c r="BB958" s="9"/>
      <c r="BC958" s="9"/>
      <c r="BD958" s="9"/>
      <c r="BE958" s="9"/>
      <c r="BF958" s="9" t="s">
        <v>707</v>
      </c>
      <c r="BG958" s="9" t="s">
        <v>4984</v>
      </c>
      <c r="BH958" s="9" t="s">
        <v>682</v>
      </c>
      <c r="BI958" s="9" t="s">
        <v>681</v>
      </c>
      <c r="BJ958" s="9" t="s">
        <v>681</v>
      </c>
      <c r="BK958" s="9" t="s">
        <v>4984</v>
      </c>
      <c r="BL958" s="9" t="s">
        <v>350</v>
      </c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 t="s">
        <v>351</v>
      </c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 t="s">
        <v>3234</v>
      </c>
      <c r="CU958" s="9"/>
      <c r="CV958" s="9"/>
      <c r="CW958" s="9">
        <v>2</v>
      </c>
      <c r="CX958" s="9" t="s">
        <v>5490</v>
      </c>
      <c r="CY958" s="9" t="s">
        <v>99</v>
      </c>
      <c r="CZ958" s="9">
        <v>50</v>
      </c>
      <c r="DA958" s="9">
        <v>50</v>
      </c>
      <c r="DB958" s="9"/>
      <c r="DC958" s="9">
        <v>84.8</v>
      </c>
      <c r="DD958" s="9">
        <v>0.67</v>
      </c>
      <c r="DE958" s="9">
        <v>123</v>
      </c>
      <c r="DF958" s="9">
        <v>87</v>
      </c>
      <c r="DG958" s="9">
        <f t="shared" si="14"/>
        <v>4.4531018307262205</v>
      </c>
      <c r="DH958" s="9">
        <v>17.399999999999999</v>
      </c>
      <c r="DI958" s="9">
        <v>3.66</v>
      </c>
      <c r="DJ958" s="9"/>
      <c r="DK958" s="9"/>
      <c r="DL958" s="173">
        <v>33.9</v>
      </c>
      <c r="DM958" s="9">
        <v>71.7</v>
      </c>
      <c r="DN958" s="9"/>
      <c r="DO958" s="9"/>
      <c r="DR958">
        <v>2</v>
      </c>
    </row>
    <row r="959" spans="1:125" customFormat="1" x14ac:dyDescent="0.2">
      <c r="A959" s="127" t="s">
        <v>7648</v>
      </c>
      <c r="B959" s="127">
        <v>43804</v>
      </c>
      <c r="C959" s="127" t="s">
        <v>196</v>
      </c>
      <c r="D959" s="127">
        <v>35</v>
      </c>
      <c r="E959" s="127" t="s">
        <v>100</v>
      </c>
      <c r="F959" s="127">
        <v>30891</v>
      </c>
      <c r="G959" s="127" t="s">
        <v>197</v>
      </c>
      <c r="H959" s="127" t="s">
        <v>5964</v>
      </c>
      <c r="I959" s="127" t="s">
        <v>236</v>
      </c>
      <c r="J959" s="127"/>
      <c r="K959" s="127">
        <v>2014</v>
      </c>
      <c r="L959" s="127">
        <v>3</v>
      </c>
      <c r="M959" s="127" t="s">
        <v>99</v>
      </c>
      <c r="N959" s="127" t="s">
        <v>99</v>
      </c>
      <c r="O959" s="127" t="s">
        <v>99</v>
      </c>
      <c r="P959" s="127" t="s">
        <v>99</v>
      </c>
      <c r="Q959" s="127" t="s">
        <v>6121</v>
      </c>
      <c r="R959" s="127" t="s">
        <v>5490</v>
      </c>
      <c r="S959" s="127" t="s">
        <v>99</v>
      </c>
      <c r="T959" s="127" t="s">
        <v>99</v>
      </c>
      <c r="U959" s="127" t="s">
        <v>7649</v>
      </c>
      <c r="V959" s="127" t="s">
        <v>99</v>
      </c>
      <c r="W959" s="127" t="s">
        <v>99</v>
      </c>
      <c r="X959" s="127"/>
      <c r="Y959" s="127"/>
      <c r="Z959" s="127"/>
      <c r="AA959" s="127" t="s">
        <v>100</v>
      </c>
      <c r="AB959" s="127" t="s">
        <v>100</v>
      </c>
      <c r="AC959" s="127" t="s">
        <v>100</v>
      </c>
      <c r="AD959" s="127" t="s">
        <v>100</v>
      </c>
      <c r="AE959" s="127" t="s">
        <v>6075</v>
      </c>
      <c r="AF959" s="127" t="s">
        <v>7650</v>
      </c>
      <c r="AG959" s="127" t="s">
        <v>7651</v>
      </c>
      <c r="AH959" s="129" t="s">
        <v>7652</v>
      </c>
      <c r="AI959" s="127" t="s">
        <v>99</v>
      </c>
      <c r="AJ959" s="9" t="s">
        <v>99</v>
      </c>
      <c r="AK959" s="9" t="s">
        <v>99</v>
      </c>
      <c r="AL959" s="9">
        <v>74.900000000000006</v>
      </c>
      <c r="AM959" s="9">
        <v>162</v>
      </c>
      <c r="AN959" s="9">
        <v>86</v>
      </c>
      <c r="AO959" s="9">
        <v>106.5</v>
      </c>
      <c r="AP959" s="9">
        <v>42.3</v>
      </c>
      <c r="AQ959" s="9">
        <v>7</v>
      </c>
      <c r="AR959" s="9">
        <v>25.1</v>
      </c>
      <c r="AS959" s="9">
        <v>50</v>
      </c>
      <c r="AT959" s="9">
        <v>28.5</v>
      </c>
      <c r="AU959" s="173">
        <v>136</v>
      </c>
      <c r="AV959" s="9">
        <v>72</v>
      </c>
      <c r="AW959" s="9"/>
      <c r="AX959" s="9" t="s">
        <v>7508</v>
      </c>
      <c r="AY959" s="9"/>
      <c r="AZ959" s="9"/>
      <c r="BA959" s="9"/>
      <c r="BB959" s="9" t="s">
        <v>7451</v>
      </c>
      <c r="BC959" s="9"/>
      <c r="BD959" s="9"/>
      <c r="BE959" s="9"/>
      <c r="BF959" s="9" t="s">
        <v>7451</v>
      </c>
      <c r="BG959" s="9" t="s">
        <v>7545</v>
      </c>
      <c r="BH959" s="9" t="s">
        <v>7493</v>
      </c>
      <c r="BI959" s="9" t="s">
        <v>7495</v>
      </c>
      <c r="BJ959" s="9" t="s">
        <v>7545</v>
      </c>
      <c r="BK959" s="9" t="s">
        <v>7653</v>
      </c>
      <c r="BL959" s="9"/>
      <c r="BM959" s="9"/>
      <c r="BN959" s="9" t="s">
        <v>7654</v>
      </c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 t="s">
        <v>7654</v>
      </c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 t="s">
        <v>7655</v>
      </c>
      <c r="CM959" s="9"/>
      <c r="CN959" s="9"/>
      <c r="CO959" s="9"/>
      <c r="CP959" s="9" t="s">
        <v>7656</v>
      </c>
      <c r="CQ959" s="9"/>
      <c r="CR959" s="9"/>
      <c r="CS959" s="9"/>
      <c r="CT959" s="9" t="s">
        <v>7495</v>
      </c>
      <c r="CU959" s="9"/>
      <c r="CV959" s="9"/>
      <c r="CW959" s="9">
        <v>4</v>
      </c>
      <c r="CX959" s="9" t="s">
        <v>5490</v>
      </c>
      <c r="CY959" s="9" t="s">
        <v>99</v>
      </c>
      <c r="CZ959" s="9">
        <v>30</v>
      </c>
      <c r="DA959" s="9">
        <v>20</v>
      </c>
      <c r="DB959" s="9">
        <v>50</v>
      </c>
      <c r="DC959" s="9">
        <v>92</v>
      </c>
      <c r="DD959" s="9">
        <v>0.66</v>
      </c>
      <c r="DE959" s="9">
        <v>146</v>
      </c>
      <c r="DF959" s="9">
        <v>100</v>
      </c>
      <c r="DG959" s="9">
        <f t="shared" si="14"/>
        <v>4.5634793815185661</v>
      </c>
      <c r="DH959" s="9">
        <v>20</v>
      </c>
      <c r="DI959" s="9">
        <v>5.26</v>
      </c>
      <c r="DJ959" s="9"/>
      <c r="DK959" s="9"/>
      <c r="DL959" s="173">
        <v>44.8</v>
      </c>
      <c r="DM959" s="9">
        <v>81.2</v>
      </c>
      <c r="DN959" s="9"/>
      <c r="DO959" s="9"/>
      <c r="DR959">
        <v>3</v>
      </c>
    </row>
    <row r="960" spans="1:125" customFormat="1" x14ac:dyDescent="0.2">
      <c r="A960" s="144" t="s">
        <v>7657</v>
      </c>
      <c r="B960" s="127">
        <v>43804</v>
      </c>
      <c r="C960" s="127" t="s">
        <v>675</v>
      </c>
      <c r="D960" s="127">
        <v>28</v>
      </c>
      <c r="E960" s="127" t="s">
        <v>100</v>
      </c>
      <c r="F960" s="127">
        <v>33549</v>
      </c>
      <c r="G960" s="127" t="s">
        <v>1648</v>
      </c>
      <c r="H960" s="127" t="s">
        <v>7658</v>
      </c>
      <c r="I960" s="127"/>
      <c r="J960" s="127"/>
      <c r="K960" s="127"/>
      <c r="L960" s="127"/>
      <c r="M960" s="127" t="s">
        <v>99</v>
      </c>
      <c r="N960" s="127" t="s">
        <v>99</v>
      </c>
      <c r="O960" s="127" t="s">
        <v>7659</v>
      </c>
      <c r="P960" s="127" t="s">
        <v>7660</v>
      </c>
      <c r="Q960" s="127" t="s">
        <v>6121</v>
      </c>
      <c r="R960" s="127" t="s">
        <v>7661</v>
      </c>
      <c r="S960" s="127" t="s">
        <v>99</v>
      </c>
      <c r="T960" s="127" t="s">
        <v>99</v>
      </c>
      <c r="U960" s="127" t="s">
        <v>99</v>
      </c>
      <c r="V960" s="127" t="s">
        <v>99</v>
      </c>
      <c r="W960" s="127" t="s">
        <v>7662</v>
      </c>
      <c r="X960" s="127" t="s">
        <v>99</v>
      </c>
      <c r="Y960" s="127" t="s">
        <v>99</v>
      </c>
      <c r="Z960" s="127" t="s">
        <v>99</v>
      </c>
      <c r="AA960" s="127" t="s">
        <v>100</v>
      </c>
      <c r="AB960" s="127" t="s">
        <v>100</v>
      </c>
      <c r="AC960" s="127" t="s">
        <v>100</v>
      </c>
      <c r="AD960" s="127" t="s">
        <v>100</v>
      </c>
      <c r="AE960" s="127" t="s">
        <v>7630</v>
      </c>
      <c r="AF960" s="127" t="s">
        <v>99</v>
      </c>
      <c r="AG960" s="127" t="s">
        <v>6074</v>
      </c>
      <c r="AH960" s="129"/>
      <c r="AI960" s="127" t="s">
        <v>3194</v>
      </c>
      <c r="AJ960" s="9" t="s">
        <v>3194</v>
      </c>
      <c r="AK960" s="9" t="s">
        <v>99</v>
      </c>
      <c r="AL960" s="9">
        <v>137.1</v>
      </c>
      <c r="AM960" s="9">
        <v>1.73</v>
      </c>
      <c r="AN960" s="9">
        <v>130</v>
      </c>
      <c r="AO960" s="9">
        <v>136</v>
      </c>
      <c r="AP960" s="9">
        <v>43.7</v>
      </c>
      <c r="AQ960" s="9">
        <v>23</v>
      </c>
      <c r="AR960" s="9">
        <v>26.1</v>
      </c>
      <c r="AS960" s="9">
        <v>80</v>
      </c>
      <c r="AT960" s="14">
        <v>45.8</v>
      </c>
      <c r="AU960" s="173">
        <v>152</v>
      </c>
      <c r="AV960" s="9">
        <v>83</v>
      </c>
      <c r="AW960" s="9"/>
      <c r="AX960" s="9" t="s">
        <v>7663</v>
      </c>
      <c r="AY960" s="9" t="s">
        <v>7664</v>
      </c>
      <c r="AZ960" s="9" t="s">
        <v>3844</v>
      </c>
      <c r="BA960" s="9"/>
      <c r="BB960" s="9" t="s">
        <v>7665</v>
      </c>
      <c r="BC960" s="9" t="s">
        <v>7666</v>
      </c>
      <c r="BD960" s="9"/>
      <c r="BE960" s="9"/>
      <c r="BF960" s="9" t="s">
        <v>5441</v>
      </c>
      <c r="BG960" s="9" t="s">
        <v>213</v>
      </c>
      <c r="BH960" s="9" t="s">
        <v>213</v>
      </c>
      <c r="BI960" s="9" t="s">
        <v>213</v>
      </c>
      <c r="BJ960" s="9"/>
      <c r="BK960" s="9" t="s">
        <v>707</v>
      </c>
      <c r="BL960" s="9"/>
      <c r="BM960" s="9"/>
      <c r="BN960" s="9" t="s">
        <v>7667</v>
      </c>
      <c r="BO960" s="9" t="s">
        <v>5286</v>
      </c>
      <c r="BP960" s="9" t="s">
        <v>178</v>
      </c>
      <c r="BQ960" s="9"/>
      <c r="BR960" s="9"/>
      <c r="BS960" s="9"/>
      <c r="BT960" s="9"/>
      <c r="BU960" s="9"/>
      <c r="BV960" s="9"/>
      <c r="BW960" s="9"/>
      <c r="BX960" s="9"/>
      <c r="BY960" s="9"/>
      <c r="BZ960" s="9" t="s">
        <v>7638</v>
      </c>
      <c r="CA960" s="9" t="s">
        <v>182</v>
      </c>
      <c r="CB960" s="9" t="s">
        <v>357</v>
      </c>
      <c r="CC960" s="9"/>
      <c r="CD960" s="9"/>
      <c r="CE960" s="9"/>
      <c r="CF960" s="9"/>
      <c r="CG960" s="9"/>
      <c r="CH960" s="9"/>
      <c r="CI960" s="9"/>
      <c r="CJ960" s="9"/>
      <c r="CK960" s="9"/>
      <c r="CL960" s="9" t="s">
        <v>7668</v>
      </c>
      <c r="CM960" s="9" t="s">
        <v>7669</v>
      </c>
      <c r="CN960" s="9"/>
      <c r="CO960" s="9"/>
      <c r="CP960" s="9" t="s">
        <v>890</v>
      </c>
      <c r="CQ960" s="9" t="s">
        <v>7670</v>
      </c>
      <c r="CR960" s="9" t="s">
        <v>2892</v>
      </c>
      <c r="CS960" s="9"/>
      <c r="CT960" s="9" t="s">
        <v>7671</v>
      </c>
      <c r="CU960" s="9"/>
      <c r="CV960" s="9"/>
      <c r="CW960" s="9">
        <v>3</v>
      </c>
      <c r="CX960" s="9" t="s">
        <v>5490</v>
      </c>
      <c r="CY960" s="9" t="s">
        <v>99</v>
      </c>
      <c r="CZ960" s="9">
        <v>20</v>
      </c>
      <c r="DA960" s="9">
        <v>30</v>
      </c>
      <c r="DB960" s="9">
        <v>50</v>
      </c>
      <c r="DC960" s="173">
        <v>116.8</v>
      </c>
      <c r="DD960" s="9">
        <v>0.91</v>
      </c>
      <c r="DE960" s="173">
        <v>258</v>
      </c>
      <c r="DF960" s="173">
        <v>279</v>
      </c>
      <c r="DG960" s="9">
        <f t="shared" si="14"/>
        <v>5.1958374261077465</v>
      </c>
      <c r="DH960" s="9">
        <v>55.8</v>
      </c>
      <c r="DI960" s="173">
        <v>7.39</v>
      </c>
      <c r="DJ960" s="9"/>
      <c r="DK960" s="9"/>
      <c r="DL960" s="173">
        <v>42.8</v>
      </c>
      <c r="DM960" s="9">
        <v>159.4</v>
      </c>
      <c r="DN960" s="9"/>
      <c r="DO960" s="9"/>
      <c r="DP960" s="174">
        <v>1</v>
      </c>
      <c r="DR960">
        <v>1</v>
      </c>
      <c r="DU960">
        <v>4.3</v>
      </c>
    </row>
    <row r="961" spans="1:125" customFormat="1" x14ac:dyDescent="0.2">
      <c r="A961" s="127" t="s">
        <v>7672</v>
      </c>
      <c r="B961" s="127">
        <v>43805</v>
      </c>
      <c r="C961" s="127" t="s">
        <v>196</v>
      </c>
      <c r="D961" s="127">
        <v>41</v>
      </c>
      <c r="E961" s="127" t="s">
        <v>100</v>
      </c>
      <c r="F961" s="127">
        <v>28492</v>
      </c>
      <c r="G961" s="127" t="s">
        <v>813</v>
      </c>
      <c r="H961" s="127" t="s">
        <v>870</v>
      </c>
      <c r="I961" s="127" t="s">
        <v>236</v>
      </c>
      <c r="J961" s="127"/>
      <c r="K961" s="127"/>
      <c r="L961" s="127"/>
      <c r="M961" s="127" t="s">
        <v>5490</v>
      </c>
      <c r="N961" s="127" t="s">
        <v>7673</v>
      </c>
      <c r="O961" s="127" t="s">
        <v>99</v>
      </c>
      <c r="P961" s="127" t="s">
        <v>99</v>
      </c>
      <c r="Q961" s="127" t="s">
        <v>99</v>
      </c>
      <c r="R961" s="127" t="s">
        <v>7674</v>
      </c>
      <c r="S961" s="127" t="s">
        <v>99</v>
      </c>
      <c r="T961" s="127" t="s">
        <v>99</v>
      </c>
      <c r="U961" s="127" t="s">
        <v>7675</v>
      </c>
      <c r="V961" s="127" t="s">
        <v>7676</v>
      </c>
      <c r="W961" s="127" t="s">
        <v>99</v>
      </c>
      <c r="X961" s="127" t="s">
        <v>99</v>
      </c>
      <c r="Y961" s="127" t="s">
        <v>99</v>
      </c>
      <c r="Z961" s="127" t="s">
        <v>99</v>
      </c>
      <c r="AA961" s="127" t="s">
        <v>100</v>
      </c>
      <c r="AB961" s="127" t="s">
        <v>2234</v>
      </c>
      <c r="AC961" s="127"/>
      <c r="AD961" s="127"/>
      <c r="AE961" s="127" t="s">
        <v>7650</v>
      </c>
      <c r="AF961" s="127" t="s">
        <v>5490</v>
      </c>
      <c r="AG961" s="127" t="s">
        <v>7677</v>
      </c>
      <c r="AH961" s="129" t="s">
        <v>99</v>
      </c>
      <c r="AI961" s="127" t="s">
        <v>99</v>
      </c>
      <c r="AJ961" s="9" t="s">
        <v>99</v>
      </c>
      <c r="AK961" s="9" t="s">
        <v>99</v>
      </c>
      <c r="AL961" s="9">
        <v>90.5</v>
      </c>
      <c r="AM961" s="9"/>
      <c r="AN961" s="9">
        <v>118</v>
      </c>
      <c r="AO961" s="9">
        <v>116</v>
      </c>
      <c r="AP961" s="9">
        <v>50.3</v>
      </c>
      <c r="AQ961" s="9">
        <v>10</v>
      </c>
      <c r="AR961" s="9">
        <v>21.6</v>
      </c>
      <c r="AS961" s="9">
        <v>64</v>
      </c>
      <c r="AT961" s="9">
        <v>34.1</v>
      </c>
      <c r="AU961" s="9">
        <v>116</v>
      </c>
      <c r="AV961" s="9">
        <v>83</v>
      </c>
      <c r="AW961" s="9"/>
      <c r="AX961" s="9" t="s">
        <v>7678</v>
      </c>
      <c r="AY961" s="9"/>
      <c r="AZ961" s="9"/>
      <c r="BA961" s="9"/>
      <c r="BB961" s="9" t="s">
        <v>7451</v>
      </c>
      <c r="BC961" s="9"/>
      <c r="BD961" s="9"/>
      <c r="BE961" s="9"/>
      <c r="BF961" s="9" t="s">
        <v>176</v>
      </c>
      <c r="BG961" s="9" t="s">
        <v>176</v>
      </c>
      <c r="BH961" s="9" t="s">
        <v>350</v>
      </c>
      <c r="BI961" s="9" t="s">
        <v>350</v>
      </c>
      <c r="BJ961" s="9" t="s">
        <v>350</v>
      </c>
      <c r="BK961" s="9" t="s">
        <v>1979</v>
      </c>
      <c r="BL961" s="9"/>
      <c r="BM961" s="9"/>
      <c r="BN961" s="9" t="s">
        <v>7451</v>
      </c>
      <c r="BO961" s="9"/>
      <c r="BP961" s="9"/>
      <c r="BQ961" s="9"/>
      <c r="BR961" s="9"/>
      <c r="BS961" s="9"/>
      <c r="BT961" s="9"/>
      <c r="BU961" s="9"/>
      <c r="BV961" s="9" t="s">
        <v>7450</v>
      </c>
      <c r="BW961" s="9"/>
      <c r="BX961" s="9"/>
      <c r="BY961" s="9"/>
      <c r="BZ961" s="9" t="s">
        <v>7451</v>
      </c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 t="s">
        <v>7451</v>
      </c>
      <c r="CM961" s="9"/>
      <c r="CN961" s="9"/>
      <c r="CO961" s="9"/>
      <c r="CP961" s="9" t="s">
        <v>7450</v>
      </c>
      <c r="CQ961" s="9"/>
      <c r="CR961" s="9"/>
      <c r="CS961" s="9"/>
      <c r="CT961" s="9" t="s">
        <v>7450</v>
      </c>
      <c r="CU961" s="9"/>
      <c r="CV961" s="9"/>
      <c r="CW961" s="9">
        <v>4</v>
      </c>
      <c r="CX961" s="9" t="s">
        <v>99</v>
      </c>
      <c r="CY961" s="9" t="s">
        <v>99</v>
      </c>
      <c r="CZ961" s="9">
        <v>50</v>
      </c>
      <c r="DA961" s="9">
        <v>20</v>
      </c>
      <c r="DB961" s="9">
        <v>30</v>
      </c>
      <c r="DC961" s="9"/>
      <c r="DD961" s="9"/>
      <c r="DE961" s="9"/>
      <c r="DF961" s="9"/>
      <c r="DG961" s="9" t="e">
        <f t="shared" si="14"/>
        <v>#NUM!</v>
      </c>
      <c r="DH961" s="9"/>
      <c r="DI961" s="9"/>
      <c r="DJ961" s="9"/>
      <c r="DK961" s="9"/>
      <c r="DL961" s="9"/>
      <c r="DM961" s="9"/>
      <c r="DN961" s="9"/>
      <c r="DO961" s="9"/>
      <c r="DR961">
        <v>2</v>
      </c>
    </row>
    <row r="962" spans="1:125" customFormat="1" x14ac:dyDescent="0.2">
      <c r="A962" s="127" t="s">
        <v>7679</v>
      </c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9"/>
      <c r="AI962" s="127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 t="e">
        <f t="shared" si="14"/>
        <v>#NUM!</v>
      </c>
      <c r="DH962" s="9"/>
      <c r="DI962" s="9"/>
      <c r="DJ962" s="9"/>
      <c r="DK962" s="9"/>
      <c r="DL962" s="9"/>
      <c r="DM962" s="9"/>
      <c r="DN962" s="9"/>
      <c r="DO962" s="9"/>
    </row>
    <row r="963" spans="1:125" customFormat="1" x14ac:dyDescent="0.2">
      <c r="A963" s="144" t="s">
        <v>7680</v>
      </c>
      <c r="B963" s="127">
        <v>43805</v>
      </c>
      <c r="C963" s="127" t="s">
        <v>196</v>
      </c>
      <c r="D963" s="127">
        <v>42</v>
      </c>
      <c r="E963" s="127" t="s">
        <v>100</v>
      </c>
      <c r="F963" s="127">
        <v>27947</v>
      </c>
      <c r="G963" s="127" t="s">
        <v>2955</v>
      </c>
      <c r="H963" s="127"/>
      <c r="I963" s="127" t="s">
        <v>4856</v>
      </c>
      <c r="J963" s="127"/>
      <c r="K963" s="127">
        <v>2007</v>
      </c>
      <c r="L963" s="127">
        <v>2</v>
      </c>
      <c r="M963" s="127" t="s">
        <v>99</v>
      </c>
      <c r="N963" s="127" t="s">
        <v>7681</v>
      </c>
      <c r="O963" s="127" t="s">
        <v>99</v>
      </c>
      <c r="P963" s="127" t="s">
        <v>99</v>
      </c>
      <c r="Q963" s="127" t="s">
        <v>99</v>
      </c>
      <c r="R963" s="127" t="s">
        <v>5490</v>
      </c>
      <c r="S963" s="127" t="s">
        <v>99</v>
      </c>
      <c r="T963" s="127" t="s">
        <v>5490</v>
      </c>
      <c r="U963" s="127"/>
      <c r="V963" s="127" t="s">
        <v>99</v>
      </c>
      <c r="W963" s="127" t="s">
        <v>7682</v>
      </c>
      <c r="X963" s="127"/>
      <c r="Y963" s="127"/>
      <c r="Z963" s="127"/>
      <c r="AA963" s="127" t="s">
        <v>2234</v>
      </c>
      <c r="AB963" s="127" t="s">
        <v>100</v>
      </c>
      <c r="AC963" s="127" t="s">
        <v>100</v>
      </c>
      <c r="AD963" s="127" t="s">
        <v>100</v>
      </c>
      <c r="AE963" s="127" t="s">
        <v>7683</v>
      </c>
      <c r="AF963" s="127" t="s">
        <v>5482</v>
      </c>
      <c r="AG963" s="127" t="s">
        <v>99</v>
      </c>
      <c r="AH963" s="129" t="s">
        <v>5482</v>
      </c>
      <c r="AI963" s="127" t="s">
        <v>99</v>
      </c>
      <c r="AJ963" s="9" t="s">
        <v>99</v>
      </c>
      <c r="AK963" s="9" t="s">
        <v>99</v>
      </c>
      <c r="AL963" s="9">
        <v>113.9</v>
      </c>
      <c r="AM963" s="9">
        <v>167</v>
      </c>
      <c r="AN963" s="173">
        <v>117</v>
      </c>
      <c r="AO963" s="9">
        <v>130.5</v>
      </c>
      <c r="AP963" s="9">
        <v>56.9</v>
      </c>
      <c r="AQ963" s="9">
        <v>12</v>
      </c>
      <c r="AR963" s="9">
        <v>18.8</v>
      </c>
      <c r="AS963" s="9">
        <v>72</v>
      </c>
      <c r="AT963" s="14">
        <v>40.799999999999997</v>
      </c>
      <c r="AU963" s="9">
        <v>124</v>
      </c>
      <c r="AV963" s="9">
        <v>84</v>
      </c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173">
        <v>104.9</v>
      </c>
      <c r="DD963" s="9">
        <v>0.71</v>
      </c>
      <c r="DE963" s="9">
        <v>171</v>
      </c>
      <c r="DF963" s="9">
        <v>116</v>
      </c>
      <c r="DG963" s="9">
        <f t="shared" ref="DG963:DG1026" si="15">LN(DF963*DC963)/2</f>
        <v>4.7032988532543083</v>
      </c>
      <c r="DH963" s="9">
        <v>23.2</v>
      </c>
      <c r="DI963" s="9">
        <v>5.0599999999999996</v>
      </c>
      <c r="DJ963" s="9"/>
      <c r="DK963" s="9"/>
      <c r="DL963" s="173">
        <v>46.3</v>
      </c>
      <c r="DM963" s="9">
        <v>101.5</v>
      </c>
      <c r="DN963" s="9"/>
      <c r="DO963" s="9"/>
      <c r="DU963">
        <v>4.1100000000000003</v>
      </c>
    </row>
    <row r="964" spans="1:125" customFormat="1" x14ac:dyDescent="0.2">
      <c r="A964" s="127" t="s">
        <v>7684</v>
      </c>
      <c r="B964" s="127">
        <v>43805</v>
      </c>
      <c r="C964" s="127" t="s">
        <v>675</v>
      </c>
      <c r="D964" s="127">
        <v>34</v>
      </c>
      <c r="E964" s="127" t="s">
        <v>100</v>
      </c>
      <c r="F964" s="127">
        <v>31273</v>
      </c>
      <c r="G964" s="127" t="s">
        <v>7685</v>
      </c>
      <c r="H964" s="127"/>
      <c r="I964" s="127"/>
      <c r="J964" s="127"/>
      <c r="K964" s="127"/>
      <c r="L964" s="127"/>
      <c r="M964" s="127" t="s">
        <v>99</v>
      </c>
      <c r="N964" s="127" t="s">
        <v>99</v>
      </c>
      <c r="O964" s="127" t="s">
        <v>99</v>
      </c>
      <c r="P964" s="127" t="s">
        <v>99</v>
      </c>
      <c r="Q964" s="127" t="s">
        <v>99</v>
      </c>
      <c r="R964" s="127" t="s">
        <v>99</v>
      </c>
      <c r="S964" s="127" t="s">
        <v>99</v>
      </c>
      <c r="T964" s="127" t="s">
        <v>99</v>
      </c>
      <c r="U964" s="127" t="s">
        <v>99</v>
      </c>
      <c r="V964" s="127" t="s">
        <v>99</v>
      </c>
      <c r="W964" s="127" t="s">
        <v>99</v>
      </c>
      <c r="X964" s="127" t="s">
        <v>99</v>
      </c>
      <c r="Y964" s="127" t="s">
        <v>99</v>
      </c>
      <c r="Z964" s="127" t="s">
        <v>99</v>
      </c>
      <c r="AA964" s="127" t="s">
        <v>816</v>
      </c>
      <c r="AB964" s="127" t="s">
        <v>100</v>
      </c>
      <c r="AC964" s="127" t="s">
        <v>816</v>
      </c>
      <c r="AD964" s="127" t="s">
        <v>7686</v>
      </c>
      <c r="AE964" s="127" t="s">
        <v>99</v>
      </c>
      <c r="AF964" s="127" t="s">
        <v>99</v>
      </c>
      <c r="AG964" s="127" t="s">
        <v>99</v>
      </c>
      <c r="AH964" s="129" t="s">
        <v>99</v>
      </c>
      <c r="AI964" s="127" t="s">
        <v>99</v>
      </c>
      <c r="AJ964" s="9" t="s">
        <v>99</v>
      </c>
      <c r="AK964" s="9" t="s">
        <v>7687</v>
      </c>
      <c r="AL964" s="9">
        <v>83.3</v>
      </c>
      <c r="AM964" s="9">
        <v>177</v>
      </c>
      <c r="AN964" s="9">
        <v>88</v>
      </c>
      <c r="AO964" s="9">
        <v>104</v>
      </c>
      <c r="AP964" s="9">
        <v>14.8</v>
      </c>
      <c r="AQ964" s="9">
        <v>13</v>
      </c>
      <c r="AR964" s="9">
        <v>19.3</v>
      </c>
      <c r="AS964" s="9">
        <v>18</v>
      </c>
      <c r="AT964" s="9">
        <v>26.6</v>
      </c>
      <c r="AU964" s="9"/>
      <c r="AV964" s="9"/>
      <c r="AW964" s="9"/>
      <c r="AX964" s="9" t="s">
        <v>5572</v>
      </c>
      <c r="AY964" s="9" t="s">
        <v>5573</v>
      </c>
      <c r="AZ964" s="9" t="s">
        <v>7688</v>
      </c>
      <c r="BA964" s="9"/>
      <c r="BB964" s="9" t="s">
        <v>7665</v>
      </c>
      <c r="BC964" s="9" t="s">
        <v>7689</v>
      </c>
      <c r="BD964" s="9" t="s">
        <v>7690</v>
      </c>
      <c r="BE964" s="9"/>
      <c r="BF964" s="9" t="s">
        <v>681</v>
      </c>
      <c r="BG964" s="9" t="s">
        <v>4791</v>
      </c>
      <c r="BH964" s="9" t="s">
        <v>850</v>
      </c>
      <c r="BI964" s="9" t="s">
        <v>7603</v>
      </c>
      <c r="BJ964" s="9" t="s">
        <v>853</v>
      </c>
      <c r="BK964" s="9" t="s">
        <v>7603</v>
      </c>
      <c r="BL964" s="9"/>
      <c r="BM964" s="9"/>
      <c r="BN964" s="9" t="s">
        <v>1175</v>
      </c>
      <c r="BO964" s="9" t="s">
        <v>7691</v>
      </c>
      <c r="BP964" s="9" t="s">
        <v>7692</v>
      </c>
      <c r="BQ964" s="9"/>
      <c r="BR964" s="9"/>
      <c r="BS964" s="9"/>
      <c r="BT964" s="9"/>
      <c r="BU964" s="9"/>
      <c r="BV964" s="9"/>
      <c r="BW964" s="9"/>
      <c r="BX964" s="9"/>
      <c r="BY964" s="9" t="s">
        <v>176</v>
      </c>
      <c r="BZ964" s="9" t="s">
        <v>182</v>
      </c>
      <c r="CA964" s="9" t="s">
        <v>7693</v>
      </c>
      <c r="CB964" s="9" t="s">
        <v>183</v>
      </c>
      <c r="CC964" s="9"/>
      <c r="CD964" s="9"/>
      <c r="CE964" s="9"/>
      <c r="CF964" s="9"/>
      <c r="CG964" s="9"/>
      <c r="CH964" s="9"/>
      <c r="CI964" s="9"/>
      <c r="CJ964" s="9"/>
      <c r="CK964" s="9"/>
      <c r="CL964" s="9" t="s">
        <v>1181</v>
      </c>
      <c r="CM964" s="9" t="s">
        <v>980</v>
      </c>
      <c r="CN964" s="9" t="s">
        <v>825</v>
      </c>
      <c r="CO964" s="9" t="s">
        <v>176</v>
      </c>
      <c r="CP964" s="9" t="s">
        <v>362</v>
      </c>
      <c r="CQ964" s="9" t="s">
        <v>716</v>
      </c>
      <c r="CR964" s="9" t="s">
        <v>361</v>
      </c>
      <c r="CS964" s="9"/>
      <c r="CT964" s="9" t="s">
        <v>1732</v>
      </c>
      <c r="CU964" s="9" t="s">
        <v>187</v>
      </c>
      <c r="CV964" s="9"/>
      <c r="CW964" s="9">
        <v>3</v>
      </c>
      <c r="CX964" s="9" t="s">
        <v>5490</v>
      </c>
      <c r="CY964" s="9" t="s">
        <v>99</v>
      </c>
      <c r="CZ964" s="9">
        <v>40</v>
      </c>
      <c r="DA964" s="9">
        <v>30</v>
      </c>
      <c r="DB964" s="9">
        <v>30</v>
      </c>
      <c r="DC964" s="9">
        <v>88.4</v>
      </c>
      <c r="DD964" s="9">
        <v>0.84</v>
      </c>
      <c r="DE964" s="9">
        <v>173</v>
      </c>
      <c r="DF964" s="9">
        <v>55</v>
      </c>
      <c r="DG964" s="9">
        <f t="shared" si="15"/>
        <v>4.2446025774380347</v>
      </c>
      <c r="DH964" s="9">
        <v>11</v>
      </c>
      <c r="DI964" s="9">
        <v>4.78</v>
      </c>
      <c r="DJ964" s="9"/>
      <c r="DK964" s="9"/>
      <c r="DL964" s="9">
        <v>60.7</v>
      </c>
      <c r="DM964" s="9">
        <v>101.3</v>
      </c>
      <c r="DN964" s="9"/>
      <c r="DO964" s="9"/>
      <c r="DR964">
        <v>2</v>
      </c>
    </row>
    <row r="965" spans="1:125" customFormat="1" x14ac:dyDescent="0.2">
      <c r="A965" s="140" t="s">
        <v>7694</v>
      </c>
      <c r="B965" s="127">
        <v>43805</v>
      </c>
      <c r="C965" s="127" t="s">
        <v>7695</v>
      </c>
      <c r="D965" s="127">
        <v>23</v>
      </c>
      <c r="E965" s="127"/>
      <c r="F965" s="127">
        <v>35382</v>
      </c>
      <c r="G965" s="127"/>
      <c r="H965" s="127" t="s">
        <v>1462</v>
      </c>
      <c r="I965" s="127" t="s">
        <v>198</v>
      </c>
      <c r="J965" s="127"/>
      <c r="K965" s="127"/>
      <c r="L965" s="127"/>
      <c r="M965" s="127" t="s">
        <v>99</v>
      </c>
      <c r="N965" s="127" t="s">
        <v>99</v>
      </c>
      <c r="O965" s="127" t="s">
        <v>99</v>
      </c>
      <c r="P965" s="127" t="s">
        <v>99</v>
      </c>
      <c r="Q965" s="127" t="s">
        <v>6121</v>
      </c>
      <c r="R965" s="127" t="s">
        <v>99</v>
      </c>
      <c r="S965" s="127" t="s">
        <v>99</v>
      </c>
      <c r="T965" s="127" t="s">
        <v>99</v>
      </c>
      <c r="U965" s="127" t="s">
        <v>1572</v>
      </c>
      <c r="V965" s="127" t="s">
        <v>7682</v>
      </c>
      <c r="W965" s="127" t="s">
        <v>7696</v>
      </c>
      <c r="X965" s="127" t="s">
        <v>99</v>
      </c>
      <c r="Y965" s="127"/>
      <c r="Z965" s="127"/>
      <c r="AA965" s="127" t="s">
        <v>100</v>
      </c>
      <c r="AB965" s="127" t="s">
        <v>797</v>
      </c>
      <c r="AC965" s="127" t="s">
        <v>100</v>
      </c>
      <c r="AD965" s="127" t="s">
        <v>100</v>
      </c>
      <c r="AE965" s="127" t="s">
        <v>6074</v>
      </c>
      <c r="AF965" s="127" t="s">
        <v>6074</v>
      </c>
      <c r="AG965" s="127" t="s">
        <v>6074</v>
      </c>
      <c r="AH965" s="129" t="s">
        <v>99</v>
      </c>
      <c r="AI965" s="127" t="s">
        <v>6074</v>
      </c>
      <c r="AJ965" s="9" t="s">
        <v>99</v>
      </c>
      <c r="AK965" s="9" t="s">
        <v>99</v>
      </c>
      <c r="AL965" s="9">
        <v>54.9</v>
      </c>
      <c r="AM965" s="9">
        <v>152</v>
      </c>
      <c r="AN965" s="7">
        <v>72</v>
      </c>
      <c r="AO965" s="9">
        <v>92</v>
      </c>
      <c r="AP965" s="9">
        <v>36.4</v>
      </c>
      <c r="AQ965" s="9">
        <v>3</v>
      </c>
      <c r="AR965" s="9">
        <v>26.2</v>
      </c>
      <c r="AS965" s="9">
        <v>36</v>
      </c>
      <c r="AT965" s="7">
        <v>23.8</v>
      </c>
      <c r="AU965" s="9">
        <v>107</v>
      </c>
      <c r="AV965" s="9">
        <v>71</v>
      </c>
      <c r="AW965" s="9"/>
      <c r="AX965" s="9" t="s">
        <v>7451</v>
      </c>
      <c r="AY965" s="9"/>
      <c r="AZ965" s="9"/>
      <c r="BA965" s="9"/>
      <c r="BB965" s="9" t="s">
        <v>7451</v>
      </c>
      <c r="BC965" s="9"/>
      <c r="BD965" s="9"/>
      <c r="BE965" s="9"/>
      <c r="BF965" s="9" t="s">
        <v>7508</v>
      </c>
      <c r="BG965" s="9" t="s">
        <v>7545</v>
      </c>
      <c r="BH965" s="9" t="s">
        <v>7482</v>
      </c>
      <c r="BI965" s="9" t="s">
        <v>7451</v>
      </c>
      <c r="BJ965" s="9" t="s">
        <v>7451</v>
      </c>
      <c r="BK965" s="9" t="s">
        <v>7493</v>
      </c>
      <c r="BL965" s="9"/>
      <c r="BM965" s="9"/>
      <c r="BN965" s="9" t="s">
        <v>7493</v>
      </c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 t="s">
        <v>7508</v>
      </c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 t="s">
        <v>7697</v>
      </c>
      <c r="CM965" s="9"/>
      <c r="CN965" s="9"/>
      <c r="CO965" s="9"/>
      <c r="CP965" s="9" t="s">
        <v>7698</v>
      </c>
      <c r="CQ965" s="9"/>
      <c r="CR965" s="9"/>
      <c r="CS965" s="9"/>
      <c r="CT965" s="9" t="s">
        <v>7699</v>
      </c>
      <c r="CU965" s="9"/>
      <c r="CV965" s="9"/>
      <c r="CW965" s="9">
        <v>3</v>
      </c>
      <c r="CX965" s="9" t="s">
        <v>99</v>
      </c>
      <c r="CY965" s="9" t="s">
        <v>99</v>
      </c>
      <c r="CZ965" s="9">
        <v>30</v>
      </c>
      <c r="DA965" s="9">
        <v>20</v>
      </c>
      <c r="DB965" s="9">
        <v>50</v>
      </c>
      <c r="DC965" s="9">
        <v>73.7</v>
      </c>
      <c r="DD965" s="9">
        <v>0.98</v>
      </c>
      <c r="DE965" s="9">
        <v>149</v>
      </c>
      <c r="DF965" s="9">
        <v>74</v>
      </c>
      <c r="DG965" s="9">
        <f t="shared" si="15"/>
        <v>4.3020339461997308</v>
      </c>
      <c r="DH965" s="9">
        <v>14.8</v>
      </c>
      <c r="DI965" s="9">
        <v>4.04</v>
      </c>
      <c r="DJ965" s="9"/>
      <c r="DK965" s="9"/>
      <c r="DL965" s="10">
        <v>48.7</v>
      </c>
      <c r="DM965" s="9">
        <v>85.5</v>
      </c>
      <c r="DN965" s="9"/>
      <c r="DO965" s="9"/>
      <c r="DP965" s="53">
        <v>3</v>
      </c>
      <c r="DR965">
        <v>2</v>
      </c>
    </row>
    <row r="966" spans="1:125" customFormat="1" x14ac:dyDescent="0.2">
      <c r="A966" s="143" t="s">
        <v>7700</v>
      </c>
      <c r="B966" s="127">
        <v>43805</v>
      </c>
      <c r="C966" s="127" t="s">
        <v>196</v>
      </c>
      <c r="D966" s="127">
        <v>33</v>
      </c>
      <c r="E966" s="127" t="s">
        <v>100</v>
      </c>
      <c r="F966" s="127">
        <v>31538</v>
      </c>
      <c r="G966" s="127" t="s">
        <v>837</v>
      </c>
      <c r="H966" s="127" t="s">
        <v>7701</v>
      </c>
      <c r="I966" s="127" t="s">
        <v>198</v>
      </c>
      <c r="J966" s="127" t="s">
        <v>500</v>
      </c>
      <c r="K966" s="127">
        <v>2012</v>
      </c>
      <c r="L966" s="127">
        <v>2</v>
      </c>
      <c r="M966" s="127" t="s">
        <v>99</v>
      </c>
      <c r="N966" s="127" t="s">
        <v>99</v>
      </c>
      <c r="O966" s="127" t="s">
        <v>99</v>
      </c>
      <c r="P966" s="127" t="s">
        <v>99</v>
      </c>
      <c r="Q966" s="127" t="s">
        <v>7702</v>
      </c>
      <c r="R966" s="127" t="s">
        <v>5490</v>
      </c>
      <c r="S966" s="127" t="s">
        <v>5490</v>
      </c>
      <c r="T966" s="127" t="s">
        <v>5490</v>
      </c>
      <c r="U966" s="127" t="s">
        <v>99</v>
      </c>
      <c r="V966" s="127" t="s">
        <v>99</v>
      </c>
      <c r="W966" s="127" t="s">
        <v>99</v>
      </c>
      <c r="X966" s="127" t="s">
        <v>99</v>
      </c>
      <c r="Y966" s="127" t="s">
        <v>99</v>
      </c>
      <c r="Z966" s="127" t="s">
        <v>7703</v>
      </c>
      <c r="AA966" s="127" t="s">
        <v>100</v>
      </c>
      <c r="AB966" s="127" t="s">
        <v>100</v>
      </c>
      <c r="AC966" s="127" t="s">
        <v>100</v>
      </c>
      <c r="AD966" s="127" t="s">
        <v>100</v>
      </c>
      <c r="AE966" s="127" t="s">
        <v>7704</v>
      </c>
      <c r="AF966" s="127" t="s">
        <v>99</v>
      </c>
      <c r="AG966" s="127" t="s">
        <v>7705</v>
      </c>
      <c r="AH966" s="129" t="s">
        <v>7706</v>
      </c>
      <c r="AI966" s="127" t="s">
        <v>99</v>
      </c>
      <c r="AJ966" s="9" t="s">
        <v>99</v>
      </c>
      <c r="AK966" s="9" t="s">
        <v>99</v>
      </c>
      <c r="AL966" s="9">
        <v>58.7</v>
      </c>
      <c r="AM966" s="9">
        <v>163</v>
      </c>
      <c r="AN966" s="7">
        <v>70</v>
      </c>
      <c r="AO966" s="9">
        <v>100</v>
      </c>
      <c r="AP966" s="9">
        <v>21.3</v>
      </c>
      <c r="AQ966" s="9">
        <v>2</v>
      </c>
      <c r="AR966" s="9">
        <v>35.299999999999997</v>
      </c>
      <c r="AS966" s="9">
        <v>28</v>
      </c>
      <c r="AT966" s="7">
        <v>22.8</v>
      </c>
      <c r="AU966" s="9">
        <v>106</v>
      </c>
      <c r="AV966" s="9">
        <v>74</v>
      </c>
      <c r="AW966" s="9"/>
      <c r="AX966" s="9" t="s">
        <v>679</v>
      </c>
      <c r="AY966" s="9" t="s">
        <v>7707</v>
      </c>
      <c r="AZ966" s="9" t="s">
        <v>7708</v>
      </c>
      <c r="BA966" s="9"/>
      <c r="BB966" s="9" t="s">
        <v>346</v>
      </c>
      <c r="BC966" s="9" t="s">
        <v>7709</v>
      </c>
      <c r="BD966" s="9" t="s">
        <v>5551</v>
      </c>
      <c r="BE966" s="9"/>
      <c r="BF966" s="9" t="s">
        <v>212</v>
      </c>
      <c r="BG966" s="9" t="s">
        <v>213</v>
      </c>
      <c r="BH966" s="9" t="s">
        <v>1469</v>
      </c>
      <c r="BI966" s="9" t="s">
        <v>1469</v>
      </c>
      <c r="BJ966" s="9" t="s">
        <v>1469</v>
      </c>
      <c r="BK966" s="9" t="s">
        <v>5871</v>
      </c>
      <c r="BL966" s="9"/>
      <c r="BM966" s="9" t="s">
        <v>7710</v>
      </c>
      <c r="BN966" s="9" t="s">
        <v>7667</v>
      </c>
      <c r="BO966" s="9" t="s">
        <v>7711</v>
      </c>
      <c r="BP966" s="9"/>
      <c r="BQ966" s="9"/>
      <c r="BR966" s="9"/>
      <c r="BS966" s="9"/>
      <c r="BT966" s="9"/>
      <c r="BU966" s="9"/>
      <c r="BV966" s="9" t="s">
        <v>216</v>
      </c>
      <c r="BW966" s="9"/>
      <c r="BX966" s="9"/>
      <c r="BY966" s="9"/>
      <c r="BZ966" s="9" t="s">
        <v>7712</v>
      </c>
      <c r="CA966" s="9" t="s">
        <v>7713</v>
      </c>
      <c r="CB966" s="9" t="s">
        <v>7714</v>
      </c>
      <c r="CC966" s="9"/>
      <c r="CD966" s="9"/>
      <c r="CE966" s="9"/>
      <c r="CF966" s="9"/>
      <c r="CG966" s="9"/>
      <c r="CH966" s="9"/>
      <c r="CI966" s="9"/>
      <c r="CJ966" s="9"/>
      <c r="CK966" s="9" t="s">
        <v>176</v>
      </c>
      <c r="CL966" s="9" t="s">
        <v>7715</v>
      </c>
      <c r="CM966" s="9" t="s">
        <v>825</v>
      </c>
      <c r="CN966" s="9" t="s">
        <v>1180</v>
      </c>
      <c r="CO966" s="9"/>
      <c r="CP966" s="9" t="s">
        <v>362</v>
      </c>
      <c r="CQ966" s="9" t="s">
        <v>716</v>
      </c>
      <c r="CR966" s="9" t="s">
        <v>6021</v>
      </c>
      <c r="CS966" s="9" t="s">
        <v>707</v>
      </c>
      <c r="CT966" s="9" t="s">
        <v>1732</v>
      </c>
      <c r="CU966" s="9" t="s">
        <v>187</v>
      </c>
      <c r="CV966" s="9" t="s">
        <v>7716</v>
      </c>
      <c r="CW966" s="9" t="s">
        <v>7717</v>
      </c>
      <c r="CX966" s="9" t="s">
        <v>5490</v>
      </c>
      <c r="CY966" s="9" t="s">
        <v>5490</v>
      </c>
      <c r="CZ966" s="9">
        <v>40</v>
      </c>
      <c r="DA966" s="9">
        <v>10</v>
      </c>
      <c r="DB966" s="9">
        <v>50</v>
      </c>
      <c r="DC966" s="9">
        <v>81.599999999999994</v>
      </c>
      <c r="DD966" s="9">
        <v>0.64</v>
      </c>
      <c r="DE966" s="9">
        <v>195</v>
      </c>
      <c r="DF966" s="9">
        <v>55</v>
      </c>
      <c r="DG966" s="9">
        <f t="shared" si="15"/>
        <v>4.2045812236012665</v>
      </c>
      <c r="DH966" s="9">
        <v>11</v>
      </c>
      <c r="DI966" s="9">
        <v>3.9</v>
      </c>
      <c r="DJ966" s="9"/>
      <c r="DK966" s="9"/>
      <c r="DL966" s="9">
        <v>59.9</v>
      </c>
      <c r="DM966" s="9">
        <v>124.2</v>
      </c>
      <c r="DN966" s="9"/>
      <c r="DO966" s="9"/>
      <c r="DU966">
        <v>5</v>
      </c>
    </row>
    <row r="967" spans="1:125" customFormat="1" x14ac:dyDescent="0.2">
      <c r="A967" s="127" t="s">
        <v>7718</v>
      </c>
      <c r="B967" s="127">
        <v>43805</v>
      </c>
      <c r="C967" s="127" t="s">
        <v>196</v>
      </c>
      <c r="D967" s="127">
        <v>41</v>
      </c>
      <c r="E967" s="127" t="s">
        <v>7719</v>
      </c>
      <c r="F967" s="127">
        <v>28608</v>
      </c>
      <c r="G967" s="127" t="s">
        <v>837</v>
      </c>
      <c r="H967" s="127" t="s">
        <v>7720</v>
      </c>
      <c r="I967" s="127" t="s">
        <v>236</v>
      </c>
      <c r="J967" s="127" t="s">
        <v>500</v>
      </c>
      <c r="K967" s="127">
        <v>2005</v>
      </c>
      <c r="L967" s="127">
        <v>1</v>
      </c>
      <c r="M967" s="127" t="s">
        <v>99</v>
      </c>
      <c r="N967" s="127" t="s">
        <v>99</v>
      </c>
      <c r="O967" s="127" t="s">
        <v>99</v>
      </c>
      <c r="P967" s="127" t="s">
        <v>99</v>
      </c>
      <c r="Q967" s="127" t="s">
        <v>5566</v>
      </c>
      <c r="R967" s="127" t="s">
        <v>5490</v>
      </c>
      <c r="S967" s="127" t="s">
        <v>99</v>
      </c>
      <c r="T967" s="127" t="s">
        <v>5490</v>
      </c>
      <c r="U967" s="127" t="s">
        <v>5892</v>
      </c>
      <c r="V967" s="127" t="s">
        <v>7682</v>
      </c>
      <c r="W967" s="127" t="s">
        <v>7721</v>
      </c>
      <c r="X967" s="127" t="s">
        <v>99</v>
      </c>
      <c r="Y967" s="127" t="s">
        <v>99</v>
      </c>
      <c r="Z967" s="127" t="s">
        <v>99</v>
      </c>
      <c r="AA967" s="127" t="s">
        <v>100</v>
      </c>
      <c r="AB967" s="127" t="s">
        <v>7719</v>
      </c>
      <c r="AC967" s="127" t="s">
        <v>100</v>
      </c>
      <c r="AD967" s="127" t="s">
        <v>7719</v>
      </c>
      <c r="AE967" s="127" t="s">
        <v>7722</v>
      </c>
      <c r="AF967" s="127" t="s">
        <v>7520</v>
      </c>
      <c r="AG967" s="127" t="s">
        <v>5490</v>
      </c>
      <c r="AH967" s="129" t="s">
        <v>7554</v>
      </c>
      <c r="AI967" s="127" t="s">
        <v>99</v>
      </c>
      <c r="AJ967" s="9" t="s">
        <v>99</v>
      </c>
      <c r="AK967" s="9" t="s">
        <v>99</v>
      </c>
      <c r="AL967" s="9">
        <v>71.900000000000006</v>
      </c>
      <c r="AM967" s="9">
        <v>164</v>
      </c>
      <c r="AN967" s="9">
        <v>93</v>
      </c>
      <c r="AO967" s="9">
        <v>105</v>
      </c>
      <c r="AP967" s="9">
        <v>36.299999999999997</v>
      </c>
      <c r="AQ967" s="9">
        <v>7</v>
      </c>
      <c r="AR967" s="9">
        <v>28.1</v>
      </c>
      <c r="AS967" s="9">
        <v>47</v>
      </c>
      <c r="AT967" s="9">
        <v>26.7</v>
      </c>
      <c r="AU967" s="173">
        <v>133</v>
      </c>
      <c r="AV967" s="173">
        <v>109</v>
      </c>
      <c r="AW967" s="9"/>
      <c r="AX967" s="9" t="s">
        <v>7545</v>
      </c>
      <c r="AY967" s="9"/>
      <c r="AZ967" s="9"/>
      <c r="BA967" s="9"/>
      <c r="BB967" s="9" t="s">
        <v>7451</v>
      </c>
      <c r="BC967" s="9"/>
      <c r="BD967" s="9"/>
      <c r="BE967" s="9"/>
      <c r="BF967" s="9" t="s">
        <v>7482</v>
      </c>
      <c r="BG967" s="9" t="s">
        <v>7479</v>
      </c>
      <c r="BH967" s="9" t="s">
        <v>7723</v>
      </c>
      <c r="BI967" s="9" t="s">
        <v>7508</v>
      </c>
      <c r="BJ967" s="9" t="s">
        <v>7723</v>
      </c>
      <c r="BK967" s="9" t="s">
        <v>7545</v>
      </c>
      <c r="BL967" s="9"/>
      <c r="BM967" s="9"/>
      <c r="BN967" s="9" t="s">
        <v>7682</v>
      </c>
      <c r="BO967" s="9"/>
      <c r="BP967" s="9"/>
      <c r="BQ967" s="9"/>
      <c r="BR967" s="9" t="s">
        <v>7545</v>
      </c>
      <c r="BS967" s="9"/>
      <c r="BT967" s="9"/>
      <c r="BU967" s="9"/>
      <c r="BV967" s="9" t="s">
        <v>7682</v>
      </c>
      <c r="BW967" s="9"/>
      <c r="BX967" s="9"/>
      <c r="BY967" s="9"/>
      <c r="BZ967" s="9" t="s">
        <v>7495</v>
      </c>
      <c r="CA967" s="9"/>
      <c r="CB967" s="9"/>
      <c r="CC967" s="9"/>
      <c r="CD967" s="9" t="s">
        <v>7682</v>
      </c>
      <c r="CE967" s="9"/>
      <c r="CF967" s="9"/>
      <c r="CG967" s="9"/>
      <c r="CH967" s="9" t="s">
        <v>7682</v>
      </c>
      <c r="CI967" s="9"/>
      <c r="CJ967" s="9"/>
      <c r="CK967" s="9"/>
      <c r="CL967" s="9" t="s">
        <v>7724</v>
      </c>
      <c r="CM967" s="9"/>
      <c r="CN967" s="9"/>
      <c r="CO967" s="9"/>
      <c r="CP967" s="9" t="s">
        <v>7698</v>
      </c>
      <c r="CQ967" s="9"/>
      <c r="CR967" s="9"/>
      <c r="CS967" s="9"/>
      <c r="CT967" s="9" t="s">
        <v>7493</v>
      </c>
      <c r="CU967" s="9"/>
      <c r="CV967" s="9"/>
      <c r="CW967" s="9">
        <v>3</v>
      </c>
      <c r="CX967" s="9" t="s">
        <v>5490</v>
      </c>
      <c r="CY967" s="9" t="s">
        <v>99</v>
      </c>
      <c r="CZ967" s="9">
        <v>30</v>
      </c>
      <c r="DA967" s="9">
        <v>20</v>
      </c>
      <c r="DB967" s="9">
        <v>50</v>
      </c>
      <c r="DC967" s="9">
        <v>78.400000000000006</v>
      </c>
      <c r="DD967" s="10">
        <v>1.25</v>
      </c>
      <c r="DE967" s="9">
        <v>181</v>
      </c>
      <c r="DF967" s="9">
        <v>65</v>
      </c>
      <c r="DG967" s="9">
        <f t="shared" si="15"/>
        <v>4.2681055986259997</v>
      </c>
      <c r="DH967" s="9">
        <v>12</v>
      </c>
      <c r="DI967" s="9">
        <v>5.81</v>
      </c>
      <c r="DL967" s="9">
        <v>53.8</v>
      </c>
      <c r="DM967" s="9">
        <v>114.2</v>
      </c>
      <c r="DN967" s="9"/>
      <c r="DO967" s="9"/>
      <c r="DR967">
        <v>3</v>
      </c>
    </row>
    <row r="968" spans="1:125" customFormat="1" x14ac:dyDescent="0.2">
      <c r="A968" s="144" t="s">
        <v>7725</v>
      </c>
      <c r="B968" s="127">
        <v>43805</v>
      </c>
      <c r="C968" s="127" t="s">
        <v>675</v>
      </c>
      <c r="D968" s="127">
        <v>38</v>
      </c>
      <c r="E968" s="127" t="s">
        <v>100</v>
      </c>
      <c r="F968" s="127">
        <v>29721</v>
      </c>
      <c r="G968" s="127" t="s">
        <v>837</v>
      </c>
      <c r="H968" s="127" t="s">
        <v>7726</v>
      </c>
      <c r="I968" s="127"/>
      <c r="J968" s="127"/>
      <c r="K968" s="127"/>
      <c r="L968" s="127"/>
      <c r="M968" s="127" t="s">
        <v>99</v>
      </c>
      <c r="N968" s="127" t="s">
        <v>99</v>
      </c>
      <c r="O968" s="127" t="s">
        <v>99</v>
      </c>
      <c r="P968" s="127" t="s">
        <v>99</v>
      </c>
      <c r="Q968" s="127" t="s">
        <v>7727</v>
      </c>
      <c r="R968" s="127" t="s">
        <v>7728</v>
      </c>
      <c r="S968" s="127" t="s">
        <v>5490</v>
      </c>
      <c r="T968" s="127" t="s">
        <v>6122</v>
      </c>
      <c r="U968" s="127" t="s">
        <v>7444</v>
      </c>
      <c r="V968" s="127" t="s">
        <v>99</v>
      </c>
      <c r="W968" s="127" t="s">
        <v>7617</v>
      </c>
      <c r="X968" s="127" t="s">
        <v>99</v>
      </c>
      <c r="Y968" s="127" t="s">
        <v>99</v>
      </c>
      <c r="Z968" s="127" t="s">
        <v>99</v>
      </c>
      <c r="AA968" s="127" t="s">
        <v>100</v>
      </c>
      <c r="AB968" s="127" t="s">
        <v>100</v>
      </c>
      <c r="AC968" s="127" t="s">
        <v>100</v>
      </c>
      <c r="AD968" s="127" t="s">
        <v>100</v>
      </c>
      <c r="AE968" s="127" t="s">
        <v>6126</v>
      </c>
      <c r="AF968" s="127" t="s">
        <v>99</v>
      </c>
      <c r="AG968" s="127" t="s">
        <v>99</v>
      </c>
      <c r="AH968" s="129" t="s">
        <v>5482</v>
      </c>
      <c r="AI968" s="127" t="s">
        <v>99</v>
      </c>
      <c r="AJ968" s="9" t="s">
        <v>99</v>
      </c>
      <c r="AK968" s="9" t="s">
        <v>99</v>
      </c>
      <c r="AL968" s="9">
        <v>87.2</v>
      </c>
      <c r="AM968" s="9">
        <v>167</v>
      </c>
      <c r="AN968" s="9">
        <v>100.8</v>
      </c>
      <c r="AO968" s="9">
        <v>108</v>
      </c>
      <c r="AP968" s="9">
        <v>34.9</v>
      </c>
      <c r="AQ968" s="9">
        <v>15</v>
      </c>
      <c r="AR968" s="9">
        <v>30.7</v>
      </c>
      <c r="AS968" s="9">
        <v>57</v>
      </c>
      <c r="AT968" s="9">
        <v>31.3</v>
      </c>
      <c r="AU968" s="9">
        <v>102</v>
      </c>
      <c r="AV968" s="9">
        <v>63</v>
      </c>
      <c r="AW968" s="9" t="s">
        <v>351</v>
      </c>
      <c r="AX968" s="9" t="s">
        <v>1128</v>
      </c>
      <c r="AY968" s="9" t="s">
        <v>364</v>
      </c>
      <c r="AZ968" s="9" t="s">
        <v>7708</v>
      </c>
      <c r="BA968" s="9" t="s">
        <v>351</v>
      </c>
      <c r="BB968" s="9" t="s">
        <v>5595</v>
      </c>
      <c r="BC968" s="9"/>
      <c r="BD968" s="9"/>
      <c r="BE968" s="9" t="s">
        <v>351</v>
      </c>
      <c r="BF968" s="9" t="s">
        <v>2653</v>
      </c>
      <c r="BG968" s="9" t="s">
        <v>176</v>
      </c>
      <c r="BH968" s="9" t="s">
        <v>1979</v>
      </c>
      <c r="BI968" s="9" t="s">
        <v>1979</v>
      </c>
      <c r="BJ968" s="9" t="s">
        <v>5412</v>
      </c>
      <c r="BK968" s="9" t="s">
        <v>5412</v>
      </c>
      <c r="BL968" s="9" t="s">
        <v>351</v>
      </c>
      <c r="BM968" s="9"/>
      <c r="BN968" s="9" t="s">
        <v>180</v>
      </c>
      <c r="BO968" s="9" t="s">
        <v>7729</v>
      </c>
      <c r="BP968" s="9" t="s">
        <v>179</v>
      </c>
      <c r="BQ968" s="9"/>
      <c r="BR968" s="9"/>
      <c r="BS968" s="9"/>
      <c r="BT968" s="9"/>
      <c r="BU968" s="9"/>
      <c r="BV968" s="9" t="s">
        <v>7730</v>
      </c>
      <c r="BW968" s="9"/>
      <c r="BX968" s="9"/>
      <c r="BY968" s="9" t="s">
        <v>351</v>
      </c>
      <c r="BZ968" s="9" t="s">
        <v>822</v>
      </c>
      <c r="CA968" s="9" t="s">
        <v>183</v>
      </c>
      <c r="CB968" s="9" t="s">
        <v>182</v>
      </c>
      <c r="CC968" s="9"/>
      <c r="CD968" s="9"/>
      <c r="CE968" s="9"/>
      <c r="CF968" s="9"/>
      <c r="CG968" s="9"/>
      <c r="CH968" s="9"/>
      <c r="CI968" s="9"/>
      <c r="CJ968" s="9"/>
      <c r="CK968" s="9"/>
      <c r="CL968" s="9" t="s">
        <v>1181</v>
      </c>
      <c r="CM968" s="9" t="s">
        <v>2590</v>
      </c>
      <c r="CN968" s="9"/>
      <c r="CO968" s="9"/>
      <c r="CP968" s="9" t="s">
        <v>362</v>
      </c>
      <c r="CQ968" s="9"/>
      <c r="CR968" s="9"/>
      <c r="CS968" s="9" t="s">
        <v>351</v>
      </c>
      <c r="CT968" s="9" t="s">
        <v>1729</v>
      </c>
      <c r="CU968" s="9"/>
      <c r="CV968" s="9"/>
      <c r="CW968" s="9">
        <v>5</v>
      </c>
      <c r="CX968" s="9" t="s">
        <v>5490</v>
      </c>
      <c r="CY968" s="9" t="s">
        <v>5490</v>
      </c>
      <c r="CZ968" s="9">
        <v>25</v>
      </c>
      <c r="DA968" s="9">
        <v>50</v>
      </c>
      <c r="DB968" s="9">
        <v>25</v>
      </c>
      <c r="DC968" s="10">
        <v>100.9</v>
      </c>
      <c r="DD968" s="10">
        <v>1.56</v>
      </c>
      <c r="DE968" s="9">
        <v>166</v>
      </c>
      <c r="DF968" s="10">
        <v>186</v>
      </c>
      <c r="DG968" s="9">
        <f t="shared" si="15"/>
        <v>4.9199383005363826</v>
      </c>
      <c r="DH968" s="9">
        <v>37.200000000000003</v>
      </c>
      <c r="DI968" s="10">
        <v>7.37</v>
      </c>
      <c r="DL968" s="10">
        <v>25.7</v>
      </c>
      <c r="DM968" s="9">
        <v>103.1</v>
      </c>
      <c r="DN968" s="9"/>
      <c r="DO968" s="9"/>
      <c r="DR968">
        <v>3</v>
      </c>
      <c r="DU968">
        <v>4.5</v>
      </c>
    </row>
    <row r="969" spans="1:125" customFormat="1" x14ac:dyDescent="0.2">
      <c r="A969" s="127" t="s">
        <v>7731</v>
      </c>
      <c r="B969" s="127">
        <v>43805</v>
      </c>
      <c r="C969" s="127" t="s">
        <v>675</v>
      </c>
      <c r="D969" s="127">
        <v>25</v>
      </c>
      <c r="E969" s="127" t="s">
        <v>100</v>
      </c>
      <c r="F969" s="127">
        <v>34646</v>
      </c>
      <c r="G969" s="127" t="s">
        <v>837</v>
      </c>
      <c r="H969" s="127" t="s">
        <v>5515</v>
      </c>
      <c r="I969" s="127"/>
      <c r="J969" s="127"/>
      <c r="K969" s="127"/>
      <c r="L969" s="127"/>
      <c r="M969" s="127" t="s">
        <v>99</v>
      </c>
      <c r="N969" s="127" t="s">
        <v>99</v>
      </c>
      <c r="O969" s="127" t="s">
        <v>99</v>
      </c>
      <c r="P969" s="127" t="s">
        <v>7732</v>
      </c>
      <c r="Q969" s="127" t="s">
        <v>7733</v>
      </c>
      <c r="R969" s="127" t="s">
        <v>99</v>
      </c>
      <c r="S969" s="127" t="s">
        <v>99</v>
      </c>
      <c r="T969" s="127" t="s">
        <v>99</v>
      </c>
      <c r="U969" s="127" t="s">
        <v>99</v>
      </c>
      <c r="V969" s="127" t="s">
        <v>99</v>
      </c>
      <c r="W969" s="127" t="s">
        <v>7734</v>
      </c>
      <c r="X969" s="127" t="s">
        <v>99</v>
      </c>
      <c r="Y969" s="127" t="s">
        <v>99</v>
      </c>
      <c r="Z969" s="127" t="s">
        <v>99</v>
      </c>
      <c r="AA969" s="127" t="s">
        <v>100</v>
      </c>
      <c r="AB969" s="127" t="s">
        <v>100</v>
      </c>
      <c r="AC969" s="127" t="s">
        <v>7735</v>
      </c>
      <c r="AD969" s="127" t="s">
        <v>100</v>
      </c>
      <c r="AE969" s="127" t="s">
        <v>7705</v>
      </c>
      <c r="AF969" s="127" t="s">
        <v>99</v>
      </c>
      <c r="AG969" s="127" t="s">
        <v>7736</v>
      </c>
      <c r="AH969" s="129"/>
      <c r="AI969" s="127" t="s">
        <v>99</v>
      </c>
      <c r="AJ969" s="9" t="s">
        <v>99</v>
      </c>
      <c r="AK969" s="9" t="s">
        <v>99</v>
      </c>
      <c r="AL969" s="9">
        <v>115.6</v>
      </c>
      <c r="AM969" s="9">
        <v>185</v>
      </c>
      <c r="AN969" s="9">
        <v>107</v>
      </c>
      <c r="AO969" s="9">
        <v>122</v>
      </c>
      <c r="AP969" s="9">
        <v>40.200000000000003</v>
      </c>
      <c r="AQ969" s="9">
        <v>15</v>
      </c>
      <c r="AR969" s="9">
        <v>27.8</v>
      </c>
      <c r="AS969" s="9">
        <v>76</v>
      </c>
      <c r="AT969" s="9">
        <v>33.799999999999997</v>
      </c>
      <c r="AU969" s="9">
        <v>107</v>
      </c>
      <c r="AV969" s="9">
        <v>75</v>
      </c>
      <c r="AW969" s="9"/>
      <c r="AX969" s="9" t="s">
        <v>7737</v>
      </c>
      <c r="AY969" s="9" t="s">
        <v>1977</v>
      </c>
      <c r="AZ969" s="9" t="s">
        <v>7738</v>
      </c>
      <c r="BA969" s="9"/>
      <c r="BB969" s="9" t="s">
        <v>6015</v>
      </c>
      <c r="BC969" s="9" t="s">
        <v>7739</v>
      </c>
      <c r="BD969" s="9"/>
      <c r="BE969" s="9"/>
      <c r="BF969" s="9" t="s">
        <v>350</v>
      </c>
      <c r="BG969" s="9" t="s">
        <v>350</v>
      </c>
      <c r="BH969" s="9" t="s">
        <v>350</v>
      </c>
      <c r="BI969" s="9" t="s">
        <v>350</v>
      </c>
      <c r="BJ969" s="9" t="s">
        <v>350</v>
      </c>
      <c r="BK969" s="9" t="s">
        <v>350</v>
      </c>
      <c r="BL969" s="9"/>
      <c r="BM969" s="9"/>
      <c r="BN969" s="9" t="s">
        <v>2557</v>
      </c>
      <c r="BO969" s="9" t="s">
        <v>7740</v>
      </c>
      <c r="BP969" s="9" t="s">
        <v>3293</v>
      </c>
      <c r="BQ969" s="9"/>
      <c r="BR969" s="9"/>
      <c r="BS969" s="9"/>
      <c r="BT969" s="9"/>
      <c r="BU969" s="9"/>
      <c r="BV969" s="9" t="s">
        <v>734</v>
      </c>
      <c r="BW969" s="9" t="s">
        <v>1573</v>
      </c>
      <c r="BX969" s="9"/>
      <c r="BY969" s="9" t="s">
        <v>351</v>
      </c>
      <c r="BZ969" s="9" t="s">
        <v>182</v>
      </c>
      <c r="CA969" s="9" t="s">
        <v>752</v>
      </c>
      <c r="CB969" s="9" t="s">
        <v>7741</v>
      </c>
      <c r="CC969" s="9"/>
      <c r="CD969" s="9"/>
      <c r="CE969" s="9"/>
      <c r="CF969" s="9"/>
      <c r="CG969" s="9"/>
      <c r="CH969" s="9" t="s">
        <v>5475</v>
      </c>
      <c r="CI969" s="9" t="s">
        <v>5474</v>
      </c>
      <c r="CJ969" s="9"/>
      <c r="CK969" s="9" t="s">
        <v>351</v>
      </c>
      <c r="CL969" s="9" t="s">
        <v>579</v>
      </c>
      <c r="CM969" s="9" t="s">
        <v>2705</v>
      </c>
      <c r="CN969" s="9" t="s">
        <v>5864</v>
      </c>
      <c r="CO969" s="9"/>
      <c r="CP969" s="9" t="s">
        <v>7742</v>
      </c>
      <c r="CQ969" s="9" t="s">
        <v>7743</v>
      </c>
      <c r="CR969" s="9" t="s">
        <v>7744</v>
      </c>
      <c r="CS969" s="9"/>
      <c r="CT969" s="9" t="s">
        <v>7745</v>
      </c>
      <c r="CU969" s="9"/>
      <c r="CV969" s="9"/>
      <c r="CW969" s="9">
        <v>3</v>
      </c>
      <c r="CX969" s="9" t="s">
        <v>5490</v>
      </c>
      <c r="CY969" s="9" t="s">
        <v>5490</v>
      </c>
      <c r="CZ969" s="9">
        <v>10</v>
      </c>
      <c r="DA969" s="9">
        <v>50</v>
      </c>
      <c r="DB969" s="9">
        <v>40</v>
      </c>
      <c r="DC969" s="9">
        <v>74.099999999999994</v>
      </c>
      <c r="DD969" s="9">
        <v>0.67</v>
      </c>
      <c r="DE969" s="9">
        <v>160</v>
      </c>
      <c r="DF969" s="9">
        <v>109</v>
      </c>
      <c r="DG969" s="9">
        <f t="shared" si="15"/>
        <v>4.4983817072655921</v>
      </c>
      <c r="DH969" s="9">
        <v>21.8</v>
      </c>
      <c r="DI969" s="9">
        <v>5.88</v>
      </c>
      <c r="DJ969" s="9"/>
      <c r="DK969" s="9"/>
      <c r="DL969" s="9">
        <v>40.1</v>
      </c>
      <c r="DM969" s="9">
        <v>98.1</v>
      </c>
      <c r="DN969" s="9"/>
      <c r="DO969" s="9"/>
    </row>
    <row r="970" spans="1:125" customFormat="1" x14ac:dyDescent="0.2">
      <c r="A970" s="157" t="s">
        <v>7746</v>
      </c>
      <c r="B970" s="127"/>
      <c r="C970" s="127" t="s">
        <v>675</v>
      </c>
      <c r="D970" s="127">
        <v>48</v>
      </c>
      <c r="E970" s="127" t="s">
        <v>109</v>
      </c>
      <c r="F970" s="127">
        <v>26097</v>
      </c>
      <c r="G970" s="127" t="s">
        <v>837</v>
      </c>
      <c r="H970" s="127"/>
      <c r="I970" s="127"/>
      <c r="J970" s="127"/>
      <c r="K970" s="127"/>
      <c r="L970" s="127"/>
      <c r="M970" s="127" t="s">
        <v>99</v>
      </c>
      <c r="N970" s="127" t="s">
        <v>99</v>
      </c>
      <c r="O970" s="127" t="s">
        <v>7747</v>
      </c>
      <c r="P970" s="127" t="s">
        <v>7748</v>
      </c>
      <c r="Q970" s="127" t="s">
        <v>7749</v>
      </c>
      <c r="R970" s="127" t="s">
        <v>5490</v>
      </c>
      <c r="S970" s="127" t="s">
        <v>5490</v>
      </c>
      <c r="T970" s="127" t="s">
        <v>99</v>
      </c>
      <c r="U970" s="127" t="s">
        <v>99</v>
      </c>
      <c r="V970" s="127" t="s">
        <v>99</v>
      </c>
      <c r="W970" s="127" t="s">
        <v>7682</v>
      </c>
      <c r="X970" s="127"/>
      <c r="Y970" s="127"/>
      <c r="Z970" s="127"/>
      <c r="AA970" s="127" t="s">
        <v>109</v>
      </c>
      <c r="AB970" s="127" t="s">
        <v>109</v>
      </c>
      <c r="AC970" s="127" t="s">
        <v>109</v>
      </c>
      <c r="AD970" s="127" t="s">
        <v>109</v>
      </c>
      <c r="AE970" s="127" t="s">
        <v>7520</v>
      </c>
      <c r="AF970" s="127" t="s">
        <v>99</v>
      </c>
      <c r="AG970" s="127" t="s">
        <v>99</v>
      </c>
      <c r="AH970" s="129" t="s">
        <v>99</v>
      </c>
      <c r="AI970" s="127" t="s">
        <v>99</v>
      </c>
      <c r="AJ970" s="9" t="s">
        <v>99</v>
      </c>
      <c r="AK970" s="9" t="s">
        <v>99</v>
      </c>
      <c r="AL970" s="9">
        <v>80.099999999999994</v>
      </c>
      <c r="AM970" s="9">
        <v>167</v>
      </c>
      <c r="AN970" s="9">
        <v>106</v>
      </c>
      <c r="AO970" s="9">
        <v>103</v>
      </c>
      <c r="AP970" s="9">
        <v>32.799999999999997</v>
      </c>
      <c r="AQ970" s="9">
        <v>15</v>
      </c>
      <c r="AR970" s="9">
        <v>30.4</v>
      </c>
      <c r="AS970" s="9">
        <v>55</v>
      </c>
      <c r="AT970" s="9">
        <v>28.7</v>
      </c>
      <c r="AU970" s="9">
        <v>124</v>
      </c>
      <c r="AV970" s="9">
        <v>77</v>
      </c>
      <c r="AW970" s="9"/>
      <c r="AX970" s="9" t="s">
        <v>7495</v>
      </c>
      <c r="AY970" s="9"/>
      <c r="AZ970" s="9"/>
      <c r="BA970" s="9"/>
      <c r="BB970" s="9" t="s">
        <v>7451</v>
      </c>
      <c r="BC970" s="9"/>
      <c r="BD970" s="9"/>
      <c r="BE970" s="9"/>
      <c r="BF970" s="9" t="s">
        <v>7508</v>
      </c>
      <c r="BG970" s="9" t="s">
        <v>7451</v>
      </c>
      <c r="BH970" s="9" t="s">
        <v>7451</v>
      </c>
      <c r="BI970" s="9" t="s">
        <v>7451</v>
      </c>
      <c r="BJ970" s="9" t="s">
        <v>7493</v>
      </c>
      <c r="BK970" s="9" t="s">
        <v>7723</v>
      </c>
      <c r="BL970" s="9"/>
      <c r="BM970" s="9"/>
      <c r="BN970" s="9" t="s">
        <v>7495</v>
      </c>
      <c r="BO970" s="9"/>
      <c r="BP970" s="9"/>
      <c r="BQ970" s="9"/>
      <c r="BR970" s="9" t="s">
        <v>7682</v>
      </c>
      <c r="BS970" s="9"/>
      <c r="BT970" s="9"/>
      <c r="BU970" s="9"/>
      <c r="BV970" s="9" t="s">
        <v>7682</v>
      </c>
      <c r="BW970" s="9"/>
      <c r="BX970" s="9"/>
      <c r="BY970" s="9"/>
      <c r="BZ970" s="9" t="s">
        <v>7493</v>
      </c>
      <c r="CA970" s="9"/>
      <c r="CB970" s="9"/>
      <c r="CC970" s="9" t="s">
        <v>7682</v>
      </c>
      <c r="CD970" s="9"/>
      <c r="CE970" s="9"/>
      <c r="CF970" s="9"/>
      <c r="CG970" s="9"/>
      <c r="CH970" s="9" t="s">
        <v>7682</v>
      </c>
      <c r="CI970" s="9"/>
      <c r="CJ970" s="9"/>
      <c r="CK970" s="9"/>
      <c r="CL970" s="9" t="s">
        <v>7724</v>
      </c>
      <c r="CM970" s="9"/>
      <c r="CN970" s="9"/>
      <c r="CO970" s="9"/>
      <c r="CP970" s="9" t="s">
        <v>7750</v>
      </c>
      <c r="CQ970" s="9"/>
      <c r="CR970" s="9"/>
      <c r="CS970" s="9"/>
      <c r="CT970" s="9" t="s">
        <v>7751</v>
      </c>
      <c r="CU970" s="9"/>
      <c r="CV970" s="9"/>
      <c r="CW970" s="9">
        <v>3</v>
      </c>
      <c r="CX970" s="9" t="s">
        <v>99</v>
      </c>
      <c r="CY970" s="9" t="s">
        <v>5490</v>
      </c>
      <c r="CZ970" s="9">
        <v>25</v>
      </c>
      <c r="DA970" s="9">
        <v>10</v>
      </c>
      <c r="DB970" s="9">
        <v>65</v>
      </c>
      <c r="DC970" s="9">
        <v>95.4</v>
      </c>
      <c r="DD970" s="9">
        <v>0.97</v>
      </c>
      <c r="DE970" s="9">
        <v>171</v>
      </c>
      <c r="DF970" s="10">
        <v>180</v>
      </c>
      <c r="DG970" s="9">
        <f t="shared" si="15"/>
        <v>4.8755177146722257</v>
      </c>
      <c r="DH970" s="9">
        <v>36</v>
      </c>
      <c r="DI970" s="9">
        <v>5.59</v>
      </c>
      <c r="DJ970" s="9"/>
      <c r="DK970" s="9"/>
      <c r="DL970" s="10">
        <v>28.8</v>
      </c>
      <c r="DM970" s="9">
        <v>106.2</v>
      </c>
      <c r="DN970" s="9"/>
      <c r="DO970" s="9"/>
      <c r="DP970" s="53">
        <v>3</v>
      </c>
      <c r="DR970">
        <v>3</v>
      </c>
    </row>
    <row r="971" spans="1:125" customFormat="1" x14ac:dyDescent="0.2">
      <c r="A971" s="140" t="s">
        <v>7752</v>
      </c>
      <c r="B971" s="127">
        <v>43805</v>
      </c>
      <c r="C971" s="127" t="s">
        <v>675</v>
      </c>
      <c r="D971" s="127">
        <v>21</v>
      </c>
      <c r="E971" s="127" t="s">
        <v>100</v>
      </c>
      <c r="F971" s="127">
        <v>31093</v>
      </c>
      <c r="G971" s="127" t="s">
        <v>7471</v>
      </c>
      <c r="H971" s="127" t="s">
        <v>1727</v>
      </c>
      <c r="I971" s="127"/>
      <c r="J971" s="127"/>
      <c r="K971" s="127"/>
      <c r="L971" s="127"/>
      <c r="M971" s="127" t="s">
        <v>99</v>
      </c>
      <c r="N971" s="127" t="s">
        <v>99</v>
      </c>
      <c r="O971" s="127" t="s">
        <v>99</v>
      </c>
      <c r="P971" s="127" t="s">
        <v>7753</v>
      </c>
      <c r="Q971" s="127" t="s">
        <v>6121</v>
      </c>
      <c r="R971" s="127" t="s">
        <v>99</v>
      </c>
      <c r="S971" s="127" t="s">
        <v>99</v>
      </c>
      <c r="T971" s="127" t="s">
        <v>99</v>
      </c>
      <c r="U971" s="127" t="s">
        <v>7754</v>
      </c>
      <c r="V971" s="127" t="s">
        <v>7682</v>
      </c>
      <c r="W971" s="127" t="s">
        <v>7682</v>
      </c>
      <c r="X971" s="127"/>
      <c r="Y971" s="127"/>
      <c r="Z971" s="127"/>
      <c r="AA971" s="127" t="s">
        <v>100</v>
      </c>
      <c r="AB971" s="127" t="s">
        <v>100</v>
      </c>
      <c r="AC971" s="127" t="s">
        <v>100</v>
      </c>
      <c r="AD971" s="127" t="s">
        <v>100</v>
      </c>
      <c r="AE971" s="127" t="s">
        <v>6075</v>
      </c>
      <c r="AF971" s="127" t="s">
        <v>7520</v>
      </c>
      <c r="AG971" s="127" t="s">
        <v>7554</v>
      </c>
      <c r="AH971" s="129" t="s">
        <v>99</v>
      </c>
      <c r="AI971" s="127" t="s">
        <v>99</v>
      </c>
      <c r="AJ971" s="9" t="s">
        <v>99</v>
      </c>
      <c r="AK971" s="9" t="s">
        <v>99</v>
      </c>
      <c r="AL971" s="9">
        <v>76.8</v>
      </c>
      <c r="AM971" s="9">
        <v>176</v>
      </c>
      <c r="AN971" s="9">
        <v>85</v>
      </c>
      <c r="AO971" s="9">
        <v>110</v>
      </c>
      <c r="AP971" s="9">
        <v>20.7</v>
      </c>
      <c r="AQ971" s="9">
        <v>6</v>
      </c>
      <c r="AR971" s="9">
        <v>40.1</v>
      </c>
      <c r="AS971" s="9">
        <v>35</v>
      </c>
      <c r="AT971" s="7">
        <v>24.8</v>
      </c>
      <c r="AU971" s="9">
        <v>110</v>
      </c>
      <c r="AV971" s="9">
        <v>82</v>
      </c>
      <c r="AW971" s="9"/>
      <c r="AX971" s="9" t="s">
        <v>7508</v>
      </c>
      <c r="AY971" s="9"/>
      <c r="AZ971" s="9"/>
      <c r="BA971" s="9"/>
      <c r="BB971" s="9" t="s">
        <v>7545</v>
      </c>
      <c r="BC971" s="9"/>
      <c r="BD971" s="9"/>
      <c r="BE971" s="9"/>
      <c r="BF971" s="9" t="s">
        <v>7451</v>
      </c>
      <c r="BG971" s="9" t="s">
        <v>7495</v>
      </c>
      <c r="BH971" s="9" t="s">
        <v>7495</v>
      </c>
      <c r="BI971" s="9" t="s">
        <v>7545</v>
      </c>
      <c r="BJ971" s="9" t="s">
        <v>7508</v>
      </c>
      <c r="BK971" s="9" t="s">
        <v>7504</v>
      </c>
      <c r="BL971" s="9"/>
      <c r="BM971" s="9"/>
      <c r="BN971" s="9" t="s">
        <v>7545</v>
      </c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 t="s">
        <v>7508</v>
      </c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 t="s">
        <v>7755</v>
      </c>
      <c r="CQ971" s="9"/>
      <c r="CR971" s="9"/>
      <c r="CS971" s="9"/>
      <c r="CT971" s="9" t="s">
        <v>7545</v>
      </c>
      <c r="CU971" s="9"/>
      <c r="CV971" s="9"/>
      <c r="CW971" s="9">
        <v>3</v>
      </c>
      <c r="CX971" s="9" t="s">
        <v>5490</v>
      </c>
      <c r="CY971" s="9" t="s">
        <v>5490</v>
      </c>
      <c r="CZ971" s="9">
        <v>30</v>
      </c>
      <c r="DA971" s="9">
        <v>20</v>
      </c>
      <c r="DB971" s="9">
        <v>50</v>
      </c>
      <c r="DC971" s="9">
        <v>80.2</v>
      </c>
      <c r="DD971" s="9">
        <v>0.76</v>
      </c>
      <c r="DE971" s="9">
        <v>166</v>
      </c>
      <c r="DF971" s="9">
        <v>50</v>
      </c>
      <c r="DG971" s="9">
        <f t="shared" si="15"/>
        <v>4.1482732601503072</v>
      </c>
      <c r="DH971" s="9">
        <v>10</v>
      </c>
      <c r="DI971" s="9">
        <v>4.03</v>
      </c>
      <c r="DL971" s="9">
        <v>35</v>
      </c>
      <c r="DM971" s="9">
        <v>121</v>
      </c>
      <c r="DN971" s="9"/>
      <c r="DO971" s="9"/>
      <c r="DP971" s="53">
        <v>3</v>
      </c>
      <c r="DR971">
        <v>3</v>
      </c>
    </row>
    <row r="972" spans="1:125" customFormat="1" x14ac:dyDescent="0.2">
      <c r="A972" s="144" t="s">
        <v>7756</v>
      </c>
      <c r="B972" s="127">
        <v>43805</v>
      </c>
      <c r="C972" s="127" t="s">
        <v>675</v>
      </c>
      <c r="D972" s="127">
        <v>50</v>
      </c>
      <c r="E972" s="127" t="s">
        <v>100</v>
      </c>
      <c r="F972" s="127">
        <v>25190</v>
      </c>
      <c r="G972" s="127" t="s">
        <v>7685</v>
      </c>
      <c r="H972" s="127"/>
      <c r="I972" s="127"/>
      <c r="J972" s="127"/>
      <c r="K972" s="127"/>
      <c r="L972" s="127"/>
      <c r="M972" s="127" t="s">
        <v>7757</v>
      </c>
      <c r="N972" s="127" t="s">
        <v>7758</v>
      </c>
      <c r="O972" s="127" t="s">
        <v>5490</v>
      </c>
      <c r="P972" s="127" t="s">
        <v>5490</v>
      </c>
      <c r="Q972" s="127" t="s">
        <v>6121</v>
      </c>
      <c r="R972" s="127" t="s">
        <v>5490</v>
      </c>
      <c r="S972" s="127" t="s">
        <v>5490</v>
      </c>
      <c r="T972" s="127" t="s">
        <v>99</v>
      </c>
      <c r="U972" s="127" t="s">
        <v>7759</v>
      </c>
      <c r="V972" s="127" t="s">
        <v>7760</v>
      </c>
      <c r="W972" s="127" t="s">
        <v>7682</v>
      </c>
      <c r="X972" s="127"/>
      <c r="Y972" s="127"/>
      <c r="Z972" s="127"/>
      <c r="AA972" s="127" t="s">
        <v>100</v>
      </c>
      <c r="AB972" s="127" t="s">
        <v>840</v>
      </c>
      <c r="AC972" s="127" t="s">
        <v>100</v>
      </c>
      <c r="AD972" s="127" t="s">
        <v>840</v>
      </c>
      <c r="AE972" s="127" t="s">
        <v>99</v>
      </c>
      <c r="AF972" s="127" t="s">
        <v>99</v>
      </c>
      <c r="AG972" s="127" t="s">
        <v>7761</v>
      </c>
      <c r="AH972" s="129" t="s">
        <v>5482</v>
      </c>
      <c r="AI972" s="127" t="s">
        <v>99</v>
      </c>
      <c r="AJ972" s="9" t="s">
        <v>99</v>
      </c>
      <c r="AK972" s="9" t="s">
        <v>99</v>
      </c>
      <c r="AL972" s="9">
        <v>86.8</v>
      </c>
      <c r="AM972" s="9">
        <v>176</v>
      </c>
      <c r="AN972" s="9">
        <v>106</v>
      </c>
      <c r="AO972" s="9">
        <v>102</v>
      </c>
      <c r="AP972" s="9">
        <v>28.6</v>
      </c>
      <c r="AQ972" s="9">
        <v>11</v>
      </c>
      <c r="AR972" s="9">
        <v>32.6</v>
      </c>
      <c r="AS972" s="9">
        <v>60</v>
      </c>
      <c r="AT972" s="9">
        <v>28</v>
      </c>
      <c r="AU972" s="9">
        <v>127</v>
      </c>
      <c r="AV972" s="9">
        <v>74</v>
      </c>
      <c r="AW972" s="9"/>
      <c r="AX972" s="9" t="s">
        <v>7451</v>
      </c>
      <c r="AY972" s="9"/>
      <c r="AZ972" s="9"/>
      <c r="BA972" s="9"/>
      <c r="BB972" s="9" t="s">
        <v>7451</v>
      </c>
      <c r="BC972" s="9"/>
      <c r="BD972" s="9"/>
      <c r="BE972" s="9"/>
      <c r="BF972" s="9" t="s">
        <v>7451</v>
      </c>
      <c r="BG972" s="9" t="s">
        <v>7751</v>
      </c>
      <c r="BH972" s="9" t="s">
        <v>7493</v>
      </c>
      <c r="BI972" s="9" t="s">
        <v>7495</v>
      </c>
      <c r="BJ972" s="9" t="s">
        <v>7495</v>
      </c>
      <c r="BK972" s="9" t="s">
        <v>7762</v>
      </c>
      <c r="BL972" s="9"/>
      <c r="BM972" s="9"/>
      <c r="BN972" s="9" t="s">
        <v>7508</v>
      </c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 t="s">
        <v>7495</v>
      </c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 t="s">
        <v>7763</v>
      </c>
      <c r="CM972" s="9"/>
      <c r="CN972" s="9"/>
      <c r="CO972" s="9"/>
      <c r="CP972" s="9" t="s">
        <v>7698</v>
      </c>
      <c r="CQ972" s="9"/>
      <c r="CR972" s="9"/>
      <c r="CS972" s="9"/>
      <c r="CT972" s="9" t="s">
        <v>7508</v>
      </c>
      <c r="CU972" s="9"/>
      <c r="CV972" s="9"/>
      <c r="CW972" s="9">
        <v>3</v>
      </c>
      <c r="CX972" s="9" t="s">
        <v>99</v>
      </c>
      <c r="CY972" s="9" t="s">
        <v>99</v>
      </c>
      <c r="CZ972" s="9">
        <v>30</v>
      </c>
      <c r="DA972" s="9">
        <v>30</v>
      </c>
      <c r="DB972" s="9">
        <v>40</v>
      </c>
      <c r="DC972" s="14">
        <v>276.8</v>
      </c>
      <c r="DD972" s="9">
        <v>1.26</v>
      </c>
      <c r="DE972" s="9">
        <v>171</v>
      </c>
      <c r="DF972" s="9">
        <v>125</v>
      </c>
      <c r="DG972" s="9">
        <f t="shared" si="15"/>
        <v>5.2258044805229078</v>
      </c>
      <c r="DH972" s="9">
        <v>25</v>
      </c>
      <c r="DI972" s="9">
        <v>4.66</v>
      </c>
      <c r="DJ972" s="9"/>
      <c r="DK972" s="9"/>
      <c r="DL972" s="10">
        <v>34.700000000000003</v>
      </c>
      <c r="DM972" s="9">
        <v>111.3</v>
      </c>
      <c r="DN972" s="9"/>
      <c r="DO972" s="9"/>
      <c r="DP972" s="53">
        <v>3</v>
      </c>
      <c r="DR972">
        <v>3</v>
      </c>
      <c r="DU972">
        <v>3.7</v>
      </c>
    </row>
    <row r="973" spans="1:125" customFormat="1" x14ac:dyDescent="0.2">
      <c r="A973" s="140" t="s">
        <v>7764</v>
      </c>
      <c r="B973" s="127">
        <v>43805</v>
      </c>
      <c r="C973" s="127" t="s">
        <v>196</v>
      </c>
      <c r="D973" s="127">
        <v>40</v>
      </c>
      <c r="E973" s="127" t="s">
        <v>100</v>
      </c>
      <c r="F973" s="127">
        <v>28809</v>
      </c>
      <c r="G973" s="127" t="s">
        <v>813</v>
      </c>
      <c r="H973" s="127" t="s">
        <v>7765</v>
      </c>
      <c r="I973" s="127"/>
      <c r="J973" s="127"/>
      <c r="K973" s="127">
        <v>2008</v>
      </c>
      <c r="L973" s="127">
        <v>4</v>
      </c>
      <c r="M973" s="127" t="s">
        <v>5490</v>
      </c>
      <c r="N973" s="127"/>
      <c r="O973" s="127"/>
      <c r="P973" s="127" t="s">
        <v>99</v>
      </c>
      <c r="Q973" s="127" t="s">
        <v>99</v>
      </c>
      <c r="R973" s="127" t="s">
        <v>99</v>
      </c>
      <c r="S973" s="127"/>
      <c r="T973" s="127"/>
      <c r="U973" s="127"/>
      <c r="V973" s="127"/>
      <c r="W973" s="127" t="s">
        <v>7766</v>
      </c>
      <c r="X973" s="127" t="s">
        <v>99</v>
      </c>
      <c r="Y973" s="127"/>
      <c r="Z973" s="127" t="s">
        <v>7767</v>
      </c>
      <c r="AA973" s="127" t="s">
        <v>100</v>
      </c>
      <c r="AB973" s="127" t="s">
        <v>100</v>
      </c>
      <c r="AC973" s="127" t="s">
        <v>100</v>
      </c>
      <c r="AD973" s="127" t="s">
        <v>100</v>
      </c>
      <c r="AE973" s="127" t="s">
        <v>7768</v>
      </c>
      <c r="AF973" s="127" t="s">
        <v>7769</v>
      </c>
      <c r="AG973" s="127"/>
      <c r="AH973" s="129"/>
      <c r="AI973" s="127"/>
      <c r="AJ973" s="9"/>
      <c r="AK973" s="9"/>
      <c r="AL973" s="9">
        <v>60.9</v>
      </c>
      <c r="AM973" s="9">
        <v>163.5</v>
      </c>
      <c r="AN973" s="7">
        <v>79</v>
      </c>
      <c r="AO973" s="9">
        <v>99</v>
      </c>
      <c r="AP973" s="9">
        <v>33.4</v>
      </c>
      <c r="AQ973" s="9">
        <v>5</v>
      </c>
      <c r="AR973" s="9">
        <v>27.7</v>
      </c>
      <c r="AS973" s="9">
        <v>38</v>
      </c>
      <c r="AT973" s="7">
        <v>22.8</v>
      </c>
      <c r="AU973" s="9">
        <v>105</v>
      </c>
      <c r="AV973" s="9">
        <v>76</v>
      </c>
      <c r="AW973" s="9"/>
      <c r="AX973" s="9" t="s">
        <v>5572</v>
      </c>
      <c r="AY973" s="9" t="s">
        <v>3844</v>
      </c>
      <c r="AZ973" s="9" t="s">
        <v>2633</v>
      </c>
      <c r="BA973" s="9" t="s">
        <v>351</v>
      </c>
      <c r="BB973" s="9" t="s">
        <v>2541</v>
      </c>
      <c r="BC973" s="9" t="s">
        <v>7770</v>
      </c>
      <c r="BD973" s="9" t="s">
        <v>749</v>
      </c>
      <c r="BE973" s="9"/>
      <c r="BF973" s="9" t="s">
        <v>7451</v>
      </c>
      <c r="BG973" s="9" t="s">
        <v>7451</v>
      </c>
      <c r="BH973" s="9" t="s">
        <v>7451</v>
      </c>
      <c r="BI973" s="9" t="s">
        <v>7451</v>
      </c>
      <c r="BJ973" s="9" t="s">
        <v>7451</v>
      </c>
      <c r="BK973" s="9" t="s">
        <v>7450</v>
      </c>
      <c r="BL973" s="9"/>
      <c r="BM973" s="9" t="s">
        <v>351</v>
      </c>
      <c r="BN973" s="9" t="s">
        <v>180</v>
      </c>
      <c r="BO973" s="9" t="s">
        <v>179</v>
      </c>
      <c r="BP973" s="9" t="s">
        <v>5578</v>
      </c>
      <c r="BQ973" s="9"/>
      <c r="BR973" s="9"/>
      <c r="BS973" s="9"/>
      <c r="BT973" s="9"/>
      <c r="BU973" s="9"/>
      <c r="BV973" s="9" t="s">
        <v>7771</v>
      </c>
      <c r="BW973" s="9"/>
      <c r="BX973" s="9"/>
      <c r="BY973" s="9" t="s">
        <v>351</v>
      </c>
      <c r="BZ973" s="9" t="s">
        <v>182</v>
      </c>
      <c r="CA973" s="9" t="s">
        <v>183</v>
      </c>
      <c r="CB973" s="9" t="s">
        <v>821</v>
      </c>
      <c r="CC973" s="9"/>
      <c r="CD973" s="9"/>
      <c r="CE973" s="9"/>
      <c r="CF973" s="9"/>
      <c r="CG973" s="9"/>
      <c r="CH973" s="9"/>
      <c r="CI973" s="9"/>
      <c r="CJ973" s="9"/>
      <c r="CK973" s="9"/>
      <c r="CL973" s="9" t="s">
        <v>7772</v>
      </c>
      <c r="CM973" s="9" t="s">
        <v>823</v>
      </c>
      <c r="CN973" s="9" t="s">
        <v>7773</v>
      </c>
      <c r="CO973" s="9" t="s">
        <v>351</v>
      </c>
      <c r="CP973" s="9" t="s">
        <v>362</v>
      </c>
      <c r="CQ973" s="9" t="s">
        <v>716</v>
      </c>
      <c r="CR973" s="9" t="s">
        <v>7774</v>
      </c>
      <c r="CS973" s="9" t="s">
        <v>1513</v>
      </c>
      <c r="CT973" s="9" t="s">
        <v>1732</v>
      </c>
      <c r="CU973" s="9" t="s">
        <v>364</v>
      </c>
      <c r="CV973" s="9" t="s">
        <v>6068</v>
      </c>
      <c r="CW973" s="9">
        <v>3</v>
      </c>
      <c r="CX973" s="9" t="s">
        <v>99</v>
      </c>
      <c r="CY973" s="9" t="s">
        <v>99</v>
      </c>
      <c r="CZ973" s="9">
        <v>60</v>
      </c>
      <c r="DA973" s="9">
        <v>10</v>
      </c>
      <c r="DB973" s="9">
        <v>30</v>
      </c>
      <c r="DC973" s="9">
        <v>83</v>
      </c>
      <c r="DD973" s="9">
        <v>0.48</v>
      </c>
      <c r="DE973" s="9">
        <v>140</v>
      </c>
      <c r="DF973" s="9">
        <v>131</v>
      </c>
      <c r="DG973" s="9">
        <f t="shared" si="15"/>
        <v>4.6470189654988747</v>
      </c>
      <c r="DH973" s="53">
        <v>26.2</v>
      </c>
      <c r="DI973" s="9">
        <v>3.28</v>
      </c>
      <c r="DJ973" s="9"/>
      <c r="DK973" s="9"/>
      <c r="DL973" s="10">
        <v>33.200000000000003</v>
      </c>
      <c r="DM973" s="9">
        <v>80.599999999999994</v>
      </c>
      <c r="DN973" s="9"/>
      <c r="DO973" s="9"/>
      <c r="DP973" s="53">
        <v>3</v>
      </c>
      <c r="DR973">
        <v>3</v>
      </c>
    </row>
    <row r="974" spans="1:125" customFormat="1" x14ac:dyDescent="0.2">
      <c r="A974" s="127" t="s">
        <v>7775</v>
      </c>
      <c r="B974" s="127">
        <v>43805</v>
      </c>
      <c r="C974" s="127" t="s">
        <v>196</v>
      </c>
      <c r="D974" s="127">
        <v>19</v>
      </c>
      <c r="E974" s="127" t="s">
        <v>100</v>
      </c>
      <c r="F974" s="127">
        <v>43971</v>
      </c>
      <c r="G974" s="127" t="s">
        <v>1509</v>
      </c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 t="s">
        <v>7776</v>
      </c>
      <c r="S974" s="127" t="s">
        <v>99</v>
      </c>
      <c r="T974" s="127" t="s">
        <v>99</v>
      </c>
      <c r="U974" s="127" t="s">
        <v>99</v>
      </c>
      <c r="V974" s="127"/>
      <c r="W974" s="127"/>
      <c r="X974" s="127"/>
      <c r="Y974" s="127"/>
      <c r="Z974" s="127" t="s">
        <v>1222</v>
      </c>
      <c r="AA974" s="127" t="s">
        <v>100</v>
      </c>
      <c r="AB974" s="127" t="s">
        <v>100</v>
      </c>
      <c r="AC974" s="127" t="s">
        <v>100</v>
      </c>
      <c r="AD974" s="127" t="s">
        <v>100</v>
      </c>
      <c r="AE974" s="127" t="s">
        <v>7777</v>
      </c>
      <c r="AF974" s="127" t="s">
        <v>7705</v>
      </c>
      <c r="AG974" s="127" t="s">
        <v>6075</v>
      </c>
      <c r="AH974" s="129"/>
      <c r="AI974" s="127"/>
      <c r="AJ974" s="9"/>
      <c r="AK974" s="9"/>
      <c r="AL974" s="9">
        <v>77</v>
      </c>
      <c r="AM974" s="9">
        <v>162</v>
      </c>
      <c r="AN974" s="9">
        <v>91</v>
      </c>
      <c r="AO974" s="9">
        <v>109</v>
      </c>
      <c r="AP974" s="9">
        <v>46.9</v>
      </c>
      <c r="AQ974" s="9">
        <v>6</v>
      </c>
      <c r="AR974" s="9">
        <v>22.3</v>
      </c>
      <c r="AS974" s="9">
        <v>45</v>
      </c>
      <c r="AT974" s="9">
        <v>29.3</v>
      </c>
      <c r="AU974" s="9">
        <v>110</v>
      </c>
      <c r="AV974" s="9">
        <v>75</v>
      </c>
      <c r="AW974" s="9" t="s">
        <v>1513</v>
      </c>
      <c r="AX974" s="9" t="s">
        <v>3058</v>
      </c>
      <c r="AY974" s="9" t="s">
        <v>4983</v>
      </c>
      <c r="AZ974" s="9" t="s">
        <v>1128</v>
      </c>
      <c r="BA974" s="9" t="s">
        <v>350</v>
      </c>
      <c r="BB974" s="9" t="s">
        <v>7770</v>
      </c>
      <c r="BC974" s="9"/>
      <c r="BD974" s="9"/>
      <c r="BE974" s="9" t="s">
        <v>351</v>
      </c>
      <c r="BF974" s="9" t="s">
        <v>350</v>
      </c>
      <c r="BG974" s="9" t="s">
        <v>7778</v>
      </c>
      <c r="BH974" s="9" t="s">
        <v>350</v>
      </c>
      <c r="BI974" s="9" t="s">
        <v>176</v>
      </c>
      <c r="BJ974" s="9" t="s">
        <v>350</v>
      </c>
      <c r="BK974" s="9" t="s">
        <v>1740</v>
      </c>
      <c r="BL974" s="9" t="s">
        <v>351</v>
      </c>
      <c r="BM974" s="9"/>
      <c r="BN974" s="9" t="s">
        <v>180</v>
      </c>
      <c r="BO974" s="9" t="s">
        <v>125</v>
      </c>
      <c r="BP974" s="9" t="s">
        <v>179</v>
      </c>
      <c r="BQ974" s="9"/>
      <c r="BR974" s="9"/>
      <c r="BS974" s="9"/>
      <c r="BT974" s="9"/>
      <c r="BU974" s="9"/>
      <c r="BV974" s="9" t="s">
        <v>1573</v>
      </c>
      <c r="BW974" s="9"/>
      <c r="BX974" s="9"/>
      <c r="BY974" s="9" t="s">
        <v>351</v>
      </c>
      <c r="BZ974" s="9" t="s">
        <v>182</v>
      </c>
      <c r="CA974" s="9" t="s">
        <v>577</v>
      </c>
      <c r="CB974" s="9" t="s">
        <v>2096</v>
      </c>
      <c r="CC974" s="9"/>
      <c r="CD974" s="9"/>
      <c r="CE974" s="9"/>
      <c r="CF974" s="9"/>
      <c r="CG974" s="9"/>
      <c r="CH974" s="9"/>
      <c r="CI974" s="9"/>
      <c r="CJ974" s="9"/>
      <c r="CK974" s="9" t="s">
        <v>351</v>
      </c>
      <c r="CL974" s="9" t="s">
        <v>1181</v>
      </c>
      <c r="CM974" s="9" t="s">
        <v>1180</v>
      </c>
      <c r="CN974" s="9" t="s">
        <v>4015</v>
      </c>
      <c r="CO974" s="9" t="s">
        <v>350</v>
      </c>
      <c r="CP974" s="9" t="s">
        <v>716</v>
      </c>
      <c r="CQ974" s="9" t="s">
        <v>362</v>
      </c>
      <c r="CR974" s="9" t="s">
        <v>7774</v>
      </c>
      <c r="CS974" s="9" t="s">
        <v>350</v>
      </c>
      <c r="CT974" s="9" t="s">
        <v>7779</v>
      </c>
      <c r="CU974" s="9" t="s">
        <v>1732</v>
      </c>
      <c r="CV974" s="9" t="s">
        <v>2662</v>
      </c>
      <c r="CW974" s="9">
        <v>4</v>
      </c>
      <c r="CX974" s="9" t="s">
        <v>5490</v>
      </c>
      <c r="CY974" s="9" t="s">
        <v>5490</v>
      </c>
      <c r="CZ974" s="9">
        <v>80</v>
      </c>
      <c r="DA974" s="9">
        <v>5</v>
      </c>
      <c r="DB974" s="9">
        <v>15</v>
      </c>
      <c r="DC974" s="9">
        <v>72.7</v>
      </c>
      <c r="DD974" s="9">
        <v>0.65</v>
      </c>
      <c r="DE974" s="9">
        <v>189</v>
      </c>
      <c r="DF974" s="173">
        <v>302</v>
      </c>
      <c r="DG974" s="9">
        <f t="shared" si="15"/>
        <v>4.9983842009571715</v>
      </c>
      <c r="DH974" s="53">
        <v>60.4</v>
      </c>
      <c r="DI974" s="173">
        <v>6.2</v>
      </c>
      <c r="DJ974" s="9"/>
      <c r="DK974" s="9"/>
      <c r="DL974" s="9">
        <v>50.3</v>
      </c>
      <c r="DM974" s="9">
        <v>78.3</v>
      </c>
      <c r="DN974" s="9"/>
      <c r="DO974" s="9"/>
      <c r="DP974" s="27">
        <v>1</v>
      </c>
      <c r="DR974">
        <v>2</v>
      </c>
      <c r="DU974">
        <v>7.4</v>
      </c>
    </row>
    <row r="975" spans="1:125" customFormat="1" x14ac:dyDescent="0.2">
      <c r="A975" s="127" t="s">
        <v>7780</v>
      </c>
      <c r="B975" s="128">
        <v>43805</v>
      </c>
      <c r="C975" s="127" t="s">
        <v>675</v>
      </c>
      <c r="D975" s="127">
        <v>36</v>
      </c>
      <c r="E975" s="127" t="s">
        <v>100</v>
      </c>
      <c r="F975" s="128">
        <v>31235</v>
      </c>
      <c r="G975" s="127" t="s">
        <v>837</v>
      </c>
      <c r="H975" s="127" t="s">
        <v>7781</v>
      </c>
      <c r="I975" s="127"/>
      <c r="J975" s="127"/>
      <c r="K975" s="127"/>
      <c r="L975" s="127"/>
      <c r="M975" s="127" t="s">
        <v>99</v>
      </c>
      <c r="N975" s="127" t="s">
        <v>99</v>
      </c>
      <c r="O975" s="127" t="s">
        <v>99</v>
      </c>
      <c r="P975" s="127" t="s">
        <v>7753</v>
      </c>
      <c r="Q975" s="127" t="s">
        <v>6121</v>
      </c>
      <c r="R975" s="127" t="s">
        <v>5490</v>
      </c>
      <c r="S975" s="127" t="s">
        <v>5490</v>
      </c>
      <c r="T975" s="127" t="s">
        <v>99</v>
      </c>
      <c r="U975" s="127" t="s">
        <v>7444</v>
      </c>
      <c r="V975" s="127" t="s">
        <v>7682</v>
      </c>
      <c r="W975" s="127" t="s">
        <v>7682</v>
      </c>
      <c r="X975" s="127"/>
      <c r="Y975" s="127"/>
      <c r="Z975" s="127"/>
      <c r="AA975" s="127" t="s">
        <v>840</v>
      </c>
      <c r="AB975" s="127" t="s">
        <v>100</v>
      </c>
      <c r="AC975" s="127" t="s">
        <v>840</v>
      </c>
      <c r="AD975" s="127" t="s">
        <v>100</v>
      </c>
      <c r="AE975" s="127" t="s">
        <v>7574</v>
      </c>
      <c r="AF975" s="127" t="s">
        <v>99</v>
      </c>
      <c r="AG975" s="127" t="s">
        <v>7782</v>
      </c>
      <c r="AH975" s="129" t="s">
        <v>99</v>
      </c>
      <c r="AI975" s="127" t="s">
        <v>99</v>
      </c>
      <c r="AJ975" s="9" t="s">
        <v>99</v>
      </c>
      <c r="AK975" s="9" t="s">
        <v>99</v>
      </c>
      <c r="AL975" s="9">
        <v>74</v>
      </c>
      <c r="AM975" s="9">
        <v>163</v>
      </c>
      <c r="AN975" s="9">
        <v>91</v>
      </c>
      <c r="AO975" s="9">
        <v>99</v>
      </c>
      <c r="AP975" s="9">
        <v>29.8</v>
      </c>
      <c r="AQ975" s="9">
        <v>11</v>
      </c>
      <c r="AR975" s="9">
        <v>33.6</v>
      </c>
      <c r="AS975" s="9">
        <v>43</v>
      </c>
      <c r="AT975" s="9">
        <v>27.2</v>
      </c>
      <c r="AU975" s="10">
        <v>142</v>
      </c>
      <c r="AV975" s="10">
        <v>87</v>
      </c>
      <c r="AW975" s="9"/>
      <c r="AX975" s="9" t="s">
        <v>7492</v>
      </c>
      <c r="AY975" s="9"/>
      <c r="AZ975" s="9"/>
      <c r="BA975" s="9"/>
      <c r="BB975" s="9" t="s">
        <v>7545</v>
      </c>
      <c r="BC975" s="9"/>
      <c r="BD975" s="9"/>
      <c r="BE975" s="9"/>
      <c r="BF975" s="9" t="s">
        <v>7492</v>
      </c>
      <c r="BG975" s="9" t="s">
        <v>7508</v>
      </c>
      <c r="BH975" s="9" t="s">
        <v>7495</v>
      </c>
      <c r="BI975" s="9" t="s">
        <v>7495</v>
      </c>
      <c r="BJ975" s="9" t="s">
        <v>7508</v>
      </c>
      <c r="BK975" s="9" t="s">
        <v>7545</v>
      </c>
      <c r="BL975" s="9"/>
      <c r="BM975" s="9"/>
      <c r="BN975" s="9" t="s">
        <v>7492</v>
      </c>
      <c r="BO975" s="9"/>
      <c r="BP975" s="9"/>
      <c r="BQ975" s="9"/>
      <c r="BR975" s="9" t="s">
        <v>7682</v>
      </c>
      <c r="BS975" s="9"/>
      <c r="BT975" s="9"/>
      <c r="BU975" s="9"/>
      <c r="BV975" s="9" t="s">
        <v>7682</v>
      </c>
      <c r="BW975" s="9"/>
      <c r="BX975" s="9"/>
      <c r="BY975" s="9"/>
      <c r="BZ975" s="9" t="s">
        <v>7492</v>
      </c>
      <c r="CA975" s="9"/>
      <c r="CB975" s="9"/>
      <c r="CC975" s="9"/>
      <c r="CD975" s="9" t="s">
        <v>7682</v>
      </c>
      <c r="CE975" s="9"/>
      <c r="CF975" s="9"/>
      <c r="CG975" s="9"/>
      <c r="CH975" s="9" t="s">
        <v>7682</v>
      </c>
      <c r="CI975" s="9"/>
      <c r="CJ975" s="9"/>
      <c r="CK975" s="9"/>
      <c r="CL975" s="9" t="s">
        <v>7783</v>
      </c>
      <c r="CM975" s="9"/>
      <c r="CN975" s="9"/>
      <c r="CO975" s="9" t="s">
        <v>7750</v>
      </c>
      <c r="CP975" s="9"/>
      <c r="CQ975" s="9"/>
      <c r="CR975" s="9"/>
      <c r="CS975" s="9"/>
      <c r="CT975" s="9" t="s">
        <v>7508</v>
      </c>
      <c r="CU975" s="9"/>
      <c r="CV975" s="9"/>
      <c r="CW975" s="9">
        <v>5</v>
      </c>
      <c r="CX975" s="9" t="s">
        <v>5490</v>
      </c>
      <c r="CY975" s="9" t="s">
        <v>5490</v>
      </c>
      <c r="CZ975" s="9">
        <v>50</v>
      </c>
      <c r="DA975" s="9">
        <v>30</v>
      </c>
      <c r="DB975" s="9">
        <v>20</v>
      </c>
      <c r="DC975" s="9">
        <v>82.7</v>
      </c>
      <c r="DD975" s="9">
        <v>1.1200000000000001</v>
      </c>
      <c r="DE975" s="9">
        <v>175</v>
      </c>
      <c r="DF975" s="9">
        <v>74</v>
      </c>
      <c r="DG975" s="9">
        <f t="shared" si="15"/>
        <v>4.3596423476169077</v>
      </c>
      <c r="DH975" s="9">
        <v>14.8</v>
      </c>
      <c r="DI975" s="9">
        <v>4.42</v>
      </c>
      <c r="DJ975" s="9"/>
      <c r="DK975" s="9"/>
      <c r="DL975" s="9">
        <v>56</v>
      </c>
      <c r="DM975" s="9">
        <v>104.2</v>
      </c>
      <c r="DN975" s="9"/>
      <c r="DO975" s="9"/>
      <c r="DR975">
        <v>2</v>
      </c>
    </row>
    <row r="976" spans="1:125" customFormat="1" x14ac:dyDescent="0.2">
      <c r="A976" s="143" t="s">
        <v>7784</v>
      </c>
      <c r="B976" s="128">
        <v>43805</v>
      </c>
      <c r="C976" s="127" t="s">
        <v>196</v>
      </c>
      <c r="D976" s="127">
        <v>50</v>
      </c>
      <c r="E976" s="127" t="s">
        <v>100</v>
      </c>
      <c r="F976" s="128">
        <v>25541</v>
      </c>
      <c r="G976" s="127" t="s">
        <v>2495</v>
      </c>
      <c r="H976" s="127" t="s">
        <v>1462</v>
      </c>
      <c r="I976" s="127" t="s">
        <v>4856</v>
      </c>
      <c r="J976" s="127"/>
      <c r="K976" s="127">
        <v>1998</v>
      </c>
      <c r="L976" s="127">
        <v>3</v>
      </c>
      <c r="M976" s="127" t="s">
        <v>99</v>
      </c>
      <c r="N976" s="127" t="s">
        <v>99</v>
      </c>
      <c r="O976" s="127" t="s">
        <v>99</v>
      </c>
      <c r="P976" s="127" t="s">
        <v>99</v>
      </c>
      <c r="Q976" s="127" t="s">
        <v>7733</v>
      </c>
      <c r="R976" s="127" t="s">
        <v>99</v>
      </c>
      <c r="S976" s="127" t="s">
        <v>99</v>
      </c>
      <c r="T976" s="127" t="s">
        <v>5490</v>
      </c>
      <c r="U976" s="127" t="s">
        <v>7785</v>
      </c>
      <c r="V976" s="127" t="s">
        <v>99</v>
      </c>
      <c r="W976" s="127" t="s">
        <v>7682</v>
      </c>
      <c r="X976" s="127"/>
      <c r="Y976" s="127"/>
      <c r="Z976" s="127"/>
      <c r="AA976" s="127" t="s">
        <v>100</v>
      </c>
      <c r="AB976" s="127" t="s">
        <v>100</v>
      </c>
      <c r="AC976" s="127" t="s">
        <v>100</v>
      </c>
      <c r="AD976" s="127" t="s">
        <v>100</v>
      </c>
      <c r="AE976" s="127" t="s">
        <v>7520</v>
      </c>
      <c r="AF976" s="127" t="s">
        <v>99</v>
      </c>
      <c r="AG976" s="127" t="s">
        <v>7769</v>
      </c>
      <c r="AH976" s="129" t="s">
        <v>99</v>
      </c>
      <c r="AI976" s="127" t="s">
        <v>99</v>
      </c>
      <c r="AJ976" s="9" t="s">
        <v>99</v>
      </c>
      <c r="AK976" s="9" t="s">
        <v>99</v>
      </c>
      <c r="AL976" s="9">
        <v>57.4</v>
      </c>
      <c r="AM976" s="9">
        <v>161</v>
      </c>
      <c r="AN976" s="7">
        <v>72</v>
      </c>
      <c r="AO976" s="9">
        <v>94.5</v>
      </c>
      <c r="AP976" s="9">
        <v>31.8</v>
      </c>
      <c r="AQ976" s="9">
        <v>5</v>
      </c>
      <c r="AR976" s="9">
        <v>28</v>
      </c>
      <c r="AS976" s="9">
        <v>41</v>
      </c>
      <c r="AT976" s="7">
        <v>22.1</v>
      </c>
      <c r="AU976" s="9">
        <v>105</v>
      </c>
      <c r="AV976" s="9">
        <v>62</v>
      </c>
      <c r="AW976" s="9"/>
      <c r="AX976" s="9" t="s">
        <v>7508</v>
      </c>
      <c r="AY976" s="9"/>
      <c r="AZ976" s="9"/>
      <c r="BA976" s="9"/>
      <c r="BB976" s="9" t="s">
        <v>7495</v>
      </c>
      <c r="BC976" s="9"/>
      <c r="BD976" s="9"/>
      <c r="BE976" s="9"/>
      <c r="BF976" s="9" t="s">
        <v>7545</v>
      </c>
      <c r="BG976" s="9" t="s">
        <v>7495</v>
      </c>
      <c r="BH976" s="9" t="s">
        <v>7495</v>
      </c>
      <c r="BI976" s="9" t="s">
        <v>7545</v>
      </c>
      <c r="BJ976" s="9" t="s">
        <v>7545</v>
      </c>
      <c r="BK976" s="9" t="s">
        <v>7545</v>
      </c>
      <c r="BL976" s="9"/>
      <c r="BM976" s="9"/>
      <c r="BN976" s="9" t="s">
        <v>7495</v>
      </c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 t="s">
        <v>7786</v>
      </c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 t="s">
        <v>7697</v>
      </c>
      <c r="CM976" s="9"/>
      <c r="CN976" s="9"/>
      <c r="CO976" s="9"/>
      <c r="CP976" s="9" t="s">
        <v>7698</v>
      </c>
      <c r="CQ976" s="9"/>
      <c r="CR976" s="9"/>
      <c r="CS976" s="9"/>
      <c r="CT976" s="9" t="s">
        <v>7723</v>
      </c>
      <c r="CU976" s="9"/>
      <c r="CV976" s="9"/>
      <c r="CW976" s="9">
        <v>4</v>
      </c>
      <c r="CX976" s="9" t="s">
        <v>5490</v>
      </c>
      <c r="CY976" s="9" t="s">
        <v>5490</v>
      </c>
      <c r="CZ976" s="9">
        <v>40</v>
      </c>
      <c r="DA976" s="9">
        <v>20</v>
      </c>
      <c r="DB976" s="9">
        <v>40</v>
      </c>
      <c r="DC976" s="9">
        <v>77.400000000000006</v>
      </c>
      <c r="DD976" s="9">
        <v>0.69</v>
      </c>
      <c r="DE976" s="9">
        <v>165</v>
      </c>
      <c r="DF976" s="9">
        <v>71</v>
      </c>
      <c r="DG976" s="9">
        <f t="shared" si="15"/>
        <v>4.3058333288184985</v>
      </c>
      <c r="DH976" s="9">
        <v>14.2</v>
      </c>
      <c r="DI976" s="9">
        <v>3.22</v>
      </c>
      <c r="DJ976" s="9"/>
      <c r="DK976" s="9"/>
      <c r="DL976" s="9">
        <v>57.1</v>
      </c>
      <c r="DM976" s="9">
        <v>93.7</v>
      </c>
      <c r="DN976" s="9"/>
      <c r="DO976" s="9"/>
      <c r="DP976" s="27">
        <v>1</v>
      </c>
      <c r="DR976">
        <v>3</v>
      </c>
      <c r="DU976">
        <v>5.2</v>
      </c>
    </row>
    <row r="977" spans="1:125" customFormat="1" x14ac:dyDescent="0.2">
      <c r="A977" s="127" t="s">
        <v>7787</v>
      </c>
      <c r="B977" s="128">
        <v>43805</v>
      </c>
      <c r="C977" s="127" t="s">
        <v>196</v>
      </c>
      <c r="D977" s="127">
        <v>39</v>
      </c>
      <c r="E977" s="127"/>
      <c r="F977" s="128">
        <v>22044</v>
      </c>
      <c r="G977" s="127" t="s">
        <v>813</v>
      </c>
      <c r="H977" s="127" t="s">
        <v>7788</v>
      </c>
      <c r="I977" s="127"/>
      <c r="J977" s="127"/>
      <c r="K977" s="127"/>
      <c r="L977" s="127">
        <v>6</v>
      </c>
      <c r="M977" s="127" t="s">
        <v>99</v>
      </c>
      <c r="N977" s="127" t="s">
        <v>7789</v>
      </c>
      <c r="O977" s="127" t="s">
        <v>99</v>
      </c>
      <c r="P977" s="127" t="s">
        <v>99</v>
      </c>
      <c r="Q977" s="127" t="s">
        <v>7733</v>
      </c>
      <c r="R977" s="127" t="s">
        <v>5490</v>
      </c>
      <c r="S977" s="127"/>
      <c r="T977" s="127"/>
      <c r="U977" s="127"/>
      <c r="V977" s="127"/>
      <c r="W977" s="127"/>
      <c r="X977" s="127"/>
      <c r="Y977" s="127"/>
      <c r="Z977" s="127"/>
      <c r="AA977" s="127" t="s">
        <v>2505</v>
      </c>
      <c r="AB977" s="127" t="s">
        <v>2505</v>
      </c>
      <c r="AC977" s="127" t="s">
        <v>2505</v>
      </c>
      <c r="AD977" s="127" t="s">
        <v>2505</v>
      </c>
      <c r="AE977" s="127" t="s">
        <v>5482</v>
      </c>
      <c r="AF977" s="127" t="s">
        <v>5482</v>
      </c>
      <c r="AG977" s="127" t="s">
        <v>7544</v>
      </c>
      <c r="AH977" s="129" t="s">
        <v>99</v>
      </c>
      <c r="AI977" s="127" t="s">
        <v>99</v>
      </c>
      <c r="AJ977" s="9" t="s">
        <v>99</v>
      </c>
      <c r="AK977" s="9" t="s">
        <v>99</v>
      </c>
      <c r="AL977" s="9">
        <v>98.3</v>
      </c>
      <c r="AM977" s="9"/>
      <c r="AN977" s="9">
        <v>116</v>
      </c>
      <c r="AO977" s="9">
        <v>128</v>
      </c>
      <c r="AP977" s="9">
        <v>58</v>
      </c>
      <c r="AQ977" s="9">
        <v>17</v>
      </c>
      <c r="AR977" s="9">
        <v>18.3</v>
      </c>
      <c r="AS977" s="9">
        <v>88</v>
      </c>
      <c r="AT977" s="14">
        <v>43.8</v>
      </c>
      <c r="AU977" s="10">
        <v>176</v>
      </c>
      <c r="AV977" s="10">
        <v>88</v>
      </c>
      <c r="AW977" s="9"/>
      <c r="AX977" s="9" t="s">
        <v>7450</v>
      </c>
      <c r="AY977" s="9"/>
      <c r="AZ977" s="9"/>
      <c r="BA977" s="9"/>
      <c r="BB977" s="9" t="s">
        <v>7790</v>
      </c>
      <c r="BC977" s="9"/>
      <c r="BD977" s="9"/>
      <c r="BE977" s="9"/>
      <c r="BF977" s="9" t="s">
        <v>681</v>
      </c>
      <c r="BG977" s="9" t="s">
        <v>7791</v>
      </c>
      <c r="BH977" s="9" t="s">
        <v>4825</v>
      </c>
      <c r="BI977" s="9" t="s">
        <v>4825</v>
      </c>
      <c r="BJ977" s="9" t="s">
        <v>7792</v>
      </c>
      <c r="BK977" s="9" t="s">
        <v>7791</v>
      </c>
      <c r="BL977" s="9"/>
      <c r="BM977" s="9"/>
      <c r="BN977" s="9" t="s">
        <v>681</v>
      </c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 t="s">
        <v>681</v>
      </c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 t="s">
        <v>579</v>
      </c>
      <c r="CM977" s="9"/>
      <c r="CN977" s="9"/>
      <c r="CO977" s="9"/>
      <c r="CP977" s="9" t="s">
        <v>681</v>
      </c>
      <c r="CQ977" s="9"/>
      <c r="CR977" s="9"/>
      <c r="CS977" s="9"/>
      <c r="CT977" s="9" t="s">
        <v>4984</v>
      </c>
      <c r="CU977" s="9"/>
      <c r="CV977" s="9"/>
      <c r="CW977" s="9">
        <v>3</v>
      </c>
      <c r="CX977" s="9" t="s">
        <v>99</v>
      </c>
      <c r="CY977" s="9" t="s">
        <v>99</v>
      </c>
      <c r="CZ977" s="9">
        <v>20</v>
      </c>
      <c r="DA977" s="9">
        <v>20</v>
      </c>
      <c r="DB977" s="9">
        <v>60</v>
      </c>
      <c r="DC977" s="9">
        <v>93.6</v>
      </c>
      <c r="DD977" s="9">
        <v>0.62</v>
      </c>
      <c r="DE977" s="9">
        <v>189</v>
      </c>
      <c r="DF977" s="9">
        <v>89</v>
      </c>
      <c r="DG977" s="9">
        <f t="shared" si="15"/>
        <v>4.5138333766078427</v>
      </c>
      <c r="DH977" s="9">
        <v>17.8</v>
      </c>
      <c r="DI977" s="9">
        <v>4.82</v>
      </c>
      <c r="DJ977" s="9"/>
      <c r="DK977" s="9"/>
      <c r="DL977" s="9">
        <v>54.3</v>
      </c>
      <c r="DM977" s="9">
        <v>116.9</v>
      </c>
      <c r="DN977" s="9"/>
      <c r="DO977" s="9"/>
      <c r="DP977" s="27">
        <v>3</v>
      </c>
      <c r="DR977">
        <v>2</v>
      </c>
      <c r="DU977">
        <v>6.4</v>
      </c>
    </row>
    <row r="978" spans="1:125" customFormat="1" x14ac:dyDescent="0.2">
      <c r="A978" s="127" t="s">
        <v>7793</v>
      </c>
      <c r="B978" s="128">
        <v>43805</v>
      </c>
      <c r="C978" s="127" t="s">
        <v>196</v>
      </c>
      <c r="D978" s="127">
        <v>21</v>
      </c>
      <c r="E978" s="127" t="s">
        <v>100</v>
      </c>
      <c r="F978" s="128">
        <v>36012</v>
      </c>
      <c r="G978" s="127" t="s">
        <v>1509</v>
      </c>
      <c r="H978" s="127" t="s">
        <v>1462</v>
      </c>
      <c r="I978" s="127" t="s">
        <v>198</v>
      </c>
      <c r="J978" s="127"/>
      <c r="K978" s="127"/>
      <c r="L978" s="127"/>
      <c r="M978" s="127" t="s">
        <v>99</v>
      </c>
      <c r="N978" s="127" t="s">
        <v>99</v>
      </c>
      <c r="O978" s="127" t="s">
        <v>99</v>
      </c>
      <c r="P978" s="127" t="s">
        <v>99</v>
      </c>
      <c r="Q978" s="127" t="s">
        <v>7794</v>
      </c>
      <c r="R978" s="127" t="s">
        <v>99</v>
      </c>
      <c r="S978" s="127" t="s">
        <v>99</v>
      </c>
      <c r="T978" s="127" t="s">
        <v>99</v>
      </c>
      <c r="U978" s="127" t="s">
        <v>7795</v>
      </c>
      <c r="V978" s="127" t="s">
        <v>99</v>
      </c>
      <c r="W978" s="127" t="s">
        <v>99</v>
      </c>
      <c r="X978" s="127" t="s">
        <v>99</v>
      </c>
      <c r="Y978" s="127" t="s">
        <v>99</v>
      </c>
      <c r="Z978" s="127" t="s">
        <v>99</v>
      </c>
      <c r="AA978" s="127" t="s">
        <v>100</v>
      </c>
      <c r="AB978" s="127" t="s">
        <v>797</v>
      </c>
      <c r="AC978" s="127" t="s">
        <v>100</v>
      </c>
      <c r="AD978" s="127" t="s">
        <v>797</v>
      </c>
      <c r="AE978" s="127" t="s">
        <v>6074</v>
      </c>
      <c r="AF978" s="127" t="s">
        <v>6074</v>
      </c>
      <c r="AG978" s="127" t="s">
        <v>7796</v>
      </c>
      <c r="AH978" s="129" t="s">
        <v>99</v>
      </c>
      <c r="AI978" s="127" t="s">
        <v>6074</v>
      </c>
      <c r="AJ978" s="9" t="s">
        <v>99</v>
      </c>
      <c r="AK978" s="9" t="s">
        <v>99</v>
      </c>
      <c r="AL978" s="9">
        <v>55.6</v>
      </c>
      <c r="AM978" s="9">
        <v>164</v>
      </c>
      <c r="AN978" s="7">
        <v>74</v>
      </c>
      <c r="AO978" s="9">
        <v>93</v>
      </c>
      <c r="AP978" s="9">
        <v>31.2</v>
      </c>
      <c r="AQ978" s="9">
        <v>3</v>
      </c>
      <c r="AR978" s="9">
        <v>27.1</v>
      </c>
      <c r="AS978" s="9"/>
      <c r="AT978" s="45"/>
      <c r="AU978" s="9">
        <v>106</v>
      </c>
      <c r="AV978" s="9">
        <v>76</v>
      </c>
      <c r="AW978" s="9" t="s">
        <v>351</v>
      </c>
      <c r="AX978" s="9" t="s">
        <v>592</v>
      </c>
      <c r="AY978" s="9" t="s">
        <v>573</v>
      </c>
      <c r="AZ978" s="9" t="s">
        <v>6129</v>
      </c>
      <c r="BA978" s="9"/>
      <c r="BB978" s="9" t="s">
        <v>346</v>
      </c>
      <c r="BC978" s="9"/>
      <c r="BD978" s="9"/>
      <c r="BE978" s="9"/>
      <c r="BF978" s="9" t="s">
        <v>6130</v>
      </c>
      <c r="BG978" s="9" t="s">
        <v>1979</v>
      </c>
      <c r="BH978" s="9" t="s">
        <v>350</v>
      </c>
      <c r="BI978" s="9" t="s">
        <v>176</v>
      </c>
      <c r="BJ978" s="9" t="s">
        <v>176</v>
      </c>
      <c r="BK978" s="9" t="s">
        <v>350</v>
      </c>
      <c r="BL978" s="9"/>
      <c r="BM978" s="9"/>
      <c r="BN978" s="9" t="s">
        <v>219</v>
      </c>
      <c r="BO978" s="9" t="s">
        <v>179</v>
      </c>
      <c r="BP978" s="9" t="s">
        <v>125</v>
      </c>
      <c r="BQ978" s="9"/>
      <c r="BR978" s="9"/>
      <c r="BS978" s="9"/>
      <c r="BT978" s="9"/>
      <c r="BU978" s="9"/>
      <c r="BV978" s="9"/>
      <c r="BW978" s="9"/>
      <c r="BX978" s="9"/>
      <c r="BY978" s="9" t="s">
        <v>350</v>
      </c>
      <c r="BZ978" s="9" t="s">
        <v>821</v>
      </c>
      <c r="CA978" s="9" t="s">
        <v>183</v>
      </c>
      <c r="CB978" s="9" t="s">
        <v>752</v>
      </c>
      <c r="CC978" s="9"/>
      <c r="CD978" s="9" t="s">
        <v>821</v>
      </c>
      <c r="CE978" s="9" t="s">
        <v>752</v>
      </c>
      <c r="CF978" s="9"/>
      <c r="CG978" s="9"/>
      <c r="CH978" s="9"/>
      <c r="CI978" s="9"/>
      <c r="CJ978" s="9"/>
      <c r="CK978" s="9" t="s">
        <v>351</v>
      </c>
      <c r="CL978" s="9" t="s">
        <v>1181</v>
      </c>
      <c r="CM978" s="9" t="s">
        <v>2447</v>
      </c>
      <c r="CN978" s="9" t="s">
        <v>4827</v>
      </c>
      <c r="CO978" s="9"/>
      <c r="CP978" s="9" t="s">
        <v>362</v>
      </c>
      <c r="CQ978" s="9"/>
      <c r="CR978" s="9"/>
      <c r="CS978" s="9" t="s">
        <v>351</v>
      </c>
      <c r="CT978" s="9" t="s">
        <v>363</v>
      </c>
      <c r="CU978" s="9" t="s">
        <v>2662</v>
      </c>
      <c r="CV978" s="9" t="s">
        <v>7797</v>
      </c>
      <c r="CW978" s="9">
        <v>3</v>
      </c>
      <c r="CX978" s="9" t="s">
        <v>5490</v>
      </c>
      <c r="CY978" s="9" t="s">
        <v>99</v>
      </c>
      <c r="CZ978" s="9"/>
      <c r="DA978" s="9"/>
      <c r="DB978" s="9"/>
      <c r="DC978" s="9">
        <v>73.7</v>
      </c>
      <c r="DD978" s="9">
        <v>0.71</v>
      </c>
      <c r="DE978" s="9">
        <v>166</v>
      </c>
      <c r="DF978" s="10">
        <v>163</v>
      </c>
      <c r="DG978" s="9">
        <f t="shared" si="15"/>
        <v>4.6968765000010269</v>
      </c>
      <c r="DH978" s="9">
        <v>32.6</v>
      </c>
      <c r="DI978" s="9">
        <v>4.76</v>
      </c>
      <c r="DL978" s="9">
        <v>55.1</v>
      </c>
      <c r="DM978" s="9">
        <v>78.3</v>
      </c>
      <c r="DN978" s="9"/>
      <c r="DO978" s="9"/>
      <c r="DP978" s="53">
        <v>3</v>
      </c>
      <c r="DR978">
        <v>3</v>
      </c>
      <c r="DU978">
        <v>6.4</v>
      </c>
    </row>
    <row r="979" spans="1:125" customFormat="1" x14ac:dyDescent="0.2">
      <c r="A979" s="127" t="s">
        <v>7798</v>
      </c>
      <c r="B979" s="128">
        <v>43805</v>
      </c>
      <c r="C979" s="127" t="s">
        <v>675</v>
      </c>
      <c r="D979" s="127">
        <v>29</v>
      </c>
      <c r="E979" s="127" t="s">
        <v>100</v>
      </c>
      <c r="F979" s="175">
        <v>32986</v>
      </c>
      <c r="G979" s="127" t="s">
        <v>7799</v>
      </c>
      <c r="H979" s="127"/>
      <c r="I979" s="127"/>
      <c r="J979" s="127"/>
      <c r="K979" s="127"/>
      <c r="L979" s="127"/>
      <c r="M979" s="127" t="s">
        <v>99</v>
      </c>
      <c r="N979" s="127" t="s">
        <v>99</v>
      </c>
      <c r="O979" s="127" t="s">
        <v>99</v>
      </c>
      <c r="P979" s="127" t="s">
        <v>7800</v>
      </c>
      <c r="Q979" s="127" t="s">
        <v>7801</v>
      </c>
      <c r="R979" s="127" t="s">
        <v>5099</v>
      </c>
      <c r="S979" s="127" t="s">
        <v>99</v>
      </c>
      <c r="T979" s="127" t="s">
        <v>5490</v>
      </c>
      <c r="U979" s="127" t="s">
        <v>1572</v>
      </c>
      <c r="V979" s="127"/>
      <c r="W979" s="127"/>
      <c r="X979" s="127"/>
      <c r="Y979" s="127"/>
      <c r="Z979" s="127"/>
      <c r="AA979" s="127" t="s">
        <v>100</v>
      </c>
      <c r="AB979" s="127" t="s">
        <v>100</v>
      </c>
      <c r="AC979" s="127" t="s">
        <v>100</v>
      </c>
      <c r="AD979" s="127" t="s">
        <v>100</v>
      </c>
      <c r="AE979" s="127" t="s">
        <v>6074</v>
      </c>
      <c r="AF979" s="127" t="s">
        <v>7520</v>
      </c>
      <c r="AG979" s="127" t="s">
        <v>99</v>
      </c>
      <c r="AH979" s="129" t="s">
        <v>99</v>
      </c>
      <c r="AI979" s="127" t="s">
        <v>7705</v>
      </c>
      <c r="AJ979" s="9" t="s">
        <v>5490</v>
      </c>
      <c r="AK979" s="9" t="s">
        <v>99</v>
      </c>
      <c r="AL979" s="9">
        <v>78.099999999999994</v>
      </c>
      <c r="AM979" s="9">
        <v>176</v>
      </c>
      <c r="AN979" s="9">
        <v>90</v>
      </c>
      <c r="AO979" s="9">
        <v>105</v>
      </c>
      <c r="AP979" s="9">
        <v>27.5</v>
      </c>
      <c r="AQ979" s="9">
        <v>8</v>
      </c>
      <c r="AR979" s="9">
        <v>34.700000000000003</v>
      </c>
      <c r="AS979" s="9">
        <v>44</v>
      </c>
      <c r="AT979" s="9">
        <v>25.2</v>
      </c>
      <c r="AU979" s="9">
        <v>112</v>
      </c>
      <c r="AV979" s="9">
        <v>64</v>
      </c>
      <c r="AW979" s="9" t="s">
        <v>350</v>
      </c>
      <c r="AX979" s="9" t="s">
        <v>729</v>
      </c>
      <c r="AY979" s="9" t="s">
        <v>125</v>
      </c>
      <c r="AZ979" s="9" t="s">
        <v>2746</v>
      </c>
      <c r="BA979" s="9"/>
      <c r="BB979" s="9" t="s">
        <v>350</v>
      </c>
      <c r="BC979" s="9"/>
      <c r="BD979" s="9"/>
      <c r="BE979" s="9"/>
      <c r="BF979" s="9" t="s">
        <v>7802</v>
      </c>
      <c r="BG979" s="9" t="s">
        <v>216</v>
      </c>
      <c r="BH979" s="9" t="s">
        <v>216</v>
      </c>
      <c r="BI979" s="9" t="s">
        <v>681</v>
      </c>
      <c r="BJ979" s="9" t="s">
        <v>4984</v>
      </c>
      <c r="BK979" s="9" t="s">
        <v>1134</v>
      </c>
      <c r="BL979" s="9"/>
      <c r="BM979" s="9"/>
      <c r="BN979" s="9" t="s">
        <v>1643</v>
      </c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 t="s">
        <v>176</v>
      </c>
      <c r="BZ979" s="9" t="s">
        <v>183</v>
      </c>
      <c r="CA979" s="9" t="s">
        <v>708</v>
      </c>
      <c r="CB979" s="9" t="s">
        <v>859</v>
      </c>
      <c r="CC979" s="9"/>
      <c r="CD979" s="9"/>
      <c r="CE979" s="9"/>
      <c r="CF979" s="9"/>
      <c r="CG979" s="9"/>
      <c r="CH979" s="9"/>
      <c r="CI979" s="9"/>
      <c r="CJ979" s="9"/>
      <c r="CK979" s="9" t="s">
        <v>351</v>
      </c>
      <c r="CL979" s="9" t="s">
        <v>579</v>
      </c>
      <c r="CM979" s="9" t="s">
        <v>980</v>
      </c>
      <c r="CN979" s="9"/>
      <c r="CO979" s="9" t="s">
        <v>176</v>
      </c>
      <c r="CP979" s="9" t="s">
        <v>757</v>
      </c>
      <c r="CQ979" s="9" t="s">
        <v>7803</v>
      </c>
      <c r="CR979" s="9"/>
      <c r="CS979" s="9" t="s">
        <v>351</v>
      </c>
      <c r="CT979" s="9" t="s">
        <v>5199</v>
      </c>
      <c r="CU979" s="9" t="s">
        <v>364</v>
      </c>
      <c r="CV979" s="9" t="s">
        <v>363</v>
      </c>
      <c r="CW979" s="9">
        <v>3</v>
      </c>
      <c r="CX979" s="9" t="s">
        <v>99</v>
      </c>
      <c r="CY979" s="9" t="s">
        <v>5490</v>
      </c>
      <c r="CZ979" s="9">
        <v>40</v>
      </c>
      <c r="DA979" s="9">
        <v>10</v>
      </c>
      <c r="DB979" s="9">
        <v>60</v>
      </c>
      <c r="DC979" s="9">
        <v>75</v>
      </c>
      <c r="DD979" s="9">
        <v>0.98</v>
      </c>
      <c r="DE979" s="9">
        <v>119</v>
      </c>
      <c r="DF979" s="9">
        <v>51</v>
      </c>
      <c r="DG979" s="9">
        <f t="shared" si="15"/>
        <v>4.1246568731303181</v>
      </c>
      <c r="DH979" s="9">
        <v>10.199999999999999</v>
      </c>
      <c r="DI979" s="9">
        <v>8.85</v>
      </c>
      <c r="DL979" s="9">
        <v>52.8</v>
      </c>
      <c r="DM979" s="9">
        <v>56</v>
      </c>
      <c r="DN979" s="9"/>
      <c r="DO979" s="9"/>
      <c r="DP979" s="53">
        <v>1</v>
      </c>
      <c r="DR979">
        <v>2</v>
      </c>
      <c r="DU979">
        <v>3.8</v>
      </c>
    </row>
    <row r="980" spans="1:125" customFormat="1" x14ac:dyDescent="0.2">
      <c r="A980" s="127" t="s">
        <v>7804</v>
      </c>
      <c r="B980" s="128">
        <v>43805</v>
      </c>
      <c r="C980" s="127" t="s">
        <v>196</v>
      </c>
      <c r="D980" s="127">
        <v>45</v>
      </c>
      <c r="E980" s="127" t="s">
        <v>100</v>
      </c>
      <c r="F980" s="128">
        <v>27345</v>
      </c>
      <c r="G980" s="127" t="s">
        <v>813</v>
      </c>
      <c r="H980" s="127" t="s">
        <v>1462</v>
      </c>
      <c r="I980" s="127" t="s">
        <v>198</v>
      </c>
      <c r="J980" s="127"/>
      <c r="K980" s="127"/>
      <c r="L980" s="127"/>
      <c r="M980" s="127" t="s">
        <v>99</v>
      </c>
      <c r="N980" s="127" t="s">
        <v>99</v>
      </c>
      <c r="O980" s="127" t="s">
        <v>99</v>
      </c>
      <c r="P980" s="127" t="s">
        <v>7805</v>
      </c>
      <c r="Q980" s="127" t="s">
        <v>99</v>
      </c>
      <c r="R980" s="127" t="s">
        <v>5490</v>
      </c>
      <c r="S980" s="127" t="s">
        <v>99</v>
      </c>
      <c r="T980" s="127" t="s">
        <v>5490</v>
      </c>
      <c r="U980" s="127" t="s">
        <v>7754</v>
      </c>
      <c r="V980" s="127" t="s">
        <v>99</v>
      </c>
      <c r="W980" s="127" t="s">
        <v>7682</v>
      </c>
      <c r="X980" s="127"/>
      <c r="Y980" s="127"/>
      <c r="Z980" s="127"/>
      <c r="AA980" s="127" t="s">
        <v>100</v>
      </c>
      <c r="AB980" s="127" t="s">
        <v>100</v>
      </c>
      <c r="AC980" s="127" t="s">
        <v>100</v>
      </c>
      <c r="AD980" s="127" t="s">
        <v>100</v>
      </c>
      <c r="AE980" s="127" t="s">
        <v>7520</v>
      </c>
      <c r="AF980" s="127" t="s">
        <v>7520</v>
      </c>
      <c r="AG980" s="127" t="s">
        <v>7769</v>
      </c>
      <c r="AH980" s="129" t="s">
        <v>99</v>
      </c>
      <c r="AI980" s="127" t="s">
        <v>99</v>
      </c>
      <c r="AJ980" s="9" t="s">
        <v>99</v>
      </c>
      <c r="AK980" s="9" t="s">
        <v>99</v>
      </c>
      <c r="AL980" s="9">
        <v>72.7</v>
      </c>
      <c r="AM980" s="9">
        <v>147</v>
      </c>
      <c r="AN980" s="9">
        <v>100</v>
      </c>
      <c r="AO980" s="9">
        <v>110</v>
      </c>
      <c r="AP980" s="9">
        <v>53.8</v>
      </c>
      <c r="AQ980" s="9">
        <v>11</v>
      </c>
      <c r="AR980" s="9">
        <v>17.899999999999999</v>
      </c>
      <c r="AS980" s="9">
        <v>68</v>
      </c>
      <c r="AT980" s="9">
        <v>33.6</v>
      </c>
      <c r="AU980" s="9">
        <v>100</v>
      </c>
      <c r="AV980" s="9">
        <v>73</v>
      </c>
      <c r="AW980" s="9"/>
      <c r="AX980" s="9" t="s">
        <v>7451</v>
      </c>
      <c r="AY980" s="9"/>
      <c r="AZ980" s="9"/>
      <c r="BA980" s="9"/>
      <c r="BB980" s="9" t="s">
        <v>7451</v>
      </c>
      <c r="BC980" s="9"/>
      <c r="BD980" s="9"/>
      <c r="BE980" s="9"/>
      <c r="BF980" s="9" t="s">
        <v>7451</v>
      </c>
      <c r="BG980" s="9" t="s">
        <v>7723</v>
      </c>
      <c r="BH980" s="9" t="s">
        <v>7545</v>
      </c>
      <c r="BI980" s="9" t="s">
        <v>7508</v>
      </c>
      <c r="BJ980" s="9" t="s">
        <v>7451</v>
      </c>
      <c r="BK980" s="9" t="s">
        <v>7723</v>
      </c>
      <c r="BL980" s="9"/>
      <c r="BM980" s="9"/>
      <c r="BN980" s="9" t="s">
        <v>7545</v>
      </c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 t="s">
        <v>7451</v>
      </c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 t="s">
        <v>7763</v>
      </c>
      <c r="CM980" s="9"/>
      <c r="CN980" s="9"/>
      <c r="CO980" s="9"/>
      <c r="CP980" s="9" t="s">
        <v>7750</v>
      </c>
      <c r="CQ980" s="9"/>
      <c r="CR980" s="9"/>
      <c r="CS980" s="9"/>
      <c r="CT980" s="9" t="s">
        <v>7479</v>
      </c>
      <c r="CU980" s="9"/>
      <c r="CV980" s="9"/>
      <c r="CW980" s="9">
        <v>3</v>
      </c>
      <c r="CX980" s="9" t="s">
        <v>99</v>
      </c>
      <c r="CY980" s="9" t="s">
        <v>99</v>
      </c>
      <c r="CZ980" s="9">
        <v>2</v>
      </c>
      <c r="DA980" s="9">
        <v>2</v>
      </c>
      <c r="DB980" s="9">
        <v>96</v>
      </c>
      <c r="DC980" s="9">
        <v>82.5</v>
      </c>
      <c r="DD980" s="9">
        <v>0.6</v>
      </c>
      <c r="DE980" s="10">
        <v>244</v>
      </c>
      <c r="DF980" s="10">
        <v>180</v>
      </c>
      <c r="DG980" s="9">
        <f t="shared" si="15"/>
        <v>4.8028775721154231</v>
      </c>
      <c r="DH980" s="9">
        <v>36</v>
      </c>
      <c r="DI980" s="9">
        <v>6.44</v>
      </c>
      <c r="DL980" s="9">
        <v>48</v>
      </c>
      <c r="DM980" s="9">
        <v>160</v>
      </c>
      <c r="DN980" s="9"/>
      <c r="DO980" s="9"/>
      <c r="DP980" s="53">
        <v>3</v>
      </c>
      <c r="DR980">
        <v>2</v>
      </c>
      <c r="DU980">
        <v>7.6</v>
      </c>
    </row>
    <row r="981" spans="1:125" customFormat="1" x14ac:dyDescent="0.2">
      <c r="A981" s="143" t="s">
        <v>7806</v>
      </c>
      <c r="B981" s="128">
        <v>43805</v>
      </c>
      <c r="C981" s="127" t="s">
        <v>196</v>
      </c>
      <c r="D981" s="127">
        <v>18</v>
      </c>
      <c r="E981" s="127" t="s">
        <v>100</v>
      </c>
      <c r="F981" s="175">
        <v>37056</v>
      </c>
      <c r="G981" s="127" t="s">
        <v>1509</v>
      </c>
      <c r="H981" s="127" t="s">
        <v>7807</v>
      </c>
      <c r="I981" s="127"/>
      <c r="J981" s="127"/>
      <c r="K981" s="127"/>
      <c r="L981" s="127"/>
      <c r="M981" s="127" t="s">
        <v>99</v>
      </c>
      <c r="N981" s="127" t="s">
        <v>99</v>
      </c>
      <c r="O981" s="127" t="s">
        <v>99</v>
      </c>
      <c r="P981" s="127" t="s">
        <v>99</v>
      </c>
      <c r="Q981" s="127" t="s">
        <v>99</v>
      </c>
      <c r="R981" s="127" t="s">
        <v>99</v>
      </c>
      <c r="S981" s="127" t="s">
        <v>99</v>
      </c>
      <c r="T981" s="127" t="s">
        <v>99</v>
      </c>
      <c r="U981" s="127" t="s">
        <v>99</v>
      </c>
      <c r="V981" s="127" t="s">
        <v>99</v>
      </c>
      <c r="W981" s="127" t="s">
        <v>99</v>
      </c>
      <c r="X981" s="127" t="s">
        <v>99</v>
      </c>
      <c r="Y981" s="127" t="s">
        <v>99</v>
      </c>
      <c r="Z981" s="127" t="s">
        <v>7808</v>
      </c>
      <c r="AA981" s="127" t="s">
        <v>100</v>
      </c>
      <c r="AB981" s="127" t="s">
        <v>100</v>
      </c>
      <c r="AC981" s="127" t="s">
        <v>100</v>
      </c>
      <c r="AD981" s="127" t="s">
        <v>100</v>
      </c>
      <c r="AE981" s="127" t="s">
        <v>7809</v>
      </c>
      <c r="AF981" s="127" t="s">
        <v>7810</v>
      </c>
      <c r="AG981" s="127" t="s">
        <v>7544</v>
      </c>
      <c r="AH981" s="129"/>
      <c r="AI981" s="127"/>
      <c r="AJ981" s="9"/>
      <c r="AK981" s="9"/>
      <c r="AL981" s="9">
        <v>43.4</v>
      </c>
      <c r="AM981" s="9">
        <v>160</v>
      </c>
      <c r="AN981" s="7">
        <v>64</v>
      </c>
      <c r="AO981" s="9">
        <v>85</v>
      </c>
      <c r="AP981" s="9">
        <v>20.8</v>
      </c>
      <c r="AQ981" s="9">
        <v>2</v>
      </c>
      <c r="AR981" s="9">
        <v>27.1</v>
      </c>
      <c r="AS981" s="9">
        <v>18</v>
      </c>
      <c r="AT981" s="7">
        <v>17</v>
      </c>
      <c r="AU981" s="9"/>
      <c r="AV981" s="9"/>
      <c r="AW981" s="9"/>
      <c r="AX981" s="9" t="s">
        <v>5572</v>
      </c>
      <c r="AY981" s="9" t="s">
        <v>3844</v>
      </c>
      <c r="AZ981" s="9" t="s">
        <v>2633</v>
      </c>
      <c r="BA981" s="9"/>
      <c r="BB981" s="9" t="s">
        <v>2938</v>
      </c>
      <c r="BC981" s="9" t="s">
        <v>749</v>
      </c>
      <c r="BD981" s="9"/>
      <c r="BE981" s="9" t="s">
        <v>350</v>
      </c>
      <c r="BF981" s="9" t="s">
        <v>350</v>
      </c>
      <c r="BG981" s="9" t="s">
        <v>350</v>
      </c>
      <c r="BH981" s="9" t="s">
        <v>350</v>
      </c>
      <c r="BI981" s="9" t="s">
        <v>350</v>
      </c>
      <c r="BJ981" s="9" t="s">
        <v>350</v>
      </c>
      <c r="BK981" s="9" t="s">
        <v>350</v>
      </c>
      <c r="BL981" s="9" t="s">
        <v>350</v>
      </c>
      <c r="BM981" s="9" t="s">
        <v>351</v>
      </c>
      <c r="BN981" s="9" t="s">
        <v>179</v>
      </c>
      <c r="BO981" s="9" t="s">
        <v>5578</v>
      </c>
      <c r="BP981" s="9" t="s">
        <v>219</v>
      </c>
      <c r="BQ981" s="9"/>
      <c r="BR981" s="9"/>
      <c r="BS981" s="9"/>
      <c r="BT981" s="9"/>
      <c r="BU981" s="9"/>
      <c r="BV981" s="9" t="s">
        <v>857</v>
      </c>
      <c r="BW981" s="9" t="s">
        <v>4059</v>
      </c>
      <c r="BX981" s="9" t="s">
        <v>3240</v>
      </c>
      <c r="BY981" s="9" t="s">
        <v>351</v>
      </c>
      <c r="BZ981" s="9" t="s">
        <v>821</v>
      </c>
      <c r="CA981" s="9" t="s">
        <v>577</v>
      </c>
      <c r="CB981" s="9" t="s">
        <v>183</v>
      </c>
      <c r="CC981" s="9"/>
      <c r="CD981" s="9" t="s">
        <v>821</v>
      </c>
      <c r="CE981" s="9" t="s">
        <v>7811</v>
      </c>
      <c r="CF981" s="9" t="s">
        <v>183</v>
      </c>
      <c r="CG981" s="9"/>
      <c r="CH981" s="9"/>
      <c r="CI981" s="9"/>
      <c r="CJ981" s="9"/>
      <c r="CK981" s="9" t="s">
        <v>351</v>
      </c>
      <c r="CL981" s="9" t="s">
        <v>1180</v>
      </c>
      <c r="CM981" s="9" t="s">
        <v>1181</v>
      </c>
      <c r="CN981" s="9" t="s">
        <v>980</v>
      </c>
      <c r="CO981" s="9" t="s">
        <v>351</v>
      </c>
      <c r="CP981" s="9" t="s">
        <v>716</v>
      </c>
      <c r="CQ981" s="9" t="s">
        <v>362</v>
      </c>
      <c r="CR981" s="9" t="s">
        <v>7774</v>
      </c>
      <c r="CS981" s="9" t="s">
        <v>1513</v>
      </c>
      <c r="CT981" s="9" t="s">
        <v>363</v>
      </c>
      <c r="CU981" s="9" t="s">
        <v>364</v>
      </c>
      <c r="CV981" s="9" t="s">
        <v>6068</v>
      </c>
      <c r="CW981" s="9">
        <v>5</v>
      </c>
      <c r="CX981" s="9" t="s">
        <v>5490</v>
      </c>
      <c r="CY981" s="9" t="s">
        <v>99</v>
      </c>
      <c r="CZ981" s="9">
        <v>60</v>
      </c>
      <c r="DA981" s="9">
        <v>10</v>
      </c>
      <c r="DB981" s="9">
        <v>30</v>
      </c>
      <c r="DC981" s="9">
        <v>73.900000000000006</v>
      </c>
      <c r="DD981" s="9">
        <v>0.62</v>
      </c>
      <c r="DE981" s="9">
        <v>165</v>
      </c>
      <c r="DF981" s="9">
        <v>134</v>
      </c>
      <c r="DG981" s="9">
        <f t="shared" si="15"/>
        <v>4.6002763139525333</v>
      </c>
      <c r="DH981" s="9">
        <v>26.8</v>
      </c>
      <c r="DI981" s="9">
        <v>3.73</v>
      </c>
      <c r="DL981" s="9">
        <v>57.6</v>
      </c>
      <c r="DM981" s="9">
        <v>80.599999999999994</v>
      </c>
      <c r="DN981" s="9"/>
      <c r="DO981" s="9"/>
      <c r="DP981" s="27">
        <v>1</v>
      </c>
      <c r="DR981">
        <v>2</v>
      </c>
      <c r="DU981">
        <v>4.5</v>
      </c>
    </row>
    <row r="982" spans="1:125" customFormat="1" x14ac:dyDescent="0.2">
      <c r="A982" s="143" t="s">
        <v>7812</v>
      </c>
      <c r="B982" s="128">
        <v>43805</v>
      </c>
      <c r="C982" s="127" t="s">
        <v>675</v>
      </c>
      <c r="D982" s="127">
        <v>31</v>
      </c>
      <c r="E982" s="127" t="s">
        <v>100</v>
      </c>
      <c r="F982" s="128">
        <v>32213</v>
      </c>
      <c r="G982" s="127" t="s">
        <v>837</v>
      </c>
      <c r="H982" s="127" t="s">
        <v>7701</v>
      </c>
      <c r="I982" s="127"/>
      <c r="J982" s="127"/>
      <c r="K982" s="127"/>
      <c r="L982" s="127"/>
      <c r="M982" s="127" t="s">
        <v>99</v>
      </c>
      <c r="N982" s="127" t="s">
        <v>99</v>
      </c>
      <c r="O982" s="127" t="s">
        <v>7813</v>
      </c>
      <c r="P982" s="127" t="s">
        <v>99</v>
      </c>
      <c r="Q982" s="127" t="s">
        <v>7814</v>
      </c>
      <c r="R982" s="127" t="s">
        <v>99</v>
      </c>
      <c r="S982" s="127" t="s">
        <v>5490</v>
      </c>
      <c r="T982" s="127" t="s">
        <v>99</v>
      </c>
      <c r="U982" s="127" t="s">
        <v>7815</v>
      </c>
      <c r="V982" s="127" t="s">
        <v>99</v>
      </c>
      <c r="W982" s="127" t="s">
        <v>99</v>
      </c>
      <c r="X982" s="127" t="s">
        <v>99</v>
      </c>
      <c r="Y982" s="127" t="s">
        <v>99</v>
      </c>
      <c r="Z982" s="127" t="s">
        <v>99</v>
      </c>
      <c r="AA982" s="127" t="s">
        <v>100</v>
      </c>
      <c r="AB982" s="127" t="s">
        <v>100</v>
      </c>
      <c r="AC982" s="127" t="s">
        <v>100</v>
      </c>
      <c r="AD982" s="127" t="s">
        <v>100</v>
      </c>
      <c r="AE982" s="127" t="s">
        <v>7816</v>
      </c>
      <c r="AF982" s="127" t="s">
        <v>6074</v>
      </c>
      <c r="AG982" s="127" t="s">
        <v>7817</v>
      </c>
      <c r="AH982" s="129" t="s">
        <v>7818</v>
      </c>
      <c r="AI982" s="127" t="s">
        <v>99</v>
      </c>
      <c r="AJ982" s="9" t="s">
        <v>99</v>
      </c>
      <c r="AK982" s="9" t="s">
        <v>99</v>
      </c>
      <c r="AL982" s="9">
        <v>65.2</v>
      </c>
      <c r="AM982" s="9">
        <v>168</v>
      </c>
      <c r="AN982" s="7">
        <v>80</v>
      </c>
      <c r="AO982" s="9">
        <v>95</v>
      </c>
      <c r="AP982" s="9">
        <v>16</v>
      </c>
      <c r="AQ982" s="9">
        <v>6</v>
      </c>
      <c r="AR982" s="9">
        <v>42.4</v>
      </c>
      <c r="AS982" s="9">
        <v>25</v>
      </c>
      <c r="AT982" s="7">
        <v>23.1</v>
      </c>
      <c r="AU982" s="9">
        <v>119</v>
      </c>
      <c r="AV982" s="9">
        <v>87</v>
      </c>
      <c r="AW982" s="9"/>
      <c r="AX982" s="9" t="s">
        <v>2049</v>
      </c>
      <c r="AY982" s="9" t="s">
        <v>7819</v>
      </c>
      <c r="AZ982" s="9" t="s">
        <v>7820</v>
      </c>
      <c r="BA982" s="9"/>
      <c r="BB982" s="9" t="s">
        <v>7821</v>
      </c>
      <c r="BC982" s="9" t="s">
        <v>7822</v>
      </c>
      <c r="BD982" s="9"/>
      <c r="BE982" s="9"/>
      <c r="BF982" s="9" t="s">
        <v>351</v>
      </c>
      <c r="BG982" s="9" t="s">
        <v>7823</v>
      </c>
      <c r="BH982" s="9" t="s">
        <v>7824</v>
      </c>
      <c r="BI982" s="9" t="s">
        <v>4984</v>
      </c>
      <c r="BJ982" s="9" t="s">
        <v>99</v>
      </c>
      <c r="BK982" s="9" t="s">
        <v>1134</v>
      </c>
      <c r="BL982" s="9"/>
      <c r="BM982" s="9"/>
      <c r="BN982" s="9" t="s">
        <v>7825</v>
      </c>
      <c r="BO982" s="9" t="s">
        <v>7826</v>
      </c>
      <c r="BP982" s="9" t="s">
        <v>7827</v>
      </c>
      <c r="BQ982" s="9"/>
      <c r="BR982" s="9"/>
      <c r="BS982" s="9"/>
      <c r="BT982" s="9"/>
      <c r="BU982" s="9"/>
      <c r="BV982" s="9"/>
      <c r="BW982" s="9"/>
      <c r="BX982" s="9"/>
      <c r="BY982" s="9"/>
      <c r="BZ982" s="9" t="s">
        <v>183</v>
      </c>
      <c r="CA982" s="9" t="s">
        <v>709</v>
      </c>
      <c r="CB982" s="9" t="s">
        <v>182</v>
      </c>
      <c r="CC982" s="9"/>
      <c r="CD982" s="9"/>
      <c r="CE982" s="9"/>
      <c r="CF982" s="9"/>
      <c r="CG982" s="9"/>
      <c r="CH982" s="9"/>
      <c r="CI982" s="9"/>
      <c r="CJ982" s="9"/>
      <c r="CK982" s="9"/>
      <c r="CL982" s="9" t="s">
        <v>3158</v>
      </c>
      <c r="CM982" s="9" t="s">
        <v>7828</v>
      </c>
      <c r="CN982" s="9" t="s">
        <v>7829</v>
      </c>
      <c r="CO982" s="9"/>
      <c r="CP982" s="9"/>
      <c r="CQ982" s="9"/>
      <c r="CR982" s="9"/>
      <c r="CS982" s="9"/>
      <c r="CT982" s="9" t="s">
        <v>1732</v>
      </c>
      <c r="CU982" s="9" t="s">
        <v>2662</v>
      </c>
      <c r="CV982" s="9" t="s">
        <v>187</v>
      </c>
      <c r="CW982" s="9">
        <v>3</v>
      </c>
      <c r="CX982" s="9" t="s">
        <v>5490</v>
      </c>
      <c r="CY982" s="9" t="s">
        <v>5490</v>
      </c>
      <c r="CZ982" s="9">
        <v>15</v>
      </c>
      <c r="DA982" s="9">
        <v>25</v>
      </c>
      <c r="DB982" s="9">
        <v>65</v>
      </c>
      <c r="DC982" s="9">
        <v>88.9</v>
      </c>
      <c r="DD982" s="9">
        <v>1</v>
      </c>
      <c r="DE982" s="9">
        <v>180</v>
      </c>
      <c r="DF982" s="9">
        <v>78</v>
      </c>
      <c r="DG982" s="9">
        <f t="shared" si="15"/>
        <v>4.4221104846047252</v>
      </c>
      <c r="DH982" s="9">
        <v>15.6</v>
      </c>
      <c r="DI982" s="9">
        <v>4.8600000000000003</v>
      </c>
      <c r="DJ982" s="9"/>
      <c r="DK982" s="9"/>
      <c r="DL982" s="9">
        <v>56.4</v>
      </c>
      <c r="DM982" s="9">
        <v>108</v>
      </c>
      <c r="DN982" s="9"/>
      <c r="DO982" s="9"/>
      <c r="DR982">
        <v>2</v>
      </c>
      <c r="DU982">
        <v>5</v>
      </c>
    </row>
    <row r="983" spans="1:125" customFormat="1" x14ac:dyDescent="0.2">
      <c r="A983" s="144" t="s">
        <v>7830</v>
      </c>
      <c r="B983" s="128">
        <v>43805</v>
      </c>
      <c r="C983" s="127" t="s">
        <v>675</v>
      </c>
      <c r="D983" s="127">
        <v>29</v>
      </c>
      <c r="E983" s="127" t="s">
        <v>100</v>
      </c>
      <c r="F983" s="128">
        <v>32972</v>
      </c>
      <c r="G983" s="127" t="s">
        <v>837</v>
      </c>
      <c r="H983" s="127" t="s">
        <v>7831</v>
      </c>
      <c r="I983" s="127"/>
      <c r="J983" s="127"/>
      <c r="K983" s="127"/>
      <c r="L983" s="127"/>
      <c r="M983" s="127" t="s">
        <v>99</v>
      </c>
      <c r="N983" s="127" t="s">
        <v>99</v>
      </c>
      <c r="O983" s="127" t="s">
        <v>99</v>
      </c>
      <c r="P983" s="127" t="s">
        <v>99</v>
      </c>
      <c r="Q983" s="127" t="s">
        <v>99</v>
      </c>
      <c r="R983" s="127" t="s">
        <v>5406</v>
      </c>
      <c r="S983" s="127" t="s">
        <v>5490</v>
      </c>
      <c r="T983" s="127" t="s">
        <v>5451</v>
      </c>
      <c r="U983" s="127" t="s">
        <v>7832</v>
      </c>
      <c r="V983" s="127" t="s">
        <v>99</v>
      </c>
      <c r="W983" s="127" t="s">
        <v>7734</v>
      </c>
      <c r="X983" s="127" t="s">
        <v>99</v>
      </c>
      <c r="Y983" s="127" t="s">
        <v>99</v>
      </c>
      <c r="Z983" s="127" t="s">
        <v>99</v>
      </c>
      <c r="AA983" s="127" t="s">
        <v>100</v>
      </c>
      <c r="AB983" s="127" t="s">
        <v>100</v>
      </c>
      <c r="AC983" s="127" t="s">
        <v>100</v>
      </c>
      <c r="AD983" s="127" t="s">
        <v>100</v>
      </c>
      <c r="AE983" s="127" t="s">
        <v>7650</v>
      </c>
      <c r="AF983" s="127" t="s">
        <v>6075</v>
      </c>
      <c r="AG983" s="127" t="s">
        <v>7574</v>
      </c>
      <c r="AH983" s="129" t="s">
        <v>6074</v>
      </c>
      <c r="AI983" s="127" t="s">
        <v>99</v>
      </c>
      <c r="AJ983" s="9" t="s">
        <v>99</v>
      </c>
      <c r="AK983" s="9" t="s">
        <v>99</v>
      </c>
      <c r="AL983" s="9">
        <v>82.9</v>
      </c>
      <c r="AM983" s="9">
        <v>169</v>
      </c>
      <c r="AN983" s="9">
        <v>97</v>
      </c>
      <c r="AO983" s="9">
        <v>110</v>
      </c>
      <c r="AP983" s="9">
        <v>34.6</v>
      </c>
      <c r="AQ983" s="9">
        <v>12</v>
      </c>
      <c r="AR983" s="9">
        <v>31.1</v>
      </c>
      <c r="AS983" s="9">
        <v>51</v>
      </c>
      <c r="AT983" s="9">
        <v>29</v>
      </c>
      <c r="AU983" s="10">
        <v>137</v>
      </c>
      <c r="AV983" s="10">
        <v>99</v>
      </c>
      <c r="AW983" s="9" t="s">
        <v>351</v>
      </c>
      <c r="AX983" s="9" t="s">
        <v>592</v>
      </c>
      <c r="AY983" s="9" t="s">
        <v>573</v>
      </c>
      <c r="AZ983" s="9"/>
      <c r="BA983" s="9" t="s">
        <v>351</v>
      </c>
      <c r="BB983" s="9" t="s">
        <v>750</v>
      </c>
      <c r="BC983" s="9"/>
      <c r="BD983" s="9"/>
      <c r="BE983" s="9" t="s">
        <v>351</v>
      </c>
      <c r="BF983" s="9" t="s">
        <v>7602</v>
      </c>
      <c r="BG983" s="9" t="s">
        <v>350</v>
      </c>
      <c r="BH983" s="9" t="s">
        <v>351</v>
      </c>
      <c r="BI983" s="9" t="s">
        <v>350</v>
      </c>
      <c r="BJ983" s="9" t="s">
        <v>351</v>
      </c>
      <c r="BK983" s="9" t="s">
        <v>5412</v>
      </c>
      <c r="BL983" s="9" t="s">
        <v>350</v>
      </c>
      <c r="BM983" s="9"/>
      <c r="BN983" s="9" t="s">
        <v>179</v>
      </c>
      <c r="BO983" s="9" t="s">
        <v>125</v>
      </c>
      <c r="BP983" s="9" t="s">
        <v>219</v>
      </c>
      <c r="BQ983" s="9"/>
      <c r="BR983" s="9"/>
      <c r="BS983" s="9"/>
      <c r="BT983" s="9"/>
      <c r="BU983" s="9"/>
      <c r="BV983" s="9"/>
      <c r="BW983" s="9"/>
      <c r="BX983" s="9"/>
      <c r="BY983" s="9" t="s">
        <v>350</v>
      </c>
      <c r="BZ983" s="9" t="s">
        <v>1730</v>
      </c>
      <c r="CA983" s="9" t="s">
        <v>182</v>
      </c>
      <c r="CB983" s="9" t="s">
        <v>183</v>
      </c>
      <c r="CC983" s="9"/>
      <c r="CD983" s="9"/>
      <c r="CE983" s="9"/>
      <c r="CF983" s="9"/>
      <c r="CG983" s="9"/>
      <c r="CH983" s="9"/>
      <c r="CI983" s="9"/>
      <c r="CJ983" s="9"/>
      <c r="CK983" s="9" t="s">
        <v>351</v>
      </c>
      <c r="CL983" s="9" t="s">
        <v>1181</v>
      </c>
      <c r="CM983" s="9" t="s">
        <v>2590</v>
      </c>
      <c r="CN983" s="9" t="s">
        <v>980</v>
      </c>
      <c r="CO983" s="9"/>
      <c r="CP983" s="9" t="s">
        <v>362</v>
      </c>
      <c r="CQ983" s="9"/>
      <c r="CR983" s="9"/>
      <c r="CS983" s="9" t="s">
        <v>350</v>
      </c>
      <c r="CT983" s="9" t="s">
        <v>2411</v>
      </c>
      <c r="CU983" s="9" t="s">
        <v>1729</v>
      </c>
      <c r="CV983" s="9"/>
      <c r="CW983" s="9">
        <v>3</v>
      </c>
      <c r="CX983" s="9" t="s">
        <v>5490</v>
      </c>
      <c r="CY983" s="9"/>
      <c r="CZ983" s="9"/>
      <c r="DA983" s="9"/>
      <c r="DB983" s="9"/>
      <c r="DC983" s="139">
        <v>101</v>
      </c>
      <c r="DD983" s="53">
        <v>0.73</v>
      </c>
      <c r="DE983" s="53">
        <v>180</v>
      </c>
      <c r="DF983" s="139">
        <v>247</v>
      </c>
      <c r="DG983" s="9">
        <f t="shared" si="15"/>
        <v>5.0622544267346186</v>
      </c>
      <c r="DH983" s="53">
        <v>49.4</v>
      </c>
      <c r="DI983" s="139">
        <v>7.61</v>
      </c>
      <c r="DL983" s="139">
        <v>35.200000000000003</v>
      </c>
      <c r="DM983" s="53">
        <v>95.4</v>
      </c>
      <c r="DN983" s="9"/>
      <c r="DO983" s="9"/>
      <c r="DU983">
        <v>9.4</v>
      </c>
    </row>
    <row r="984" spans="1:125" customFormat="1" x14ac:dyDescent="0.2">
      <c r="A984" s="176" t="s">
        <v>7833</v>
      </c>
      <c r="B984" s="26">
        <v>43809</v>
      </c>
      <c r="C984" t="s">
        <v>107</v>
      </c>
      <c r="D984">
        <v>21</v>
      </c>
      <c r="E984" t="s">
        <v>1330</v>
      </c>
      <c r="F984" s="26">
        <v>36065</v>
      </c>
      <c r="G984" t="s">
        <v>97</v>
      </c>
      <c r="H984" t="s">
        <v>7834</v>
      </c>
      <c r="M984" t="s">
        <v>263</v>
      </c>
      <c r="N984" t="s">
        <v>263</v>
      </c>
      <c r="O984" t="s">
        <v>263</v>
      </c>
      <c r="P984" t="s">
        <v>7835</v>
      </c>
      <c r="Q984" t="s">
        <v>7836</v>
      </c>
      <c r="R984" t="s">
        <v>7837</v>
      </c>
      <c r="S984" t="s">
        <v>263</v>
      </c>
      <c r="T984" t="s">
        <v>263</v>
      </c>
      <c r="U984" t="s">
        <v>263</v>
      </c>
      <c r="V984" t="s">
        <v>263</v>
      </c>
      <c r="W984" t="s">
        <v>7838</v>
      </c>
      <c r="X984" t="s">
        <v>263</v>
      </c>
      <c r="Y984" t="s">
        <v>263</v>
      </c>
      <c r="Z984" t="s">
        <v>263</v>
      </c>
      <c r="AA984" t="s">
        <v>1435</v>
      </c>
      <c r="AB984" t="s">
        <v>7839</v>
      </c>
      <c r="AC984" t="s">
        <v>151</v>
      </c>
      <c r="AD984" t="s">
        <v>7840</v>
      </c>
      <c r="AE984" t="s">
        <v>7841</v>
      </c>
      <c r="AF984" t="s">
        <v>7842</v>
      </c>
      <c r="AG984" t="s">
        <v>7843</v>
      </c>
      <c r="AH984" t="s">
        <v>263</v>
      </c>
      <c r="AI984" t="s">
        <v>263</v>
      </c>
      <c r="AJ984" t="s">
        <v>263</v>
      </c>
      <c r="AK984" t="s">
        <v>263</v>
      </c>
      <c r="AL984">
        <v>82.1</v>
      </c>
      <c r="AP984">
        <v>25.5</v>
      </c>
      <c r="AQ984">
        <v>8</v>
      </c>
      <c r="AR984">
        <v>37.200000000000003</v>
      </c>
      <c r="AS984">
        <v>43</v>
      </c>
      <c r="AT984">
        <v>26.2</v>
      </c>
      <c r="AU984">
        <v>126</v>
      </c>
      <c r="AV984">
        <v>76</v>
      </c>
      <c r="AX984" t="s">
        <v>7844</v>
      </c>
      <c r="AY984" t="s">
        <v>7845</v>
      </c>
      <c r="AZ984" t="s">
        <v>7846</v>
      </c>
      <c r="BB984" t="s">
        <v>4218</v>
      </c>
      <c r="BF984" t="s">
        <v>7847</v>
      </c>
      <c r="BG984" t="s">
        <v>7848</v>
      </c>
      <c r="BH984" t="s">
        <v>7847</v>
      </c>
      <c r="BI984" t="s">
        <v>4490</v>
      </c>
      <c r="BJ984" t="s">
        <v>7849</v>
      </c>
      <c r="BK984" t="s">
        <v>7850</v>
      </c>
      <c r="BN984" t="s">
        <v>918</v>
      </c>
      <c r="BO984" t="s">
        <v>1073</v>
      </c>
      <c r="BP984" t="s">
        <v>1886</v>
      </c>
      <c r="BV984" t="s">
        <v>7851</v>
      </c>
      <c r="BZ984" t="s">
        <v>7852</v>
      </c>
      <c r="CA984" t="s">
        <v>7853</v>
      </c>
      <c r="CB984" t="s">
        <v>7854</v>
      </c>
      <c r="CL984" t="s">
        <v>7855</v>
      </c>
      <c r="CM984" t="s">
        <v>7856</v>
      </c>
      <c r="CN984" t="s">
        <v>7857</v>
      </c>
      <c r="CP984" t="s">
        <v>2040</v>
      </c>
      <c r="CQ984" t="s">
        <v>309</v>
      </c>
      <c r="CR984" t="s">
        <v>1054</v>
      </c>
      <c r="CT984" t="s">
        <v>375</v>
      </c>
      <c r="CW984">
        <v>6</v>
      </c>
      <c r="CX984" t="s">
        <v>263</v>
      </c>
      <c r="CY984" t="s">
        <v>263</v>
      </c>
      <c r="CZ984">
        <v>20</v>
      </c>
      <c r="DA984">
        <v>50</v>
      </c>
      <c r="DB984">
        <v>30</v>
      </c>
      <c r="DG984" s="9" t="e">
        <f t="shared" si="15"/>
        <v>#NUM!</v>
      </c>
      <c r="DR984">
        <v>2</v>
      </c>
    </row>
    <row r="985" spans="1:125" customFormat="1" x14ac:dyDescent="0.2">
      <c r="A985" s="127" t="s">
        <v>7858</v>
      </c>
      <c r="B985" s="128">
        <v>43805</v>
      </c>
      <c r="C985" s="127" t="s">
        <v>675</v>
      </c>
      <c r="D985" s="127">
        <v>30</v>
      </c>
      <c r="E985" s="127" t="s">
        <v>100</v>
      </c>
      <c r="F985" s="128">
        <v>32843</v>
      </c>
      <c r="G985" s="127"/>
      <c r="H985" s="127" t="s">
        <v>7859</v>
      </c>
      <c r="I985" s="127"/>
      <c r="J985" s="127"/>
      <c r="K985" s="127"/>
      <c r="L985" s="127"/>
      <c r="M985" s="127" t="s">
        <v>99</v>
      </c>
      <c r="N985" s="127" t="s">
        <v>99</v>
      </c>
      <c r="O985" s="127" t="s">
        <v>99</v>
      </c>
      <c r="P985" s="127" t="s">
        <v>99</v>
      </c>
      <c r="Q985" s="127" t="s">
        <v>7860</v>
      </c>
      <c r="R985" s="127" t="s">
        <v>5490</v>
      </c>
      <c r="S985" s="127" t="s">
        <v>5490</v>
      </c>
      <c r="T985" s="127" t="s">
        <v>99</v>
      </c>
      <c r="U985" s="127" t="s">
        <v>99</v>
      </c>
      <c r="V985" s="127" t="s">
        <v>99</v>
      </c>
      <c r="W985" s="127" t="s">
        <v>99</v>
      </c>
      <c r="X985" s="127" t="s">
        <v>99</v>
      </c>
      <c r="Y985" s="127"/>
      <c r="Z985" s="127"/>
      <c r="AA985" s="127" t="s">
        <v>100</v>
      </c>
      <c r="AB985" s="127" t="s">
        <v>2777</v>
      </c>
      <c r="AC985" s="127" t="s">
        <v>3194</v>
      </c>
      <c r="AD985" s="127" t="s">
        <v>2777</v>
      </c>
      <c r="AE985" s="127" t="s">
        <v>99</v>
      </c>
      <c r="AF985" s="127" t="s">
        <v>5482</v>
      </c>
      <c r="AG985" s="127" t="s">
        <v>99</v>
      </c>
      <c r="AH985" s="129" t="s">
        <v>99</v>
      </c>
      <c r="AI985" s="127" t="s">
        <v>99</v>
      </c>
      <c r="AJ985" s="9" t="s">
        <v>99</v>
      </c>
      <c r="AK985" s="9" t="s">
        <v>99</v>
      </c>
      <c r="AL985" s="9">
        <v>88.4</v>
      </c>
      <c r="AM985" s="9">
        <v>188</v>
      </c>
      <c r="AN985" s="9">
        <v>88</v>
      </c>
      <c r="AO985" s="9"/>
      <c r="AP985" s="9">
        <v>24.3</v>
      </c>
      <c r="AQ985" s="9">
        <v>8</v>
      </c>
      <c r="AR985" s="9">
        <v>36.200000000000003</v>
      </c>
      <c r="AS985" s="9">
        <v>53</v>
      </c>
      <c r="AT985" s="9">
        <v>25.3</v>
      </c>
      <c r="AU985" s="9">
        <v>129</v>
      </c>
      <c r="AV985" s="9">
        <v>74</v>
      </c>
      <c r="AW985" s="9"/>
      <c r="AX985" s="9" t="s">
        <v>7861</v>
      </c>
      <c r="AY985" s="9" t="s">
        <v>7862</v>
      </c>
      <c r="AZ985" s="9" t="s">
        <v>679</v>
      </c>
      <c r="BA985" s="9"/>
      <c r="BB985" s="9" t="s">
        <v>7863</v>
      </c>
      <c r="BC985" s="9" t="s">
        <v>2692</v>
      </c>
      <c r="BD985" s="9"/>
      <c r="BE985" s="9"/>
      <c r="BF985" s="9" t="s">
        <v>213</v>
      </c>
      <c r="BG985" s="9" t="s">
        <v>176</v>
      </c>
      <c r="BH985" s="9" t="s">
        <v>682</v>
      </c>
      <c r="BI985" s="9" t="s">
        <v>682</v>
      </c>
      <c r="BJ985" s="9" t="s">
        <v>7864</v>
      </c>
      <c r="BK985" s="9" t="s">
        <v>1643</v>
      </c>
      <c r="BL985" s="9"/>
      <c r="BM985" s="9"/>
      <c r="BN985" s="9" t="s">
        <v>7865</v>
      </c>
      <c r="BO985" s="9" t="s">
        <v>7866</v>
      </c>
      <c r="BP985" s="9" t="s">
        <v>7867</v>
      </c>
      <c r="BQ985" s="9"/>
      <c r="BR985" s="9"/>
      <c r="BS985" s="9"/>
      <c r="BT985" s="9"/>
      <c r="BU985" s="9"/>
      <c r="BV985" s="9"/>
      <c r="BW985" s="9"/>
      <c r="BX985" s="9"/>
      <c r="BY985" s="9"/>
      <c r="BZ985" s="9" t="s">
        <v>2640</v>
      </c>
      <c r="CA985" s="9" t="s">
        <v>7868</v>
      </c>
      <c r="CB985" s="9" t="s">
        <v>7869</v>
      </c>
      <c r="CC985" s="9"/>
      <c r="CD985" s="9"/>
      <c r="CE985" s="9"/>
      <c r="CF985" s="9"/>
      <c r="CG985" s="9"/>
      <c r="CH985" s="9"/>
      <c r="CI985" s="9"/>
      <c r="CJ985" s="9"/>
      <c r="CK985" s="9"/>
      <c r="CL985" s="9" t="s">
        <v>5985</v>
      </c>
      <c r="CM985" s="9" t="s">
        <v>7870</v>
      </c>
      <c r="CN985" s="9" t="s">
        <v>7871</v>
      </c>
      <c r="CO985" s="9"/>
      <c r="CP985" s="9" t="s">
        <v>362</v>
      </c>
      <c r="CQ985" s="9"/>
      <c r="CR985" s="9"/>
      <c r="CS985" s="9"/>
      <c r="CT985" s="9" t="s">
        <v>7872</v>
      </c>
      <c r="CU985" s="9" t="s">
        <v>7873</v>
      </c>
      <c r="CV985" s="9"/>
      <c r="CW985" s="45" t="s">
        <v>6110</v>
      </c>
      <c r="CX985" s="9" t="s">
        <v>99</v>
      </c>
      <c r="CY985" s="9" t="s">
        <v>5490</v>
      </c>
      <c r="CZ985" s="9">
        <v>10</v>
      </c>
      <c r="DA985" s="9">
        <v>30</v>
      </c>
      <c r="DB985" s="9">
        <v>60</v>
      </c>
      <c r="DC985" s="9">
        <v>84.9</v>
      </c>
      <c r="DD985" s="9">
        <v>1.29</v>
      </c>
      <c r="DE985" s="9">
        <v>182</v>
      </c>
      <c r="DF985" s="9">
        <v>134</v>
      </c>
      <c r="DG985" s="9">
        <f t="shared" si="15"/>
        <v>4.6696569466341069</v>
      </c>
      <c r="DH985" s="9">
        <v>26.8</v>
      </c>
      <c r="DI985" s="9">
        <v>5.64</v>
      </c>
      <c r="DJ985" s="9"/>
      <c r="DK985" s="9"/>
      <c r="DL985" s="9">
        <v>55.8</v>
      </c>
      <c r="DM985" s="9">
        <v>99.4</v>
      </c>
      <c r="DN985" s="9"/>
      <c r="DO985" s="9"/>
      <c r="DR985">
        <v>3</v>
      </c>
      <c r="DU985">
        <v>6.2</v>
      </c>
    </row>
    <row r="986" spans="1:125" customFormat="1" x14ac:dyDescent="0.2">
      <c r="A986" s="127" t="s">
        <v>7874</v>
      </c>
      <c r="B986" s="26">
        <v>43809</v>
      </c>
      <c r="C986" t="s">
        <v>95</v>
      </c>
      <c r="D986">
        <v>24</v>
      </c>
      <c r="E986" t="s">
        <v>1330</v>
      </c>
      <c r="F986" s="26">
        <v>43822</v>
      </c>
      <c r="G986" t="s">
        <v>1320</v>
      </c>
      <c r="H986" t="s">
        <v>7875</v>
      </c>
      <c r="I986" t="s">
        <v>2020</v>
      </c>
      <c r="M986" t="s">
        <v>263</v>
      </c>
      <c r="N986" t="s">
        <v>263</v>
      </c>
      <c r="O986" t="s">
        <v>263</v>
      </c>
      <c r="P986" t="s">
        <v>263</v>
      </c>
      <c r="Q986" t="s">
        <v>7876</v>
      </c>
      <c r="R986" t="s">
        <v>7877</v>
      </c>
      <c r="S986" t="s">
        <v>263</v>
      </c>
      <c r="T986" t="s">
        <v>263</v>
      </c>
      <c r="U986" t="s">
        <v>7878</v>
      </c>
      <c r="V986" t="s">
        <v>263</v>
      </c>
      <c r="W986" t="s">
        <v>7879</v>
      </c>
      <c r="X986" t="s">
        <v>263</v>
      </c>
      <c r="Y986" t="s">
        <v>263</v>
      </c>
      <c r="Z986" t="s">
        <v>263</v>
      </c>
      <c r="AA986" t="s">
        <v>1435</v>
      </c>
      <c r="AB986" t="s">
        <v>1330</v>
      </c>
      <c r="AC986" t="s">
        <v>1330</v>
      </c>
      <c r="AD986" t="s">
        <v>1330</v>
      </c>
      <c r="AE986" t="s">
        <v>487</v>
      </c>
      <c r="AF986" t="s">
        <v>7880</v>
      </c>
      <c r="AG986" t="s">
        <v>5060</v>
      </c>
      <c r="AH986" t="s">
        <v>7881</v>
      </c>
      <c r="AI986" t="s">
        <v>263</v>
      </c>
      <c r="AJ986" t="s">
        <v>263</v>
      </c>
      <c r="AK986" t="s">
        <v>263</v>
      </c>
      <c r="AL986">
        <v>86</v>
      </c>
      <c r="AM986">
        <v>1.68</v>
      </c>
      <c r="AN986">
        <v>95.8</v>
      </c>
      <c r="AO986">
        <v>120</v>
      </c>
      <c r="AP986">
        <v>41.3</v>
      </c>
      <c r="AQ986">
        <v>6</v>
      </c>
      <c r="AR986">
        <v>26.4</v>
      </c>
      <c r="AS986">
        <v>45</v>
      </c>
      <c r="AT986">
        <v>30.5</v>
      </c>
      <c r="AU986">
        <v>113</v>
      </c>
      <c r="AV986">
        <v>80</v>
      </c>
      <c r="AX986" t="s">
        <v>7882</v>
      </c>
      <c r="AY986" t="s">
        <v>7883</v>
      </c>
      <c r="BB986" t="s">
        <v>409</v>
      </c>
      <c r="BC986" t="s">
        <v>7884</v>
      </c>
      <c r="BF986" t="s">
        <v>5212</v>
      </c>
      <c r="BG986" t="s">
        <v>5132</v>
      </c>
      <c r="BH986" t="s">
        <v>4628</v>
      </c>
      <c r="BI986" t="s">
        <v>4628</v>
      </c>
      <c r="BJ986" t="s">
        <v>4387</v>
      </c>
      <c r="BK986" t="s">
        <v>5132</v>
      </c>
      <c r="BN986" t="s">
        <v>410</v>
      </c>
      <c r="BO986" t="s">
        <v>327</v>
      </c>
      <c r="BP986" t="s">
        <v>394</v>
      </c>
      <c r="BV986" t="s">
        <v>7885</v>
      </c>
      <c r="BZ986" t="s">
        <v>7886</v>
      </c>
      <c r="CA986" t="s">
        <v>2030</v>
      </c>
      <c r="CL986" t="s">
        <v>7855</v>
      </c>
      <c r="CM986" t="s">
        <v>7887</v>
      </c>
      <c r="CN986" t="s">
        <v>5080</v>
      </c>
      <c r="CP986" t="s">
        <v>7888</v>
      </c>
      <c r="CQ986" t="s">
        <v>309</v>
      </c>
      <c r="CR986" t="s">
        <v>638</v>
      </c>
      <c r="CT986" t="s">
        <v>1240</v>
      </c>
      <c r="CU986" t="s">
        <v>5651</v>
      </c>
      <c r="CW986">
        <v>5</v>
      </c>
      <c r="CX986" t="s">
        <v>588</v>
      </c>
      <c r="CY986" t="s">
        <v>588</v>
      </c>
      <c r="CZ986">
        <v>60</v>
      </c>
      <c r="DA986">
        <v>15</v>
      </c>
      <c r="DB986">
        <v>5</v>
      </c>
      <c r="DG986" s="9" t="e">
        <f t="shared" si="15"/>
        <v>#NUM!</v>
      </c>
      <c r="DR986">
        <v>2</v>
      </c>
    </row>
    <row r="987" spans="1:125" s="33" customFormat="1" x14ac:dyDescent="0.2">
      <c r="A987" s="162" t="s">
        <v>7889</v>
      </c>
      <c r="B987" s="32">
        <v>43808</v>
      </c>
      <c r="C987" s="162" t="s">
        <v>675</v>
      </c>
      <c r="D987" s="162">
        <v>50</v>
      </c>
      <c r="E987" s="162" t="s">
        <v>100</v>
      </c>
      <c r="F987" s="32">
        <v>25393</v>
      </c>
      <c r="G987" s="162" t="s">
        <v>7890</v>
      </c>
      <c r="H987" s="162" t="s">
        <v>500</v>
      </c>
      <c r="I987" s="162" t="s">
        <v>500</v>
      </c>
      <c r="J987" s="162" t="s">
        <v>500</v>
      </c>
      <c r="K987" s="145" t="s">
        <v>500</v>
      </c>
      <c r="L987" s="177" t="s">
        <v>500</v>
      </c>
      <c r="M987" s="162" t="s">
        <v>99</v>
      </c>
      <c r="N987" s="162" t="s">
        <v>7891</v>
      </c>
      <c r="O987" s="162" t="s">
        <v>3537</v>
      </c>
      <c r="P987" s="162" t="s">
        <v>7892</v>
      </c>
      <c r="Q987" s="162" t="s">
        <v>4722</v>
      </c>
      <c r="R987" s="162" t="s">
        <v>99</v>
      </c>
      <c r="S987" s="162" t="s">
        <v>110</v>
      </c>
      <c r="T987" s="162" t="s">
        <v>110</v>
      </c>
      <c r="U987" s="162" t="s">
        <v>7893</v>
      </c>
      <c r="V987" s="162" t="s">
        <v>99</v>
      </c>
      <c r="W987" s="162" t="s">
        <v>99</v>
      </c>
      <c r="X987" s="162" t="s">
        <v>7894</v>
      </c>
      <c r="Y987" s="162" t="s">
        <v>5819</v>
      </c>
      <c r="Z987" s="162" t="s">
        <v>7895</v>
      </c>
      <c r="AA987" s="162" t="s">
        <v>100</v>
      </c>
      <c r="AB987" s="162" t="s">
        <v>1338</v>
      </c>
      <c r="AC987" s="162" t="s">
        <v>100</v>
      </c>
      <c r="AD987" s="162" t="s">
        <v>500</v>
      </c>
      <c r="AE987" s="162" t="s">
        <v>843</v>
      </c>
      <c r="AF987" s="162" t="s">
        <v>843</v>
      </c>
      <c r="AG987" s="162" t="s">
        <v>99</v>
      </c>
      <c r="AH987" s="145" t="s">
        <v>7896</v>
      </c>
      <c r="AI987" s="162" t="s">
        <v>99</v>
      </c>
      <c r="AJ987" s="60" t="s">
        <v>99</v>
      </c>
      <c r="AK987" s="60" t="s">
        <v>99</v>
      </c>
      <c r="AL987" s="162" t="s">
        <v>500</v>
      </c>
      <c r="AM987" s="162" t="s">
        <v>500</v>
      </c>
      <c r="AN987" s="162" t="s">
        <v>500</v>
      </c>
      <c r="AO987" s="162" t="s">
        <v>500</v>
      </c>
      <c r="AP987" s="162" t="s">
        <v>500</v>
      </c>
      <c r="AQ987" s="162" t="s">
        <v>500</v>
      </c>
      <c r="AR987" s="162" t="s">
        <v>500</v>
      </c>
      <c r="AS987" s="162" t="s">
        <v>500</v>
      </c>
      <c r="AT987" s="162" t="s">
        <v>500</v>
      </c>
      <c r="AU987" s="162" t="s">
        <v>500</v>
      </c>
      <c r="AV987" s="162" t="s">
        <v>500</v>
      </c>
      <c r="AW987" s="60" t="s">
        <v>7897</v>
      </c>
      <c r="AX987" s="60" t="s">
        <v>7897</v>
      </c>
      <c r="AY987" s="60" t="s">
        <v>7897</v>
      </c>
      <c r="AZ987" s="60" t="s">
        <v>7897</v>
      </c>
      <c r="BA987" s="60" t="s">
        <v>7897</v>
      </c>
      <c r="BB987" s="60" t="s">
        <v>7897</v>
      </c>
      <c r="BC987" s="60" t="s">
        <v>7897</v>
      </c>
      <c r="BD987" s="60" t="s">
        <v>7897</v>
      </c>
      <c r="BE987" s="60" t="s">
        <v>7897</v>
      </c>
      <c r="BF987" s="60" t="s">
        <v>7897</v>
      </c>
      <c r="BG987" s="60" t="s">
        <v>7897</v>
      </c>
      <c r="BH987" s="60" t="s">
        <v>7897</v>
      </c>
      <c r="BI987" s="60" t="s">
        <v>7897</v>
      </c>
      <c r="BJ987" s="60" t="s">
        <v>7897</v>
      </c>
      <c r="BK987" s="60" t="s">
        <v>7897</v>
      </c>
      <c r="BL987" s="60" t="s">
        <v>7897</v>
      </c>
      <c r="BM987" s="60" t="s">
        <v>7897</v>
      </c>
      <c r="BN987" s="60" t="s">
        <v>7897</v>
      </c>
      <c r="BO987" s="60" t="s">
        <v>7897</v>
      </c>
      <c r="BP987" s="60" t="s">
        <v>7897</v>
      </c>
      <c r="BQ987" s="60" t="s">
        <v>7897</v>
      </c>
      <c r="BR987" s="60" t="s">
        <v>7897</v>
      </c>
      <c r="BS987" s="60" t="s">
        <v>7897</v>
      </c>
      <c r="BT987" s="60" t="s">
        <v>7897</v>
      </c>
      <c r="BU987" s="60" t="s">
        <v>7897</v>
      </c>
      <c r="BV987" s="60" t="s">
        <v>7897</v>
      </c>
      <c r="BW987" s="60" t="s">
        <v>7897</v>
      </c>
      <c r="BX987" s="60" t="s">
        <v>7897</v>
      </c>
      <c r="BY987" s="60" t="s">
        <v>7897</v>
      </c>
      <c r="BZ987" s="60" t="s">
        <v>7897</v>
      </c>
      <c r="CA987" s="60" t="s">
        <v>7897</v>
      </c>
      <c r="CB987" s="60" t="s">
        <v>7897</v>
      </c>
      <c r="CC987" s="60" t="s">
        <v>7897</v>
      </c>
      <c r="CD987" s="60" t="s">
        <v>7897</v>
      </c>
      <c r="CE987" s="60" t="s">
        <v>7897</v>
      </c>
      <c r="CF987" s="60" t="s">
        <v>7897</v>
      </c>
      <c r="CG987" s="60" t="s">
        <v>7897</v>
      </c>
      <c r="CH987" s="60" t="s">
        <v>7897</v>
      </c>
      <c r="CI987" s="60" t="s">
        <v>7897</v>
      </c>
      <c r="CJ987" s="60" t="s">
        <v>7897</v>
      </c>
      <c r="CK987" s="60" t="s">
        <v>7897</v>
      </c>
      <c r="CL987" s="60" t="s">
        <v>7897</v>
      </c>
      <c r="CM987" s="60" t="s">
        <v>7897</v>
      </c>
      <c r="CN987" s="60" t="s">
        <v>7897</v>
      </c>
      <c r="CO987" s="60" t="s">
        <v>7897</v>
      </c>
      <c r="CP987" s="60" t="s">
        <v>7897</v>
      </c>
      <c r="CQ987" s="60" t="s">
        <v>7897</v>
      </c>
      <c r="CR987" s="60" t="s">
        <v>7897</v>
      </c>
      <c r="CS987" s="60" t="s">
        <v>7897</v>
      </c>
      <c r="CT987" s="60" t="s">
        <v>7897</v>
      </c>
      <c r="CU987" s="60" t="s">
        <v>7897</v>
      </c>
      <c r="CV987" s="60" t="s">
        <v>7897</v>
      </c>
      <c r="CW987" s="60" t="s">
        <v>7897</v>
      </c>
      <c r="CX987" s="60" t="s">
        <v>7897</v>
      </c>
      <c r="CY987" s="60" t="s">
        <v>7897</v>
      </c>
      <c r="CZ987" s="60" t="s">
        <v>7897</v>
      </c>
      <c r="DA987" s="60" t="s">
        <v>7897</v>
      </c>
      <c r="DB987" s="60" t="s">
        <v>7897</v>
      </c>
      <c r="DG987" s="9" t="e">
        <f t="shared" si="15"/>
        <v>#NUM!</v>
      </c>
      <c r="DR987" s="33">
        <v>2</v>
      </c>
    </row>
    <row r="988" spans="1:125" s="33" customFormat="1" x14ac:dyDescent="0.2">
      <c r="A988" s="162" t="s">
        <v>7898</v>
      </c>
      <c r="B988" s="32">
        <v>43802</v>
      </c>
      <c r="C988" s="162" t="s">
        <v>196</v>
      </c>
      <c r="D988" s="162">
        <v>64</v>
      </c>
      <c r="E988" s="162" t="s">
        <v>2777</v>
      </c>
      <c r="F988" s="32">
        <v>43706</v>
      </c>
      <c r="G988" s="162" t="s">
        <v>2495</v>
      </c>
      <c r="H988" s="162" t="s">
        <v>5495</v>
      </c>
      <c r="I988" s="162" t="s">
        <v>500</v>
      </c>
      <c r="J988" s="162" t="s">
        <v>500</v>
      </c>
      <c r="K988" s="32">
        <v>29626</v>
      </c>
      <c r="L988" s="31">
        <v>6</v>
      </c>
      <c r="M988" s="162" t="s">
        <v>99</v>
      </c>
      <c r="N988" s="162" t="s">
        <v>7899</v>
      </c>
      <c r="O988" s="162" t="s">
        <v>500</v>
      </c>
      <c r="P988" s="162" t="s">
        <v>99</v>
      </c>
      <c r="Q988" s="162" t="s">
        <v>99</v>
      </c>
      <c r="R988" s="162" t="s">
        <v>99</v>
      </c>
      <c r="S988" s="162" t="s">
        <v>99</v>
      </c>
      <c r="T988" s="162" t="s">
        <v>99</v>
      </c>
      <c r="U988" s="162" t="s">
        <v>110</v>
      </c>
      <c r="V988" s="162" t="s">
        <v>99</v>
      </c>
      <c r="W988" s="162" t="s">
        <v>99</v>
      </c>
      <c r="X988" s="162" t="s">
        <v>99</v>
      </c>
      <c r="Y988" s="162" t="s">
        <v>99</v>
      </c>
      <c r="Z988" s="162" t="s">
        <v>99</v>
      </c>
      <c r="AA988" s="162" t="s">
        <v>100</v>
      </c>
      <c r="AB988" s="162" t="s">
        <v>100</v>
      </c>
      <c r="AC988" s="162" t="s">
        <v>500</v>
      </c>
      <c r="AD988" s="162" t="s">
        <v>500</v>
      </c>
      <c r="AE988" s="162" t="s">
        <v>99</v>
      </c>
      <c r="AF988" s="162" t="s">
        <v>99</v>
      </c>
      <c r="AG988" s="162" t="s">
        <v>99</v>
      </c>
      <c r="AH988" s="145" t="s">
        <v>99</v>
      </c>
      <c r="AI988" s="162" t="s">
        <v>5954</v>
      </c>
      <c r="AJ988" s="60" t="s">
        <v>99</v>
      </c>
      <c r="AK988" s="60" t="s">
        <v>99</v>
      </c>
      <c r="AL988" s="60">
        <v>62.8</v>
      </c>
      <c r="AM988" s="60">
        <v>160</v>
      </c>
      <c r="AN988" s="146">
        <v>70</v>
      </c>
      <c r="AO988" s="60">
        <v>100</v>
      </c>
      <c r="AP988" s="60">
        <v>39.200000000000003</v>
      </c>
      <c r="AQ988" s="60">
        <v>8</v>
      </c>
      <c r="AR988" s="60">
        <v>24.2</v>
      </c>
      <c r="AS988" s="60">
        <v>57</v>
      </c>
      <c r="AT988" s="146">
        <v>24.5</v>
      </c>
      <c r="AU988" s="60">
        <v>103</v>
      </c>
      <c r="AV988" s="60">
        <v>86</v>
      </c>
      <c r="AW988" s="60" t="s">
        <v>176</v>
      </c>
      <c r="AX988" s="60" t="s">
        <v>500</v>
      </c>
      <c r="AY988" s="60" t="s">
        <v>500</v>
      </c>
      <c r="AZ988" s="60" t="s">
        <v>500</v>
      </c>
      <c r="BA988" s="60" t="s">
        <v>351</v>
      </c>
      <c r="BB988" s="60" t="s">
        <v>500</v>
      </c>
      <c r="BC988" s="60" t="s">
        <v>500</v>
      </c>
      <c r="BD988" s="60" t="s">
        <v>500</v>
      </c>
      <c r="BE988" s="60" t="s">
        <v>110</v>
      </c>
      <c r="BF988" s="60" t="s">
        <v>176</v>
      </c>
      <c r="BG988" s="60" t="s">
        <v>176</v>
      </c>
      <c r="BH988" s="60" t="s">
        <v>176</v>
      </c>
      <c r="BI988" s="60" t="s">
        <v>5411</v>
      </c>
      <c r="BJ988" s="60" t="s">
        <v>176</v>
      </c>
      <c r="BK988" s="60" t="s">
        <v>99</v>
      </c>
      <c r="BL988" s="60" t="s">
        <v>110</v>
      </c>
      <c r="BM988" s="60" t="s">
        <v>212</v>
      </c>
      <c r="BN988" s="60" t="s">
        <v>500</v>
      </c>
      <c r="BO988" s="60" t="s">
        <v>500</v>
      </c>
      <c r="BP988" s="60" t="s">
        <v>500</v>
      </c>
      <c r="BQ988" s="60" t="s">
        <v>99</v>
      </c>
      <c r="BR988" s="60" t="s">
        <v>500</v>
      </c>
      <c r="BS988" s="60" t="s">
        <v>500</v>
      </c>
      <c r="BT988" s="60" t="s">
        <v>500</v>
      </c>
      <c r="BU988" s="60" t="s">
        <v>99</v>
      </c>
      <c r="BV988" s="60" t="s">
        <v>500</v>
      </c>
      <c r="BW988" s="60" t="s">
        <v>500</v>
      </c>
      <c r="BX988" s="60" t="s">
        <v>500</v>
      </c>
      <c r="BY988" s="60" t="s">
        <v>350</v>
      </c>
      <c r="BZ988" s="60" t="s">
        <v>213</v>
      </c>
      <c r="CA988" s="60" t="s">
        <v>500</v>
      </c>
      <c r="CB988" s="60" t="s">
        <v>500</v>
      </c>
      <c r="CC988" s="60" t="s">
        <v>99</v>
      </c>
      <c r="CD988" s="60" t="s">
        <v>500</v>
      </c>
      <c r="CE988" s="60" t="s">
        <v>500</v>
      </c>
      <c r="CF988" s="60" t="s">
        <v>500</v>
      </c>
      <c r="CG988" s="60" t="s">
        <v>99</v>
      </c>
      <c r="CH988" s="60" t="s">
        <v>500</v>
      </c>
      <c r="CI988" s="60" t="s">
        <v>500</v>
      </c>
      <c r="CJ988" s="60" t="s">
        <v>500</v>
      </c>
      <c r="CK988" s="60" t="s">
        <v>176</v>
      </c>
      <c r="CL988" s="60" t="s">
        <v>579</v>
      </c>
      <c r="CM988" s="60" t="s">
        <v>500</v>
      </c>
      <c r="CN988" s="60" t="s">
        <v>500</v>
      </c>
      <c r="CO988" s="60" t="s">
        <v>350</v>
      </c>
      <c r="CP988" s="60" t="s">
        <v>500</v>
      </c>
      <c r="CQ988" s="60" t="s">
        <v>500</v>
      </c>
      <c r="CR988" s="60" t="s">
        <v>500</v>
      </c>
      <c r="CS988" s="60" t="s">
        <v>350</v>
      </c>
      <c r="CT988" s="60" t="s">
        <v>500</v>
      </c>
      <c r="CU988" s="60" t="s">
        <v>500</v>
      </c>
      <c r="CV988" s="60" t="s">
        <v>500</v>
      </c>
      <c r="CW988" s="60" t="s">
        <v>5467</v>
      </c>
      <c r="CX988" s="60" t="s">
        <v>99</v>
      </c>
      <c r="CY988" s="60" t="s">
        <v>99</v>
      </c>
      <c r="CZ988" s="178">
        <v>30</v>
      </c>
      <c r="DA988" s="31">
        <v>30</v>
      </c>
      <c r="DB988" s="31">
        <v>40</v>
      </c>
      <c r="DC988">
        <v>69.400000000000006</v>
      </c>
      <c r="DD988">
        <v>0.32</v>
      </c>
      <c r="DE988">
        <v>248</v>
      </c>
      <c r="DF988">
        <v>86</v>
      </c>
      <c r="DG988" s="9">
        <f t="shared" si="15"/>
        <v>4.3471170818831331</v>
      </c>
      <c r="DH988">
        <v>17.2</v>
      </c>
      <c r="DI988">
        <v>4.87</v>
      </c>
      <c r="DJ988"/>
      <c r="DK988"/>
      <c r="DL988">
        <v>66.900000000000006</v>
      </c>
      <c r="DM988">
        <v>163.9</v>
      </c>
    </row>
    <row r="989" spans="1:125" s="33" customFormat="1" x14ac:dyDescent="0.2">
      <c r="A989" s="157" t="s">
        <v>7900</v>
      </c>
      <c r="B989" s="179">
        <v>43802</v>
      </c>
      <c r="C989" s="140" t="s">
        <v>196</v>
      </c>
      <c r="D989" s="140">
        <v>62</v>
      </c>
      <c r="E989" s="140" t="s">
        <v>100</v>
      </c>
      <c r="F989" s="179">
        <v>20908</v>
      </c>
      <c r="G989" s="140" t="s">
        <v>500</v>
      </c>
      <c r="H989" s="140" t="s">
        <v>7901</v>
      </c>
      <c r="I989" s="140" t="s">
        <v>500</v>
      </c>
      <c r="J989" s="140" t="s">
        <v>500</v>
      </c>
      <c r="K989" s="179">
        <v>30466</v>
      </c>
      <c r="L989" s="140">
        <v>5</v>
      </c>
      <c r="M989" s="140" t="s">
        <v>99</v>
      </c>
      <c r="N989" s="140" t="s">
        <v>99</v>
      </c>
      <c r="O989" s="140" t="s">
        <v>99</v>
      </c>
      <c r="P989" s="140" t="s">
        <v>99</v>
      </c>
      <c r="Q989" s="140" t="s">
        <v>99</v>
      </c>
      <c r="R989" s="140" t="s">
        <v>99</v>
      </c>
      <c r="S989" s="140" t="s">
        <v>99</v>
      </c>
      <c r="T989" s="140" t="s">
        <v>99</v>
      </c>
      <c r="U989" s="140" t="s">
        <v>99</v>
      </c>
      <c r="V989" s="140" t="s">
        <v>7902</v>
      </c>
      <c r="W989" s="140" t="s">
        <v>99</v>
      </c>
      <c r="X989" s="140" t="s">
        <v>99</v>
      </c>
      <c r="Y989" s="140" t="s">
        <v>99</v>
      </c>
      <c r="Z989" s="140" t="s">
        <v>7903</v>
      </c>
      <c r="AA989" s="140" t="s">
        <v>100</v>
      </c>
      <c r="AB989" s="140" t="s">
        <v>100</v>
      </c>
      <c r="AC989" s="140" t="s">
        <v>100</v>
      </c>
      <c r="AD989" s="140" t="s">
        <v>100</v>
      </c>
      <c r="AE989" s="140" t="s">
        <v>99</v>
      </c>
      <c r="AF989" s="140" t="s">
        <v>110</v>
      </c>
      <c r="AG989" s="140" t="s">
        <v>99</v>
      </c>
      <c r="AH989" s="180" t="s">
        <v>99</v>
      </c>
      <c r="AI989" s="140" t="s">
        <v>99</v>
      </c>
      <c r="AJ989" s="30" t="s">
        <v>99</v>
      </c>
      <c r="AK989" s="30" t="s">
        <v>99</v>
      </c>
      <c r="AL989" s="30">
        <v>70.8</v>
      </c>
      <c r="AM989" s="30">
        <v>147</v>
      </c>
      <c r="AN989" s="30">
        <v>93</v>
      </c>
      <c r="AO989" s="30">
        <v>111</v>
      </c>
      <c r="AP989" s="30">
        <v>45.9</v>
      </c>
      <c r="AQ989" s="30">
        <v>12</v>
      </c>
      <c r="AR989" s="30">
        <v>23.7</v>
      </c>
      <c r="AS989" s="30">
        <v>75</v>
      </c>
      <c r="AT989" s="30">
        <v>32.799999999999997</v>
      </c>
      <c r="AU989" s="10">
        <v>131</v>
      </c>
      <c r="AV989" s="30">
        <v>68</v>
      </c>
      <c r="AW989" s="30" t="s">
        <v>110</v>
      </c>
      <c r="AX989" s="30" t="s">
        <v>5826</v>
      </c>
      <c r="AY989" s="30" t="s">
        <v>500</v>
      </c>
      <c r="AZ989" s="30" t="s">
        <v>500</v>
      </c>
      <c r="BA989" s="30" t="s">
        <v>110</v>
      </c>
      <c r="BB989" s="30" t="s">
        <v>7904</v>
      </c>
      <c r="BC989" s="30" t="s">
        <v>500</v>
      </c>
      <c r="BD989" s="30" t="s">
        <v>500</v>
      </c>
      <c r="BE989" s="30" t="s">
        <v>110</v>
      </c>
      <c r="BF989" s="30" t="s">
        <v>350</v>
      </c>
      <c r="BG989" s="30" t="s">
        <v>1979</v>
      </c>
      <c r="BH989" s="30" t="s">
        <v>99</v>
      </c>
      <c r="BI989" s="30" t="s">
        <v>99</v>
      </c>
      <c r="BJ989" s="30" t="s">
        <v>1979</v>
      </c>
      <c r="BK989" s="30" t="s">
        <v>5510</v>
      </c>
      <c r="BL989" s="30" t="s">
        <v>110</v>
      </c>
      <c r="BM989" s="30" t="s">
        <v>176</v>
      </c>
      <c r="BN989" s="30" t="s">
        <v>500</v>
      </c>
      <c r="BO989" s="30" t="s">
        <v>500</v>
      </c>
      <c r="BP989" s="30" t="s">
        <v>500</v>
      </c>
      <c r="BQ989" s="30" t="s">
        <v>99</v>
      </c>
      <c r="BR989" s="30" t="s">
        <v>500</v>
      </c>
      <c r="BS989" s="30" t="s">
        <v>500</v>
      </c>
      <c r="BT989" s="30" t="s">
        <v>500</v>
      </c>
      <c r="BU989" s="30" t="s">
        <v>99</v>
      </c>
      <c r="BV989" s="30" t="s">
        <v>500</v>
      </c>
      <c r="BW989" s="30" t="s">
        <v>500</v>
      </c>
      <c r="BX989" s="30" t="s">
        <v>500</v>
      </c>
      <c r="BY989" s="30" t="s">
        <v>351</v>
      </c>
      <c r="BZ989" s="30" t="s">
        <v>500</v>
      </c>
      <c r="CA989" s="30" t="s">
        <v>500</v>
      </c>
      <c r="CB989" s="30" t="s">
        <v>500</v>
      </c>
      <c r="CC989" s="30" t="s">
        <v>99</v>
      </c>
      <c r="CD989" s="30" t="s">
        <v>500</v>
      </c>
      <c r="CE989" s="30" t="s">
        <v>500</v>
      </c>
      <c r="CF989" s="30" t="s">
        <v>500</v>
      </c>
      <c r="CG989" s="30" t="s">
        <v>99</v>
      </c>
      <c r="CH989" s="30" t="s">
        <v>500</v>
      </c>
      <c r="CI989" s="30" t="s">
        <v>500</v>
      </c>
      <c r="CJ989" s="30" t="s">
        <v>500</v>
      </c>
      <c r="CK989" s="30" t="s">
        <v>350</v>
      </c>
      <c r="CL989" s="30" t="s">
        <v>500</v>
      </c>
      <c r="CM989" s="30" t="s">
        <v>500</v>
      </c>
      <c r="CN989" s="30" t="s">
        <v>500</v>
      </c>
      <c r="CO989" s="30" t="s">
        <v>500</v>
      </c>
      <c r="CP989" s="30" t="s">
        <v>500</v>
      </c>
      <c r="CQ989" s="30" t="s">
        <v>500</v>
      </c>
      <c r="CR989" s="30" t="s">
        <v>500</v>
      </c>
      <c r="CS989" s="30" t="s">
        <v>500</v>
      </c>
      <c r="CT989" s="30" t="s">
        <v>500</v>
      </c>
      <c r="CU989" s="30" t="s">
        <v>500</v>
      </c>
      <c r="CV989" s="30" t="s">
        <v>500</v>
      </c>
      <c r="CW989" s="30">
        <v>4</v>
      </c>
      <c r="CX989" s="30" t="s">
        <v>110</v>
      </c>
      <c r="CY989" s="30" t="s">
        <v>99</v>
      </c>
      <c r="CZ989" s="30">
        <v>15</v>
      </c>
      <c r="DA989" s="30">
        <v>10</v>
      </c>
      <c r="DB989" s="30" t="s">
        <v>500</v>
      </c>
      <c r="DC989" s="30">
        <v>76.7</v>
      </c>
      <c r="DD989" s="30">
        <v>1.03</v>
      </c>
      <c r="DE989" s="30">
        <v>152</v>
      </c>
      <c r="DF989" s="10">
        <v>181</v>
      </c>
      <c r="DG989" s="9">
        <f t="shared" si="15"/>
        <v>4.7691993698195185</v>
      </c>
      <c r="DH989" s="30">
        <v>36.200000000000003</v>
      </c>
      <c r="DI989" s="30">
        <v>5.37</v>
      </c>
      <c r="DJ989" s="30"/>
      <c r="DK989" s="30"/>
      <c r="DL989" s="10">
        <v>44.4</v>
      </c>
      <c r="DM989" s="30">
        <v>71.400000000000006</v>
      </c>
      <c r="DN989" s="30"/>
      <c r="DO989" s="30"/>
      <c r="DR989" s="33">
        <v>3</v>
      </c>
    </row>
    <row r="990" spans="1:125" s="33" customFormat="1" x14ac:dyDescent="0.2">
      <c r="A990" s="162" t="s">
        <v>7905</v>
      </c>
      <c r="B990" s="32">
        <v>43802</v>
      </c>
      <c r="C990" s="162" t="s">
        <v>196</v>
      </c>
      <c r="D990" s="162">
        <v>44</v>
      </c>
      <c r="E990" s="162" t="s">
        <v>100</v>
      </c>
      <c r="F990" s="32">
        <v>27393</v>
      </c>
      <c r="G990" s="162" t="s">
        <v>7906</v>
      </c>
      <c r="H990" s="162" t="s">
        <v>7907</v>
      </c>
      <c r="I990" s="162" t="s">
        <v>3596</v>
      </c>
      <c r="J990" s="162" t="s">
        <v>500</v>
      </c>
      <c r="K990" s="31">
        <v>2000</v>
      </c>
      <c r="L990" s="31">
        <v>3</v>
      </c>
      <c r="M990" s="162" t="s">
        <v>99</v>
      </c>
      <c r="N990" s="162" t="s">
        <v>99</v>
      </c>
      <c r="O990" s="162" t="s">
        <v>99</v>
      </c>
      <c r="P990" s="162" t="s">
        <v>99</v>
      </c>
      <c r="Q990" s="162" t="s">
        <v>99</v>
      </c>
      <c r="R990" s="162" t="s">
        <v>99</v>
      </c>
      <c r="S990" s="162" t="s">
        <v>110</v>
      </c>
      <c r="T990" s="162" t="s">
        <v>99</v>
      </c>
      <c r="U990" s="162" t="s">
        <v>99</v>
      </c>
      <c r="V990" s="162" t="s">
        <v>99</v>
      </c>
      <c r="W990" s="162" t="s">
        <v>99</v>
      </c>
      <c r="X990" s="162" t="s">
        <v>99</v>
      </c>
      <c r="Y990" s="162" t="s">
        <v>6037</v>
      </c>
      <c r="Z990" s="162" t="s">
        <v>99</v>
      </c>
      <c r="AA990" s="162" t="s">
        <v>100</v>
      </c>
      <c r="AB990" s="162" t="s">
        <v>100</v>
      </c>
      <c r="AC990" s="162" t="s">
        <v>5409</v>
      </c>
      <c r="AD990" s="162" t="s">
        <v>5409</v>
      </c>
      <c r="AE990" s="162" t="s">
        <v>99</v>
      </c>
      <c r="AF990" s="162" t="s">
        <v>110</v>
      </c>
      <c r="AG990" s="162" t="s">
        <v>5545</v>
      </c>
      <c r="AH990" s="145" t="s">
        <v>1127</v>
      </c>
      <c r="AI990" s="162" t="s">
        <v>5545</v>
      </c>
      <c r="AJ990" s="60" t="s">
        <v>99</v>
      </c>
      <c r="AK990" s="60" t="s">
        <v>7908</v>
      </c>
      <c r="AL990" s="60">
        <v>67.900000000000006</v>
      </c>
      <c r="AM990" s="60">
        <v>162</v>
      </c>
      <c r="AN990" s="60">
        <v>84</v>
      </c>
      <c r="AO990" s="60">
        <v>107</v>
      </c>
      <c r="AP990" s="60">
        <v>41.1</v>
      </c>
      <c r="AQ990" s="60">
        <v>7</v>
      </c>
      <c r="AR990" s="60">
        <v>24.3</v>
      </c>
      <c r="AS990" s="60">
        <v>49</v>
      </c>
      <c r="AT990" s="60">
        <v>25.9</v>
      </c>
      <c r="AU990" s="139">
        <v>137</v>
      </c>
      <c r="AV990" s="139">
        <v>100</v>
      </c>
      <c r="AW990" s="60" t="s">
        <v>350</v>
      </c>
      <c r="AX990" s="60" t="s">
        <v>7909</v>
      </c>
      <c r="AY990" s="60" t="s">
        <v>500</v>
      </c>
      <c r="AZ990" s="60" t="s">
        <v>500</v>
      </c>
      <c r="BA990" s="60" t="s">
        <v>5848</v>
      </c>
      <c r="BB990" s="60" t="s">
        <v>500</v>
      </c>
      <c r="BC990" s="60" t="s">
        <v>500</v>
      </c>
      <c r="BD990" s="60" t="s">
        <v>500</v>
      </c>
      <c r="BE990" s="60" t="s">
        <v>110</v>
      </c>
      <c r="BF990" s="60" t="s">
        <v>5872</v>
      </c>
      <c r="BG990" s="60" t="s">
        <v>213</v>
      </c>
      <c r="BH990" s="60" t="s">
        <v>1469</v>
      </c>
      <c r="BI990" s="60" t="s">
        <v>212</v>
      </c>
      <c r="BJ990" s="60" t="s">
        <v>212</v>
      </c>
      <c r="BK990" s="60" t="s">
        <v>99</v>
      </c>
      <c r="BL990" s="60" t="s">
        <v>110</v>
      </c>
      <c r="BM990" s="60" t="s">
        <v>212</v>
      </c>
      <c r="BN990" s="60" t="s">
        <v>500</v>
      </c>
      <c r="BO990" s="60" t="s">
        <v>500</v>
      </c>
      <c r="BP990" s="60" t="s">
        <v>500</v>
      </c>
      <c r="BQ990" s="60" t="s">
        <v>99</v>
      </c>
      <c r="BR990" s="60" t="s">
        <v>500</v>
      </c>
      <c r="BS990" s="60" t="s">
        <v>500</v>
      </c>
      <c r="BT990" s="60" t="s">
        <v>500</v>
      </c>
      <c r="BU990" s="60" t="s">
        <v>99</v>
      </c>
      <c r="BV990" s="60" t="s">
        <v>500</v>
      </c>
      <c r="BW990" s="60" t="s">
        <v>500</v>
      </c>
      <c r="BX990" s="60" t="s">
        <v>500</v>
      </c>
      <c r="BY990" s="60" t="s">
        <v>350</v>
      </c>
      <c r="BZ990" s="60" t="s">
        <v>212</v>
      </c>
      <c r="CA990" s="60" t="s">
        <v>500</v>
      </c>
      <c r="CB990" s="60" t="s">
        <v>500</v>
      </c>
      <c r="CC990" s="60" t="s">
        <v>99</v>
      </c>
      <c r="CD990" s="60" t="s">
        <v>500</v>
      </c>
      <c r="CE990" s="60" t="s">
        <v>500</v>
      </c>
      <c r="CF990" s="60" t="s">
        <v>500</v>
      </c>
      <c r="CG990" s="60" t="s">
        <v>99</v>
      </c>
      <c r="CH990" s="60" t="s">
        <v>500</v>
      </c>
      <c r="CI990" s="60" t="s">
        <v>500</v>
      </c>
      <c r="CJ990" s="60" t="s">
        <v>500</v>
      </c>
      <c r="CK990" s="60" t="s">
        <v>176</v>
      </c>
      <c r="CL990" s="60" t="s">
        <v>579</v>
      </c>
      <c r="CM990" s="60" t="s">
        <v>500</v>
      </c>
      <c r="CN990" s="60" t="s">
        <v>500</v>
      </c>
      <c r="CO990" s="60" t="s">
        <v>350</v>
      </c>
      <c r="CP990" s="60" t="s">
        <v>362</v>
      </c>
      <c r="CQ990" s="60" t="s">
        <v>500</v>
      </c>
      <c r="CR990" s="60" t="s">
        <v>500</v>
      </c>
      <c r="CS990" s="60" t="s">
        <v>176</v>
      </c>
      <c r="CT990" s="60" t="s">
        <v>500</v>
      </c>
      <c r="CU990" s="60" t="s">
        <v>500</v>
      </c>
      <c r="CV990" s="60" t="s">
        <v>500</v>
      </c>
      <c r="CW990" s="60" t="s">
        <v>6110</v>
      </c>
      <c r="CX990" s="60" t="s">
        <v>99</v>
      </c>
      <c r="CY990" s="60" t="s">
        <v>99</v>
      </c>
      <c r="CZ990" s="178">
        <v>50</v>
      </c>
      <c r="DA990" s="31">
        <v>10</v>
      </c>
      <c r="DB990" s="31">
        <v>40</v>
      </c>
      <c r="DC990" s="33">
        <v>77.099999999999994</v>
      </c>
      <c r="DD990" s="33">
        <v>0.31</v>
      </c>
      <c r="DE990" s="33">
        <v>188</v>
      </c>
      <c r="DF990" s="33">
        <v>63</v>
      </c>
      <c r="DG990" s="9">
        <f t="shared" si="15"/>
        <v>4.2441190034804084</v>
      </c>
      <c r="DH990" s="33">
        <v>12.6</v>
      </c>
      <c r="DI990" s="33">
        <v>4.38</v>
      </c>
      <c r="DL990" s="33">
        <v>67.099999999999994</v>
      </c>
      <c r="DM990" s="33">
        <v>108.3</v>
      </c>
      <c r="DR990" s="33">
        <v>2</v>
      </c>
    </row>
    <row r="991" spans="1:125" s="33" customFormat="1" x14ac:dyDescent="0.2">
      <c r="A991" s="181" t="s">
        <v>7910</v>
      </c>
      <c r="B991" s="32">
        <v>43802</v>
      </c>
      <c r="C991" s="162" t="s">
        <v>196</v>
      </c>
      <c r="D991" s="162">
        <v>48</v>
      </c>
      <c r="E991" s="162" t="s">
        <v>100</v>
      </c>
      <c r="F991" s="32">
        <v>26121</v>
      </c>
      <c r="G991" s="162" t="s">
        <v>500</v>
      </c>
      <c r="H991" s="162" t="s">
        <v>7911</v>
      </c>
      <c r="I991" s="162" t="s">
        <v>1594</v>
      </c>
      <c r="J991" s="162" t="s">
        <v>500</v>
      </c>
      <c r="K991" s="32">
        <v>37739</v>
      </c>
      <c r="L991" s="31">
        <v>2</v>
      </c>
      <c r="M991" s="162" t="s">
        <v>99</v>
      </c>
      <c r="N991" s="162" t="s">
        <v>99</v>
      </c>
      <c r="O991" s="162" t="s">
        <v>99</v>
      </c>
      <c r="P991" s="162" t="s">
        <v>99</v>
      </c>
      <c r="Q991" s="162" t="s">
        <v>99</v>
      </c>
      <c r="R991" s="162" t="s">
        <v>99</v>
      </c>
      <c r="S991" s="162" t="s">
        <v>99</v>
      </c>
      <c r="T991" s="162" t="s">
        <v>110</v>
      </c>
      <c r="U991" s="162" t="s">
        <v>110</v>
      </c>
      <c r="V991" s="162" t="s">
        <v>99</v>
      </c>
      <c r="W991" s="162" t="s">
        <v>99</v>
      </c>
      <c r="X991" s="162" t="s">
        <v>99</v>
      </c>
      <c r="Y991" s="162" t="s">
        <v>99</v>
      </c>
      <c r="Z991" s="162" t="s">
        <v>99</v>
      </c>
      <c r="AA991" s="162" t="s">
        <v>100</v>
      </c>
      <c r="AB991" s="162" t="s">
        <v>100</v>
      </c>
      <c r="AC991" s="162" t="s">
        <v>100</v>
      </c>
      <c r="AD991" s="162" t="s">
        <v>100</v>
      </c>
      <c r="AE991" s="162" t="s">
        <v>1127</v>
      </c>
      <c r="AF991" s="162" t="s">
        <v>1127</v>
      </c>
      <c r="AG991" s="162" t="s">
        <v>7912</v>
      </c>
      <c r="AH991" s="145" t="s">
        <v>99</v>
      </c>
      <c r="AI991" s="162" t="s">
        <v>1127</v>
      </c>
      <c r="AJ991" s="60" t="s">
        <v>99</v>
      </c>
      <c r="AK991" s="60" t="s">
        <v>99</v>
      </c>
      <c r="AL991" s="60">
        <v>68.900000000000006</v>
      </c>
      <c r="AM991" s="60">
        <v>170</v>
      </c>
      <c r="AN991" s="146">
        <v>76</v>
      </c>
      <c r="AO991" s="60">
        <v>101</v>
      </c>
      <c r="AP991" s="60">
        <v>28.3</v>
      </c>
      <c r="AQ991" s="60">
        <v>6</v>
      </c>
      <c r="AR991" s="60">
        <v>31.7</v>
      </c>
      <c r="AS991" s="60">
        <v>39</v>
      </c>
      <c r="AT991" s="146">
        <v>23.8</v>
      </c>
      <c r="AU991" s="60">
        <v>118</v>
      </c>
      <c r="AV991" s="60">
        <v>69</v>
      </c>
      <c r="AW991" s="60" t="s">
        <v>176</v>
      </c>
      <c r="AX991" s="60" t="s">
        <v>500</v>
      </c>
      <c r="AY991" s="60" t="s">
        <v>500</v>
      </c>
      <c r="AZ991" s="60" t="s">
        <v>500</v>
      </c>
      <c r="BA991" s="60" t="s">
        <v>351</v>
      </c>
      <c r="BB991" s="60" t="s">
        <v>500</v>
      </c>
      <c r="BC991" s="60" t="s">
        <v>500</v>
      </c>
      <c r="BD991" s="60" t="s">
        <v>500</v>
      </c>
      <c r="BE991" s="60" t="s">
        <v>110</v>
      </c>
      <c r="BF991" s="60" t="s">
        <v>176</v>
      </c>
      <c r="BG991" s="60" t="s">
        <v>1469</v>
      </c>
      <c r="BH991" s="60" t="s">
        <v>213</v>
      </c>
      <c r="BI991" s="60" t="s">
        <v>176</v>
      </c>
      <c r="BJ991" s="60" t="s">
        <v>176</v>
      </c>
      <c r="BK991" s="60" t="s">
        <v>1469</v>
      </c>
      <c r="BL991" s="60" t="s">
        <v>110</v>
      </c>
      <c r="BM991" s="60" t="s">
        <v>5441</v>
      </c>
      <c r="BN991" s="60" t="s">
        <v>500</v>
      </c>
      <c r="BO991" s="60" t="s">
        <v>500</v>
      </c>
      <c r="BP991" s="60" t="s">
        <v>500</v>
      </c>
      <c r="BQ991" s="60" t="s">
        <v>99</v>
      </c>
      <c r="BR991" s="60" t="s">
        <v>500</v>
      </c>
      <c r="BS991" s="60" t="s">
        <v>500</v>
      </c>
      <c r="BT991" s="60" t="s">
        <v>500</v>
      </c>
      <c r="BU991" s="60" t="s">
        <v>99</v>
      </c>
      <c r="BV991" s="60" t="s">
        <v>500</v>
      </c>
      <c r="BW991" s="60" t="s">
        <v>500</v>
      </c>
      <c r="BX991" s="60" t="s">
        <v>500</v>
      </c>
      <c r="BY991" s="60" t="s">
        <v>351</v>
      </c>
      <c r="BZ991" s="60" t="s">
        <v>500</v>
      </c>
      <c r="CA991" s="60" t="s">
        <v>500</v>
      </c>
      <c r="CB991" s="60" t="s">
        <v>500</v>
      </c>
      <c r="CC991" s="60" t="s">
        <v>99</v>
      </c>
      <c r="CD991" s="60" t="s">
        <v>500</v>
      </c>
      <c r="CE991" s="60" t="s">
        <v>500</v>
      </c>
      <c r="CF991" s="60" t="s">
        <v>500</v>
      </c>
      <c r="CG991" s="60" t="s">
        <v>99</v>
      </c>
      <c r="CH991" s="60" t="s">
        <v>500</v>
      </c>
      <c r="CI991" s="60" t="s">
        <v>500</v>
      </c>
      <c r="CJ991" s="60" t="s">
        <v>500</v>
      </c>
      <c r="CK991" s="60" t="s">
        <v>176</v>
      </c>
      <c r="CL991" s="60" t="s">
        <v>579</v>
      </c>
      <c r="CM991" s="60" t="s">
        <v>500</v>
      </c>
      <c r="CN991" s="60" t="s">
        <v>500</v>
      </c>
      <c r="CO991" s="60" t="s">
        <v>350</v>
      </c>
      <c r="CP991" s="60" t="s">
        <v>500</v>
      </c>
      <c r="CQ991" s="60" t="s">
        <v>500</v>
      </c>
      <c r="CR991" s="60" t="s">
        <v>500</v>
      </c>
      <c r="CS991" s="60" t="s">
        <v>176</v>
      </c>
      <c r="CT991" s="60" t="s">
        <v>7913</v>
      </c>
      <c r="CU991" s="60" t="s">
        <v>500</v>
      </c>
      <c r="CV991" s="60" t="s">
        <v>500</v>
      </c>
      <c r="CW991" s="31">
        <v>3</v>
      </c>
      <c r="CX991" s="60" t="s">
        <v>99</v>
      </c>
      <c r="CY991" s="60" t="s">
        <v>110</v>
      </c>
      <c r="CZ991" s="178">
        <v>40</v>
      </c>
      <c r="DA991" s="31">
        <v>20</v>
      </c>
      <c r="DB991" s="31">
        <v>10</v>
      </c>
      <c r="DC991" s="33">
        <v>79.900000000000006</v>
      </c>
      <c r="DD991" s="33">
        <v>0.84</v>
      </c>
      <c r="DE991" s="33">
        <v>156</v>
      </c>
      <c r="DF991" s="33">
        <v>68</v>
      </c>
      <c r="DG991" s="9">
        <f t="shared" si="15"/>
        <v>4.3001417789741678</v>
      </c>
      <c r="DH991" s="33">
        <v>13.6</v>
      </c>
      <c r="DI991" s="33">
        <v>3.23</v>
      </c>
      <c r="DL991" s="33">
        <v>62</v>
      </c>
      <c r="DM991" s="33">
        <v>80</v>
      </c>
      <c r="DP991" s="33">
        <v>1</v>
      </c>
      <c r="DR991" s="33">
        <v>2</v>
      </c>
      <c r="DU991" s="33">
        <v>7.1</v>
      </c>
    </row>
    <row r="992" spans="1:125" s="33" customFormat="1" x14ac:dyDescent="0.2">
      <c r="A992" s="163" t="s">
        <v>7914</v>
      </c>
      <c r="B992" s="182">
        <v>43802</v>
      </c>
      <c r="C992" s="162" t="s">
        <v>675</v>
      </c>
      <c r="D992" s="162">
        <v>27</v>
      </c>
      <c r="E992" s="162" t="s">
        <v>100</v>
      </c>
      <c r="F992" s="32">
        <v>33640</v>
      </c>
      <c r="G992" s="162" t="s">
        <v>837</v>
      </c>
      <c r="H992" s="162" t="s">
        <v>7106</v>
      </c>
      <c r="I992" s="162" t="s">
        <v>500</v>
      </c>
      <c r="J992" s="162" t="s">
        <v>500</v>
      </c>
      <c r="K992" s="162" t="s">
        <v>500</v>
      </c>
      <c r="L992" s="162" t="s">
        <v>500</v>
      </c>
      <c r="M992" s="162" t="s">
        <v>99</v>
      </c>
      <c r="N992" s="162" t="s">
        <v>99</v>
      </c>
      <c r="O992" s="162" t="s">
        <v>99</v>
      </c>
      <c r="P992" s="162" t="s">
        <v>7915</v>
      </c>
      <c r="Q992" s="162" t="s">
        <v>690</v>
      </c>
      <c r="R992" s="162" t="s">
        <v>7916</v>
      </c>
      <c r="S992" s="162" t="s">
        <v>5451</v>
      </c>
      <c r="T992" s="162" t="s">
        <v>7917</v>
      </c>
      <c r="U992" s="162" t="s">
        <v>99</v>
      </c>
      <c r="V992" s="162" t="s">
        <v>99</v>
      </c>
      <c r="W992" s="162" t="s">
        <v>99</v>
      </c>
      <c r="X992" s="162" t="s">
        <v>99</v>
      </c>
      <c r="Y992" s="162" t="s">
        <v>99</v>
      </c>
      <c r="Z992" s="162" t="s">
        <v>5942</v>
      </c>
      <c r="AA992" s="162" t="s">
        <v>100</v>
      </c>
      <c r="AB992" s="162" t="s">
        <v>100</v>
      </c>
      <c r="AC992" s="162" t="s">
        <v>100</v>
      </c>
      <c r="AD992" s="162" t="s">
        <v>100</v>
      </c>
      <c r="AE992" s="162" t="s">
        <v>99</v>
      </c>
      <c r="AF992" s="162" t="s">
        <v>343</v>
      </c>
      <c r="AG992" s="162" t="s">
        <v>7318</v>
      </c>
      <c r="AH992" s="145" t="s">
        <v>99</v>
      </c>
      <c r="AI992" s="162" t="s">
        <v>99</v>
      </c>
      <c r="AJ992" s="60" t="s">
        <v>99</v>
      </c>
      <c r="AK992" s="60" t="s">
        <v>99</v>
      </c>
      <c r="AL992" s="60">
        <v>74.3</v>
      </c>
      <c r="AM992" s="60">
        <v>167</v>
      </c>
      <c r="AN992" s="60">
        <v>90</v>
      </c>
      <c r="AO992" s="60">
        <v>97</v>
      </c>
      <c r="AP992" s="60">
        <v>28</v>
      </c>
      <c r="AQ992" s="60">
        <v>10</v>
      </c>
      <c r="AR992" s="60">
        <v>35.700000000000003</v>
      </c>
      <c r="AS992" s="60">
        <v>39</v>
      </c>
      <c r="AT992" s="60">
        <v>26.6</v>
      </c>
      <c r="AU992" s="60">
        <v>129</v>
      </c>
      <c r="AV992" s="60">
        <v>76</v>
      </c>
      <c r="AW992" s="60" t="s">
        <v>350</v>
      </c>
      <c r="AX992" s="60" t="s">
        <v>1128</v>
      </c>
      <c r="AY992" s="60" t="s">
        <v>2937</v>
      </c>
      <c r="AZ992" s="60" t="s">
        <v>3844</v>
      </c>
      <c r="BA992" s="60" t="s">
        <v>351</v>
      </c>
      <c r="BB992" s="60" t="s">
        <v>7918</v>
      </c>
      <c r="BC992" s="60" t="s">
        <v>2053</v>
      </c>
      <c r="BD992" s="60" t="s">
        <v>1080</v>
      </c>
      <c r="BE992" s="60" t="s">
        <v>110</v>
      </c>
      <c r="BF992" s="60" t="s">
        <v>212</v>
      </c>
      <c r="BG992" s="60" t="s">
        <v>707</v>
      </c>
      <c r="BH992" s="60" t="s">
        <v>213</v>
      </c>
      <c r="BI992" s="60" t="s">
        <v>176</v>
      </c>
      <c r="BJ992" s="60" t="s">
        <v>5441</v>
      </c>
      <c r="BK992" s="60" t="s">
        <v>682</v>
      </c>
      <c r="BL992" s="60" t="s">
        <v>110</v>
      </c>
      <c r="BM992" s="60" t="s">
        <v>350</v>
      </c>
      <c r="BN992" s="60" t="s">
        <v>179</v>
      </c>
      <c r="BO992" s="60" t="s">
        <v>219</v>
      </c>
      <c r="BP992" s="60" t="s">
        <v>180</v>
      </c>
      <c r="BQ992" s="60" t="s">
        <v>99</v>
      </c>
      <c r="BR992" s="60" t="s">
        <v>500</v>
      </c>
      <c r="BS992" s="60" t="s">
        <v>500</v>
      </c>
      <c r="BT992" s="60" t="s">
        <v>500</v>
      </c>
      <c r="BU992" s="60" t="s">
        <v>99</v>
      </c>
      <c r="BV992" s="60" t="s">
        <v>500</v>
      </c>
      <c r="BW992" s="60" t="s">
        <v>500</v>
      </c>
      <c r="BX992" s="60" t="s">
        <v>500</v>
      </c>
      <c r="BY992" s="60" t="s">
        <v>351</v>
      </c>
      <c r="BZ992" s="60" t="s">
        <v>7919</v>
      </c>
      <c r="CA992" s="60" t="s">
        <v>709</v>
      </c>
      <c r="CB992" s="60" t="s">
        <v>821</v>
      </c>
      <c r="CC992" s="60" t="s">
        <v>99</v>
      </c>
      <c r="CD992" s="60" t="s">
        <v>500</v>
      </c>
      <c r="CE992" s="60" t="s">
        <v>500</v>
      </c>
      <c r="CF992" s="60" t="s">
        <v>500</v>
      </c>
      <c r="CG992" s="60" t="s">
        <v>99</v>
      </c>
      <c r="CH992" s="60" t="s">
        <v>500</v>
      </c>
      <c r="CI992" s="60" t="s">
        <v>500</v>
      </c>
      <c r="CJ992" s="60" t="s">
        <v>500</v>
      </c>
      <c r="CK992" s="60" t="s">
        <v>176</v>
      </c>
      <c r="CL992" s="60" t="s">
        <v>1181</v>
      </c>
      <c r="CM992" s="60" t="s">
        <v>825</v>
      </c>
      <c r="CN992" s="60" t="s">
        <v>7920</v>
      </c>
      <c r="CO992" s="60" t="s">
        <v>176</v>
      </c>
      <c r="CP992" s="60" t="s">
        <v>362</v>
      </c>
      <c r="CQ992" s="60" t="s">
        <v>716</v>
      </c>
      <c r="CR992" s="60" t="s">
        <v>361</v>
      </c>
      <c r="CS992" s="60" t="s">
        <v>350</v>
      </c>
      <c r="CT992" s="60" t="s">
        <v>5305</v>
      </c>
      <c r="CU992" s="60" t="s">
        <v>5199</v>
      </c>
      <c r="CV992" s="60" t="s">
        <v>500</v>
      </c>
      <c r="CW992" s="60">
        <v>3</v>
      </c>
      <c r="CX992" s="60" t="s">
        <v>99</v>
      </c>
      <c r="CY992" s="60" t="s">
        <v>110</v>
      </c>
      <c r="CZ992" s="178">
        <v>60</v>
      </c>
      <c r="DA992" s="31">
        <v>20</v>
      </c>
      <c r="DB992" s="31">
        <v>20</v>
      </c>
      <c r="DC992" s="33">
        <v>86.7</v>
      </c>
      <c r="DD992" s="33">
        <v>1.22</v>
      </c>
      <c r="DE992" s="108">
        <v>223</v>
      </c>
      <c r="DF992" s="108">
        <v>214</v>
      </c>
      <c r="DG992" s="9">
        <f t="shared" si="15"/>
        <v>4.9142149494041742</v>
      </c>
      <c r="DH992" s="33">
        <v>42.8</v>
      </c>
      <c r="DI992" s="108">
        <v>8.51</v>
      </c>
      <c r="DL992" s="108">
        <v>40.200000000000003</v>
      </c>
      <c r="DM992" s="33">
        <v>140</v>
      </c>
    </row>
    <row r="993" spans="1:125" s="33" customFormat="1" x14ac:dyDescent="0.2">
      <c r="A993" s="164" t="s">
        <v>7921</v>
      </c>
      <c r="B993" s="32">
        <v>43802</v>
      </c>
      <c r="C993" s="162" t="s">
        <v>196</v>
      </c>
      <c r="D993" s="162">
        <v>52</v>
      </c>
      <c r="E993" s="162" t="s">
        <v>100</v>
      </c>
      <c r="F993" s="32">
        <v>24612</v>
      </c>
      <c r="G993" s="162" t="s">
        <v>2495</v>
      </c>
      <c r="H993" s="162" t="s">
        <v>5515</v>
      </c>
      <c r="I993" s="162" t="s">
        <v>236</v>
      </c>
      <c r="J993" s="162" t="s">
        <v>2857</v>
      </c>
      <c r="K993" s="145" t="s">
        <v>7922</v>
      </c>
      <c r="L993" s="31">
        <v>6</v>
      </c>
      <c r="M993" s="162" t="s">
        <v>99</v>
      </c>
      <c r="N993" s="162" t="s">
        <v>99</v>
      </c>
      <c r="O993" s="162" t="s">
        <v>7923</v>
      </c>
      <c r="P993" s="162" t="s">
        <v>99</v>
      </c>
      <c r="Q993" s="162" t="s">
        <v>99</v>
      </c>
      <c r="R993" s="162" t="s">
        <v>110</v>
      </c>
      <c r="S993" s="162" t="s">
        <v>110</v>
      </c>
      <c r="T993" s="162" t="s">
        <v>99</v>
      </c>
      <c r="U993" s="162" t="s">
        <v>99</v>
      </c>
      <c r="V993" s="162" t="s">
        <v>99</v>
      </c>
      <c r="W993" s="162" t="s">
        <v>7924</v>
      </c>
      <c r="X993" s="162" t="s">
        <v>99</v>
      </c>
      <c r="Y993" s="162" t="s">
        <v>2949</v>
      </c>
      <c r="Z993" s="162" t="s">
        <v>99</v>
      </c>
      <c r="AA993" s="162" t="s">
        <v>204</v>
      </c>
      <c r="AB993" s="162" t="s">
        <v>100</v>
      </c>
      <c r="AC993" s="162" t="s">
        <v>204</v>
      </c>
      <c r="AD993" s="162" t="s">
        <v>100</v>
      </c>
      <c r="AE993" s="162" t="s">
        <v>7925</v>
      </c>
      <c r="AF993" s="162" t="s">
        <v>99</v>
      </c>
      <c r="AG993" s="162" t="s">
        <v>1127</v>
      </c>
      <c r="AH993" s="145" t="s">
        <v>1127</v>
      </c>
      <c r="AI993" s="162" t="s">
        <v>99</v>
      </c>
      <c r="AJ993" s="60" t="s">
        <v>99</v>
      </c>
      <c r="AK993" s="60" t="s">
        <v>99</v>
      </c>
      <c r="AL993" s="60">
        <v>75.599999999999994</v>
      </c>
      <c r="AM993" s="60">
        <v>152</v>
      </c>
      <c r="AN993" s="60">
        <v>94</v>
      </c>
      <c r="AO993" s="60">
        <v>110</v>
      </c>
      <c r="AP993" s="60">
        <v>50.2</v>
      </c>
      <c r="AQ993" s="60">
        <v>11</v>
      </c>
      <c r="AR993" s="60">
        <v>20.9</v>
      </c>
      <c r="AS993" s="60">
        <v>70</v>
      </c>
      <c r="AT993" s="60">
        <v>32.700000000000003</v>
      </c>
      <c r="AU993" s="60">
        <v>104</v>
      </c>
      <c r="AV993" s="60">
        <v>76</v>
      </c>
      <c r="AW993" s="60" t="s">
        <v>176</v>
      </c>
      <c r="AX993" s="60" t="s">
        <v>7926</v>
      </c>
      <c r="AY993" s="60" t="s">
        <v>7927</v>
      </c>
      <c r="AZ993" s="60" t="s">
        <v>1128</v>
      </c>
      <c r="BA993" s="60" t="s">
        <v>350</v>
      </c>
      <c r="BB993" s="60" t="s">
        <v>2938</v>
      </c>
      <c r="BC993" s="60" t="s">
        <v>1080</v>
      </c>
      <c r="BD993" s="60" t="s">
        <v>500</v>
      </c>
      <c r="BE993" s="60" t="s">
        <v>110</v>
      </c>
      <c r="BF993" s="60" t="s">
        <v>7904</v>
      </c>
      <c r="BG993" s="60" t="s">
        <v>1469</v>
      </c>
      <c r="BH993" s="60" t="s">
        <v>99</v>
      </c>
      <c r="BI993" s="60" t="s">
        <v>707</v>
      </c>
      <c r="BJ993" s="60" t="s">
        <v>99</v>
      </c>
      <c r="BK993" s="60" t="s">
        <v>7904</v>
      </c>
      <c r="BL993" s="60" t="s">
        <v>110</v>
      </c>
      <c r="BM993" s="60" t="s">
        <v>212</v>
      </c>
      <c r="BN993" s="60" t="s">
        <v>180</v>
      </c>
      <c r="BO993" s="60" t="s">
        <v>219</v>
      </c>
      <c r="BP993" s="60" t="s">
        <v>125</v>
      </c>
      <c r="BQ993" s="60" t="s">
        <v>99</v>
      </c>
      <c r="BR993" s="60" t="s">
        <v>500</v>
      </c>
      <c r="BS993" s="60" t="s">
        <v>500</v>
      </c>
      <c r="BT993" s="60" t="s">
        <v>500</v>
      </c>
      <c r="BU993" s="60" t="s">
        <v>350</v>
      </c>
      <c r="BV993" s="60" t="s">
        <v>857</v>
      </c>
      <c r="BW993" s="60" t="s">
        <v>500</v>
      </c>
      <c r="BX993" s="60" t="s">
        <v>500</v>
      </c>
      <c r="BY993" s="60" t="s">
        <v>351</v>
      </c>
      <c r="BZ993" s="60" t="s">
        <v>182</v>
      </c>
      <c r="CA993" s="60" t="s">
        <v>183</v>
      </c>
      <c r="CB993" s="60" t="s">
        <v>1137</v>
      </c>
      <c r="CC993" s="60" t="s">
        <v>350</v>
      </c>
      <c r="CD993" s="60" t="s">
        <v>7928</v>
      </c>
      <c r="CE993" s="60" t="s">
        <v>821</v>
      </c>
      <c r="CF993" s="60" t="s">
        <v>500</v>
      </c>
      <c r="CG993" s="60" t="s">
        <v>110</v>
      </c>
      <c r="CH993" s="60" t="s">
        <v>5474</v>
      </c>
      <c r="CI993" s="60" t="s">
        <v>500</v>
      </c>
      <c r="CJ993" s="60" t="s">
        <v>500</v>
      </c>
      <c r="CK993" s="60" t="s">
        <v>176</v>
      </c>
      <c r="CL993" s="60" t="s">
        <v>579</v>
      </c>
      <c r="CM993" s="60" t="s">
        <v>980</v>
      </c>
      <c r="CN993" s="60" t="s">
        <v>4827</v>
      </c>
      <c r="CO993" s="60" t="s">
        <v>176</v>
      </c>
      <c r="CP993" s="60" t="s">
        <v>716</v>
      </c>
      <c r="CQ993" s="60" t="s">
        <v>361</v>
      </c>
      <c r="CR993" s="60" t="s">
        <v>500</v>
      </c>
      <c r="CS993" s="60" t="s">
        <v>350</v>
      </c>
      <c r="CT993" s="60" t="s">
        <v>363</v>
      </c>
      <c r="CU993" s="60" t="s">
        <v>500</v>
      </c>
      <c r="CV993" s="60" t="s">
        <v>500</v>
      </c>
      <c r="CW993" s="60">
        <v>3</v>
      </c>
      <c r="CX993" s="60" t="s">
        <v>99</v>
      </c>
      <c r="CY993" s="60" t="s">
        <v>2756</v>
      </c>
      <c r="CZ993" s="178">
        <v>30</v>
      </c>
      <c r="DA993" s="31">
        <v>10</v>
      </c>
      <c r="DB993" s="31">
        <v>40</v>
      </c>
      <c r="DC993" s="33">
        <v>84.2</v>
      </c>
      <c r="DD993" s="33">
        <v>1.1000000000000001</v>
      </c>
      <c r="DE993" s="108">
        <v>214</v>
      </c>
      <c r="DF993" s="108">
        <v>152</v>
      </c>
      <c r="DG993" s="9">
        <f t="shared" si="15"/>
        <v>4.728537721047279</v>
      </c>
      <c r="DH993" s="33">
        <v>30.4</v>
      </c>
      <c r="DI993" s="33">
        <v>4.68</v>
      </c>
      <c r="DL993" s="108">
        <v>46.3</v>
      </c>
      <c r="DM993" s="33">
        <v>137.30000000000001</v>
      </c>
    </row>
    <row r="994" spans="1:125" s="33" customFormat="1" x14ac:dyDescent="0.2">
      <c r="A994" s="162" t="s">
        <v>7929</v>
      </c>
      <c r="B994" s="32">
        <v>43802</v>
      </c>
      <c r="C994" s="162" t="s">
        <v>675</v>
      </c>
      <c r="D994" s="162">
        <v>28</v>
      </c>
      <c r="E994" s="162" t="s">
        <v>100</v>
      </c>
      <c r="F994" s="183" t="s">
        <v>500</v>
      </c>
      <c r="G994" s="162" t="s">
        <v>4972</v>
      </c>
      <c r="H994" s="162" t="s">
        <v>5495</v>
      </c>
      <c r="I994" s="162" t="s">
        <v>500</v>
      </c>
      <c r="J994" s="162" t="s">
        <v>500</v>
      </c>
      <c r="K994" s="162" t="s">
        <v>500</v>
      </c>
      <c r="L994" s="162" t="s">
        <v>500</v>
      </c>
      <c r="M994" s="162" t="s">
        <v>99</v>
      </c>
      <c r="N994" s="162" t="s">
        <v>7930</v>
      </c>
      <c r="O994" s="162" t="s">
        <v>99</v>
      </c>
      <c r="P994" s="162" t="s">
        <v>5435</v>
      </c>
      <c r="Q994" s="162" t="s">
        <v>4975</v>
      </c>
      <c r="R994" s="162" t="s">
        <v>110</v>
      </c>
      <c r="S994" s="162" t="s">
        <v>99</v>
      </c>
      <c r="T994" s="162" t="s">
        <v>99</v>
      </c>
      <c r="U994" s="162" t="s">
        <v>99</v>
      </c>
      <c r="V994" s="162" t="s">
        <v>99</v>
      </c>
      <c r="W994" s="162" t="s">
        <v>99</v>
      </c>
      <c r="X994" s="162" t="s">
        <v>99</v>
      </c>
      <c r="Y994" s="162" t="s">
        <v>99</v>
      </c>
      <c r="Z994" s="162" t="s">
        <v>99</v>
      </c>
      <c r="AA994" s="162" t="s">
        <v>100</v>
      </c>
      <c r="AB994" s="162" t="s">
        <v>2234</v>
      </c>
      <c r="AC994" s="162" t="s">
        <v>2234</v>
      </c>
      <c r="AD994" s="162" t="s">
        <v>5409</v>
      </c>
      <c r="AE994" s="162" t="s">
        <v>246</v>
      </c>
      <c r="AF994" s="162" t="s">
        <v>7931</v>
      </c>
      <c r="AG994" s="162" t="s">
        <v>99</v>
      </c>
      <c r="AH994" s="145" t="s">
        <v>99</v>
      </c>
      <c r="AI994" s="162" t="s">
        <v>343</v>
      </c>
      <c r="AJ994" s="60" t="s">
        <v>99</v>
      </c>
      <c r="AK994" s="60" t="s">
        <v>99</v>
      </c>
      <c r="AL994" s="60">
        <v>87.7</v>
      </c>
      <c r="AM994" s="60">
        <v>174</v>
      </c>
      <c r="AN994" s="60">
        <v>100</v>
      </c>
      <c r="AO994" s="60">
        <v>104</v>
      </c>
      <c r="AP994" s="60">
        <v>29.7</v>
      </c>
      <c r="AQ994" s="60">
        <v>11</v>
      </c>
      <c r="AR994" s="60">
        <v>34.299999999999997</v>
      </c>
      <c r="AS994" s="60">
        <v>52</v>
      </c>
      <c r="AT994" s="60">
        <v>29</v>
      </c>
      <c r="AU994" s="139">
        <v>168</v>
      </c>
      <c r="AV994" s="139">
        <v>99</v>
      </c>
      <c r="AW994" s="60" t="s">
        <v>350</v>
      </c>
      <c r="AX994" s="60" t="s">
        <v>5441</v>
      </c>
      <c r="AY994" s="60" t="s">
        <v>500</v>
      </c>
      <c r="AZ994" s="60" t="s">
        <v>500</v>
      </c>
      <c r="BA994" s="60" t="s">
        <v>351</v>
      </c>
      <c r="BB994" s="60" t="s">
        <v>500</v>
      </c>
      <c r="BC994" s="60" t="s">
        <v>500</v>
      </c>
      <c r="BD994" s="60" t="s">
        <v>500</v>
      </c>
      <c r="BE994" s="60" t="s">
        <v>110</v>
      </c>
      <c r="BF994" s="60" t="s">
        <v>5441</v>
      </c>
      <c r="BG994" s="60" t="s">
        <v>212</v>
      </c>
      <c r="BH994" s="60" t="s">
        <v>99</v>
      </c>
      <c r="BI994" s="60" t="s">
        <v>99</v>
      </c>
      <c r="BJ994" s="60" t="s">
        <v>176</v>
      </c>
      <c r="BK994" s="60" t="s">
        <v>707</v>
      </c>
      <c r="BL994" s="60" t="s">
        <v>110</v>
      </c>
      <c r="BM994" s="60" t="s">
        <v>176</v>
      </c>
      <c r="BN994" s="60" t="s">
        <v>500</v>
      </c>
      <c r="BO994" s="60" t="s">
        <v>500</v>
      </c>
      <c r="BP994" s="60" t="s">
        <v>500</v>
      </c>
      <c r="BQ994" s="60" t="s">
        <v>99</v>
      </c>
      <c r="BR994" s="60" t="s">
        <v>500</v>
      </c>
      <c r="BS994" s="60" t="s">
        <v>500</v>
      </c>
      <c r="BT994" s="60" t="s">
        <v>500</v>
      </c>
      <c r="BU994" s="60" t="s">
        <v>99</v>
      </c>
      <c r="BV994" s="60" t="s">
        <v>500</v>
      </c>
      <c r="BW994" s="60" t="s">
        <v>500</v>
      </c>
      <c r="BX994" s="60" t="s">
        <v>500</v>
      </c>
      <c r="BY994" s="60" t="s">
        <v>351</v>
      </c>
      <c r="BZ994" s="60" t="s">
        <v>500</v>
      </c>
      <c r="CA994" s="60" t="s">
        <v>500</v>
      </c>
      <c r="CB994" s="60" t="s">
        <v>500</v>
      </c>
      <c r="CC994" s="60" t="s">
        <v>99</v>
      </c>
      <c r="CD994" s="60" t="s">
        <v>500</v>
      </c>
      <c r="CE994" s="60" t="s">
        <v>500</v>
      </c>
      <c r="CF994" s="60" t="s">
        <v>500</v>
      </c>
      <c r="CG994" s="60" t="s">
        <v>99</v>
      </c>
      <c r="CH994" s="60" t="s">
        <v>500</v>
      </c>
      <c r="CI994" s="60" t="s">
        <v>500</v>
      </c>
      <c r="CJ994" s="60" t="s">
        <v>500</v>
      </c>
      <c r="CK994" s="60" t="s">
        <v>176</v>
      </c>
      <c r="CL994" s="60" t="s">
        <v>1181</v>
      </c>
      <c r="CM994" s="60" t="s">
        <v>500</v>
      </c>
      <c r="CN994" s="60" t="s">
        <v>500</v>
      </c>
      <c r="CO994" s="60" t="s">
        <v>176</v>
      </c>
      <c r="CP994" s="60" t="s">
        <v>5426</v>
      </c>
      <c r="CQ994" s="60" t="s">
        <v>500</v>
      </c>
      <c r="CR994" s="60" t="s">
        <v>500</v>
      </c>
      <c r="CS994" s="60" t="s">
        <v>99</v>
      </c>
      <c r="CT994" s="60" t="s">
        <v>500</v>
      </c>
      <c r="CU994" s="60" t="s">
        <v>500</v>
      </c>
      <c r="CV994" s="60" t="s">
        <v>500</v>
      </c>
      <c r="CW994" s="60">
        <v>5</v>
      </c>
      <c r="CX994" s="60" t="s">
        <v>110</v>
      </c>
      <c r="CY994" s="60" t="s">
        <v>110</v>
      </c>
      <c r="CZ994" s="178">
        <v>30</v>
      </c>
      <c r="DA994" s="31">
        <v>30</v>
      </c>
      <c r="DB994" s="31">
        <v>40</v>
      </c>
      <c r="DC994" s="33">
        <v>78.599999999999994</v>
      </c>
      <c r="DD994" s="33">
        <v>1.18</v>
      </c>
      <c r="DE994" s="33">
        <v>126</v>
      </c>
      <c r="DF994" s="33">
        <v>109</v>
      </c>
      <c r="DG994" s="9">
        <f t="shared" si="15"/>
        <v>4.5278597908321521</v>
      </c>
      <c r="DH994" s="33">
        <v>21.8</v>
      </c>
      <c r="DI994" s="33">
        <v>6.98</v>
      </c>
      <c r="DL994" s="108">
        <v>35.6</v>
      </c>
      <c r="DM994" s="33">
        <v>68.599999999999994</v>
      </c>
      <c r="DR994" s="33">
        <v>2</v>
      </c>
    </row>
    <row r="995" spans="1:125" s="33" customFormat="1" x14ac:dyDescent="0.2">
      <c r="A995" s="162" t="s">
        <v>7932</v>
      </c>
      <c r="B995" s="32">
        <v>43809</v>
      </c>
      <c r="C995" s="162" t="s">
        <v>196</v>
      </c>
      <c r="D995" s="162">
        <v>24</v>
      </c>
      <c r="E995" s="162" t="s">
        <v>100</v>
      </c>
      <c r="F995" s="32">
        <v>34691</v>
      </c>
      <c r="G995" s="162" t="s">
        <v>2495</v>
      </c>
      <c r="H995" s="162" t="s">
        <v>1462</v>
      </c>
      <c r="I995" s="162" t="s">
        <v>2020</v>
      </c>
      <c r="J995" s="162" t="s">
        <v>500</v>
      </c>
      <c r="K995" s="145" t="s">
        <v>500</v>
      </c>
      <c r="L995" s="177" t="s">
        <v>500</v>
      </c>
      <c r="M995" s="162" t="s">
        <v>99</v>
      </c>
      <c r="N995" s="162" t="s">
        <v>99</v>
      </c>
      <c r="O995" s="162" t="s">
        <v>99</v>
      </c>
      <c r="P995" s="162" t="s">
        <v>99</v>
      </c>
      <c r="Q995" s="162" t="s">
        <v>7933</v>
      </c>
      <c r="R995" s="162" t="s">
        <v>7934</v>
      </c>
      <c r="S995" s="162" t="s">
        <v>99</v>
      </c>
      <c r="T995" s="162" t="s">
        <v>99</v>
      </c>
      <c r="U995" s="162" t="s">
        <v>7935</v>
      </c>
      <c r="V995" s="162" t="s">
        <v>99</v>
      </c>
      <c r="W995" s="162" t="s">
        <v>7936</v>
      </c>
      <c r="X995" s="162" t="s">
        <v>99</v>
      </c>
      <c r="Y995" s="162" t="s">
        <v>99</v>
      </c>
      <c r="Z995" s="162" t="s">
        <v>99</v>
      </c>
      <c r="AA995" s="162" t="s">
        <v>100</v>
      </c>
      <c r="AB995" s="162" t="s">
        <v>100</v>
      </c>
      <c r="AC995" s="162" t="s">
        <v>100</v>
      </c>
      <c r="AD995" s="162" t="s">
        <v>100</v>
      </c>
      <c r="AE995" s="162" t="s">
        <v>4981</v>
      </c>
      <c r="AF995" s="162" t="s">
        <v>246</v>
      </c>
      <c r="AG995" s="162" t="s">
        <v>343</v>
      </c>
      <c r="AH995" s="145" t="s">
        <v>5545</v>
      </c>
      <c r="AI995" s="162" t="s">
        <v>99</v>
      </c>
      <c r="AJ995" s="60" t="s">
        <v>99</v>
      </c>
      <c r="AK995" s="60" t="s">
        <v>99</v>
      </c>
      <c r="AL995" s="60">
        <v>86</v>
      </c>
      <c r="AM995" s="60">
        <v>168</v>
      </c>
      <c r="AN995" s="60">
        <v>95.8</v>
      </c>
      <c r="AO995" s="60">
        <v>120</v>
      </c>
      <c r="AP995" s="60">
        <v>41.3</v>
      </c>
      <c r="AQ995" s="60">
        <v>6</v>
      </c>
      <c r="AR995" s="60">
        <v>26.4</v>
      </c>
      <c r="AS995" s="60">
        <v>45</v>
      </c>
      <c r="AT995" s="60">
        <v>30.5</v>
      </c>
      <c r="AU995" s="60">
        <v>106</v>
      </c>
      <c r="AV995" s="60">
        <v>77</v>
      </c>
      <c r="AW995" s="60" t="s">
        <v>176</v>
      </c>
      <c r="AX995" s="60" t="s">
        <v>574</v>
      </c>
      <c r="AY995" s="60" t="s">
        <v>5534</v>
      </c>
      <c r="AZ995" s="60" t="s">
        <v>500</v>
      </c>
      <c r="BA995" s="60" t="s">
        <v>351</v>
      </c>
      <c r="BB995" s="60" t="s">
        <v>750</v>
      </c>
      <c r="BC995" s="60" t="s">
        <v>7937</v>
      </c>
      <c r="BD995" s="60" t="s">
        <v>500</v>
      </c>
      <c r="BE995" s="60" t="s">
        <v>110</v>
      </c>
      <c r="BF995" s="60" t="s">
        <v>5441</v>
      </c>
      <c r="BG995" s="60" t="s">
        <v>213</v>
      </c>
      <c r="BH995" s="60" t="s">
        <v>1469</v>
      </c>
      <c r="BI995" s="60" t="s">
        <v>1469</v>
      </c>
      <c r="BJ995" s="60" t="s">
        <v>176</v>
      </c>
      <c r="BK995" s="60" t="s">
        <v>213</v>
      </c>
      <c r="BL995" s="60" t="s">
        <v>110</v>
      </c>
      <c r="BM995" s="60" t="s">
        <v>176</v>
      </c>
      <c r="BN995" s="60" t="s">
        <v>219</v>
      </c>
      <c r="BO995" s="60" t="s">
        <v>352</v>
      </c>
      <c r="BP995" s="60" t="s">
        <v>179</v>
      </c>
      <c r="BQ995" s="60" t="s">
        <v>99</v>
      </c>
      <c r="BR995" s="60" t="s">
        <v>500</v>
      </c>
      <c r="BS995" s="60" t="s">
        <v>500</v>
      </c>
      <c r="BT995" s="60" t="s">
        <v>500</v>
      </c>
      <c r="BU995" s="60" t="s">
        <v>110</v>
      </c>
      <c r="BV995" s="60" t="s">
        <v>3455</v>
      </c>
      <c r="BW995" s="60" t="s">
        <v>500</v>
      </c>
      <c r="BX995" s="60" t="s">
        <v>500</v>
      </c>
      <c r="BY995" s="60" t="s">
        <v>351</v>
      </c>
      <c r="BZ995" s="60" t="s">
        <v>184</v>
      </c>
      <c r="CA995" s="60" t="s">
        <v>708</v>
      </c>
      <c r="CB995" s="60" t="s">
        <v>500</v>
      </c>
      <c r="CC995" s="60" t="s">
        <v>99</v>
      </c>
      <c r="CD995" s="60" t="s">
        <v>500</v>
      </c>
      <c r="CE995" s="60" t="s">
        <v>500</v>
      </c>
      <c r="CF995" s="60" t="s">
        <v>500</v>
      </c>
      <c r="CG995" s="60" t="s">
        <v>99</v>
      </c>
      <c r="CH995" s="60" t="s">
        <v>500</v>
      </c>
      <c r="CI995" s="60" t="s">
        <v>500</v>
      </c>
      <c r="CJ995" s="60" t="s">
        <v>500</v>
      </c>
      <c r="CK995" s="60" t="s">
        <v>176</v>
      </c>
      <c r="CL995" s="60" t="s">
        <v>1181</v>
      </c>
      <c r="CM995" s="60" t="s">
        <v>7938</v>
      </c>
      <c r="CN995" s="60" t="s">
        <v>1138</v>
      </c>
      <c r="CO995" s="60" t="s">
        <v>176</v>
      </c>
      <c r="CP995" s="60" t="s">
        <v>2658</v>
      </c>
      <c r="CQ995" s="60" t="s">
        <v>716</v>
      </c>
      <c r="CR995" s="60" t="s">
        <v>361</v>
      </c>
      <c r="CS995" s="60" t="s">
        <v>350</v>
      </c>
      <c r="CT995" s="60" t="s">
        <v>363</v>
      </c>
      <c r="CU995" s="60" t="s">
        <v>7939</v>
      </c>
      <c r="CV995" s="60" t="s">
        <v>500</v>
      </c>
      <c r="CW995" s="60">
        <v>5</v>
      </c>
      <c r="CX995" s="60" t="s">
        <v>110</v>
      </c>
      <c r="CY995" s="60" t="s">
        <v>110</v>
      </c>
      <c r="CZ995" s="31">
        <v>80</v>
      </c>
      <c r="DA995" s="31">
        <v>15</v>
      </c>
      <c r="DB995" s="31">
        <v>5</v>
      </c>
      <c r="DG995" s="9" t="e">
        <f t="shared" si="15"/>
        <v>#NUM!</v>
      </c>
    </row>
    <row r="996" spans="1:125" s="33" customFormat="1" x14ac:dyDescent="0.2">
      <c r="A996" s="162" t="s">
        <v>7940</v>
      </c>
      <c r="B996" s="32">
        <v>43802</v>
      </c>
      <c r="C996" s="162" t="s">
        <v>675</v>
      </c>
      <c r="D996" s="162">
        <v>39</v>
      </c>
      <c r="E996" s="162" t="s">
        <v>100</v>
      </c>
      <c r="F996" s="32">
        <v>29381</v>
      </c>
      <c r="G996" s="162" t="s">
        <v>837</v>
      </c>
      <c r="H996" s="162" t="s">
        <v>1727</v>
      </c>
      <c r="I996" s="162" t="s">
        <v>500</v>
      </c>
      <c r="J996" s="162" t="s">
        <v>500</v>
      </c>
      <c r="K996" s="162" t="s">
        <v>500</v>
      </c>
      <c r="L996" s="162" t="s">
        <v>500</v>
      </c>
      <c r="M996" s="162" t="s">
        <v>99</v>
      </c>
      <c r="N996" s="162" t="s">
        <v>99</v>
      </c>
      <c r="O996" s="162" t="s">
        <v>99</v>
      </c>
      <c r="P996" s="162" t="s">
        <v>99</v>
      </c>
      <c r="Q996" s="162" t="s">
        <v>99</v>
      </c>
      <c r="R996" s="162" t="s">
        <v>99</v>
      </c>
      <c r="S996" s="162" t="s">
        <v>99</v>
      </c>
      <c r="T996" s="162" t="s">
        <v>99</v>
      </c>
      <c r="U996" s="162" t="s">
        <v>99</v>
      </c>
      <c r="V996" s="162" t="s">
        <v>99</v>
      </c>
      <c r="W996" s="162" t="s">
        <v>99</v>
      </c>
      <c r="X996" s="162" t="s">
        <v>99</v>
      </c>
      <c r="Y996" s="162" t="s">
        <v>3005</v>
      </c>
      <c r="Z996" s="162" t="s">
        <v>1222</v>
      </c>
      <c r="AA996" s="162" t="s">
        <v>500</v>
      </c>
      <c r="AB996" s="162" t="s">
        <v>500</v>
      </c>
      <c r="AC996" s="162" t="s">
        <v>500</v>
      </c>
      <c r="AD996" s="162" t="s">
        <v>500</v>
      </c>
      <c r="AE996" s="162" t="s">
        <v>5423</v>
      </c>
      <c r="AF996" s="162" t="s">
        <v>99</v>
      </c>
      <c r="AG996" s="162" t="s">
        <v>99</v>
      </c>
      <c r="AH996" s="145" t="s">
        <v>99</v>
      </c>
      <c r="AI996" s="162" t="s">
        <v>1511</v>
      </c>
      <c r="AJ996" s="60" t="s">
        <v>99</v>
      </c>
      <c r="AK996" s="60" t="s">
        <v>99</v>
      </c>
      <c r="AL996" s="60">
        <v>95.4</v>
      </c>
      <c r="AM996" s="60">
        <v>170</v>
      </c>
      <c r="AN996" s="60">
        <v>106</v>
      </c>
      <c r="AO996" s="60">
        <v>110</v>
      </c>
      <c r="AP996" s="60">
        <v>41.9</v>
      </c>
      <c r="AQ996" s="60">
        <v>18</v>
      </c>
      <c r="AR996" s="60">
        <v>25.4</v>
      </c>
      <c r="AS996" s="60">
        <v>69</v>
      </c>
      <c r="AT996" s="60">
        <v>33</v>
      </c>
      <c r="AU996" s="60">
        <v>117</v>
      </c>
      <c r="AV996" s="60">
        <v>76</v>
      </c>
      <c r="AW996" s="60" t="s">
        <v>99</v>
      </c>
      <c r="AX996" s="60" t="s">
        <v>500</v>
      </c>
      <c r="AY996" s="60" t="s">
        <v>500</v>
      </c>
      <c r="AZ996" s="60" t="s">
        <v>500</v>
      </c>
      <c r="BA996" s="60" t="s">
        <v>1646</v>
      </c>
      <c r="BB996" s="60" t="s">
        <v>500</v>
      </c>
      <c r="BC996" s="60" t="s">
        <v>500</v>
      </c>
      <c r="BD996" s="60" t="s">
        <v>500</v>
      </c>
      <c r="BE996" s="60" t="s">
        <v>110</v>
      </c>
      <c r="BF996" s="60" t="s">
        <v>707</v>
      </c>
      <c r="BG996" s="60" t="s">
        <v>99</v>
      </c>
      <c r="BH996" s="60" t="s">
        <v>99</v>
      </c>
      <c r="BI996" s="60" t="s">
        <v>99</v>
      </c>
      <c r="BJ996" s="60" t="s">
        <v>99</v>
      </c>
      <c r="BK996" s="60" t="s">
        <v>1469</v>
      </c>
      <c r="BL996" s="60" t="s">
        <v>110</v>
      </c>
      <c r="BM996" s="60" t="s">
        <v>707</v>
      </c>
      <c r="BN996" s="60" t="s">
        <v>500</v>
      </c>
      <c r="BO996" s="60" t="s">
        <v>500</v>
      </c>
      <c r="BP996" s="60" t="s">
        <v>500</v>
      </c>
      <c r="BQ996" s="60" t="s">
        <v>99</v>
      </c>
      <c r="BR996" s="60" t="s">
        <v>500</v>
      </c>
      <c r="BS996" s="60" t="s">
        <v>500</v>
      </c>
      <c r="BT996" s="60" t="s">
        <v>500</v>
      </c>
      <c r="BU996" s="60" t="s">
        <v>99</v>
      </c>
      <c r="BV996" s="60" t="s">
        <v>500</v>
      </c>
      <c r="BW996" s="60" t="s">
        <v>500</v>
      </c>
      <c r="BX996" s="60" t="s">
        <v>500</v>
      </c>
      <c r="BY996" s="60" t="s">
        <v>351</v>
      </c>
      <c r="BZ996" s="60" t="s">
        <v>500</v>
      </c>
      <c r="CA996" s="60" t="s">
        <v>500</v>
      </c>
      <c r="CB996" s="60" t="s">
        <v>500</v>
      </c>
      <c r="CC996" s="60" t="s">
        <v>99</v>
      </c>
      <c r="CD996" s="60" t="s">
        <v>500</v>
      </c>
      <c r="CE996" s="60" t="s">
        <v>500</v>
      </c>
      <c r="CF996" s="60" t="s">
        <v>500</v>
      </c>
      <c r="CG996" s="60" t="s">
        <v>99</v>
      </c>
      <c r="CH996" s="60" t="s">
        <v>500</v>
      </c>
      <c r="CI996" s="60" t="s">
        <v>500</v>
      </c>
      <c r="CJ996" s="60" t="s">
        <v>500</v>
      </c>
      <c r="CK996" s="60" t="s">
        <v>176</v>
      </c>
      <c r="CL996" s="60" t="s">
        <v>579</v>
      </c>
      <c r="CM996" s="60" t="s">
        <v>980</v>
      </c>
      <c r="CN996" s="60" t="s">
        <v>500</v>
      </c>
      <c r="CO996" s="60" t="s">
        <v>350</v>
      </c>
      <c r="CP996" s="60" t="s">
        <v>500</v>
      </c>
      <c r="CQ996" s="60" t="s">
        <v>500</v>
      </c>
      <c r="CR996" s="60" t="s">
        <v>500</v>
      </c>
      <c r="CS996" s="60" t="s">
        <v>176</v>
      </c>
      <c r="CT996" s="60" t="s">
        <v>500</v>
      </c>
      <c r="CU996" s="60" t="s">
        <v>500</v>
      </c>
      <c r="CV996" s="60" t="s">
        <v>500</v>
      </c>
      <c r="CW996" s="60">
        <v>2</v>
      </c>
      <c r="CX996" s="60" t="s">
        <v>99</v>
      </c>
      <c r="CY996" s="60" t="s">
        <v>99</v>
      </c>
      <c r="CZ996" s="178">
        <v>25</v>
      </c>
      <c r="DA996" s="31">
        <v>30</v>
      </c>
      <c r="DB996" s="31">
        <v>45</v>
      </c>
      <c r="DG996" s="9" t="e">
        <f t="shared" si="15"/>
        <v>#NUM!</v>
      </c>
    </row>
    <row r="997" spans="1:125" s="33" customFormat="1" x14ac:dyDescent="0.2">
      <c r="A997" s="162" t="s">
        <v>7941</v>
      </c>
      <c r="B997" s="32">
        <v>43809</v>
      </c>
      <c r="C997" s="162" t="s">
        <v>675</v>
      </c>
      <c r="D997" s="162">
        <v>21</v>
      </c>
      <c r="E997" s="162" t="s">
        <v>100</v>
      </c>
      <c r="F997" s="32">
        <v>43735</v>
      </c>
      <c r="G997" s="162" t="s">
        <v>1509</v>
      </c>
      <c r="H997" s="162" t="s">
        <v>7942</v>
      </c>
      <c r="I997" s="162" t="s">
        <v>500</v>
      </c>
      <c r="J997" s="162" t="s">
        <v>500</v>
      </c>
      <c r="K997" s="145" t="s">
        <v>500</v>
      </c>
      <c r="L997" s="177" t="s">
        <v>500</v>
      </c>
      <c r="M997" s="162" t="s">
        <v>99</v>
      </c>
      <c r="N997" s="162" t="s">
        <v>99</v>
      </c>
      <c r="O997" s="162" t="s">
        <v>99</v>
      </c>
      <c r="P997" s="162" t="s">
        <v>7943</v>
      </c>
      <c r="Q997" s="162" t="s">
        <v>5440</v>
      </c>
      <c r="R997" s="162" t="s">
        <v>7944</v>
      </c>
      <c r="S997" s="162" t="s">
        <v>99</v>
      </c>
      <c r="T997" s="162" t="s">
        <v>99</v>
      </c>
      <c r="U997" s="162" t="s">
        <v>99</v>
      </c>
      <c r="V997" s="162" t="s">
        <v>99</v>
      </c>
      <c r="W997" s="162" t="s">
        <v>99</v>
      </c>
      <c r="X997" s="162" t="s">
        <v>99</v>
      </c>
      <c r="Y997" s="162" t="s">
        <v>7945</v>
      </c>
      <c r="Z997" s="162" t="s">
        <v>7946</v>
      </c>
      <c r="AA997" s="162" t="s">
        <v>100</v>
      </c>
      <c r="AB997" s="162" t="s">
        <v>7947</v>
      </c>
      <c r="AC997" s="162" t="s">
        <v>100</v>
      </c>
      <c r="AD997" s="162" t="s">
        <v>100</v>
      </c>
      <c r="AE997" s="162" t="s">
        <v>5100</v>
      </c>
      <c r="AF997" s="162" t="s">
        <v>7948</v>
      </c>
      <c r="AG997" s="162" t="s">
        <v>7949</v>
      </c>
      <c r="AH997" s="145" t="s">
        <v>99</v>
      </c>
      <c r="AI997" s="162" t="s">
        <v>99</v>
      </c>
      <c r="AJ997" s="60" t="s">
        <v>99</v>
      </c>
      <c r="AK997" s="60" t="s">
        <v>99</v>
      </c>
      <c r="AL997" s="60">
        <v>82.1</v>
      </c>
      <c r="AM997" s="60" t="s">
        <v>500</v>
      </c>
      <c r="AN997" s="60" t="s">
        <v>500</v>
      </c>
      <c r="AO997" s="60" t="s">
        <v>500</v>
      </c>
      <c r="AP997" s="60">
        <v>25.5</v>
      </c>
      <c r="AQ997" s="60">
        <v>8</v>
      </c>
      <c r="AR997" s="60">
        <v>37.200000000000003</v>
      </c>
      <c r="AS997" s="60">
        <v>43</v>
      </c>
      <c r="AT997" s="60">
        <v>26.2</v>
      </c>
      <c r="AU997" s="60">
        <v>130</v>
      </c>
      <c r="AV997" s="60">
        <v>82</v>
      </c>
      <c r="AW997" s="60" t="s">
        <v>176</v>
      </c>
      <c r="AX997" s="60" t="s">
        <v>729</v>
      </c>
      <c r="AY997" s="60" t="s">
        <v>7950</v>
      </c>
      <c r="AZ997" s="60" t="s">
        <v>7951</v>
      </c>
      <c r="BA997" s="60" t="s">
        <v>351</v>
      </c>
      <c r="BB997" s="60" t="s">
        <v>2541</v>
      </c>
      <c r="BC997" s="60" t="s">
        <v>500</v>
      </c>
      <c r="BD997" s="60" t="s">
        <v>500</v>
      </c>
      <c r="BE997" s="60" t="s">
        <v>110</v>
      </c>
      <c r="BF997" s="60" t="s">
        <v>213</v>
      </c>
      <c r="BG997" s="60" t="s">
        <v>5441</v>
      </c>
      <c r="BH997" s="60" t="s">
        <v>213</v>
      </c>
      <c r="BI997" s="60" t="s">
        <v>5872</v>
      </c>
      <c r="BJ997" s="60" t="s">
        <v>176</v>
      </c>
      <c r="BK997" s="60" t="s">
        <v>5431</v>
      </c>
      <c r="BL997" s="60" t="s">
        <v>110</v>
      </c>
      <c r="BM997" s="60" t="s">
        <v>176</v>
      </c>
      <c r="BN997" s="60" t="s">
        <v>179</v>
      </c>
      <c r="BO997" s="60" t="s">
        <v>219</v>
      </c>
      <c r="BP997" s="60" t="s">
        <v>180</v>
      </c>
      <c r="BQ997" s="60" t="s">
        <v>99</v>
      </c>
      <c r="BR997" s="60" t="s">
        <v>500</v>
      </c>
      <c r="BS997" s="60" t="s">
        <v>500</v>
      </c>
      <c r="BT997" s="60" t="s">
        <v>500</v>
      </c>
      <c r="BU997" s="60" t="s">
        <v>110</v>
      </c>
      <c r="BV997" s="60" t="s">
        <v>7952</v>
      </c>
      <c r="BW997" s="60" t="s">
        <v>500</v>
      </c>
      <c r="BX997" s="60" t="s">
        <v>500</v>
      </c>
      <c r="BY997" s="60" t="s">
        <v>351</v>
      </c>
      <c r="BZ997" s="60" t="s">
        <v>183</v>
      </c>
      <c r="CA997" s="60" t="s">
        <v>182</v>
      </c>
      <c r="CB997" s="60" t="s">
        <v>184</v>
      </c>
      <c r="CC997" s="60" t="s">
        <v>99</v>
      </c>
      <c r="CD997" s="60" t="s">
        <v>500</v>
      </c>
      <c r="CE997" s="60" t="s">
        <v>500</v>
      </c>
      <c r="CF997" s="60" t="s">
        <v>500</v>
      </c>
      <c r="CG997" s="60" t="s">
        <v>99</v>
      </c>
      <c r="CH997" s="60" t="s">
        <v>500</v>
      </c>
      <c r="CI997" s="60" t="s">
        <v>500</v>
      </c>
      <c r="CJ997" s="60" t="s">
        <v>500</v>
      </c>
      <c r="CK997" s="60" t="s">
        <v>176</v>
      </c>
      <c r="CL997" s="60" t="s">
        <v>1181</v>
      </c>
      <c r="CM997" s="60" t="s">
        <v>7953</v>
      </c>
      <c r="CN997" s="60" t="s">
        <v>7954</v>
      </c>
      <c r="CO997" s="60" t="s">
        <v>176</v>
      </c>
      <c r="CP997" s="60" t="s">
        <v>2658</v>
      </c>
      <c r="CQ997" s="60" t="s">
        <v>362</v>
      </c>
      <c r="CR997" s="60" t="s">
        <v>7955</v>
      </c>
      <c r="CS997" s="60" t="s">
        <v>350</v>
      </c>
      <c r="CT997" s="60" t="s">
        <v>500</v>
      </c>
      <c r="CU997" s="60" t="s">
        <v>500</v>
      </c>
      <c r="CV997" s="60" t="s">
        <v>500</v>
      </c>
      <c r="CW997" s="60">
        <v>6</v>
      </c>
      <c r="CX997" s="33" t="s">
        <v>99</v>
      </c>
      <c r="CY997" s="60" t="s">
        <v>99</v>
      </c>
      <c r="CZ997" s="178">
        <v>20</v>
      </c>
      <c r="DA997" s="31">
        <v>50</v>
      </c>
      <c r="DB997" s="31">
        <v>30</v>
      </c>
      <c r="DG997" s="9" t="e">
        <f t="shared" si="15"/>
        <v>#NUM!</v>
      </c>
    </row>
    <row r="998" spans="1:125" s="33" customFormat="1" x14ac:dyDescent="0.2">
      <c r="A998" s="162"/>
      <c r="B998" s="32"/>
      <c r="C998" s="162"/>
      <c r="D998" s="162"/>
      <c r="E998" s="162"/>
      <c r="F998" s="32"/>
      <c r="G998" s="162"/>
      <c r="H998" s="162"/>
      <c r="I998" s="162"/>
      <c r="J998" s="162"/>
      <c r="K998" s="145"/>
      <c r="L998" s="177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  <c r="AC998" s="162"/>
      <c r="AD998" s="162"/>
      <c r="AE998" s="162"/>
      <c r="AF998" s="162"/>
      <c r="AG998" s="162"/>
      <c r="AH998" s="145"/>
      <c r="AI998" s="162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60"/>
      <c r="BH998" s="60"/>
      <c r="BI998" s="60"/>
      <c r="BJ998" s="60"/>
      <c r="BK998" s="60"/>
      <c r="BL998" s="60"/>
      <c r="BM998" s="60"/>
      <c r="BN998" s="60"/>
      <c r="BO998" s="60"/>
      <c r="BP998" s="60"/>
      <c r="BQ998" s="60"/>
      <c r="BR998" s="60"/>
      <c r="BS998" s="60"/>
      <c r="BT998" s="60"/>
      <c r="BU998" s="60"/>
      <c r="BV998" s="60"/>
      <c r="BW998" s="60"/>
      <c r="BX998" s="60"/>
      <c r="BY998" s="60"/>
      <c r="BZ998" s="60"/>
      <c r="CA998" s="60"/>
      <c r="CB998" s="60"/>
      <c r="CC998" s="60"/>
      <c r="CD998" s="60"/>
      <c r="CE998" s="60"/>
      <c r="CF998" s="60"/>
      <c r="CG998" s="60"/>
      <c r="CH998" s="60"/>
      <c r="CI998" s="60"/>
      <c r="CJ998" s="60"/>
      <c r="CK998" s="60"/>
      <c r="CL998" s="60"/>
      <c r="CM998" s="60"/>
      <c r="CN998" s="60"/>
      <c r="CO998" s="60"/>
      <c r="CP998" s="60"/>
      <c r="CQ998" s="60"/>
      <c r="CR998" s="60"/>
      <c r="CS998" s="60"/>
      <c r="CT998" s="60"/>
      <c r="CU998" s="60"/>
      <c r="CV998" s="60"/>
      <c r="CW998" s="60"/>
      <c r="CY998" s="60"/>
      <c r="CZ998" s="178"/>
      <c r="DA998" s="31"/>
      <c r="DB998" s="31"/>
      <c r="DC998" s="33">
        <v>67</v>
      </c>
      <c r="DD998" s="33">
        <v>0.78</v>
      </c>
      <c r="DE998" s="33">
        <v>127</v>
      </c>
      <c r="DF998" s="33">
        <v>82</v>
      </c>
      <c r="DG998" s="9">
        <f t="shared" si="15"/>
        <v>4.3057059333276095</v>
      </c>
      <c r="DH998" s="33">
        <v>16.399999999999999</v>
      </c>
      <c r="DI998" s="33">
        <v>5.75</v>
      </c>
      <c r="DL998" s="33">
        <v>66.7</v>
      </c>
      <c r="DM998" s="33">
        <v>43.9</v>
      </c>
    </row>
    <row r="999" spans="1:125" customFormat="1" x14ac:dyDescent="0.2">
      <c r="A999" s="181"/>
      <c r="B999" s="69"/>
      <c r="C999" s="136"/>
      <c r="D999" s="136"/>
      <c r="E999" s="136"/>
      <c r="F999" s="69"/>
      <c r="G999" s="136"/>
      <c r="H999" s="136"/>
      <c r="I999" s="136"/>
      <c r="J999" s="136"/>
      <c r="K999" s="137"/>
      <c r="L999" s="138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7"/>
      <c r="AI999" s="136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  <c r="BS999" s="53"/>
      <c r="BT999" s="53"/>
      <c r="BU999" s="53"/>
      <c r="BV999" s="53"/>
      <c r="BW999" s="53"/>
      <c r="BX999" s="53"/>
      <c r="BY999" s="53"/>
      <c r="BZ999" s="53"/>
      <c r="CA999" s="53"/>
      <c r="CB999" s="53"/>
      <c r="CC999" s="53"/>
      <c r="CD999" s="53"/>
      <c r="CE999" s="53"/>
      <c r="CF999" s="53"/>
      <c r="CG999" s="53"/>
      <c r="CH999" s="53"/>
      <c r="CI999" s="53"/>
      <c r="CJ999" s="53"/>
      <c r="CK999" s="53"/>
      <c r="CL999" s="53"/>
      <c r="CM999" s="53"/>
      <c r="CN999" s="53"/>
      <c r="CO999" s="53"/>
      <c r="CP999" s="53"/>
      <c r="CQ999" s="53"/>
      <c r="CR999" s="53"/>
      <c r="CS999" s="53"/>
      <c r="CT999" s="53"/>
      <c r="CU999" s="53"/>
      <c r="CV999" s="53"/>
      <c r="CW999" s="53"/>
      <c r="CY999" s="53"/>
      <c r="CZ999" s="27"/>
      <c r="DA999" s="29"/>
      <c r="DB999" s="29"/>
      <c r="DG999" s="9" t="e">
        <f t="shared" si="15"/>
        <v>#NUM!</v>
      </c>
      <c r="DR999">
        <v>3</v>
      </c>
    </row>
    <row r="1000" spans="1:125" x14ac:dyDescent="0.2">
      <c r="A1000" s="184" t="s">
        <v>7956</v>
      </c>
      <c r="C1000" s="9" t="s">
        <v>95</v>
      </c>
      <c r="D1000" s="6">
        <v>25</v>
      </c>
      <c r="E1000" s="9" t="s">
        <v>100</v>
      </c>
      <c r="AL1000" s="6">
        <v>53.3</v>
      </c>
      <c r="AN1000" s="6">
        <v>83</v>
      </c>
      <c r="AO1000" s="6">
        <v>95</v>
      </c>
      <c r="AP1000" s="6">
        <v>31</v>
      </c>
      <c r="AQ1000" s="6">
        <v>3</v>
      </c>
      <c r="AR1000" s="6">
        <v>27</v>
      </c>
      <c r="AS1000" s="6">
        <v>24</v>
      </c>
      <c r="AT1000" s="13">
        <v>20.8</v>
      </c>
      <c r="DC1000" s="6">
        <v>92</v>
      </c>
      <c r="DD1000" s="6">
        <v>0.6</v>
      </c>
      <c r="DE1000" s="6">
        <v>185</v>
      </c>
      <c r="DF1000" s="6">
        <v>76</v>
      </c>
      <c r="DG1000" s="9">
        <f t="shared" si="15"/>
        <v>4.4262609586676858</v>
      </c>
      <c r="DH1000" s="6">
        <v>15</v>
      </c>
      <c r="DL1000" s="6">
        <v>78.400000000000006</v>
      </c>
      <c r="DM1000" s="6">
        <v>92</v>
      </c>
      <c r="DN1000" s="6"/>
      <c r="DP1000" t="s">
        <v>105</v>
      </c>
      <c r="DQ1000" s="6"/>
    </row>
    <row r="1001" spans="1:125" x14ac:dyDescent="0.2">
      <c r="A1001" s="184" t="s">
        <v>7957</v>
      </c>
      <c r="C1001" s="9" t="s">
        <v>95</v>
      </c>
      <c r="D1001" s="6">
        <v>19</v>
      </c>
      <c r="E1001" s="9" t="s">
        <v>100</v>
      </c>
      <c r="AL1001" s="6">
        <v>52.1</v>
      </c>
      <c r="AN1001" s="6">
        <v>74</v>
      </c>
      <c r="AO1001" s="6">
        <v>86</v>
      </c>
      <c r="AP1001" s="6">
        <v>27.5</v>
      </c>
      <c r="AQ1001" s="6">
        <v>5</v>
      </c>
      <c r="AR1001" s="6">
        <v>13.7</v>
      </c>
      <c r="AS1001" s="6">
        <v>18</v>
      </c>
      <c r="AT1001" s="13">
        <v>23.2</v>
      </c>
      <c r="AU1001" s="6">
        <v>115</v>
      </c>
      <c r="AV1001" s="6">
        <v>76</v>
      </c>
      <c r="DC1001" s="6">
        <v>80</v>
      </c>
      <c r="DD1001" s="6">
        <v>0.7</v>
      </c>
      <c r="DE1001" s="6">
        <v>142</v>
      </c>
      <c r="DF1001" s="6">
        <v>47</v>
      </c>
      <c r="DG1001" s="9">
        <f t="shared" si="15"/>
        <v>4.1160871181919703</v>
      </c>
      <c r="DH1001" s="6">
        <v>9</v>
      </c>
      <c r="DL1001" s="6">
        <v>68.599999999999994</v>
      </c>
      <c r="DM1001" s="6">
        <v>64</v>
      </c>
      <c r="DN1001" s="6"/>
      <c r="DP1001">
        <v>2</v>
      </c>
      <c r="DQ1001" s="6" t="s">
        <v>111</v>
      </c>
      <c r="DR1001" s="9">
        <v>2</v>
      </c>
    </row>
    <row r="1002" spans="1:125" x14ac:dyDescent="0.2">
      <c r="A1002" s="184" t="s">
        <v>7958</v>
      </c>
      <c r="C1002" s="9" t="s">
        <v>95</v>
      </c>
      <c r="D1002" s="6">
        <v>32</v>
      </c>
      <c r="E1002" s="9" t="s">
        <v>100</v>
      </c>
      <c r="AL1002" s="6">
        <v>47.3</v>
      </c>
      <c r="AN1002" s="6">
        <v>70</v>
      </c>
      <c r="AO1002" s="6">
        <v>93</v>
      </c>
      <c r="AP1002" s="6">
        <v>23.4</v>
      </c>
      <c r="AQ1002" s="6">
        <v>2</v>
      </c>
      <c r="AR1002" s="6">
        <v>24.6</v>
      </c>
      <c r="AS1002" s="6">
        <v>18</v>
      </c>
      <c r="AT1002" s="13">
        <v>17.399999999999999</v>
      </c>
      <c r="AU1002" s="6">
        <v>102</v>
      </c>
      <c r="AV1002" s="6">
        <v>54</v>
      </c>
      <c r="DC1002" s="6">
        <v>81</v>
      </c>
      <c r="DD1002" s="6">
        <v>0.6</v>
      </c>
      <c r="DE1002" s="6">
        <v>171</v>
      </c>
      <c r="DF1002" s="6">
        <v>111</v>
      </c>
      <c r="DG1002" s="9">
        <f t="shared" si="15"/>
        <v>4.5519896779923865</v>
      </c>
      <c r="DH1002" s="6">
        <v>22</v>
      </c>
      <c r="DL1002" s="6">
        <v>56.1</v>
      </c>
      <c r="DM1002" s="6">
        <v>93</v>
      </c>
      <c r="DN1002" s="6"/>
      <c r="DP1002" s="185" t="s">
        <v>7959</v>
      </c>
      <c r="DQ1002" s="6" t="s">
        <v>111</v>
      </c>
    </row>
    <row r="1003" spans="1:125" x14ac:dyDescent="0.2">
      <c r="A1003" s="184" t="s">
        <v>7960</v>
      </c>
      <c r="C1003" s="9" t="s">
        <v>95</v>
      </c>
      <c r="D1003" s="6">
        <v>54</v>
      </c>
      <c r="E1003" s="9" t="s">
        <v>100</v>
      </c>
      <c r="AL1003" s="6">
        <v>59.1</v>
      </c>
      <c r="AN1003" s="6">
        <v>81</v>
      </c>
      <c r="AO1003" s="6">
        <v>99</v>
      </c>
      <c r="AP1003" s="6">
        <v>38.200000000000003</v>
      </c>
      <c r="AQ1003" s="6">
        <v>7</v>
      </c>
      <c r="AR1003" s="6">
        <v>25.1</v>
      </c>
      <c r="AS1003" s="6">
        <v>54</v>
      </c>
      <c r="AT1003" s="13">
        <v>24.6</v>
      </c>
      <c r="AU1003" s="6"/>
      <c r="AV1003" s="6"/>
      <c r="DC1003" s="6">
        <v>85</v>
      </c>
      <c r="DD1003" s="6">
        <v>0.6</v>
      </c>
      <c r="DE1003" s="6">
        <v>179</v>
      </c>
      <c r="DF1003" s="6">
        <v>129</v>
      </c>
      <c r="DG1003" s="9">
        <f t="shared" si="15"/>
        <v>4.6512318304259939</v>
      </c>
      <c r="DH1003" s="6">
        <v>26</v>
      </c>
      <c r="DL1003" s="6">
        <v>41</v>
      </c>
      <c r="DM1003" s="6">
        <v>112</v>
      </c>
      <c r="DN1003" s="6"/>
      <c r="DP1003" s="33" t="s">
        <v>2223</v>
      </c>
      <c r="DQ1003" s="6" t="s">
        <v>111</v>
      </c>
      <c r="DR1003" s="30">
        <v>1</v>
      </c>
    </row>
    <row r="1004" spans="1:125" x14ac:dyDescent="0.2">
      <c r="A1004" s="184" t="s">
        <v>7961</v>
      </c>
      <c r="C1004" s="9" t="s">
        <v>95</v>
      </c>
      <c r="D1004" s="6">
        <v>19</v>
      </c>
      <c r="E1004" s="9" t="s">
        <v>100</v>
      </c>
      <c r="AL1004" s="6">
        <v>57.8</v>
      </c>
      <c r="AN1004" s="6">
        <v>69</v>
      </c>
      <c r="AO1004" s="6">
        <v>92</v>
      </c>
      <c r="AP1004" s="6">
        <v>30.3</v>
      </c>
      <c r="AQ1004" s="6">
        <v>3</v>
      </c>
      <c r="AR1004" s="6">
        <v>28.6</v>
      </c>
      <c r="AS1004" s="6">
        <v>19</v>
      </c>
      <c r="AT1004" s="13">
        <v>21</v>
      </c>
      <c r="AU1004" s="6"/>
      <c r="AV1004" s="6"/>
      <c r="DC1004" s="6">
        <v>78</v>
      </c>
      <c r="DD1004" s="6">
        <v>0.5</v>
      </c>
      <c r="DE1004" s="6">
        <v>156</v>
      </c>
      <c r="DF1004" s="6">
        <v>64</v>
      </c>
      <c r="DG1004" s="9">
        <f t="shared" si="15"/>
        <v>4.2577959550246316</v>
      </c>
      <c r="DH1004" s="6">
        <v>13</v>
      </c>
      <c r="DL1004" s="6">
        <v>41.7</v>
      </c>
      <c r="DM1004" s="6">
        <v>101</v>
      </c>
      <c r="DN1004" s="6"/>
      <c r="DP1004" s="33" t="s">
        <v>2223</v>
      </c>
      <c r="DQ1004" s="6" t="s">
        <v>111</v>
      </c>
    </row>
    <row r="1005" spans="1:125" ht="16" x14ac:dyDescent="0.2">
      <c r="A1005" s="186" t="s">
        <v>7962</v>
      </c>
      <c r="B1005" s="8">
        <v>42293</v>
      </c>
      <c r="C1005" s="9" t="s">
        <v>95</v>
      </c>
      <c r="D1005" s="6">
        <v>31</v>
      </c>
      <c r="E1005" s="9" t="s">
        <v>100</v>
      </c>
      <c r="F1005" s="17">
        <v>30811</v>
      </c>
      <c r="G1005" s="9" t="s">
        <v>3256</v>
      </c>
      <c r="I1005" s="9">
        <v>98</v>
      </c>
      <c r="J1005" s="9" t="s">
        <v>99</v>
      </c>
      <c r="M1005" s="9" t="s">
        <v>99</v>
      </c>
      <c r="N1005" s="9" t="s">
        <v>99</v>
      </c>
      <c r="O1005" s="9" t="s">
        <v>99</v>
      </c>
      <c r="P1005" s="9" t="s">
        <v>99</v>
      </c>
      <c r="Q1005" s="9" t="s">
        <v>110</v>
      </c>
      <c r="R1005" s="9" t="s">
        <v>99</v>
      </c>
      <c r="S1005" s="9" t="s">
        <v>110</v>
      </c>
      <c r="T1005" s="9" t="s">
        <v>99</v>
      </c>
      <c r="AA1005" s="9" t="s">
        <v>100</v>
      </c>
      <c r="AB1005" s="9" t="s">
        <v>100</v>
      </c>
      <c r="AC1005" s="9" t="s">
        <v>2777</v>
      </c>
      <c r="AD1005" s="9" t="s">
        <v>100</v>
      </c>
      <c r="AE1005" s="9" t="s">
        <v>7963</v>
      </c>
      <c r="AF1005" s="9" t="s">
        <v>118</v>
      </c>
      <c r="AG1005" s="9" t="s">
        <v>99</v>
      </c>
      <c r="AH1005" s="9" t="s">
        <v>99</v>
      </c>
      <c r="AI1005" s="9" t="s">
        <v>99</v>
      </c>
      <c r="AJ1005" s="9" t="s">
        <v>99</v>
      </c>
      <c r="AK1005" s="9" t="s">
        <v>99</v>
      </c>
      <c r="AL1005" s="6">
        <v>52.2</v>
      </c>
      <c r="AN1005" s="6">
        <v>62</v>
      </c>
      <c r="AO1005" s="6">
        <v>99</v>
      </c>
      <c r="AP1005" s="6">
        <v>28</v>
      </c>
      <c r="AQ1005" s="6">
        <v>3</v>
      </c>
      <c r="AR1005" s="6">
        <v>28.5</v>
      </c>
      <c r="AS1005" s="6">
        <v>22</v>
      </c>
      <c r="AT1005" s="13">
        <v>19.899999999999999</v>
      </c>
      <c r="AU1005" s="6">
        <v>91</v>
      </c>
      <c r="AV1005" s="6">
        <v>62</v>
      </c>
      <c r="AW1005" s="9" t="s">
        <v>7964</v>
      </c>
      <c r="DC1005" s="6">
        <v>86.5</v>
      </c>
      <c r="DD1005" s="9">
        <v>0.81</v>
      </c>
      <c r="DE1005" s="6">
        <v>171</v>
      </c>
      <c r="DF1005" s="6">
        <v>106</v>
      </c>
      <c r="DG1005" s="9">
        <f t="shared" si="15"/>
        <v>4.5617917540249504</v>
      </c>
      <c r="DH1005" s="9">
        <v>21.2</v>
      </c>
      <c r="DI1005" s="9">
        <v>3.84</v>
      </c>
      <c r="DL1005" s="9">
        <v>77.099999999999994</v>
      </c>
      <c r="DM1005" s="9">
        <v>72.7</v>
      </c>
      <c r="DP1005" s="185" t="s">
        <v>105</v>
      </c>
      <c r="DQ1005" s="6" t="s">
        <v>111</v>
      </c>
      <c r="DU1005" s="9">
        <v>4</v>
      </c>
    </row>
    <row r="1006" spans="1:125" ht="16" x14ac:dyDescent="0.2">
      <c r="A1006" s="186" t="s">
        <v>7965</v>
      </c>
      <c r="C1006" s="9" t="s">
        <v>95</v>
      </c>
      <c r="D1006" s="6">
        <v>42</v>
      </c>
      <c r="E1006" s="9" t="s">
        <v>100</v>
      </c>
      <c r="AL1006" s="6">
        <v>63.8</v>
      </c>
      <c r="AN1006" s="6">
        <v>80</v>
      </c>
      <c r="AO1006" s="6">
        <v>89</v>
      </c>
      <c r="AP1006" s="6"/>
      <c r="AQ1006" s="6"/>
      <c r="AT1006" s="13">
        <v>24.3</v>
      </c>
      <c r="AU1006" s="6">
        <v>108</v>
      </c>
      <c r="AV1006" s="6">
        <v>78</v>
      </c>
      <c r="DC1006" s="6">
        <v>96</v>
      </c>
      <c r="DE1006" s="6">
        <v>199</v>
      </c>
      <c r="DF1006" s="6">
        <v>92</v>
      </c>
      <c r="DG1006" s="9">
        <f t="shared" si="15"/>
        <v>4.5430683842584383</v>
      </c>
      <c r="DN1006" s="187"/>
      <c r="DO1006" s="187"/>
      <c r="DP1006" s="188"/>
      <c r="DQ1006" s="6"/>
    </row>
    <row r="1007" spans="1:125" x14ac:dyDescent="0.2">
      <c r="A1007" s="189" t="s">
        <v>7966</v>
      </c>
      <c r="C1007" s="9" t="s">
        <v>95</v>
      </c>
      <c r="D1007" s="6">
        <v>54</v>
      </c>
      <c r="E1007" s="9" t="s">
        <v>100</v>
      </c>
      <c r="AL1007" s="6">
        <v>105.3</v>
      </c>
      <c r="AN1007" s="6">
        <v>127</v>
      </c>
      <c r="AO1007" s="6">
        <v>147</v>
      </c>
      <c r="AP1007" s="6">
        <v>52.6</v>
      </c>
      <c r="AQ1007" s="6"/>
      <c r="AR1007" s="6">
        <v>44.7</v>
      </c>
      <c r="AT1007" s="16">
        <v>50.78</v>
      </c>
      <c r="AU1007" s="15">
        <v>132</v>
      </c>
      <c r="AV1007" s="15">
        <v>84</v>
      </c>
      <c r="DC1007" s="15">
        <v>114</v>
      </c>
      <c r="DE1007" s="15">
        <v>243</v>
      </c>
      <c r="DF1007" s="15">
        <v>156</v>
      </c>
      <c r="DG1007" s="9">
        <f t="shared" si="15"/>
        <v>4.8930272278220164</v>
      </c>
      <c r="DP1007" s="190" t="s">
        <v>7967</v>
      </c>
      <c r="DQ1007" s="6" t="s">
        <v>112</v>
      </c>
      <c r="DR1007" s="6">
        <v>2</v>
      </c>
    </row>
    <row r="1008" spans="1:125" x14ac:dyDescent="0.2">
      <c r="A1008" s="191" t="s">
        <v>7968</v>
      </c>
      <c r="C1008" s="9" t="s">
        <v>95</v>
      </c>
      <c r="D1008" s="6">
        <v>49</v>
      </c>
      <c r="E1008" s="9" t="s">
        <v>100</v>
      </c>
      <c r="AL1008" s="6">
        <v>69.400000000000006</v>
      </c>
      <c r="AN1008" s="6">
        <v>92</v>
      </c>
      <c r="AO1008" s="6">
        <v>100</v>
      </c>
      <c r="AP1008" s="6">
        <v>37.700000000000003</v>
      </c>
      <c r="AQ1008" s="6">
        <v>9</v>
      </c>
      <c r="AR1008" s="6">
        <v>27.8</v>
      </c>
      <c r="AS1008" s="6">
        <v>58</v>
      </c>
      <c r="AT1008" s="6">
        <v>28.5</v>
      </c>
      <c r="AU1008" s="6">
        <v>111</v>
      </c>
      <c r="AV1008" s="6">
        <v>83</v>
      </c>
      <c r="DC1008" s="15">
        <v>122</v>
      </c>
      <c r="DD1008" s="6">
        <v>0.7</v>
      </c>
      <c r="DE1008" s="15">
        <v>258</v>
      </c>
      <c r="DF1008" s="16">
        <v>532</v>
      </c>
      <c r="DG1008" s="9">
        <f t="shared" si="15"/>
        <v>5.5403322670374502</v>
      </c>
      <c r="DH1008" s="6">
        <v>106</v>
      </c>
      <c r="DL1008" s="6">
        <v>33.299999999999997</v>
      </c>
      <c r="DM1008" s="6">
        <v>119</v>
      </c>
      <c r="DN1008" s="6"/>
      <c r="DP1008" s="192" t="s">
        <v>105</v>
      </c>
      <c r="DQ1008" s="6"/>
      <c r="DR1008" s="6"/>
    </row>
    <row r="1009" spans="1:127" x14ac:dyDescent="0.2">
      <c r="A1009" s="191" t="s">
        <v>7969</v>
      </c>
      <c r="C1009" s="9" t="s">
        <v>95</v>
      </c>
      <c r="D1009" s="6">
        <v>55</v>
      </c>
      <c r="E1009" s="9" t="s">
        <v>100</v>
      </c>
      <c r="AL1009" s="6">
        <v>106</v>
      </c>
      <c r="AN1009" s="6">
        <v>119</v>
      </c>
      <c r="AO1009" s="6">
        <v>143</v>
      </c>
      <c r="AP1009" s="6">
        <v>57.4</v>
      </c>
      <c r="AQ1009" s="6">
        <v>15</v>
      </c>
      <c r="AR1009" s="6">
        <v>18.899999999999999</v>
      </c>
      <c r="AS1009" s="6">
        <v>80</v>
      </c>
      <c r="AT1009" s="6">
        <v>45</v>
      </c>
      <c r="AU1009" s="6"/>
      <c r="AV1009" s="6"/>
      <c r="DC1009" s="15">
        <v>109</v>
      </c>
      <c r="DD1009" s="6">
        <v>0.7</v>
      </c>
      <c r="DE1009" s="6">
        <v>173</v>
      </c>
      <c r="DF1009" s="15">
        <v>186</v>
      </c>
      <c r="DG1009" s="9">
        <f t="shared" si="15"/>
        <v>4.9585472779711726</v>
      </c>
      <c r="DH1009" s="6">
        <v>37</v>
      </c>
      <c r="DJ1009" s="6">
        <v>17</v>
      </c>
      <c r="DK1009" s="6">
        <v>14</v>
      </c>
      <c r="DL1009" s="6">
        <v>46</v>
      </c>
      <c r="DM1009" s="6">
        <v>90</v>
      </c>
      <c r="DN1009" s="6"/>
      <c r="DP1009" s="192" t="s">
        <v>112</v>
      </c>
      <c r="DQ1009" s="6" t="s">
        <v>112</v>
      </c>
      <c r="DR1009" s="6">
        <v>2</v>
      </c>
    </row>
    <row r="1010" spans="1:127" x14ac:dyDescent="0.2">
      <c r="A1010" s="189" t="s">
        <v>7970</v>
      </c>
      <c r="B1010" s="8">
        <v>42323</v>
      </c>
      <c r="C1010" s="9" t="s">
        <v>95</v>
      </c>
      <c r="D1010" s="6">
        <v>47</v>
      </c>
      <c r="E1010" s="9" t="s">
        <v>1123</v>
      </c>
      <c r="F1010" s="17">
        <v>24764</v>
      </c>
      <c r="I1010" s="9">
        <v>12</v>
      </c>
      <c r="J1010" s="9" t="s">
        <v>99</v>
      </c>
      <c r="M1010" s="9" t="s">
        <v>7971</v>
      </c>
      <c r="N1010" s="9" t="s">
        <v>99</v>
      </c>
      <c r="O1010" s="9" t="s">
        <v>3933</v>
      </c>
      <c r="P1010" s="9" t="s">
        <v>99</v>
      </c>
      <c r="Q1010" s="9" t="s">
        <v>99</v>
      </c>
      <c r="R1010" s="9" t="s">
        <v>110</v>
      </c>
      <c r="AA1010" s="9" t="s">
        <v>1123</v>
      </c>
      <c r="AB1010" s="9" t="s">
        <v>1123</v>
      </c>
      <c r="AC1010" s="9" t="s">
        <v>1123</v>
      </c>
      <c r="AD1010" s="9" t="s">
        <v>1123</v>
      </c>
      <c r="AE1010" s="9" t="s">
        <v>118</v>
      </c>
      <c r="AF1010" s="9" t="s">
        <v>99</v>
      </c>
      <c r="AG1010" s="9" t="s">
        <v>7972</v>
      </c>
      <c r="AH1010" s="9" t="s">
        <v>99</v>
      </c>
      <c r="AI1010" s="9" t="s">
        <v>99</v>
      </c>
      <c r="AJ1010" s="9" t="s">
        <v>99</v>
      </c>
      <c r="AL1010" s="6">
        <v>88.7</v>
      </c>
      <c r="AN1010" s="6">
        <v>107</v>
      </c>
      <c r="AO1010" s="6">
        <v>125</v>
      </c>
      <c r="AP1010" s="6">
        <v>51.9</v>
      </c>
      <c r="AQ1010" s="6">
        <v>11</v>
      </c>
      <c r="AR1010" s="6">
        <v>20.3</v>
      </c>
      <c r="AS1010" s="6">
        <v>67</v>
      </c>
      <c r="AT1010" s="6">
        <v>33.799999999999997</v>
      </c>
      <c r="AU1010" s="6">
        <v>127</v>
      </c>
      <c r="AV1010" s="6">
        <v>78</v>
      </c>
      <c r="DC1010" s="15">
        <v>113</v>
      </c>
      <c r="DE1010" s="15">
        <v>257</v>
      </c>
      <c r="DF1010" s="15">
        <v>200</v>
      </c>
      <c r="DG1010" s="9">
        <f t="shared" si="15"/>
        <v>5.012852592630189</v>
      </c>
      <c r="DP1010" s="193"/>
      <c r="DQ1010" s="6"/>
      <c r="DR1010" s="19">
        <v>1</v>
      </c>
    </row>
    <row r="1011" spans="1:127" x14ac:dyDescent="0.2">
      <c r="A1011" s="189" t="s">
        <v>7973</v>
      </c>
      <c r="C1011" s="9" t="s">
        <v>95</v>
      </c>
      <c r="D1011" s="6">
        <v>23</v>
      </c>
      <c r="E1011" s="9" t="s">
        <v>100</v>
      </c>
      <c r="F1011" s="17">
        <v>33673</v>
      </c>
      <c r="I1011" s="9">
        <v>12</v>
      </c>
      <c r="J1011" s="9" t="s">
        <v>99</v>
      </c>
      <c r="M1011" s="9" t="s">
        <v>99</v>
      </c>
      <c r="N1011" s="9" t="s">
        <v>99</v>
      </c>
      <c r="O1011" s="9" t="s">
        <v>99</v>
      </c>
      <c r="P1011" s="9" t="s">
        <v>99</v>
      </c>
      <c r="Q1011" s="9" t="s">
        <v>99</v>
      </c>
      <c r="R1011" s="9" t="s">
        <v>110</v>
      </c>
      <c r="AA1011" s="9" t="s">
        <v>100</v>
      </c>
      <c r="AB1011" s="9" t="s">
        <v>100</v>
      </c>
      <c r="AC1011" s="9" t="s">
        <v>100</v>
      </c>
      <c r="AD1011" s="14" t="s">
        <v>840</v>
      </c>
      <c r="AE1011" s="9" t="s">
        <v>571</v>
      </c>
      <c r="AF1011" s="9" t="s">
        <v>118</v>
      </c>
      <c r="AG1011" s="9" t="s">
        <v>99</v>
      </c>
      <c r="AH1011" s="9" t="s">
        <v>1079</v>
      </c>
      <c r="AI1011" s="9" t="s">
        <v>125</v>
      </c>
      <c r="AL1011" s="6">
        <v>81.7</v>
      </c>
      <c r="AN1011" s="6">
        <v>106</v>
      </c>
      <c r="AO1011" s="6">
        <v>118</v>
      </c>
      <c r="AP1011" s="6">
        <v>51.4</v>
      </c>
      <c r="AQ1011" s="6">
        <v>8</v>
      </c>
      <c r="AR1011" s="6">
        <v>21.1</v>
      </c>
      <c r="AS1011" s="6">
        <v>60</v>
      </c>
      <c r="AT1011" s="6">
        <v>37.299999999999997</v>
      </c>
      <c r="AU1011" s="6">
        <v>96</v>
      </c>
      <c r="AV1011" s="6">
        <v>76</v>
      </c>
      <c r="DC1011" s="15">
        <v>105</v>
      </c>
      <c r="DE1011" s="6">
        <v>140</v>
      </c>
      <c r="DF1011" s="15">
        <v>173</v>
      </c>
      <c r="DG1011" s="9">
        <f t="shared" si="15"/>
        <v>4.9036259723276512</v>
      </c>
      <c r="DP1011" s="193">
        <v>3</v>
      </c>
      <c r="DQ1011" s="6" t="s">
        <v>111</v>
      </c>
      <c r="DR1011" s="6"/>
    </row>
    <row r="1012" spans="1:127" x14ac:dyDescent="0.2">
      <c r="A1012" s="191" t="s">
        <v>7974</v>
      </c>
      <c r="C1012" s="9" t="s">
        <v>95</v>
      </c>
      <c r="D1012" s="6">
        <v>44</v>
      </c>
      <c r="E1012" s="9" t="s">
        <v>100</v>
      </c>
      <c r="AL1012" s="6">
        <v>74.5</v>
      </c>
      <c r="AN1012" s="6">
        <v>89</v>
      </c>
      <c r="AO1012" s="6">
        <v>103</v>
      </c>
      <c r="AP1012" s="6">
        <v>47.2</v>
      </c>
      <c r="AQ1012" s="6">
        <v>9</v>
      </c>
      <c r="AR1012" s="6">
        <v>22.3</v>
      </c>
      <c r="AS1012" s="6">
        <v>61</v>
      </c>
      <c r="AT1012" s="6">
        <v>30.6</v>
      </c>
      <c r="AU1012" s="6">
        <v>108</v>
      </c>
      <c r="AV1012" s="6">
        <v>69</v>
      </c>
      <c r="DC1012" s="82">
        <v>98</v>
      </c>
      <c r="DE1012" s="15">
        <v>202</v>
      </c>
      <c r="DF1012" s="15">
        <v>217</v>
      </c>
      <c r="DG1012" s="9">
        <f t="shared" si="15"/>
        <v>4.9824324161055156</v>
      </c>
      <c r="DO1012" s="6"/>
      <c r="DP1012" s="192">
        <v>2</v>
      </c>
      <c r="DR1012" s="87" t="s">
        <v>112</v>
      </c>
    </row>
    <row r="1013" spans="1:127" x14ac:dyDescent="0.2">
      <c r="A1013" s="14"/>
      <c r="C1013" s="9" t="s">
        <v>107</v>
      </c>
      <c r="D1013" s="9">
        <v>50</v>
      </c>
      <c r="E1013" s="9" t="s">
        <v>96</v>
      </c>
      <c r="G1013" s="9" t="s">
        <v>7975</v>
      </c>
      <c r="H1013" s="9" t="s">
        <v>7976</v>
      </c>
      <c r="M1013" s="9" t="s">
        <v>7977</v>
      </c>
      <c r="N1013" s="9" t="s">
        <v>3873</v>
      </c>
      <c r="O1013" s="9" t="s">
        <v>99</v>
      </c>
      <c r="P1013" s="9" t="s">
        <v>99</v>
      </c>
      <c r="Q1013" s="9" t="s">
        <v>110</v>
      </c>
      <c r="R1013" s="9" t="s">
        <v>110</v>
      </c>
      <c r="S1013" s="9" t="s">
        <v>99</v>
      </c>
      <c r="T1013" s="9" t="s">
        <v>110</v>
      </c>
      <c r="U1013" s="9" t="s">
        <v>99</v>
      </c>
      <c r="W1013" s="9" t="s">
        <v>99</v>
      </c>
      <c r="Y1013" s="9" t="s">
        <v>99</v>
      </c>
      <c r="AA1013" s="9" t="s">
        <v>7978</v>
      </c>
      <c r="AB1013" s="14" t="s">
        <v>2225</v>
      </c>
      <c r="AC1013" s="9" t="s">
        <v>7979</v>
      </c>
      <c r="AD1013" s="9" t="s">
        <v>99</v>
      </c>
      <c r="AE1013" s="9" t="s">
        <v>99</v>
      </c>
      <c r="AF1013" s="9" t="s">
        <v>99</v>
      </c>
      <c r="AG1013" s="9" t="s">
        <v>99</v>
      </c>
      <c r="AH1013" s="9" t="s">
        <v>99</v>
      </c>
      <c r="AI1013" s="9" t="s">
        <v>7980</v>
      </c>
      <c r="AL1013" s="9">
        <v>80.5</v>
      </c>
      <c r="AM1013" s="9">
        <v>165</v>
      </c>
      <c r="AP1013" s="9">
        <v>35.799999999999997</v>
      </c>
      <c r="AQ1013" s="9">
        <v>16</v>
      </c>
      <c r="AR1013" s="9">
        <v>28</v>
      </c>
      <c r="AS1013" s="9">
        <v>59</v>
      </c>
      <c r="AT1013" s="9">
        <v>29.6</v>
      </c>
      <c r="AU1013" s="9">
        <v>130</v>
      </c>
      <c r="AV1013" s="9">
        <v>80</v>
      </c>
      <c r="AX1013" s="9" t="s">
        <v>729</v>
      </c>
      <c r="AY1013" s="9" t="s">
        <v>2567</v>
      </c>
      <c r="AZ1013" s="9" t="s">
        <v>7981</v>
      </c>
      <c r="BB1013" s="9" t="s">
        <v>1080</v>
      </c>
      <c r="BC1013" s="9" t="s">
        <v>7982</v>
      </c>
      <c r="BF1013" s="9" t="s">
        <v>7983</v>
      </c>
      <c r="BG1013" s="9" t="s">
        <v>2769</v>
      </c>
      <c r="BH1013" s="9" t="s">
        <v>175</v>
      </c>
      <c r="BI1013" s="9" t="s">
        <v>1173</v>
      </c>
      <c r="BJ1013" s="9" t="s">
        <v>1173</v>
      </c>
      <c r="BK1013" s="9" t="s">
        <v>852</v>
      </c>
      <c r="BN1013" s="9" t="s">
        <v>179</v>
      </c>
      <c r="BO1013" s="9" t="s">
        <v>2770</v>
      </c>
      <c r="BP1013" s="9" t="s">
        <v>7984</v>
      </c>
      <c r="BR1013" s="9" t="s">
        <v>99</v>
      </c>
      <c r="BV1013" s="9" t="s">
        <v>99</v>
      </c>
      <c r="BZ1013" s="9" t="s">
        <v>709</v>
      </c>
      <c r="CA1013" s="9" t="s">
        <v>183</v>
      </c>
      <c r="CB1013" s="9" t="s">
        <v>7985</v>
      </c>
      <c r="CD1013" s="9" t="s">
        <v>99</v>
      </c>
      <c r="CH1013" s="9" t="s">
        <v>99</v>
      </c>
      <c r="CL1013" s="9" t="s">
        <v>825</v>
      </c>
      <c r="CM1013" s="9" t="s">
        <v>980</v>
      </c>
      <c r="CN1013" s="9" t="s">
        <v>1181</v>
      </c>
      <c r="CP1013" s="9" t="s">
        <v>716</v>
      </c>
      <c r="CT1013" s="9" t="s">
        <v>7986</v>
      </c>
      <c r="CU1013" s="9" t="s">
        <v>849</v>
      </c>
      <c r="CV1013" s="9" t="s">
        <v>2615</v>
      </c>
      <c r="CW1013" s="9">
        <v>3</v>
      </c>
      <c r="CX1013" s="9" t="s">
        <v>110</v>
      </c>
      <c r="CY1013" s="9" t="s">
        <v>2756</v>
      </c>
      <c r="DG1013" s="9" t="e">
        <f t="shared" si="15"/>
        <v>#NUM!</v>
      </c>
    </row>
    <row r="1014" spans="1:127" x14ac:dyDescent="0.2">
      <c r="B1014" s="17">
        <v>43347</v>
      </c>
      <c r="C1014" s="9" t="s">
        <v>95</v>
      </c>
      <c r="D1014" s="9">
        <v>21</v>
      </c>
      <c r="E1014" s="9" t="s">
        <v>7987</v>
      </c>
      <c r="AL1014" s="9">
        <v>60.3</v>
      </c>
      <c r="AM1014" s="9">
        <v>167</v>
      </c>
      <c r="AP1014" s="9">
        <v>21.2</v>
      </c>
      <c r="AT1014" s="9">
        <v>21.6</v>
      </c>
      <c r="DC1014" s="9">
        <v>84.8</v>
      </c>
      <c r="DD1014" s="9">
        <v>0.56999999999999995</v>
      </c>
      <c r="DE1014" s="9">
        <v>139</v>
      </c>
      <c r="DF1014" s="9">
        <v>43</v>
      </c>
      <c r="DG1014" s="9">
        <f t="shared" si="15"/>
        <v>4.1007478292457096</v>
      </c>
      <c r="DH1014" s="9">
        <v>8.6</v>
      </c>
      <c r="DI1014" s="9">
        <v>2.79</v>
      </c>
      <c r="DJ1014" s="9">
        <v>10</v>
      </c>
      <c r="DK1014" s="9">
        <v>19</v>
      </c>
      <c r="DP1014" s="11">
        <v>3</v>
      </c>
      <c r="DR1014" s="30">
        <v>1</v>
      </c>
      <c r="DT1014" s="9">
        <v>15.2</v>
      </c>
      <c r="DU1014" s="9">
        <v>4.7</v>
      </c>
    </row>
    <row r="1015" spans="1:127" x14ac:dyDescent="0.2">
      <c r="A1015" s="9" t="s">
        <v>7988</v>
      </c>
      <c r="DG1015" s="9" t="e">
        <f t="shared" si="15"/>
        <v>#NUM!</v>
      </c>
      <c r="DR1015" s="9">
        <v>2</v>
      </c>
    </row>
    <row r="1016" spans="1:127" x14ac:dyDescent="0.2">
      <c r="A1016" s="9" t="s">
        <v>7989</v>
      </c>
      <c r="DG1016" s="9" t="e">
        <f t="shared" si="15"/>
        <v>#NUM!</v>
      </c>
      <c r="DR1016" s="9">
        <v>2</v>
      </c>
    </row>
    <row r="1017" spans="1:127" x14ac:dyDescent="0.2">
      <c r="A1017" s="9" t="s">
        <v>7990</v>
      </c>
      <c r="DG1017" s="9" t="e">
        <f t="shared" si="15"/>
        <v>#NUM!</v>
      </c>
      <c r="DP1017" s="11">
        <v>3</v>
      </c>
    </row>
    <row r="1018" spans="1:127" x14ac:dyDescent="0.2">
      <c r="DG1018" s="9" t="e">
        <f t="shared" si="15"/>
        <v>#NUM!</v>
      </c>
      <c r="DP1018" s="11">
        <v>3</v>
      </c>
    </row>
    <row r="1019" spans="1:127" x14ac:dyDescent="0.2">
      <c r="DG1019" s="9" t="e">
        <f t="shared" si="15"/>
        <v>#NUM!</v>
      </c>
      <c r="DP1019" s="11">
        <v>3</v>
      </c>
    </row>
    <row r="1020" spans="1:127" x14ac:dyDescent="0.2">
      <c r="B1020" s="17">
        <v>43221</v>
      </c>
      <c r="C1020" s="9" t="s">
        <v>3955</v>
      </c>
      <c r="D1020" s="9">
        <v>26</v>
      </c>
      <c r="E1020" s="35" t="s">
        <v>1045</v>
      </c>
      <c r="F1020" s="17">
        <v>33419</v>
      </c>
      <c r="G1020" s="9" t="s">
        <v>7991</v>
      </c>
      <c r="H1020" s="9" t="s">
        <v>7992</v>
      </c>
      <c r="M1020" s="9" t="s">
        <v>263</v>
      </c>
      <c r="N1020" s="9" t="s">
        <v>263</v>
      </c>
      <c r="O1020" s="9" t="s">
        <v>263</v>
      </c>
      <c r="P1020" s="9" t="s">
        <v>263</v>
      </c>
      <c r="Q1020" s="9" t="s">
        <v>369</v>
      </c>
      <c r="R1020" s="9" t="s">
        <v>263</v>
      </c>
      <c r="S1020" s="9" t="s">
        <v>263</v>
      </c>
      <c r="T1020" s="9" t="s">
        <v>368</v>
      </c>
      <c r="U1020" s="9" t="s">
        <v>263</v>
      </c>
      <c r="V1020" s="9" t="s">
        <v>263</v>
      </c>
      <c r="W1020" s="9" t="s">
        <v>7993</v>
      </c>
      <c r="X1020" s="9" t="s">
        <v>5689</v>
      </c>
      <c r="Y1020" s="9" t="s">
        <v>7994</v>
      </c>
      <c r="Z1020" s="9" t="s">
        <v>3598</v>
      </c>
      <c r="AA1020" s="9" t="s">
        <v>7995</v>
      </c>
      <c r="AB1020" s="9" t="s">
        <v>7995</v>
      </c>
      <c r="AC1020" s="9" t="s">
        <v>7995</v>
      </c>
      <c r="AD1020" s="9" t="s">
        <v>7995</v>
      </c>
      <c r="AE1020" s="9" t="s">
        <v>483</v>
      </c>
      <c r="AF1020" s="9" t="s">
        <v>1231</v>
      </c>
      <c r="AG1020" s="9" t="s">
        <v>7996</v>
      </c>
      <c r="AH1020" s="9" t="s">
        <v>1231</v>
      </c>
      <c r="AI1020" s="9" t="s">
        <v>263</v>
      </c>
      <c r="AJ1020" s="9" t="s">
        <v>263</v>
      </c>
      <c r="AK1020" s="9" t="s">
        <v>263</v>
      </c>
      <c r="AL1020" s="9">
        <v>48.7</v>
      </c>
      <c r="AM1020" s="9">
        <v>1.66</v>
      </c>
      <c r="AP1020" s="9">
        <v>6.5</v>
      </c>
      <c r="AQ1020" s="9">
        <v>1</v>
      </c>
      <c r="AR1020" s="9">
        <v>46.1</v>
      </c>
      <c r="AS1020" s="9">
        <v>18</v>
      </c>
      <c r="AT1020" s="7">
        <v>17.7</v>
      </c>
      <c r="DC1020" s="9" t="s">
        <v>7997</v>
      </c>
      <c r="DG1020" s="9" t="e">
        <f t="shared" si="15"/>
        <v>#VALUE!</v>
      </c>
      <c r="DO1020" s="9" t="s">
        <v>7998</v>
      </c>
      <c r="DP1020" s="9"/>
      <c r="DW1020" s="9"/>
    </row>
    <row r="1021" spans="1:127" x14ac:dyDescent="0.2">
      <c r="B1021" s="17">
        <v>43221</v>
      </c>
      <c r="C1021" s="9" t="s">
        <v>3955</v>
      </c>
      <c r="D1021" s="9">
        <v>24</v>
      </c>
      <c r="E1021" s="9" t="s">
        <v>5683</v>
      </c>
      <c r="F1021" s="17">
        <v>34218</v>
      </c>
      <c r="G1021" s="9" t="s">
        <v>2313</v>
      </c>
      <c r="H1021" s="9" t="s">
        <v>7999</v>
      </c>
      <c r="M1021" s="9" t="s">
        <v>263</v>
      </c>
      <c r="N1021" s="9" t="s">
        <v>263</v>
      </c>
      <c r="O1021" s="9" t="s">
        <v>263</v>
      </c>
      <c r="P1021" s="9" t="s">
        <v>368</v>
      </c>
      <c r="Q1021" s="9" t="s">
        <v>369</v>
      </c>
      <c r="R1021" s="9" t="s">
        <v>263</v>
      </c>
      <c r="S1021" s="9" t="s">
        <v>263</v>
      </c>
      <c r="T1021" s="9" t="s">
        <v>368</v>
      </c>
      <c r="U1021" s="9" t="s">
        <v>263</v>
      </c>
      <c r="V1021" s="9" t="s">
        <v>263</v>
      </c>
      <c r="W1021" s="9" t="s">
        <v>263</v>
      </c>
      <c r="X1021" s="9" t="s">
        <v>5689</v>
      </c>
      <c r="Y1021" s="9" t="s">
        <v>483</v>
      </c>
      <c r="Z1021" s="9" t="s">
        <v>483</v>
      </c>
      <c r="AA1021" s="9" t="s">
        <v>5683</v>
      </c>
      <c r="AB1021" s="9" t="s">
        <v>932</v>
      </c>
      <c r="AC1021" s="9" t="s">
        <v>8000</v>
      </c>
      <c r="AD1021" s="9" t="s">
        <v>932</v>
      </c>
      <c r="AE1021" s="9" t="s">
        <v>7996</v>
      </c>
      <c r="AF1021" s="9" t="s">
        <v>8001</v>
      </c>
      <c r="AG1021" s="9" t="s">
        <v>8002</v>
      </c>
      <c r="AH1021" s="9" t="s">
        <v>483</v>
      </c>
      <c r="AI1021" s="9" t="s">
        <v>423</v>
      </c>
      <c r="AJ1021" s="9" t="s">
        <v>483</v>
      </c>
      <c r="AK1021" s="9" t="s">
        <v>483</v>
      </c>
      <c r="AL1021" s="9">
        <v>78.400000000000006</v>
      </c>
      <c r="AP1021" s="9">
        <v>26.3</v>
      </c>
      <c r="AQ1021" s="9">
        <v>7</v>
      </c>
      <c r="AR1021" s="9">
        <v>36.1</v>
      </c>
      <c r="AS1021" s="9">
        <v>41</v>
      </c>
      <c r="AT1021" s="7">
        <v>24.7</v>
      </c>
      <c r="AU1021" s="9">
        <v>101</v>
      </c>
      <c r="AV1021" s="9">
        <v>62</v>
      </c>
      <c r="AX1021" s="9" t="s">
        <v>389</v>
      </c>
      <c r="AY1021" s="9" t="s">
        <v>917</v>
      </c>
      <c r="AZ1021" s="9" t="s">
        <v>1034</v>
      </c>
      <c r="BB1021" s="9" t="s">
        <v>374</v>
      </c>
      <c r="BC1021" s="9" t="s">
        <v>1050</v>
      </c>
      <c r="BF1021" s="9" t="s">
        <v>635</v>
      </c>
      <c r="BG1021" s="9" t="s">
        <v>323</v>
      </c>
      <c r="BH1021" s="9" t="s">
        <v>635</v>
      </c>
      <c r="BI1021" s="9" t="s">
        <v>635</v>
      </c>
      <c r="BJ1021" s="9" t="s">
        <v>635</v>
      </c>
      <c r="BK1021" s="9" t="s">
        <v>325</v>
      </c>
      <c r="BN1021" s="9" t="s">
        <v>394</v>
      </c>
      <c r="BO1021" s="9" t="s">
        <v>326</v>
      </c>
      <c r="BP1021" s="9" t="s">
        <v>396</v>
      </c>
      <c r="BR1021" s="9" t="s">
        <v>394</v>
      </c>
      <c r="BS1021" s="9" t="s">
        <v>412</v>
      </c>
      <c r="BT1021" s="9" t="s">
        <v>410</v>
      </c>
      <c r="BV1021" s="9" t="s">
        <v>1257</v>
      </c>
      <c r="BW1021" s="9" t="s">
        <v>8003</v>
      </c>
      <c r="BX1021" s="9" t="s">
        <v>467</v>
      </c>
      <c r="BZ1021" s="9" t="s">
        <v>1051</v>
      </c>
      <c r="CA1021" s="9" t="s">
        <v>1038</v>
      </c>
      <c r="CB1021" s="9" t="s">
        <v>1213</v>
      </c>
      <c r="CC1021" s="9" t="s">
        <v>483</v>
      </c>
      <c r="CH1021" s="9" t="s">
        <v>8004</v>
      </c>
      <c r="CI1021" s="9" t="s">
        <v>8005</v>
      </c>
      <c r="CJ1021" s="9" t="s">
        <v>8006</v>
      </c>
      <c r="CL1021" s="9" t="s">
        <v>450</v>
      </c>
      <c r="CM1021" s="9" t="s">
        <v>8007</v>
      </c>
      <c r="CN1021" s="9" t="s">
        <v>306</v>
      </c>
      <c r="CP1021" s="9" t="s">
        <v>910</v>
      </c>
      <c r="CQ1021" s="9" t="s">
        <v>8008</v>
      </c>
      <c r="CR1021" s="9" t="s">
        <v>8009</v>
      </c>
      <c r="CT1021" s="9" t="s">
        <v>8010</v>
      </c>
      <c r="CU1021" s="9" t="s">
        <v>539</v>
      </c>
      <c r="CV1021" s="9" t="s">
        <v>793</v>
      </c>
      <c r="CW1021" s="9">
        <v>2</v>
      </c>
      <c r="CX1021" s="9" t="s">
        <v>483</v>
      </c>
      <c r="CY1021" s="9" t="s">
        <v>483</v>
      </c>
      <c r="CZ1021" s="9">
        <v>30</v>
      </c>
      <c r="DA1021" s="9">
        <v>45</v>
      </c>
      <c r="DB1021" s="9">
        <v>25</v>
      </c>
      <c r="DC1021" s="9" t="s">
        <v>7997</v>
      </c>
      <c r="DG1021" s="9" t="e">
        <f t="shared" si="15"/>
        <v>#VALUE!</v>
      </c>
      <c r="DO1021" s="9" t="s">
        <v>7998</v>
      </c>
      <c r="DP1021" s="9"/>
      <c r="DW1021" s="9"/>
    </row>
    <row r="1022" spans="1:127" x14ac:dyDescent="0.2">
      <c r="B1022" s="17">
        <v>43199</v>
      </c>
      <c r="C1022" s="9" t="s">
        <v>3645</v>
      </c>
      <c r="G1022" s="9" t="s">
        <v>8011</v>
      </c>
      <c r="J1022" s="9" t="s">
        <v>776</v>
      </c>
      <c r="K1022" s="9">
        <v>1982</v>
      </c>
      <c r="L1022" s="9">
        <v>6</v>
      </c>
      <c r="M1022" s="9" t="s">
        <v>263</v>
      </c>
      <c r="N1022" s="9" t="s">
        <v>263</v>
      </c>
      <c r="O1022" s="9" t="s">
        <v>588</v>
      </c>
      <c r="P1022" s="9" t="s">
        <v>483</v>
      </c>
      <c r="Q1022" s="9" t="s">
        <v>588</v>
      </c>
      <c r="R1022" s="9" t="s">
        <v>588</v>
      </c>
      <c r="S1022" s="9" t="s">
        <v>588</v>
      </c>
      <c r="T1022" s="9" t="s">
        <v>588</v>
      </c>
      <c r="U1022" s="9" t="s">
        <v>8012</v>
      </c>
      <c r="V1022" s="9" t="s">
        <v>588</v>
      </c>
      <c r="W1022" s="9" t="s">
        <v>483</v>
      </c>
      <c r="X1022" s="9" t="s">
        <v>483</v>
      </c>
      <c r="Y1022" s="9" t="s">
        <v>483</v>
      </c>
      <c r="Z1022" s="9" t="s">
        <v>263</v>
      </c>
      <c r="AA1022" s="35" t="s">
        <v>4087</v>
      </c>
      <c r="AB1022" s="35" t="s">
        <v>4023</v>
      </c>
      <c r="AC1022" s="35" t="s">
        <v>8013</v>
      </c>
      <c r="AD1022" s="35" t="s">
        <v>8014</v>
      </c>
      <c r="AE1022" s="9" t="s">
        <v>8015</v>
      </c>
      <c r="AF1022" s="9" t="s">
        <v>919</v>
      </c>
      <c r="AG1022" s="9" t="s">
        <v>483</v>
      </c>
      <c r="AH1022" s="9" t="s">
        <v>483</v>
      </c>
      <c r="AI1022" s="9" t="s">
        <v>1232</v>
      </c>
      <c r="AJ1022" s="9" t="s">
        <v>483</v>
      </c>
      <c r="AK1022" s="9" t="s">
        <v>483</v>
      </c>
      <c r="DC1022" s="9" t="s">
        <v>7997</v>
      </c>
      <c r="DG1022" s="9" t="e">
        <f t="shared" si="15"/>
        <v>#VALUE!</v>
      </c>
      <c r="DO1022" s="9" t="s">
        <v>7998</v>
      </c>
      <c r="DP1022" s="9"/>
      <c r="DW1022" s="9"/>
    </row>
    <row r="1023" spans="1:127" x14ac:dyDescent="0.2">
      <c r="B1023" s="17">
        <v>43221</v>
      </c>
      <c r="C1023" s="9" t="s">
        <v>3955</v>
      </c>
      <c r="D1023" s="9">
        <v>28</v>
      </c>
      <c r="E1023" s="9" t="s">
        <v>8016</v>
      </c>
      <c r="F1023" s="17">
        <v>32767</v>
      </c>
      <c r="G1023" s="9" t="s">
        <v>8017</v>
      </c>
      <c r="H1023" s="9" t="s">
        <v>8018</v>
      </c>
      <c r="M1023" s="9" t="s">
        <v>483</v>
      </c>
      <c r="N1023" s="9" t="s">
        <v>483</v>
      </c>
      <c r="O1023" s="9" t="s">
        <v>483</v>
      </c>
      <c r="P1023" s="9" t="s">
        <v>483</v>
      </c>
      <c r="Q1023" s="9" t="s">
        <v>369</v>
      </c>
      <c r="R1023" s="9" t="s">
        <v>263</v>
      </c>
      <c r="S1023" s="9" t="s">
        <v>588</v>
      </c>
      <c r="T1023" s="9" t="s">
        <v>263</v>
      </c>
      <c r="U1023" s="9" t="s">
        <v>263</v>
      </c>
      <c r="V1023" s="9" t="s">
        <v>263</v>
      </c>
      <c r="W1023" s="9" t="s">
        <v>263</v>
      </c>
      <c r="X1023" s="9" t="s">
        <v>8019</v>
      </c>
      <c r="AA1023" s="9" t="s">
        <v>931</v>
      </c>
      <c r="AB1023" s="35" t="s">
        <v>8020</v>
      </c>
      <c r="AC1023" s="14" t="s">
        <v>8021</v>
      </c>
      <c r="AE1023" s="9" t="s">
        <v>1231</v>
      </c>
      <c r="AF1023" s="9" t="s">
        <v>483</v>
      </c>
      <c r="AG1023" s="9" t="s">
        <v>8022</v>
      </c>
      <c r="AH1023" s="9" t="s">
        <v>263</v>
      </c>
      <c r="AI1023" s="9" t="s">
        <v>263</v>
      </c>
      <c r="AJ1023" s="9" t="s">
        <v>263</v>
      </c>
      <c r="AK1023" s="9" t="s">
        <v>263</v>
      </c>
      <c r="AL1023" s="9">
        <v>67.7</v>
      </c>
      <c r="AP1023" s="9">
        <v>23.7</v>
      </c>
      <c r="AQ1023" s="9">
        <v>7</v>
      </c>
      <c r="AR1023" s="9">
        <v>37.4</v>
      </c>
      <c r="AT1023" s="7">
        <v>23.7</v>
      </c>
      <c r="AU1023" s="9">
        <v>102.5</v>
      </c>
      <c r="AV1023" s="9">
        <v>66.5</v>
      </c>
      <c r="AX1023" s="9" t="s">
        <v>1107</v>
      </c>
      <c r="AY1023" s="9" t="s">
        <v>1753</v>
      </c>
      <c r="BB1023" s="9" t="s">
        <v>323</v>
      </c>
      <c r="BF1023" s="9" t="s">
        <v>635</v>
      </c>
      <c r="BG1023" s="9" t="s">
        <v>635</v>
      </c>
      <c r="BH1023" s="9" t="s">
        <v>483</v>
      </c>
      <c r="BI1023" s="9" t="s">
        <v>1218</v>
      </c>
      <c r="BJ1023" s="9" t="s">
        <v>635</v>
      </c>
      <c r="BK1023" s="9" t="s">
        <v>635</v>
      </c>
      <c r="BN1023" s="9" t="s">
        <v>323</v>
      </c>
      <c r="BZ1023" s="9" t="s">
        <v>432</v>
      </c>
      <c r="CA1023" s="9" t="s">
        <v>6647</v>
      </c>
      <c r="CL1023" s="9" t="s">
        <v>383</v>
      </c>
      <c r="CP1023" s="9" t="s">
        <v>910</v>
      </c>
      <c r="CQ1023" s="9" t="s">
        <v>8023</v>
      </c>
      <c r="CR1023" s="9" t="s">
        <v>5096</v>
      </c>
      <c r="CT1023" s="9" t="s">
        <v>1157</v>
      </c>
      <c r="CU1023" s="9" t="s">
        <v>3735</v>
      </c>
      <c r="CW1023" s="9">
        <v>4</v>
      </c>
      <c r="CX1023" s="9" t="s">
        <v>588</v>
      </c>
      <c r="CY1023" s="9" t="s">
        <v>588</v>
      </c>
      <c r="CZ1023" s="9">
        <v>35</v>
      </c>
      <c r="DA1023" s="9">
        <v>35</v>
      </c>
      <c r="DB1023" s="9">
        <v>30</v>
      </c>
      <c r="DC1023" s="9" t="s">
        <v>7997</v>
      </c>
      <c r="DG1023" s="9" t="e">
        <f t="shared" si="15"/>
        <v>#VALUE!</v>
      </c>
      <c r="DO1023" s="9" t="s">
        <v>7998</v>
      </c>
      <c r="DP1023" s="9"/>
      <c r="DW1023" s="9"/>
    </row>
    <row r="1024" spans="1:127" x14ac:dyDescent="0.2">
      <c r="B1024" s="17">
        <v>43292</v>
      </c>
      <c r="C1024" s="9" t="s">
        <v>3955</v>
      </c>
      <c r="D1024" s="9">
        <v>28</v>
      </c>
      <c r="E1024" s="9" t="s">
        <v>96</v>
      </c>
      <c r="F1024" s="17">
        <v>32884</v>
      </c>
      <c r="M1024" s="9" t="s">
        <v>263</v>
      </c>
      <c r="N1024" s="9" t="s">
        <v>263</v>
      </c>
      <c r="O1024" s="9" t="s">
        <v>263</v>
      </c>
      <c r="P1024" s="9" t="s">
        <v>263</v>
      </c>
      <c r="Q1024" s="9" t="s">
        <v>369</v>
      </c>
      <c r="R1024" s="9" t="s">
        <v>263</v>
      </c>
      <c r="S1024" s="9" t="s">
        <v>263</v>
      </c>
      <c r="T1024" s="9" t="s">
        <v>263</v>
      </c>
      <c r="U1024" s="9" t="s">
        <v>588</v>
      </c>
      <c r="W1024" s="9" t="s">
        <v>8024</v>
      </c>
      <c r="X1024" s="9" t="s">
        <v>8019</v>
      </c>
      <c r="Y1024" s="9" t="s">
        <v>483</v>
      </c>
      <c r="Z1024" s="9" t="s">
        <v>483</v>
      </c>
      <c r="AA1024" s="9" t="s">
        <v>96</v>
      </c>
      <c r="AB1024" s="9" t="s">
        <v>96</v>
      </c>
      <c r="AC1024" s="9" t="s">
        <v>96</v>
      </c>
      <c r="AD1024" s="9" t="s">
        <v>96</v>
      </c>
      <c r="AE1024" s="9" t="s">
        <v>263</v>
      </c>
      <c r="AF1024" s="9" t="s">
        <v>263</v>
      </c>
      <c r="AG1024" s="9" t="s">
        <v>263</v>
      </c>
      <c r="AH1024" s="9" t="s">
        <v>263</v>
      </c>
      <c r="AI1024" s="9" t="s">
        <v>263</v>
      </c>
      <c r="AJ1024" s="9" t="s">
        <v>263</v>
      </c>
      <c r="AK1024" s="9" t="s">
        <v>263</v>
      </c>
      <c r="AL1024" s="9">
        <v>77</v>
      </c>
      <c r="AM1024" s="9">
        <v>1.77</v>
      </c>
      <c r="AN1024" s="9">
        <v>89</v>
      </c>
      <c r="AO1024" s="9">
        <v>102</v>
      </c>
      <c r="AP1024" s="9">
        <v>25.9</v>
      </c>
      <c r="AQ1024" s="9">
        <v>8</v>
      </c>
      <c r="AR1024" s="9">
        <v>35.700000000000003</v>
      </c>
      <c r="AS1024" s="9">
        <v>42</v>
      </c>
      <c r="AT1024" s="7">
        <v>24.6</v>
      </c>
      <c r="AU1024" s="10">
        <v>131</v>
      </c>
      <c r="AV1024" s="10">
        <v>90</v>
      </c>
      <c r="AX1024" s="9" t="s">
        <v>389</v>
      </c>
      <c r="AY1024" s="9" t="s">
        <v>937</v>
      </c>
      <c r="AZ1024" s="9" t="s">
        <v>917</v>
      </c>
      <c r="BB1024" s="9" t="s">
        <v>409</v>
      </c>
      <c r="BC1024" s="9" t="s">
        <v>785</v>
      </c>
      <c r="BD1024" s="9" t="s">
        <v>8025</v>
      </c>
      <c r="BF1024" s="9" t="s">
        <v>635</v>
      </c>
      <c r="BG1024" s="9" t="s">
        <v>323</v>
      </c>
      <c r="BH1024" s="9" t="s">
        <v>323</v>
      </c>
      <c r="BI1024" s="9" t="s">
        <v>323</v>
      </c>
      <c r="BJ1024" s="9" t="s">
        <v>635</v>
      </c>
      <c r="BK1024" s="9" t="s">
        <v>323</v>
      </c>
      <c r="BN1024" s="9" t="s">
        <v>553</v>
      </c>
      <c r="BO1024" s="9" t="s">
        <v>412</v>
      </c>
      <c r="BP1024" s="9" t="s">
        <v>327</v>
      </c>
      <c r="BQ1024" s="9" t="s">
        <v>483</v>
      </c>
      <c r="BU1024" s="9" t="s">
        <v>483</v>
      </c>
      <c r="BZ1024" s="9" t="s">
        <v>332</v>
      </c>
      <c r="CA1024" s="9" t="s">
        <v>3642</v>
      </c>
      <c r="CB1024" s="9" t="s">
        <v>1563</v>
      </c>
      <c r="CC1024" s="9" t="s">
        <v>483</v>
      </c>
      <c r="CG1024" s="9" t="s">
        <v>483</v>
      </c>
      <c r="CL1024" s="9" t="s">
        <v>6767</v>
      </c>
      <c r="CM1024" s="9" t="s">
        <v>8026</v>
      </c>
      <c r="CN1024" s="9" t="s">
        <v>335</v>
      </c>
      <c r="CP1024" s="9" t="s">
        <v>452</v>
      </c>
      <c r="CQ1024" s="9" t="s">
        <v>791</v>
      </c>
      <c r="CR1024" s="9" t="s">
        <v>8027</v>
      </c>
      <c r="CT1024" s="9" t="s">
        <v>1027</v>
      </c>
      <c r="CU1024" s="9" t="s">
        <v>8028</v>
      </c>
      <c r="CW1024" s="9" t="s">
        <v>1633</v>
      </c>
      <c r="CX1024" s="9" t="s">
        <v>483</v>
      </c>
      <c r="CY1024" s="9" t="s">
        <v>588</v>
      </c>
      <c r="CZ1024" s="9">
        <v>20</v>
      </c>
      <c r="DA1024" s="9">
        <v>20</v>
      </c>
      <c r="DB1024" s="9">
        <v>60</v>
      </c>
      <c r="DC1024" s="9" t="s">
        <v>7997</v>
      </c>
      <c r="DG1024" s="9" t="e">
        <f t="shared" si="15"/>
        <v>#VALUE!</v>
      </c>
      <c r="DO1024" s="9" t="s">
        <v>7998</v>
      </c>
      <c r="DP1024" s="9"/>
      <c r="DW1024" s="9"/>
    </row>
    <row r="1025" spans="1:127" x14ac:dyDescent="0.2">
      <c r="B1025" s="17">
        <v>43292</v>
      </c>
      <c r="C1025" s="9" t="s">
        <v>3645</v>
      </c>
      <c r="E1025" s="35" t="s">
        <v>4023</v>
      </c>
      <c r="F1025" s="17">
        <v>17229</v>
      </c>
      <c r="G1025" s="9" t="s">
        <v>5807</v>
      </c>
      <c r="H1025" s="9" t="s">
        <v>3687</v>
      </c>
      <c r="I1025" s="9" t="s">
        <v>1610</v>
      </c>
      <c r="J1025" s="9" t="s">
        <v>2138</v>
      </c>
      <c r="K1025" s="9" t="s">
        <v>1387</v>
      </c>
      <c r="L1025" s="9">
        <v>6</v>
      </c>
      <c r="M1025" s="9" t="s">
        <v>263</v>
      </c>
      <c r="N1025" s="9" t="s">
        <v>368</v>
      </c>
      <c r="O1025" s="9" t="s">
        <v>263</v>
      </c>
      <c r="P1025" s="9" t="s">
        <v>263</v>
      </c>
      <c r="Q1025" s="9" t="s">
        <v>263</v>
      </c>
      <c r="R1025" s="9" t="s">
        <v>588</v>
      </c>
      <c r="S1025" s="9" t="s">
        <v>263</v>
      </c>
      <c r="T1025" s="9" t="s">
        <v>263</v>
      </c>
      <c r="U1025" s="9" t="s">
        <v>263</v>
      </c>
      <c r="W1025" s="9" t="s">
        <v>6603</v>
      </c>
      <c r="X1025" s="9" t="s">
        <v>483</v>
      </c>
      <c r="Y1025" s="9" t="s">
        <v>483</v>
      </c>
      <c r="Z1025" s="9" t="s">
        <v>483</v>
      </c>
      <c r="AA1025" s="35" t="s">
        <v>8029</v>
      </c>
      <c r="AB1025" s="35" t="s">
        <v>1113</v>
      </c>
      <c r="AC1025" s="35" t="s">
        <v>1113</v>
      </c>
      <c r="AD1025" s="35" t="s">
        <v>1113</v>
      </c>
      <c r="AE1025" s="9" t="s">
        <v>263</v>
      </c>
      <c r="AF1025" s="9" t="s">
        <v>263</v>
      </c>
      <c r="AG1025" s="9" t="s">
        <v>263</v>
      </c>
      <c r="AH1025" s="9" t="s">
        <v>263</v>
      </c>
      <c r="AI1025" s="9" t="s">
        <v>263</v>
      </c>
      <c r="AJ1025" s="9" t="s">
        <v>263</v>
      </c>
      <c r="AK1025" s="9" t="s">
        <v>263</v>
      </c>
      <c r="AL1025" s="9">
        <v>63.7</v>
      </c>
      <c r="AM1025" s="9">
        <v>1.52</v>
      </c>
      <c r="AN1025" s="9">
        <v>91</v>
      </c>
      <c r="AO1025" s="9">
        <v>100</v>
      </c>
      <c r="AP1025" s="9">
        <v>46.8</v>
      </c>
      <c r="AQ1025" s="9">
        <v>12</v>
      </c>
      <c r="AR1025" s="9">
        <v>19</v>
      </c>
      <c r="AS1025" s="9">
        <v>69</v>
      </c>
      <c r="AT1025" s="9">
        <v>27.6</v>
      </c>
      <c r="AU1025" s="9">
        <v>114</v>
      </c>
      <c r="AV1025" s="9">
        <v>77</v>
      </c>
      <c r="AX1025" s="9" t="s">
        <v>917</v>
      </c>
      <c r="AY1025" s="9" t="s">
        <v>1107</v>
      </c>
      <c r="AZ1025" s="9" t="s">
        <v>993</v>
      </c>
      <c r="BB1025" s="9" t="s">
        <v>1036</v>
      </c>
      <c r="BC1025" s="9" t="s">
        <v>1411</v>
      </c>
      <c r="BD1025" s="9" t="s">
        <v>1556</v>
      </c>
      <c r="BF1025" s="9" t="s">
        <v>323</v>
      </c>
      <c r="BG1025" s="9" t="s">
        <v>483</v>
      </c>
      <c r="BH1025" s="9" t="s">
        <v>483</v>
      </c>
      <c r="BI1025" s="9" t="s">
        <v>635</v>
      </c>
      <c r="BJ1025" s="9" t="s">
        <v>483</v>
      </c>
      <c r="BK1025" s="9" t="s">
        <v>483</v>
      </c>
      <c r="BN1025" s="9" t="s">
        <v>1228</v>
      </c>
      <c r="BO1025" s="9" t="s">
        <v>327</v>
      </c>
      <c r="BP1025" s="9" t="s">
        <v>8030</v>
      </c>
      <c r="BQ1025" s="9" t="s">
        <v>483</v>
      </c>
      <c r="BU1025" s="9" t="s">
        <v>483</v>
      </c>
      <c r="BZ1025" s="9" t="s">
        <v>332</v>
      </c>
      <c r="CA1025" s="9" t="s">
        <v>3642</v>
      </c>
      <c r="CB1025" s="9" t="s">
        <v>8031</v>
      </c>
      <c r="CC1025" s="9" t="s">
        <v>483</v>
      </c>
      <c r="CG1025" s="9" t="s">
        <v>483</v>
      </c>
      <c r="CL1025" s="9" t="s">
        <v>6767</v>
      </c>
      <c r="CM1025" s="9" t="s">
        <v>8032</v>
      </c>
      <c r="CN1025" s="9" t="s">
        <v>955</v>
      </c>
      <c r="CP1025" s="9" t="s">
        <v>8033</v>
      </c>
      <c r="CW1025" s="9">
        <v>2</v>
      </c>
      <c r="CX1025" s="9" t="s">
        <v>588</v>
      </c>
      <c r="CY1025" s="9" t="s">
        <v>588</v>
      </c>
      <c r="DC1025" s="9" t="s">
        <v>7997</v>
      </c>
      <c r="DG1025" s="9" t="e">
        <f t="shared" si="15"/>
        <v>#VALUE!</v>
      </c>
      <c r="DO1025" s="9" t="s">
        <v>7998</v>
      </c>
      <c r="DP1025" s="9"/>
      <c r="DW1025" s="9"/>
    </row>
    <row r="1026" spans="1:127" x14ac:dyDescent="0.2">
      <c r="B1026" s="17"/>
      <c r="C1026" s="9" t="s">
        <v>3645</v>
      </c>
      <c r="D1026" s="9">
        <v>59</v>
      </c>
      <c r="E1026" s="9" t="s">
        <v>96</v>
      </c>
      <c r="F1026" s="17">
        <v>21504</v>
      </c>
      <c r="G1026" s="9" t="s">
        <v>1320</v>
      </c>
      <c r="H1026" s="9" t="s">
        <v>3687</v>
      </c>
      <c r="I1026" s="9" t="s">
        <v>2020</v>
      </c>
      <c r="J1026" s="9" t="s">
        <v>6718</v>
      </c>
      <c r="K1026" s="9" t="s">
        <v>5020</v>
      </c>
      <c r="L1026" s="9">
        <v>4</v>
      </c>
      <c r="M1026" s="9" t="s">
        <v>263</v>
      </c>
      <c r="N1026" s="9" t="s">
        <v>263</v>
      </c>
      <c r="O1026" s="9" t="s">
        <v>588</v>
      </c>
      <c r="P1026" s="9" t="s">
        <v>263</v>
      </c>
      <c r="Q1026" s="9" t="s">
        <v>263</v>
      </c>
      <c r="R1026" s="9" t="s">
        <v>263</v>
      </c>
      <c r="S1026" s="9" t="s">
        <v>6691</v>
      </c>
      <c r="T1026" s="9" t="s">
        <v>588</v>
      </c>
      <c r="U1026" s="9" t="s">
        <v>483</v>
      </c>
      <c r="V1026" s="9" t="s">
        <v>483</v>
      </c>
      <c r="W1026" s="9" t="s">
        <v>483</v>
      </c>
      <c r="X1026" s="9" t="s">
        <v>483</v>
      </c>
      <c r="Y1026" s="9" t="s">
        <v>483</v>
      </c>
      <c r="Z1026" s="9" t="s">
        <v>8034</v>
      </c>
      <c r="AA1026" s="9" t="s">
        <v>96</v>
      </c>
      <c r="AB1026" s="9" t="s">
        <v>96</v>
      </c>
      <c r="AC1026" s="9" t="s">
        <v>96</v>
      </c>
      <c r="AD1026" s="9" t="s">
        <v>96</v>
      </c>
      <c r="AE1026" s="9" t="s">
        <v>263</v>
      </c>
      <c r="AF1026" s="9" t="s">
        <v>1105</v>
      </c>
      <c r="AG1026" s="9" t="s">
        <v>1087</v>
      </c>
      <c r="AH1026" s="9" t="s">
        <v>5694</v>
      </c>
      <c r="AI1026" s="9" t="s">
        <v>263</v>
      </c>
      <c r="AJ1026" s="9" t="s">
        <v>263</v>
      </c>
      <c r="AK1026" s="9" t="s">
        <v>8035</v>
      </c>
      <c r="AL1026" s="9">
        <v>68.400000000000006</v>
      </c>
      <c r="AM1026" s="9">
        <v>1.58</v>
      </c>
      <c r="AN1026" s="9">
        <v>88</v>
      </c>
      <c r="AO1026" s="9">
        <v>109</v>
      </c>
      <c r="AP1026" s="9">
        <v>41.5</v>
      </c>
      <c r="AQ1026" s="9">
        <v>9</v>
      </c>
      <c r="AR1026" s="9">
        <v>24.7</v>
      </c>
      <c r="AS1026" s="9">
        <v>62</v>
      </c>
      <c r="AT1026" s="9">
        <v>27.4</v>
      </c>
      <c r="AU1026" s="9">
        <v>120</v>
      </c>
      <c r="AV1026" s="9">
        <v>93</v>
      </c>
      <c r="DC1026" s="9" t="s">
        <v>7997</v>
      </c>
      <c r="DG1026" s="9" t="e">
        <f t="shared" si="15"/>
        <v>#VALUE!</v>
      </c>
      <c r="DO1026" s="9" t="s">
        <v>7998</v>
      </c>
      <c r="DP1026" s="9"/>
      <c r="DW1026" s="9"/>
    </row>
    <row r="1027" spans="1:127" x14ac:dyDescent="0.2">
      <c r="B1027" s="17">
        <v>43035</v>
      </c>
      <c r="C1027" s="9" t="s">
        <v>107</v>
      </c>
      <c r="D1027" s="9">
        <v>34</v>
      </c>
      <c r="E1027" s="14" t="s">
        <v>3966</v>
      </c>
      <c r="F1027" s="17">
        <v>30625</v>
      </c>
      <c r="G1027" s="9" t="s">
        <v>97</v>
      </c>
      <c r="M1027" s="9" t="s">
        <v>263</v>
      </c>
      <c r="N1027" s="9" t="s">
        <v>483</v>
      </c>
      <c r="O1027" s="9" t="s">
        <v>483</v>
      </c>
      <c r="P1027" s="9" t="s">
        <v>588</v>
      </c>
      <c r="Q1027" s="9" t="s">
        <v>369</v>
      </c>
      <c r="R1027" s="9" t="s">
        <v>483</v>
      </c>
      <c r="S1027" s="9" t="s">
        <v>483</v>
      </c>
      <c r="T1027" s="9" t="s">
        <v>483</v>
      </c>
      <c r="U1027" s="9" t="s">
        <v>483</v>
      </c>
      <c r="V1027" s="9" t="s">
        <v>483</v>
      </c>
      <c r="W1027" s="9" t="s">
        <v>483</v>
      </c>
      <c r="X1027" s="9" t="s">
        <v>588</v>
      </c>
      <c r="Y1027" s="9" t="s">
        <v>483</v>
      </c>
      <c r="Z1027" s="9" t="s">
        <v>483</v>
      </c>
      <c r="AA1027" s="35" t="s">
        <v>8036</v>
      </c>
      <c r="AB1027" s="35" t="s">
        <v>8036</v>
      </c>
      <c r="AC1027" s="35" t="s">
        <v>8036</v>
      </c>
      <c r="AD1027" s="35" t="s">
        <v>3966</v>
      </c>
      <c r="AE1027" s="9" t="s">
        <v>5710</v>
      </c>
      <c r="AF1027" s="9" t="s">
        <v>483</v>
      </c>
      <c r="AG1027" s="9" t="s">
        <v>8037</v>
      </c>
      <c r="AH1027" s="9" t="s">
        <v>483</v>
      </c>
      <c r="AI1027" s="9" t="s">
        <v>483</v>
      </c>
      <c r="AJ1027" s="9" t="s">
        <v>483</v>
      </c>
      <c r="AK1027" s="9" t="s">
        <v>483</v>
      </c>
      <c r="AL1027" s="9">
        <v>69.599999999999994</v>
      </c>
      <c r="AM1027" s="9">
        <v>1.68</v>
      </c>
      <c r="AP1027" s="9">
        <v>27.2</v>
      </c>
      <c r="AQ1027" s="9">
        <v>9</v>
      </c>
      <c r="AR1027" s="9">
        <v>34.4</v>
      </c>
      <c r="AS1027" s="9">
        <v>39</v>
      </c>
      <c r="AT1027" s="7">
        <v>24.8</v>
      </c>
      <c r="AU1027" s="9">
        <v>101</v>
      </c>
      <c r="AV1027" s="9">
        <v>76</v>
      </c>
      <c r="AX1027" s="9" t="s">
        <v>535</v>
      </c>
      <c r="AY1027" s="9" t="s">
        <v>1034</v>
      </c>
      <c r="AZ1027" s="9" t="s">
        <v>2038</v>
      </c>
      <c r="BB1027" s="9" t="s">
        <v>3974</v>
      </c>
      <c r="BC1027" s="9" t="s">
        <v>8038</v>
      </c>
      <c r="BF1027" s="9" t="s">
        <v>322</v>
      </c>
      <c r="BG1027" s="9" t="s">
        <v>323</v>
      </c>
      <c r="BH1027" s="9" t="s">
        <v>483</v>
      </c>
      <c r="BI1027" s="9" t="s">
        <v>323</v>
      </c>
      <c r="BJ1027" s="9" t="s">
        <v>635</v>
      </c>
      <c r="BK1027" s="9" t="s">
        <v>323</v>
      </c>
      <c r="BM1027" s="9" t="s">
        <v>394</v>
      </c>
      <c r="BN1027" s="9" t="s">
        <v>396</v>
      </c>
      <c r="BQ1027" s="9" t="s">
        <v>483</v>
      </c>
      <c r="BU1027" s="9" t="s">
        <v>483</v>
      </c>
      <c r="BZ1027" s="9" t="s">
        <v>330</v>
      </c>
      <c r="CA1027" s="9" t="s">
        <v>332</v>
      </c>
      <c r="CC1027" s="9" t="s">
        <v>483</v>
      </c>
      <c r="CG1027" s="9" t="s">
        <v>483</v>
      </c>
      <c r="CL1027" s="9" t="s">
        <v>6767</v>
      </c>
      <c r="CM1027" s="9" t="s">
        <v>307</v>
      </c>
      <c r="CN1027" s="9" t="s">
        <v>1237</v>
      </c>
      <c r="CP1027" s="9" t="s">
        <v>452</v>
      </c>
      <c r="CT1027" s="9" t="s">
        <v>435</v>
      </c>
      <c r="CW1027" s="9">
        <v>2</v>
      </c>
      <c r="CX1027" s="9" t="s">
        <v>483</v>
      </c>
      <c r="CY1027" s="9" t="s">
        <v>483</v>
      </c>
      <c r="CZ1027" s="9">
        <v>30</v>
      </c>
      <c r="DA1027" s="9">
        <v>10</v>
      </c>
      <c r="DB1027" s="9">
        <v>60</v>
      </c>
      <c r="DC1027" s="9" t="s">
        <v>7997</v>
      </c>
      <c r="DG1027" s="9" t="e">
        <f t="shared" ref="DG1027:DG1078" si="16">LN(DF1027*DC1027)/2</f>
        <v>#VALUE!</v>
      </c>
      <c r="DO1027" s="9" t="s">
        <v>7998</v>
      </c>
      <c r="DP1027" s="9"/>
      <c r="DW1027" s="9"/>
    </row>
    <row r="1028" spans="1:127" x14ac:dyDescent="0.2">
      <c r="B1028" s="175">
        <v>43285</v>
      </c>
      <c r="C1028" s="127" t="s">
        <v>8039</v>
      </c>
      <c r="D1028" s="127">
        <v>61</v>
      </c>
      <c r="E1028" s="127" t="s">
        <v>96</v>
      </c>
      <c r="G1028" s="127" t="s">
        <v>261</v>
      </c>
      <c r="H1028" s="127" t="s">
        <v>8040</v>
      </c>
      <c r="Y1028" s="144" t="s">
        <v>8041</v>
      </c>
      <c r="AA1028" s="127" t="s">
        <v>96</v>
      </c>
      <c r="AB1028" s="127" t="s">
        <v>96</v>
      </c>
      <c r="AC1028" s="127" t="s">
        <v>96</v>
      </c>
      <c r="AD1028" s="127" t="s">
        <v>96</v>
      </c>
      <c r="AE1028" s="127" t="s">
        <v>263</v>
      </c>
      <c r="AF1028" s="127" t="s">
        <v>6987</v>
      </c>
      <c r="AG1028" s="127" t="s">
        <v>263</v>
      </c>
      <c r="AH1028" s="127" t="s">
        <v>8042</v>
      </c>
      <c r="AI1028" s="127" t="s">
        <v>263</v>
      </c>
      <c r="AJ1028" s="127" t="s">
        <v>263</v>
      </c>
      <c r="AK1028" s="127" t="s">
        <v>263</v>
      </c>
      <c r="AL1028" s="127">
        <v>55.4</v>
      </c>
      <c r="AM1028" s="127">
        <v>1.68</v>
      </c>
      <c r="AN1028" s="127">
        <v>77</v>
      </c>
      <c r="AO1028" s="127">
        <v>92</v>
      </c>
      <c r="AP1028" s="127">
        <v>24.3</v>
      </c>
      <c r="AQ1028" s="127">
        <v>31</v>
      </c>
      <c r="AR1028" s="127">
        <v>4</v>
      </c>
      <c r="AS1028" s="127">
        <v>33</v>
      </c>
      <c r="AT1028" s="7">
        <v>19.600000000000001</v>
      </c>
      <c r="AU1028" s="127">
        <v>109</v>
      </c>
      <c r="AV1028" s="127">
        <v>68</v>
      </c>
      <c r="AW1028" s="127"/>
      <c r="AX1028" s="127" t="s">
        <v>500</v>
      </c>
      <c r="AY1028" s="127"/>
      <c r="AZ1028" s="127"/>
      <c r="BA1028" s="127"/>
      <c r="BB1028" s="127"/>
      <c r="BC1028" s="127" t="s">
        <v>500</v>
      </c>
      <c r="BD1028" s="127"/>
      <c r="BE1028" s="127"/>
      <c r="BF1028" s="127" t="s">
        <v>500</v>
      </c>
      <c r="BG1028" s="127" t="s">
        <v>500</v>
      </c>
      <c r="BH1028" s="127" t="s">
        <v>500</v>
      </c>
      <c r="BI1028" s="127" t="s">
        <v>500</v>
      </c>
      <c r="BJ1028" s="127" t="s">
        <v>500</v>
      </c>
      <c r="BK1028" s="127" t="s">
        <v>500</v>
      </c>
      <c r="BM1028" s="127" t="s">
        <v>500</v>
      </c>
      <c r="BN1028" s="127"/>
      <c r="BO1028" s="127"/>
      <c r="BP1028" s="127"/>
      <c r="BQ1028" s="127" t="s">
        <v>500</v>
      </c>
      <c r="BR1028" s="127"/>
      <c r="BS1028" s="127"/>
      <c r="BT1028" s="127"/>
      <c r="BU1028" s="127" t="s">
        <v>500</v>
      </c>
      <c r="BV1028" s="127"/>
      <c r="BW1028" s="127"/>
      <c r="BX1028" s="127"/>
      <c r="BZ1028" s="127" t="s">
        <v>500</v>
      </c>
      <c r="CA1028" s="127"/>
      <c r="CB1028" s="127"/>
      <c r="CC1028" s="127" t="s">
        <v>500</v>
      </c>
      <c r="CD1028" s="127" t="s">
        <v>500</v>
      </c>
      <c r="CL1028" s="127" t="s">
        <v>500</v>
      </c>
      <c r="CM1028" s="127"/>
      <c r="CN1028" s="127"/>
      <c r="CO1028" s="127"/>
      <c r="CP1028" s="127" t="s">
        <v>500</v>
      </c>
      <c r="CQ1028" s="127"/>
      <c r="CR1028" s="127"/>
      <c r="CS1028" s="127"/>
      <c r="CT1028" s="127" t="s">
        <v>500</v>
      </c>
      <c r="CU1028" s="127"/>
      <c r="CV1028" s="127" t="s">
        <v>500</v>
      </c>
      <c r="CW1028" s="127" t="s">
        <v>500</v>
      </c>
      <c r="CX1028" s="127" t="s">
        <v>500</v>
      </c>
      <c r="CY1028" s="127" t="s">
        <v>500</v>
      </c>
      <c r="CZ1028" s="127" t="s">
        <v>500</v>
      </c>
      <c r="DA1028" s="127" t="s">
        <v>500</v>
      </c>
      <c r="DB1028" s="127" t="s">
        <v>500</v>
      </c>
      <c r="DG1028" s="9" t="e">
        <f t="shared" si="16"/>
        <v>#NUM!</v>
      </c>
    </row>
    <row r="1029" spans="1:127" x14ac:dyDescent="0.2">
      <c r="B1029" s="175">
        <v>43285</v>
      </c>
      <c r="C1029" s="9" t="s">
        <v>8043</v>
      </c>
      <c r="D1029" s="9">
        <v>52</v>
      </c>
      <c r="E1029" s="127" t="s">
        <v>96</v>
      </c>
      <c r="G1029" s="127" t="s">
        <v>8044</v>
      </c>
      <c r="H1029" s="127" t="s">
        <v>8045</v>
      </c>
      <c r="Y1029" s="144" t="s">
        <v>8046</v>
      </c>
      <c r="AA1029" s="127" t="s">
        <v>96</v>
      </c>
      <c r="AB1029" s="127" t="s">
        <v>96</v>
      </c>
      <c r="AC1029" s="127" t="s">
        <v>96</v>
      </c>
      <c r="AD1029" s="127" t="s">
        <v>96</v>
      </c>
      <c r="AE1029" s="127" t="s">
        <v>8047</v>
      </c>
      <c r="AF1029" s="127" t="s">
        <v>263</v>
      </c>
      <c r="AG1029" s="127" t="s">
        <v>8048</v>
      </c>
      <c r="AH1029" s="127" t="s">
        <v>263</v>
      </c>
      <c r="AI1029" s="127" t="s">
        <v>263</v>
      </c>
      <c r="AJ1029" s="127" t="s">
        <v>263</v>
      </c>
      <c r="AK1029" s="127" t="s">
        <v>263</v>
      </c>
      <c r="AL1029" s="9">
        <v>80.7</v>
      </c>
      <c r="AM1029" s="9">
        <v>1.7</v>
      </c>
      <c r="AN1029" s="9">
        <v>98</v>
      </c>
      <c r="AO1029" s="9">
        <v>99</v>
      </c>
      <c r="AP1029" s="9">
        <v>30.2</v>
      </c>
      <c r="AQ1029" s="9">
        <v>31.6</v>
      </c>
      <c r="AR1029" s="9">
        <v>13</v>
      </c>
      <c r="AS1029" s="9">
        <v>56</v>
      </c>
      <c r="AT1029" s="9">
        <v>27.9</v>
      </c>
      <c r="AU1029" s="10">
        <v>141</v>
      </c>
      <c r="AV1029" s="9">
        <v>42</v>
      </c>
      <c r="AW1029" s="6"/>
      <c r="AX1029" s="127" t="s">
        <v>8049</v>
      </c>
      <c r="AY1029" s="6"/>
      <c r="AZ1029" s="6"/>
      <c r="BA1029" s="6"/>
      <c r="BB1029" s="6" t="s">
        <v>171</v>
      </c>
      <c r="BC1029" s="6"/>
      <c r="BD1029" s="6"/>
      <c r="BE1029" s="6"/>
      <c r="BF1029" s="6" t="s">
        <v>6476</v>
      </c>
      <c r="BG1029" s="6" t="s">
        <v>6476</v>
      </c>
      <c r="BH1029" s="6" t="s">
        <v>6477</v>
      </c>
      <c r="BI1029" s="6" t="s">
        <v>6476</v>
      </c>
      <c r="BJ1029" s="6" t="s">
        <v>263</v>
      </c>
      <c r="BK1029" s="6" t="s">
        <v>6476</v>
      </c>
      <c r="BM1029" s="6" t="s">
        <v>8050</v>
      </c>
      <c r="BN1029" s="6"/>
      <c r="BO1029" s="6"/>
      <c r="BP1029" s="6"/>
      <c r="BQ1029" s="9" t="s">
        <v>500</v>
      </c>
      <c r="BR1029" s="6"/>
      <c r="BS1029" s="6"/>
      <c r="BT1029" s="6"/>
      <c r="BU1029" s="9" t="s">
        <v>500</v>
      </c>
      <c r="BV1029" s="6"/>
      <c r="BW1029" s="6"/>
      <c r="BX1029" s="6"/>
      <c r="BZ1029" s="6" t="s">
        <v>8051</v>
      </c>
      <c r="CA1029" s="6"/>
      <c r="CB1029" s="6"/>
      <c r="CC1029" s="6"/>
      <c r="CD1029" s="6"/>
      <c r="CL1029" s="6" t="s">
        <v>8052</v>
      </c>
      <c r="CM1029" s="6"/>
      <c r="CN1029" s="6"/>
      <c r="CO1029" s="6"/>
      <c r="CP1029" s="9" t="s">
        <v>1054</v>
      </c>
      <c r="CQ1029" s="6"/>
      <c r="CR1029" s="6"/>
      <c r="CS1029" s="6"/>
      <c r="CT1029" s="6" t="s">
        <v>8053</v>
      </c>
      <c r="CU1029" s="6"/>
      <c r="CV1029" s="6"/>
      <c r="CW1029" s="9">
        <v>2</v>
      </c>
      <c r="CX1029" s="9" t="s">
        <v>263</v>
      </c>
      <c r="CY1029" s="9" t="s">
        <v>368</v>
      </c>
      <c r="CZ1029" s="9" t="s">
        <v>500</v>
      </c>
      <c r="DA1029" s="9" t="s">
        <v>500</v>
      </c>
      <c r="DB1029" s="9" t="s">
        <v>500</v>
      </c>
      <c r="DG1029" s="9" t="e">
        <f t="shared" si="16"/>
        <v>#NUM!</v>
      </c>
    </row>
    <row r="1030" spans="1:127" x14ac:dyDescent="0.2">
      <c r="B1030" s="175">
        <v>43286</v>
      </c>
      <c r="C1030" s="9" t="s">
        <v>8043</v>
      </c>
      <c r="D1030" s="9">
        <v>54</v>
      </c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M1030" s="6"/>
      <c r="BN1030" s="6"/>
      <c r="BO1030" s="6"/>
      <c r="BP1030" s="6"/>
      <c r="BQ1030" s="9" t="s">
        <v>500</v>
      </c>
      <c r="BR1030" s="6"/>
      <c r="BS1030" s="6"/>
      <c r="BT1030" s="6"/>
      <c r="BU1030" s="9" t="s">
        <v>500</v>
      </c>
      <c r="BV1030" s="6"/>
      <c r="BW1030" s="6"/>
      <c r="BX1030" s="6"/>
      <c r="BZ1030" s="9" t="s">
        <v>500</v>
      </c>
      <c r="CA1030" s="6"/>
      <c r="CB1030" s="6"/>
      <c r="CC1030" s="6"/>
      <c r="CD1030" s="6"/>
      <c r="CL1030" s="9" t="s">
        <v>500</v>
      </c>
      <c r="CM1030" s="6"/>
      <c r="CN1030" s="6"/>
      <c r="CO1030" s="6"/>
      <c r="CP1030" s="9" t="s">
        <v>500</v>
      </c>
      <c r="CQ1030" s="6"/>
      <c r="CR1030" s="6"/>
      <c r="CS1030" s="6"/>
      <c r="CT1030" s="127" t="s">
        <v>500</v>
      </c>
      <c r="CU1030" s="6"/>
      <c r="CV1030" s="6"/>
      <c r="CW1030" s="127" t="s">
        <v>500</v>
      </c>
      <c r="CX1030" s="127" t="s">
        <v>500</v>
      </c>
      <c r="CY1030" s="127" t="s">
        <v>500</v>
      </c>
      <c r="CZ1030" s="127" t="s">
        <v>500</v>
      </c>
      <c r="DA1030" s="127" t="s">
        <v>500</v>
      </c>
      <c r="DB1030" s="127" t="s">
        <v>500</v>
      </c>
      <c r="DG1030" s="9" t="e">
        <f t="shared" si="16"/>
        <v>#NUM!</v>
      </c>
    </row>
    <row r="1031" spans="1:127" x14ac:dyDescent="0.2">
      <c r="B1031" s="17">
        <v>43279</v>
      </c>
      <c r="C1031" s="127" t="s">
        <v>8039</v>
      </c>
      <c r="D1031" s="9">
        <v>25</v>
      </c>
      <c r="E1031" s="127" t="s">
        <v>96</v>
      </c>
      <c r="G1031" s="9" t="s">
        <v>8054</v>
      </c>
      <c r="H1031" s="9" t="s">
        <v>8055</v>
      </c>
      <c r="Y1031" s="9" t="s">
        <v>263</v>
      </c>
      <c r="AA1031" s="127" t="s">
        <v>96</v>
      </c>
      <c r="AB1031" s="14" t="s">
        <v>440</v>
      </c>
      <c r="AC1031" s="14" t="s">
        <v>440</v>
      </c>
      <c r="AD1031" s="14" t="s">
        <v>440</v>
      </c>
      <c r="AE1031" s="9" t="s">
        <v>263</v>
      </c>
      <c r="AF1031" s="9" t="s">
        <v>263</v>
      </c>
      <c r="AG1031" s="9" t="s">
        <v>8056</v>
      </c>
      <c r="AH1031" s="9" t="s">
        <v>263</v>
      </c>
      <c r="AI1031" s="9" t="s">
        <v>263</v>
      </c>
      <c r="AJ1031" s="9" t="s">
        <v>263</v>
      </c>
      <c r="AK1031" s="9" t="s">
        <v>263</v>
      </c>
      <c r="AL1031" s="9">
        <v>91.1</v>
      </c>
      <c r="AM1031" s="9">
        <v>1.79</v>
      </c>
      <c r="AN1031" s="9">
        <v>95.6</v>
      </c>
      <c r="AO1031" s="9">
        <v>114.3</v>
      </c>
      <c r="AP1031" s="9">
        <v>32.299999999999997</v>
      </c>
      <c r="AQ1031" s="9">
        <v>58.6</v>
      </c>
      <c r="AR1031" s="9">
        <v>3.1</v>
      </c>
      <c r="AS1031" s="9">
        <v>50</v>
      </c>
      <c r="AT1031" s="9">
        <v>28.4</v>
      </c>
      <c r="AU1031" s="10">
        <v>134</v>
      </c>
      <c r="AV1031" s="9">
        <v>67</v>
      </c>
      <c r="AW1031" s="6"/>
      <c r="AX1031" s="9" t="s">
        <v>8057</v>
      </c>
      <c r="AY1031" s="6"/>
      <c r="AZ1031" s="6"/>
      <c r="BA1031" s="6"/>
      <c r="BB1031" s="6" t="s">
        <v>6624</v>
      </c>
      <c r="BC1031" s="6"/>
      <c r="BD1031" s="6"/>
      <c r="BE1031" s="6"/>
      <c r="BF1031" s="6" t="s">
        <v>6476</v>
      </c>
      <c r="BG1031" s="6" t="s">
        <v>6476</v>
      </c>
      <c r="BH1031" s="6" t="s">
        <v>6476</v>
      </c>
      <c r="BI1031" s="6" t="s">
        <v>6476</v>
      </c>
      <c r="BJ1031" s="6" t="s">
        <v>6475</v>
      </c>
      <c r="BK1031" s="6" t="s">
        <v>6476</v>
      </c>
      <c r="BM1031" s="6" t="s">
        <v>8058</v>
      </c>
      <c r="BN1031" s="6"/>
      <c r="BO1031" s="6"/>
      <c r="BP1031" s="6"/>
      <c r="BQ1031" s="9" t="s">
        <v>500</v>
      </c>
      <c r="BR1031" s="6"/>
      <c r="BS1031" s="6"/>
      <c r="BT1031" s="6"/>
      <c r="BU1031" s="9" t="s">
        <v>500</v>
      </c>
      <c r="BV1031" s="6"/>
      <c r="BW1031" s="6"/>
      <c r="BX1031" s="6"/>
      <c r="BZ1031" s="6" t="s">
        <v>8059</v>
      </c>
      <c r="CA1031" s="6"/>
      <c r="CB1031" s="6"/>
      <c r="CC1031" s="6"/>
      <c r="CD1031" s="6"/>
      <c r="CL1031" s="6" t="s">
        <v>8060</v>
      </c>
      <c r="CM1031" s="6"/>
      <c r="CN1031" s="6"/>
      <c r="CO1031" s="6"/>
      <c r="CP1031" s="6" t="s">
        <v>8061</v>
      </c>
      <c r="CQ1031" s="6"/>
      <c r="CR1031" s="6"/>
      <c r="CS1031" s="6"/>
      <c r="CT1031" s="6" t="s">
        <v>8062</v>
      </c>
      <c r="CU1031" s="6"/>
      <c r="CV1031" s="6"/>
      <c r="CW1031" s="9">
        <v>3</v>
      </c>
      <c r="CX1031" s="9" t="s">
        <v>368</v>
      </c>
      <c r="CY1031" s="9" t="s">
        <v>99</v>
      </c>
      <c r="CZ1031" s="9">
        <v>30</v>
      </c>
      <c r="DA1031" s="9">
        <v>40</v>
      </c>
      <c r="DB1031" s="9">
        <v>20</v>
      </c>
      <c r="DG1031" s="9" t="e">
        <f t="shared" si="16"/>
        <v>#NUM!</v>
      </c>
    </row>
    <row r="1032" spans="1:127" x14ac:dyDescent="0.2">
      <c r="B1032" s="17">
        <v>43279</v>
      </c>
      <c r="C1032" s="9" t="s">
        <v>8043</v>
      </c>
      <c r="D1032" s="9">
        <v>36</v>
      </c>
      <c r="E1032" s="127" t="s">
        <v>96</v>
      </c>
      <c r="G1032" s="9" t="s">
        <v>8063</v>
      </c>
      <c r="H1032" s="9" t="s">
        <v>8064</v>
      </c>
      <c r="Y1032" s="9" t="s">
        <v>8065</v>
      </c>
      <c r="AA1032" s="127" t="s">
        <v>96</v>
      </c>
      <c r="AB1032" s="127" t="s">
        <v>96</v>
      </c>
      <c r="AC1032" s="127" t="s">
        <v>96</v>
      </c>
      <c r="AD1032" s="35" t="s">
        <v>267</v>
      </c>
      <c r="AE1032" s="9" t="s">
        <v>99</v>
      </c>
      <c r="AF1032" s="9" t="s">
        <v>263</v>
      </c>
      <c r="AG1032" s="9" t="s">
        <v>263</v>
      </c>
      <c r="AH1032" s="9" t="s">
        <v>263</v>
      </c>
      <c r="AI1032" s="9" t="s">
        <v>263</v>
      </c>
      <c r="AJ1032" s="9" t="s">
        <v>263</v>
      </c>
      <c r="AK1032" s="9" t="s">
        <v>99</v>
      </c>
      <c r="AL1032" s="9">
        <v>90</v>
      </c>
      <c r="AM1032" s="9">
        <v>1.7</v>
      </c>
      <c r="AN1032" s="9">
        <v>97.3</v>
      </c>
      <c r="AO1032" s="9">
        <v>121.8</v>
      </c>
      <c r="AP1032" s="9">
        <v>33.4</v>
      </c>
      <c r="AQ1032" s="9">
        <v>57</v>
      </c>
      <c r="AR1032" s="9">
        <v>3</v>
      </c>
      <c r="AS1032" s="9">
        <v>50</v>
      </c>
      <c r="AT1032" s="9">
        <v>31.141868512110729</v>
      </c>
      <c r="AU1032" s="9">
        <v>115</v>
      </c>
      <c r="AV1032" s="9">
        <v>72</v>
      </c>
      <c r="AW1032" s="6"/>
      <c r="AX1032" s="9" t="s">
        <v>500</v>
      </c>
      <c r="AY1032" s="6"/>
      <c r="AZ1032" s="6"/>
      <c r="BA1032" s="6"/>
      <c r="BB1032" s="9" t="s">
        <v>500</v>
      </c>
      <c r="BC1032" s="6"/>
      <c r="BD1032" s="6"/>
      <c r="BE1032" s="6"/>
      <c r="BF1032" s="9" t="s">
        <v>500</v>
      </c>
      <c r="BG1032" s="9" t="s">
        <v>500</v>
      </c>
      <c r="BH1032" s="9" t="s">
        <v>500</v>
      </c>
      <c r="BI1032" s="9" t="s">
        <v>500</v>
      </c>
      <c r="BJ1032" s="9" t="s">
        <v>500</v>
      </c>
      <c r="BK1032" s="9" t="s">
        <v>500</v>
      </c>
      <c r="BM1032" s="9" t="s">
        <v>500</v>
      </c>
      <c r="BN1032" s="6"/>
      <c r="BO1032" s="6"/>
      <c r="BP1032" s="6"/>
      <c r="BQ1032" s="9" t="s">
        <v>500</v>
      </c>
      <c r="BR1032" s="6"/>
      <c r="BS1032" s="6"/>
      <c r="BT1032" s="6"/>
      <c r="BU1032" s="9" t="s">
        <v>500</v>
      </c>
      <c r="BV1032" s="6"/>
      <c r="BW1032" s="6"/>
      <c r="BX1032" s="6"/>
      <c r="BZ1032" s="9" t="s">
        <v>500</v>
      </c>
      <c r="CA1032" s="6"/>
      <c r="CB1032" s="6"/>
      <c r="CC1032" s="6"/>
      <c r="CD1032" s="6"/>
      <c r="CL1032" s="9" t="s">
        <v>500</v>
      </c>
      <c r="CM1032" s="6"/>
      <c r="CN1032" s="6"/>
      <c r="CO1032" s="6"/>
      <c r="CP1032" s="6"/>
      <c r="CQ1032" s="6"/>
      <c r="CR1032" s="6"/>
      <c r="CS1032" s="6"/>
      <c r="CT1032" s="127" t="s">
        <v>500</v>
      </c>
      <c r="CU1032" s="6"/>
      <c r="CV1032" s="6"/>
      <c r="CW1032" s="9" t="s">
        <v>500</v>
      </c>
      <c r="CX1032" s="9" t="s">
        <v>500</v>
      </c>
      <c r="CY1032" s="9" t="s">
        <v>500</v>
      </c>
      <c r="CZ1032" s="9" t="s">
        <v>500</v>
      </c>
      <c r="DA1032" s="9" t="s">
        <v>500</v>
      </c>
      <c r="DB1032" s="9" t="s">
        <v>500</v>
      </c>
      <c r="DG1032" s="9" t="e">
        <f t="shared" si="16"/>
        <v>#NUM!</v>
      </c>
    </row>
    <row r="1033" spans="1:127" x14ac:dyDescent="0.2">
      <c r="B1033" s="17">
        <v>43277</v>
      </c>
      <c r="C1033" s="127" t="s">
        <v>8039</v>
      </c>
      <c r="D1033" s="9">
        <v>48</v>
      </c>
      <c r="E1033" s="127" t="s">
        <v>96</v>
      </c>
      <c r="G1033" s="9" t="s">
        <v>500</v>
      </c>
      <c r="H1033" s="9" t="s">
        <v>8066</v>
      </c>
      <c r="Y1033" s="9" t="s">
        <v>263</v>
      </c>
      <c r="AA1033" s="9" t="s">
        <v>96</v>
      </c>
      <c r="AB1033" s="127" t="s">
        <v>96</v>
      </c>
      <c r="AC1033" s="127" t="s">
        <v>96</v>
      </c>
      <c r="AD1033" s="127" t="s">
        <v>96</v>
      </c>
      <c r="AE1033" s="9" t="s">
        <v>263</v>
      </c>
      <c r="AF1033" s="9" t="s">
        <v>263</v>
      </c>
      <c r="AG1033" s="9" t="s">
        <v>8067</v>
      </c>
      <c r="AH1033" s="9" t="s">
        <v>99</v>
      </c>
      <c r="AI1033" s="9" t="s">
        <v>99</v>
      </c>
      <c r="AJ1033" s="9" t="s">
        <v>263</v>
      </c>
      <c r="AK1033" s="9" t="s">
        <v>263</v>
      </c>
      <c r="AL1033" s="9">
        <v>84</v>
      </c>
      <c r="AM1033" s="9">
        <v>1.7</v>
      </c>
      <c r="AN1033" s="9">
        <v>98</v>
      </c>
      <c r="AO1033" s="9">
        <v>104</v>
      </c>
      <c r="AP1033" s="9">
        <v>26.6</v>
      </c>
      <c r="AQ1033" s="9">
        <v>58.6</v>
      </c>
      <c r="AR1033" s="9">
        <v>3.1</v>
      </c>
      <c r="AS1033" s="9">
        <v>50</v>
      </c>
      <c r="AT1033" s="9">
        <v>29.065743944636683</v>
      </c>
      <c r="AU1033" s="9">
        <v>112</v>
      </c>
      <c r="AV1033" s="9">
        <v>66</v>
      </c>
      <c r="AW1033" s="6"/>
      <c r="AX1033" s="9" t="s">
        <v>500</v>
      </c>
      <c r="AY1033" s="6"/>
      <c r="AZ1033" s="6"/>
      <c r="BA1033" s="6"/>
      <c r="BB1033" s="9" t="s">
        <v>500</v>
      </c>
      <c r="BC1033" s="6"/>
      <c r="BD1033" s="6"/>
      <c r="BE1033" s="6"/>
      <c r="BF1033" s="9" t="s">
        <v>500</v>
      </c>
      <c r="BG1033" s="9" t="s">
        <v>500</v>
      </c>
      <c r="BH1033" s="9" t="s">
        <v>500</v>
      </c>
      <c r="BI1033" s="9" t="s">
        <v>500</v>
      </c>
      <c r="BJ1033" s="9" t="s">
        <v>500</v>
      </c>
      <c r="BK1033" s="9" t="s">
        <v>500</v>
      </c>
      <c r="BM1033" s="9" t="s">
        <v>500</v>
      </c>
      <c r="BN1033" s="6"/>
      <c r="BO1033" s="6"/>
      <c r="BP1033" s="6"/>
      <c r="BQ1033" s="9" t="s">
        <v>500</v>
      </c>
      <c r="BR1033" s="6"/>
      <c r="BS1033" s="6"/>
      <c r="BT1033" s="6"/>
      <c r="BU1033" s="9" t="s">
        <v>500</v>
      </c>
      <c r="BV1033" s="6"/>
      <c r="BW1033" s="6"/>
      <c r="BX1033" s="6"/>
      <c r="BZ1033" s="9" t="s">
        <v>500</v>
      </c>
      <c r="CA1033" s="6"/>
      <c r="CB1033" s="6"/>
      <c r="CC1033" s="6"/>
      <c r="CD1033" s="6"/>
      <c r="CL1033" s="9" t="s">
        <v>500</v>
      </c>
      <c r="CM1033" s="6"/>
      <c r="CN1033" s="6"/>
      <c r="CO1033" s="6"/>
      <c r="CP1033" s="9" t="s">
        <v>500</v>
      </c>
      <c r="CQ1033" s="6"/>
      <c r="CR1033" s="6"/>
      <c r="CS1033" s="6"/>
      <c r="CT1033" s="9" t="s">
        <v>500</v>
      </c>
      <c r="CU1033" s="6"/>
      <c r="CV1033" s="6"/>
      <c r="CW1033" s="9" t="s">
        <v>500</v>
      </c>
      <c r="CX1033" s="9" t="s">
        <v>500</v>
      </c>
      <c r="CY1033" s="9" t="s">
        <v>500</v>
      </c>
      <c r="CZ1033" s="9" t="s">
        <v>500</v>
      </c>
      <c r="DA1033" s="9" t="s">
        <v>500</v>
      </c>
      <c r="DB1033" s="9" t="s">
        <v>500</v>
      </c>
      <c r="DG1033" s="9" t="e">
        <f t="shared" si="16"/>
        <v>#NUM!</v>
      </c>
    </row>
    <row r="1034" spans="1:127" x14ac:dyDescent="0.2">
      <c r="B1034" s="17">
        <v>43277</v>
      </c>
      <c r="C1034" s="127" t="s">
        <v>8039</v>
      </c>
      <c r="D1034" s="9">
        <v>32</v>
      </c>
      <c r="E1034" s="194" t="s">
        <v>98</v>
      </c>
      <c r="G1034" s="9" t="s">
        <v>314</v>
      </c>
      <c r="H1034" s="9" t="s">
        <v>1698</v>
      </c>
      <c r="Y1034" s="9" t="s">
        <v>8068</v>
      </c>
      <c r="AA1034" s="37" t="s">
        <v>5707</v>
      </c>
      <c r="AB1034" s="37" t="s">
        <v>5707</v>
      </c>
      <c r="AC1034" s="37" t="s">
        <v>5707</v>
      </c>
      <c r="AD1034" s="37" t="s">
        <v>5707</v>
      </c>
      <c r="AE1034" s="9" t="s">
        <v>263</v>
      </c>
      <c r="AF1034" s="9" t="s">
        <v>263</v>
      </c>
      <c r="AG1034" s="9" t="s">
        <v>99</v>
      </c>
      <c r="AH1034" s="9" t="s">
        <v>263</v>
      </c>
      <c r="AI1034" s="9" t="s">
        <v>263</v>
      </c>
      <c r="AJ1034" s="9" t="s">
        <v>263</v>
      </c>
      <c r="AK1034" s="9" t="s">
        <v>263</v>
      </c>
      <c r="AL1034" s="9">
        <v>55.6</v>
      </c>
      <c r="AM1034" s="9">
        <v>1.6779999999999999</v>
      </c>
      <c r="AN1034" s="9" t="s">
        <v>500</v>
      </c>
      <c r="AO1034" s="9" t="s">
        <v>500</v>
      </c>
      <c r="AP1034" s="9" t="s">
        <v>500</v>
      </c>
      <c r="AQ1034" s="9" t="s">
        <v>500</v>
      </c>
      <c r="AR1034" s="9" t="s">
        <v>500</v>
      </c>
      <c r="AS1034" s="9" t="s">
        <v>500</v>
      </c>
      <c r="AT1034" s="7">
        <v>19.746534057088795</v>
      </c>
      <c r="AU1034" s="9">
        <v>128</v>
      </c>
      <c r="AV1034" s="9">
        <v>75</v>
      </c>
      <c r="AW1034" s="6"/>
      <c r="AX1034" s="9" t="s">
        <v>500</v>
      </c>
      <c r="AY1034" s="6"/>
      <c r="AZ1034" s="6"/>
      <c r="BA1034" s="6"/>
      <c r="BB1034" s="9" t="s">
        <v>500</v>
      </c>
      <c r="BC1034" s="6"/>
      <c r="BD1034" s="6"/>
      <c r="BE1034" s="6"/>
      <c r="BF1034" s="9" t="s">
        <v>500</v>
      </c>
      <c r="BG1034" s="9" t="s">
        <v>500</v>
      </c>
      <c r="BH1034" s="9" t="s">
        <v>500</v>
      </c>
      <c r="BI1034" s="9" t="s">
        <v>500</v>
      </c>
      <c r="BJ1034" s="9" t="s">
        <v>500</v>
      </c>
      <c r="BK1034" s="9" t="s">
        <v>500</v>
      </c>
      <c r="BM1034" s="9" t="s">
        <v>500</v>
      </c>
      <c r="BN1034" s="6"/>
      <c r="BO1034" s="6"/>
      <c r="BP1034" s="6"/>
      <c r="BQ1034" s="9" t="s">
        <v>500</v>
      </c>
      <c r="BR1034" s="6"/>
      <c r="BS1034" s="6"/>
      <c r="BT1034" s="6"/>
      <c r="BU1034" s="9" t="s">
        <v>500</v>
      </c>
      <c r="BV1034" s="6"/>
      <c r="BW1034" s="6"/>
      <c r="BX1034" s="6"/>
      <c r="BZ1034" s="9" t="s">
        <v>500</v>
      </c>
      <c r="CA1034" s="6"/>
      <c r="CB1034" s="6"/>
      <c r="CC1034" s="6"/>
      <c r="CD1034" s="6"/>
      <c r="CL1034" s="9" t="s">
        <v>500</v>
      </c>
      <c r="CM1034" s="6"/>
      <c r="CN1034" s="6"/>
      <c r="CO1034" s="6"/>
      <c r="CP1034" s="9" t="s">
        <v>500</v>
      </c>
      <c r="CQ1034" s="6"/>
      <c r="CR1034" s="6"/>
      <c r="CS1034" s="6"/>
      <c r="CT1034" s="9" t="s">
        <v>500</v>
      </c>
      <c r="CU1034" s="6"/>
      <c r="CV1034" s="6"/>
      <c r="CW1034" s="9" t="s">
        <v>500</v>
      </c>
      <c r="CX1034" s="9" t="s">
        <v>500</v>
      </c>
      <c r="CY1034" s="9" t="s">
        <v>500</v>
      </c>
      <c r="CZ1034" s="9" t="s">
        <v>500</v>
      </c>
      <c r="DA1034" s="9" t="s">
        <v>500</v>
      </c>
      <c r="DB1034" s="9" t="s">
        <v>500</v>
      </c>
      <c r="DG1034" s="9" t="e">
        <f t="shared" si="16"/>
        <v>#NUM!</v>
      </c>
    </row>
    <row r="1035" spans="1:127" x14ac:dyDescent="0.2">
      <c r="B1035" s="17">
        <v>43277</v>
      </c>
      <c r="C1035" s="9" t="s">
        <v>8043</v>
      </c>
      <c r="D1035" s="9">
        <v>22</v>
      </c>
      <c r="E1035" s="127" t="s">
        <v>96</v>
      </c>
      <c r="G1035" s="9" t="s">
        <v>97</v>
      </c>
      <c r="H1035" s="9" t="s">
        <v>8069</v>
      </c>
      <c r="Y1035" s="9" t="s">
        <v>8070</v>
      </c>
      <c r="AA1035" s="127" t="s">
        <v>96</v>
      </c>
      <c r="AB1035" s="127" t="s">
        <v>96</v>
      </c>
      <c r="AC1035" s="127" t="s">
        <v>96</v>
      </c>
      <c r="AD1035" s="127" t="s">
        <v>96</v>
      </c>
      <c r="AE1035" s="9" t="s">
        <v>6495</v>
      </c>
      <c r="AF1035" s="9" t="s">
        <v>263</v>
      </c>
      <c r="AG1035" s="9" t="s">
        <v>7001</v>
      </c>
      <c r="AH1035" s="9" t="s">
        <v>263</v>
      </c>
      <c r="AI1035" s="9" t="s">
        <v>263</v>
      </c>
      <c r="AJ1035" s="9" t="s">
        <v>263</v>
      </c>
      <c r="AK1035" s="9" t="s">
        <v>263</v>
      </c>
      <c r="AL1035" s="9">
        <v>51.7</v>
      </c>
      <c r="AM1035" s="9">
        <v>1.69</v>
      </c>
      <c r="AN1035" s="9">
        <v>68</v>
      </c>
      <c r="AO1035" s="9">
        <v>92</v>
      </c>
      <c r="AP1035" s="9">
        <v>24.6</v>
      </c>
      <c r="AQ1035" s="9">
        <v>28.7</v>
      </c>
      <c r="AR1035" s="9">
        <v>2</v>
      </c>
      <c r="AS1035" s="9">
        <v>18</v>
      </c>
      <c r="AT1035" s="7">
        <v>18.100000000000001</v>
      </c>
      <c r="AU1035" s="9">
        <v>105</v>
      </c>
      <c r="AV1035" s="9">
        <v>62</v>
      </c>
      <c r="AW1035" s="6"/>
      <c r="AX1035" s="9" t="s">
        <v>8071</v>
      </c>
      <c r="AY1035" s="6"/>
      <c r="AZ1035" s="6"/>
      <c r="BA1035" s="6"/>
      <c r="BB1035" s="9" t="s">
        <v>8072</v>
      </c>
      <c r="BC1035" s="6"/>
      <c r="BD1035" s="6"/>
      <c r="BE1035" s="6"/>
      <c r="BF1035" s="9" t="s">
        <v>6476</v>
      </c>
      <c r="BG1035" s="9" t="s">
        <v>6476</v>
      </c>
      <c r="BH1035" s="9" t="s">
        <v>6476</v>
      </c>
      <c r="BI1035" s="9" t="s">
        <v>6476</v>
      </c>
      <c r="BJ1035" s="9" t="s">
        <v>6476</v>
      </c>
      <c r="BK1035" s="9" t="s">
        <v>6476</v>
      </c>
      <c r="BM1035" s="9" t="s">
        <v>8073</v>
      </c>
      <c r="BN1035" s="6"/>
      <c r="BO1035" s="6"/>
      <c r="BP1035" s="6"/>
      <c r="BQ1035" s="9" t="s">
        <v>99</v>
      </c>
      <c r="BR1035" s="6"/>
      <c r="BS1035" s="6"/>
      <c r="BT1035" s="6"/>
      <c r="BU1035" s="6" t="s">
        <v>8074</v>
      </c>
      <c r="BV1035" s="6"/>
      <c r="BW1035" s="6"/>
      <c r="BX1035" s="6"/>
      <c r="BZ1035" s="9" t="s">
        <v>8075</v>
      </c>
      <c r="CA1035" s="6"/>
      <c r="CB1035" s="6"/>
      <c r="CC1035" s="6"/>
      <c r="CD1035" s="6"/>
      <c r="CL1035" s="9" t="s">
        <v>8076</v>
      </c>
      <c r="CM1035" s="6"/>
      <c r="CN1035" s="6"/>
      <c r="CO1035" s="6"/>
      <c r="CP1035" s="9" t="s">
        <v>8077</v>
      </c>
      <c r="CQ1035" s="6"/>
      <c r="CR1035" s="6"/>
      <c r="CS1035" s="6"/>
      <c r="CT1035" s="9" t="s">
        <v>8078</v>
      </c>
      <c r="CU1035" s="6"/>
      <c r="CV1035" s="6"/>
      <c r="CW1035" s="9">
        <v>3</v>
      </c>
      <c r="CX1035" s="9" t="s">
        <v>263</v>
      </c>
      <c r="CY1035" s="9" t="s">
        <v>263</v>
      </c>
      <c r="CZ1035" s="9">
        <v>90</v>
      </c>
      <c r="DA1035" s="9">
        <v>80</v>
      </c>
      <c r="DB1035" s="9">
        <v>70</v>
      </c>
      <c r="DG1035" s="9" t="e">
        <f t="shared" si="16"/>
        <v>#NUM!</v>
      </c>
    </row>
    <row r="1036" spans="1:127" x14ac:dyDescent="0.2">
      <c r="B1036" s="17">
        <v>43279</v>
      </c>
      <c r="C1036" s="9" t="s">
        <v>8043</v>
      </c>
      <c r="D1036" s="9">
        <v>33</v>
      </c>
      <c r="E1036" s="127" t="s">
        <v>96</v>
      </c>
      <c r="G1036" s="9" t="s">
        <v>988</v>
      </c>
      <c r="H1036" s="9" t="s">
        <v>99</v>
      </c>
      <c r="Y1036" s="9" t="s">
        <v>263</v>
      </c>
      <c r="AA1036" s="127" t="s">
        <v>96</v>
      </c>
      <c r="AB1036" s="127" t="s">
        <v>96</v>
      </c>
      <c r="AC1036" s="127" t="s">
        <v>96</v>
      </c>
      <c r="AD1036" s="127" t="s">
        <v>96</v>
      </c>
      <c r="AE1036" s="9" t="s">
        <v>6495</v>
      </c>
      <c r="AF1036" s="9" t="s">
        <v>263</v>
      </c>
      <c r="AG1036" s="9" t="s">
        <v>513</v>
      </c>
      <c r="AH1036" s="9" t="s">
        <v>263</v>
      </c>
      <c r="AI1036" s="9" t="s">
        <v>99</v>
      </c>
      <c r="AJ1036" s="9" t="s">
        <v>99</v>
      </c>
      <c r="AK1036" s="9" t="s">
        <v>263</v>
      </c>
      <c r="AL1036" s="9">
        <v>73.400000000000006</v>
      </c>
      <c r="AM1036" s="14" t="s">
        <v>8079</v>
      </c>
      <c r="AU1036" s="9">
        <v>86</v>
      </c>
      <c r="AV1036" s="9">
        <v>62</v>
      </c>
      <c r="AW1036" s="6"/>
      <c r="AX1036" s="9" t="s">
        <v>8080</v>
      </c>
      <c r="AY1036" s="6"/>
      <c r="AZ1036" s="6"/>
      <c r="BA1036" s="6"/>
      <c r="BB1036" s="9" t="s">
        <v>500</v>
      </c>
      <c r="BC1036" s="6"/>
      <c r="BD1036" s="6"/>
      <c r="BE1036" s="6"/>
      <c r="BF1036" s="9" t="s">
        <v>500</v>
      </c>
      <c r="BG1036" s="9" t="s">
        <v>500</v>
      </c>
      <c r="BH1036" s="9" t="s">
        <v>500</v>
      </c>
      <c r="BI1036" s="9" t="s">
        <v>500</v>
      </c>
      <c r="BJ1036" s="9" t="s">
        <v>500</v>
      </c>
      <c r="BK1036" s="9" t="s">
        <v>500</v>
      </c>
      <c r="BM1036" s="9" t="s">
        <v>500</v>
      </c>
      <c r="BN1036" s="6"/>
      <c r="BO1036" s="6"/>
      <c r="BP1036" s="6"/>
      <c r="BQ1036" s="9" t="s">
        <v>500</v>
      </c>
      <c r="BR1036" s="6"/>
      <c r="BS1036" s="6"/>
      <c r="BT1036" s="6"/>
      <c r="BU1036" s="9" t="s">
        <v>500</v>
      </c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DG1036" s="9" t="e">
        <f t="shared" si="16"/>
        <v>#NUM!</v>
      </c>
    </row>
    <row r="1037" spans="1:127" x14ac:dyDescent="0.2">
      <c r="B1037" s="17">
        <v>43279</v>
      </c>
      <c r="C1037" s="127" t="s">
        <v>8039</v>
      </c>
      <c r="D1037" s="9">
        <v>44</v>
      </c>
      <c r="E1037" s="127" t="s">
        <v>96</v>
      </c>
      <c r="G1037" s="9" t="s">
        <v>500</v>
      </c>
      <c r="H1037" s="9" t="s">
        <v>500</v>
      </c>
      <c r="Y1037" s="9" t="s">
        <v>263</v>
      </c>
      <c r="AA1037" s="9" t="s">
        <v>500</v>
      </c>
      <c r="AB1037" s="9" t="s">
        <v>500</v>
      </c>
      <c r="AC1037" s="9" t="s">
        <v>500</v>
      </c>
      <c r="AD1037" s="9" t="s">
        <v>500</v>
      </c>
      <c r="AE1037" s="9" t="s">
        <v>500</v>
      </c>
      <c r="AF1037" s="9" t="s">
        <v>500</v>
      </c>
      <c r="AG1037" s="9" t="s">
        <v>500</v>
      </c>
      <c r="AH1037" s="9" t="s">
        <v>500</v>
      </c>
      <c r="AI1037" s="9" t="s">
        <v>500</v>
      </c>
      <c r="AJ1037" s="9" t="s">
        <v>500</v>
      </c>
      <c r="AK1037" s="9" t="s">
        <v>500</v>
      </c>
      <c r="AL1037" s="9">
        <v>94.1</v>
      </c>
      <c r="AM1037" s="9">
        <v>1.7</v>
      </c>
      <c r="AN1037" s="9">
        <v>107</v>
      </c>
      <c r="AO1037" s="9">
        <v>111</v>
      </c>
      <c r="AP1037" s="9">
        <v>33.9</v>
      </c>
      <c r="AQ1037" s="9">
        <v>30.7</v>
      </c>
      <c r="AR1037" s="9">
        <v>16</v>
      </c>
      <c r="AS1037" s="9">
        <v>64</v>
      </c>
      <c r="AT1037" s="9">
        <v>32.6</v>
      </c>
      <c r="AU1037" s="9" t="s">
        <v>500</v>
      </c>
      <c r="AV1037" s="9" t="s">
        <v>500</v>
      </c>
      <c r="AW1037" s="6"/>
      <c r="AX1037" s="9" t="s">
        <v>500</v>
      </c>
      <c r="AY1037" s="6"/>
      <c r="AZ1037" s="6"/>
      <c r="BA1037" s="6"/>
      <c r="BB1037" s="9" t="s">
        <v>500</v>
      </c>
      <c r="BC1037" s="6"/>
      <c r="BD1037" s="6"/>
      <c r="BE1037" s="6"/>
      <c r="BF1037" s="9" t="s">
        <v>500</v>
      </c>
      <c r="BG1037" s="9" t="s">
        <v>500</v>
      </c>
      <c r="BH1037" s="9" t="s">
        <v>500</v>
      </c>
      <c r="BI1037" s="9" t="s">
        <v>500</v>
      </c>
      <c r="BJ1037" s="9" t="s">
        <v>500</v>
      </c>
      <c r="BK1037" s="9" t="s">
        <v>500</v>
      </c>
      <c r="BM1037" s="9" t="s">
        <v>500</v>
      </c>
      <c r="BN1037" s="6"/>
      <c r="BO1037" s="6"/>
      <c r="BP1037" s="6"/>
      <c r="BQ1037" s="9" t="s">
        <v>500</v>
      </c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DG1037" s="9" t="e">
        <f t="shared" si="16"/>
        <v>#NUM!</v>
      </c>
    </row>
    <row r="1038" spans="1:127" x14ac:dyDescent="0.2">
      <c r="A1038"/>
      <c r="B1038" s="69">
        <v>43265</v>
      </c>
      <c r="C1038" s="29" t="s">
        <v>3645</v>
      </c>
      <c r="D1038" s="29">
        <v>75</v>
      </c>
      <c r="E1038" s="149" t="s">
        <v>8081</v>
      </c>
      <c r="F1038" s="69">
        <v>15662</v>
      </c>
      <c r="G1038" s="29" t="s">
        <v>4777</v>
      </c>
      <c r="H1038" s="29" t="s">
        <v>8082</v>
      </c>
      <c r="I1038" s="29" t="s">
        <v>4270</v>
      </c>
      <c r="J1038" s="29" t="s">
        <v>2021</v>
      </c>
      <c r="K1038" s="29" t="s">
        <v>8083</v>
      </c>
      <c r="L1038" s="29">
        <v>2</v>
      </c>
      <c r="M1038" s="29" t="s">
        <v>483</v>
      </c>
      <c r="N1038" s="29" t="s">
        <v>483</v>
      </c>
      <c r="O1038" s="29" t="s">
        <v>483</v>
      </c>
      <c r="P1038" s="29" t="s">
        <v>483</v>
      </c>
      <c r="Q1038" s="29" t="s">
        <v>483</v>
      </c>
      <c r="R1038" s="29" t="s">
        <v>8084</v>
      </c>
      <c r="S1038" s="29" t="s">
        <v>5809</v>
      </c>
      <c r="T1038"/>
      <c r="U1038" s="29" t="s">
        <v>483</v>
      </c>
      <c r="V1038" s="29" t="s">
        <v>483</v>
      </c>
      <c r="W1038" s="29" t="s">
        <v>483</v>
      </c>
      <c r="X1038" s="29" t="s">
        <v>483</v>
      </c>
      <c r="Y1038"/>
      <c r="Z1038"/>
      <c r="AA1038" s="74" t="s">
        <v>8085</v>
      </c>
      <c r="AB1038" s="149" t="s">
        <v>8081</v>
      </c>
      <c r="AC1038" s="74" t="s">
        <v>8085</v>
      </c>
      <c r="AD1038" s="149" t="s">
        <v>8081</v>
      </c>
      <c r="AE1038" s="29" t="s">
        <v>8086</v>
      </c>
      <c r="AF1038" s="29" t="s">
        <v>483</v>
      </c>
      <c r="AG1038" s="29" t="s">
        <v>406</v>
      </c>
      <c r="AH1038" s="29" t="s">
        <v>8087</v>
      </c>
      <c r="AI1038" s="29" t="s">
        <v>483</v>
      </c>
      <c r="AJ1038" s="29" t="s">
        <v>483</v>
      </c>
      <c r="AK1038" s="29" t="s">
        <v>483</v>
      </c>
      <c r="AL1038" s="29">
        <v>63.8</v>
      </c>
      <c r="AM1038"/>
      <c r="AN1038" s="29">
        <v>97</v>
      </c>
      <c r="AO1038" s="29">
        <v>111</v>
      </c>
      <c r="AP1038"/>
      <c r="AQ1038"/>
      <c r="AR1038"/>
      <c r="AS1038"/>
      <c r="AT1038"/>
      <c r="AU1038" s="29">
        <v>146</v>
      </c>
      <c r="AV1038" s="29">
        <v>81</v>
      </c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 s="9" t="e">
        <f t="shared" si="16"/>
        <v>#NUM!</v>
      </c>
      <c r="DH1038"/>
      <c r="DI1038"/>
      <c r="DJ1038"/>
      <c r="DK1038"/>
      <c r="DL1038"/>
      <c r="DM1038"/>
      <c r="DN1038"/>
      <c r="DO1038"/>
      <c r="DP1038"/>
      <c r="DQ1038"/>
    </row>
    <row r="1039" spans="1:127" x14ac:dyDescent="0.2">
      <c r="A1039"/>
      <c r="B1039" s="69">
        <v>43265</v>
      </c>
      <c r="C1039" s="29" t="s">
        <v>3955</v>
      </c>
      <c r="D1039" s="29">
        <v>74</v>
      </c>
      <c r="E1039"/>
      <c r="F1039" s="121">
        <v>15986</v>
      </c>
      <c r="G1039" s="29" t="s">
        <v>8088</v>
      </c>
      <c r="H1039" s="29" t="s">
        <v>5808</v>
      </c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 s="29" t="s">
        <v>949</v>
      </c>
      <c r="AB1039" s="29" t="s">
        <v>949</v>
      </c>
      <c r="AC1039" s="29" t="s">
        <v>949</v>
      </c>
      <c r="AD1039" s="29" t="s">
        <v>949</v>
      </c>
      <c r="AE1039" s="29" t="s">
        <v>588</v>
      </c>
      <c r="AF1039" s="29" t="s">
        <v>588</v>
      </c>
      <c r="AG1039"/>
      <c r="AH1039"/>
      <c r="AI1039"/>
      <c r="AJ1039"/>
      <c r="AK1039"/>
      <c r="AL1039" s="29">
        <v>65</v>
      </c>
      <c r="AM1039" s="29">
        <v>1.72</v>
      </c>
      <c r="AN1039" s="29">
        <v>91</v>
      </c>
      <c r="AO1039" s="29">
        <v>98</v>
      </c>
      <c r="AP1039" s="29">
        <v>19.399999999999999</v>
      </c>
      <c r="AQ1039" s="29">
        <v>7</v>
      </c>
      <c r="AR1039" s="29">
        <v>33.299999999999997</v>
      </c>
      <c r="AS1039" s="29">
        <v>50</v>
      </c>
      <c r="AT1039" s="70">
        <v>22</v>
      </c>
      <c r="AU1039"/>
      <c r="AV1039"/>
      <c r="AW1039"/>
      <c r="AX1039" s="29" t="s">
        <v>635</v>
      </c>
      <c r="AY1039"/>
      <c r="AZ1039"/>
      <c r="BA1039"/>
      <c r="BB1039" s="29" t="s">
        <v>635</v>
      </c>
      <c r="BC1039"/>
      <c r="BD1039"/>
      <c r="BE1039"/>
      <c r="BF1039" s="29" t="s">
        <v>635</v>
      </c>
      <c r="BG1039"/>
      <c r="BH1039"/>
      <c r="BI1039" s="29" t="s">
        <v>323</v>
      </c>
      <c r="BJ1039"/>
      <c r="BK1039" s="29" t="s">
        <v>323</v>
      </c>
      <c r="BL1039"/>
      <c r="BM1039"/>
      <c r="BN1039" s="29" t="s">
        <v>635</v>
      </c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 s="9" t="e">
        <f t="shared" si="16"/>
        <v>#NUM!</v>
      </c>
      <c r="DH1039"/>
      <c r="DI1039"/>
      <c r="DJ1039"/>
      <c r="DK1039"/>
      <c r="DL1039"/>
      <c r="DM1039"/>
      <c r="DN1039"/>
      <c r="DO1039"/>
      <c r="DP1039"/>
      <c r="DQ1039"/>
    </row>
    <row r="1040" spans="1:127" x14ac:dyDescent="0.2">
      <c r="B1040" s="69">
        <v>42928</v>
      </c>
      <c r="C1040" s="29" t="s">
        <v>3955</v>
      </c>
      <c r="D1040" s="29">
        <v>48</v>
      </c>
      <c r="E1040" s="29" t="s">
        <v>949</v>
      </c>
      <c r="F1040" s="121">
        <v>25250</v>
      </c>
      <c r="G1040" s="29" t="s">
        <v>3703</v>
      </c>
      <c r="H1040" s="29" t="s">
        <v>5808</v>
      </c>
      <c r="I1040"/>
      <c r="J1040"/>
      <c r="K1040"/>
      <c r="L1040"/>
      <c r="M1040" s="29" t="s">
        <v>483</v>
      </c>
      <c r="N1040" s="29" t="s">
        <v>483</v>
      </c>
      <c r="O1040" s="29" t="s">
        <v>483</v>
      </c>
      <c r="P1040" s="29" t="s">
        <v>483</v>
      </c>
      <c r="Q1040" s="29" t="s">
        <v>588</v>
      </c>
      <c r="R1040" s="29" t="s">
        <v>483</v>
      </c>
      <c r="S1040" s="29" t="s">
        <v>483</v>
      </c>
      <c r="T1040" s="29" t="s">
        <v>483</v>
      </c>
      <c r="U1040" s="29" t="s">
        <v>483</v>
      </c>
      <c r="V1040" s="29" t="s">
        <v>483</v>
      </c>
      <c r="W1040"/>
      <c r="X1040"/>
      <c r="Y1040"/>
      <c r="Z1040"/>
      <c r="AA1040" s="29" t="s">
        <v>949</v>
      </c>
      <c r="AB1040" s="29" t="s">
        <v>949</v>
      </c>
      <c r="AC1040" s="29" t="s">
        <v>949</v>
      </c>
      <c r="AD1040" s="29" t="s">
        <v>949</v>
      </c>
      <c r="AE1040" s="29" t="s">
        <v>5694</v>
      </c>
      <c r="AF1040" s="29" t="s">
        <v>423</v>
      </c>
      <c r="AG1040" s="29" t="s">
        <v>483</v>
      </c>
      <c r="AH1040" s="29" t="s">
        <v>483</v>
      </c>
      <c r="AI1040" s="29" t="s">
        <v>483</v>
      </c>
      <c r="AJ1040" s="29" t="s">
        <v>483</v>
      </c>
      <c r="AK1040" s="29" t="s">
        <v>483</v>
      </c>
      <c r="AL1040" s="29">
        <v>78.5</v>
      </c>
      <c r="AM1040"/>
      <c r="AN1040" s="29">
        <v>91</v>
      </c>
      <c r="AO1040" s="29">
        <v>101</v>
      </c>
      <c r="AP1040"/>
      <c r="AQ1040"/>
      <c r="AR1040"/>
      <c r="AS1040"/>
      <c r="AT1040"/>
      <c r="AU1040" s="29">
        <v>98</v>
      </c>
      <c r="AV1040" s="29">
        <v>74</v>
      </c>
      <c r="AW1040"/>
      <c r="AX1040" s="29" t="s">
        <v>8089</v>
      </c>
      <c r="AY1040" s="29" t="s">
        <v>8090</v>
      </c>
      <c r="AZ1040" s="29" t="s">
        <v>8091</v>
      </c>
      <c r="BA1040"/>
      <c r="BB1040" s="29" t="s">
        <v>3974</v>
      </c>
      <c r="BC1040" s="29" t="s">
        <v>8092</v>
      </c>
      <c r="BD1040"/>
      <c r="BE1040"/>
      <c r="BF1040" s="29" t="s">
        <v>323</v>
      </c>
      <c r="BG1040" s="29" t="s">
        <v>323</v>
      </c>
      <c r="BH1040"/>
      <c r="BI1040" s="29" t="s">
        <v>323</v>
      </c>
      <c r="BJ1040" s="29" t="s">
        <v>635</v>
      </c>
      <c r="BK1040" s="29" t="s">
        <v>325</v>
      </c>
      <c r="BL1040"/>
      <c r="BM1040"/>
      <c r="BN1040" s="29" t="s">
        <v>1021</v>
      </c>
      <c r="BO1040" s="29" t="s">
        <v>2431</v>
      </c>
      <c r="BP1040" s="29" t="s">
        <v>8093</v>
      </c>
      <c r="BQ1040"/>
      <c r="BR1040"/>
      <c r="BS1040"/>
      <c r="BT1040"/>
      <c r="BU1040"/>
      <c r="BV1040"/>
      <c r="BW1040"/>
      <c r="BX1040"/>
      <c r="BY1040"/>
      <c r="BZ1040" s="29" t="s">
        <v>2434</v>
      </c>
      <c r="CA1040" s="29" t="s">
        <v>2721</v>
      </c>
      <c r="CB1040" s="29" t="s">
        <v>944</v>
      </c>
      <c r="CC1040"/>
      <c r="CD1040"/>
      <c r="CE1040"/>
      <c r="CF1040"/>
      <c r="CG1040"/>
      <c r="CH1040"/>
      <c r="CI1040"/>
      <c r="CJ1040"/>
      <c r="CK1040"/>
      <c r="CL1040" s="29" t="s">
        <v>8094</v>
      </c>
      <c r="CM1040" s="29" t="s">
        <v>7309</v>
      </c>
      <c r="CN1040" s="29" t="s">
        <v>1885</v>
      </c>
      <c r="CO1040"/>
      <c r="CP1040" s="29" t="s">
        <v>452</v>
      </c>
      <c r="CQ1040" s="29" t="s">
        <v>636</v>
      </c>
      <c r="CR1040" s="29" t="s">
        <v>638</v>
      </c>
      <c r="CS1040"/>
      <c r="CT1040" s="29" t="s">
        <v>8095</v>
      </c>
      <c r="CU1040" s="29" t="s">
        <v>8096</v>
      </c>
      <c r="CV1040"/>
      <c r="CW1040" s="29">
        <v>3</v>
      </c>
      <c r="CX1040" s="29" t="s">
        <v>588</v>
      </c>
      <c r="CY1040" s="29" t="s">
        <v>588</v>
      </c>
      <c r="CZ1040" s="29">
        <v>30</v>
      </c>
      <c r="DA1040" s="29">
        <v>10</v>
      </c>
      <c r="DB1040" s="29">
        <v>60</v>
      </c>
      <c r="DG1040" s="9" t="e">
        <f t="shared" si="16"/>
        <v>#NUM!</v>
      </c>
    </row>
    <row r="1041" spans="2:111" x14ac:dyDescent="0.2">
      <c r="B1041" s="69">
        <v>42930</v>
      </c>
      <c r="C1041" s="29" t="s">
        <v>3645</v>
      </c>
      <c r="D1041" s="29">
        <v>77</v>
      </c>
      <c r="E1041" s="195" t="s">
        <v>1015</v>
      </c>
      <c r="F1041" s="69">
        <v>14846</v>
      </c>
      <c r="G1041" s="29" t="s">
        <v>4777</v>
      </c>
      <c r="H1041" s="29" t="s">
        <v>8097</v>
      </c>
      <c r="I1041"/>
      <c r="J1041" s="29" t="s">
        <v>2138</v>
      </c>
      <c r="K1041" s="29">
        <v>1968</v>
      </c>
      <c r="L1041" s="29">
        <v>3</v>
      </c>
      <c r="M1041" s="29" t="s">
        <v>483</v>
      </c>
      <c r="N1041" s="29" t="s">
        <v>483</v>
      </c>
      <c r="O1041"/>
      <c r="P1041" s="29" t="s">
        <v>483</v>
      </c>
      <c r="Q1041" s="29" t="s">
        <v>483</v>
      </c>
      <c r="R1041" s="29" t="s">
        <v>483</v>
      </c>
      <c r="S1041"/>
      <c r="T1041"/>
      <c r="U1041" s="29" t="s">
        <v>483</v>
      </c>
      <c r="V1041" s="29" t="s">
        <v>483</v>
      </c>
      <c r="W1041"/>
      <c r="X1041" s="29" t="s">
        <v>483</v>
      </c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 s="29">
        <v>107</v>
      </c>
      <c r="AV1041" s="29">
        <v>68</v>
      </c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G1041" s="9" t="e">
        <f t="shared" si="16"/>
        <v>#NUM!</v>
      </c>
    </row>
    <row r="1042" spans="2:111" x14ac:dyDescent="0.2">
      <c r="B1042" s="69">
        <v>42930</v>
      </c>
      <c r="C1042" s="29" t="s">
        <v>3645</v>
      </c>
      <c r="D1042" s="29">
        <v>64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G1042" s="9" t="e">
        <f t="shared" si="16"/>
        <v>#NUM!</v>
      </c>
    </row>
    <row r="1043" spans="2:111" x14ac:dyDescent="0.2">
      <c r="B1043" s="69">
        <v>42193</v>
      </c>
      <c r="C1043" s="29" t="s">
        <v>3955</v>
      </c>
      <c r="D1043" s="29">
        <v>72</v>
      </c>
      <c r="E1043" s="74" t="s">
        <v>150</v>
      </c>
      <c r="F1043" s="121">
        <v>15711</v>
      </c>
      <c r="G1043"/>
      <c r="H1043"/>
      <c r="I1043"/>
      <c r="J1043"/>
      <c r="K1043"/>
      <c r="L1043"/>
      <c r="M1043" s="29" t="s">
        <v>588</v>
      </c>
      <c r="N1043" s="29" t="s">
        <v>483</v>
      </c>
      <c r="O1043" s="29" t="s">
        <v>483</v>
      </c>
      <c r="P1043" s="29" t="s">
        <v>588</v>
      </c>
      <c r="Q1043" s="29" t="s">
        <v>588</v>
      </c>
      <c r="R1043"/>
      <c r="S1043"/>
      <c r="T1043"/>
      <c r="U1043"/>
      <c r="V1043"/>
      <c r="W1043"/>
      <c r="X1043"/>
      <c r="Y1043" s="29" t="s">
        <v>8098</v>
      </c>
      <c r="Z1043"/>
      <c r="AA1043" s="74" t="s">
        <v>150</v>
      </c>
      <c r="AB1043" s="74" t="s">
        <v>150</v>
      </c>
      <c r="AC1043" s="74" t="s">
        <v>150</v>
      </c>
      <c r="AD1043" s="74" t="s">
        <v>150</v>
      </c>
      <c r="AE1043" s="29" t="s">
        <v>1242</v>
      </c>
      <c r="AF1043" s="29" t="s">
        <v>483</v>
      </c>
      <c r="AG1043" s="29" t="s">
        <v>483</v>
      </c>
      <c r="AH1043" s="29" t="s">
        <v>483</v>
      </c>
      <c r="AI1043" s="29" t="s">
        <v>483</v>
      </c>
      <c r="AJ1043" s="29" t="s">
        <v>483</v>
      </c>
      <c r="AK1043" s="29" t="s">
        <v>483</v>
      </c>
      <c r="AL1043" s="29">
        <v>78.7</v>
      </c>
      <c r="AM1043"/>
      <c r="AN1043" s="29">
        <v>109</v>
      </c>
      <c r="AO1043" s="29">
        <v>98</v>
      </c>
      <c r="AP1043" s="29">
        <v>30.7</v>
      </c>
      <c r="AQ1043" s="29">
        <v>16</v>
      </c>
      <c r="AR1043" s="29">
        <v>29.1</v>
      </c>
      <c r="AS1043" s="29">
        <v>63</v>
      </c>
      <c r="AT1043" s="29">
        <v>28.2</v>
      </c>
      <c r="AU1043" s="29">
        <v>139</v>
      </c>
      <c r="AV1043" s="29">
        <v>85</v>
      </c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 s="9">
        <v>165</v>
      </c>
      <c r="DE1043" s="9">
        <v>214</v>
      </c>
      <c r="DF1043" s="9">
        <v>299</v>
      </c>
      <c r="DG1043" s="9">
        <f t="shared" si="16"/>
        <v>5.4031945236456336</v>
      </c>
    </row>
    <row r="1044" spans="2:111" x14ac:dyDescent="0.2">
      <c r="B1044" s="69">
        <v>42909</v>
      </c>
      <c r="C1044" s="9" t="s">
        <v>196</v>
      </c>
      <c r="D1044" s="9">
        <v>61</v>
      </c>
      <c r="E1044" s="9" t="s">
        <v>155</v>
      </c>
      <c r="F1044" s="17">
        <v>20556</v>
      </c>
      <c r="H1044" s="9" t="s">
        <v>109</v>
      </c>
      <c r="J1044" s="9" t="s">
        <v>7330</v>
      </c>
      <c r="K1044" s="9">
        <v>1993</v>
      </c>
      <c r="L1044" s="9">
        <v>4</v>
      </c>
      <c r="M1044" s="9" t="s">
        <v>8099</v>
      </c>
      <c r="N1044" s="9" t="s">
        <v>8100</v>
      </c>
      <c r="O1044" s="9" t="s">
        <v>8101</v>
      </c>
      <c r="P1044" s="9" t="s">
        <v>8102</v>
      </c>
      <c r="Q1044" s="9" t="s">
        <v>588</v>
      </c>
      <c r="S1044" s="9" t="s">
        <v>8103</v>
      </c>
      <c r="T1044" s="9" t="s">
        <v>483</v>
      </c>
      <c r="W1044" s="9" t="s">
        <v>2386</v>
      </c>
      <c r="AA1044" s="14" t="s">
        <v>440</v>
      </c>
      <c r="AB1044" s="14" t="s">
        <v>440</v>
      </c>
      <c r="AD1044" s="14" t="s">
        <v>440</v>
      </c>
      <c r="AE1044" s="9" t="s">
        <v>8104</v>
      </c>
      <c r="AF1044" s="9" t="s">
        <v>570</v>
      </c>
      <c r="AG1044" s="9" t="s">
        <v>8105</v>
      </c>
      <c r="AH1044" s="9" t="s">
        <v>99</v>
      </c>
      <c r="AI1044" s="9" t="s">
        <v>99</v>
      </c>
      <c r="AJ1044" s="9" t="s">
        <v>99</v>
      </c>
      <c r="AK1044" s="9" t="s">
        <v>8106</v>
      </c>
      <c r="AL1044" s="9">
        <v>67.8</v>
      </c>
      <c r="AM1044" s="9">
        <v>158</v>
      </c>
      <c r="AN1044" s="9">
        <v>95</v>
      </c>
      <c r="AO1044" s="9">
        <v>110</v>
      </c>
      <c r="AP1044" s="9">
        <v>29.7</v>
      </c>
      <c r="AR1044" s="9">
        <v>31.8</v>
      </c>
      <c r="AS1044" s="9">
        <v>58</v>
      </c>
      <c r="AT1044" s="9">
        <v>27.2</v>
      </c>
      <c r="AU1044" s="9">
        <v>126</v>
      </c>
      <c r="AV1044" s="9">
        <v>80</v>
      </c>
      <c r="DG1044" s="9" t="e">
        <f t="shared" si="16"/>
        <v>#NUM!</v>
      </c>
    </row>
    <row r="1045" spans="2:111" x14ac:dyDescent="0.2">
      <c r="B1045" s="69">
        <v>42928</v>
      </c>
      <c r="C1045" s="9" t="s">
        <v>675</v>
      </c>
      <c r="D1045" s="9">
        <v>47</v>
      </c>
      <c r="E1045" s="9" t="s">
        <v>96</v>
      </c>
      <c r="H1045" s="9" t="s">
        <v>3010</v>
      </c>
      <c r="M1045" s="9" t="s">
        <v>99</v>
      </c>
      <c r="O1045" s="9" t="s">
        <v>99</v>
      </c>
      <c r="P1045" s="9" t="s">
        <v>99</v>
      </c>
      <c r="Q1045" s="9" t="s">
        <v>110</v>
      </c>
      <c r="AA1045" s="35" t="s">
        <v>155</v>
      </c>
      <c r="AB1045" s="9" t="s">
        <v>100</v>
      </c>
      <c r="AC1045" s="9" t="s">
        <v>100</v>
      </c>
      <c r="AD1045" s="9" t="s">
        <v>100</v>
      </c>
      <c r="AE1045" s="9" t="s">
        <v>118</v>
      </c>
      <c r="AF1045" s="9" t="s">
        <v>118</v>
      </c>
      <c r="AG1045" s="9" t="s">
        <v>125</v>
      </c>
      <c r="AI1045" s="9" t="s">
        <v>99</v>
      </c>
      <c r="AJ1045" s="9" t="s">
        <v>99</v>
      </c>
      <c r="AL1045" s="9">
        <v>78.599999999999994</v>
      </c>
      <c r="AM1045" s="9">
        <v>173</v>
      </c>
      <c r="AN1045" s="9">
        <v>94</v>
      </c>
      <c r="AO1045" s="9">
        <v>102</v>
      </c>
      <c r="AP1045" s="9">
        <v>27.5</v>
      </c>
      <c r="AQ1045" s="9">
        <v>10</v>
      </c>
      <c r="AR1045" s="9">
        <v>33.299999999999997</v>
      </c>
      <c r="AS1045" s="9">
        <v>52</v>
      </c>
      <c r="AT1045" s="9">
        <v>26.3</v>
      </c>
      <c r="AU1045" s="9">
        <v>138</v>
      </c>
      <c r="AV1045" s="9">
        <v>114</v>
      </c>
      <c r="AW1045" s="9" t="s">
        <v>176</v>
      </c>
      <c r="AX1045" s="9" t="s">
        <v>1128</v>
      </c>
      <c r="AY1045" s="9" t="s">
        <v>2680</v>
      </c>
      <c r="AZ1045" s="9" t="s">
        <v>1656</v>
      </c>
      <c r="BA1045" s="9" t="s">
        <v>175</v>
      </c>
      <c r="BB1045" s="9" t="s">
        <v>8107</v>
      </c>
      <c r="BC1045" s="9" t="s">
        <v>750</v>
      </c>
      <c r="BF1045" s="9" t="s">
        <v>8108</v>
      </c>
      <c r="BI1045" s="9" t="s">
        <v>8109</v>
      </c>
      <c r="BM1045" s="9" t="s">
        <v>176</v>
      </c>
      <c r="BN1045" s="14" t="s">
        <v>125</v>
      </c>
      <c r="BO1045" s="9" t="s">
        <v>180</v>
      </c>
      <c r="BP1045" s="9" t="s">
        <v>178</v>
      </c>
      <c r="BY1045" s="9" t="s">
        <v>176</v>
      </c>
      <c r="BZ1045" s="9" t="s">
        <v>182</v>
      </c>
      <c r="CA1045" s="9" t="s">
        <v>183</v>
      </c>
      <c r="CL1045" s="9" t="s">
        <v>579</v>
      </c>
      <c r="CM1045" s="9" t="s">
        <v>581</v>
      </c>
      <c r="CT1045" s="9" t="s">
        <v>3791</v>
      </c>
      <c r="CW1045" s="9">
        <v>3</v>
      </c>
      <c r="CX1045" s="9" t="s">
        <v>110</v>
      </c>
      <c r="CY1045" s="9" t="s">
        <v>110</v>
      </c>
      <c r="CZ1045" s="9">
        <v>30</v>
      </c>
      <c r="DA1045" s="9">
        <v>30</v>
      </c>
      <c r="DB1045" s="9">
        <v>40</v>
      </c>
      <c r="DG1045" s="9" t="e">
        <f t="shared" si="16"/>
        <v>#NUM!</v>
      </c>
    </row>
    <row r="1046" spans="2:111" x14ac:dyDescent="0.2">
      <c r="B1046" s="69">
        <v>42928</v>
      </c>
      <c r="C1046" s="9" t="s">
        <v>196</v>
      </c>
      <c r="D1046" s="9">
        <v>23</v>
      </c>
      <c r="E1046" s="9" t="s">
        <v>96</v>
      </c>
      <c r="F1046" s="17">
        <v>34418</v>
      </c>
      <c r="G1046" s="9" t="s">
        <v>8110</v>
      </c>
      <c r="H1046" s="9" t="s">
        <v>8111</v>
      </c>
      <c r="M1046" s="9" t="s">
        <v>99</v>
      </c>
      <c r="N1046" s="9" t="s">
        <v>99</v>
      </c>
      <c r="O1046" s="9" t="s">
        <v>99</v>
      </c>
      <c r="P1046" s="9" t="s">
        <v>99</v>
      </c>
      <c r="Q1046" s="9" t="s">
        <v>110</v>
      </c>
      <c r="AA1046" s="9" t="s">
        <v>100</v>
      </c>
      <c r="AB1046" s="9" t="s">
        <v>100</v>
      </c>
      <c r="AC1046" s="9" t="s">
        <v>100</v>
      </c>
      <c r="AD1046" s="9" t="s">
        <v>100</v>
      </c>
      <c r="AE1046" s="9" t="s">
        <v>8112</v>
      </c>
      <c r="AF1046" s="9" t="s">
        <v>8113</v>
      </c>
      <c r="AG1046" s="9" t="s">
        <v>8114</v>
      </c>
      <c r="AL1046" s="9">
        <v>50.9</v>
      </c>
      <c r="AM1046" s="9">
        <v>162</v>
      </c>
      <c r="AN1046" s="9">
        <v>70</v>
      </c>
      <c r="AO1046" s="9">
        <v>99</v>
      </c>
      <c r="AP1046" s="9">
        <v>29.8</v>
      </c>
      <c r="AQ1046" s="9">
        <v>3</v>
      </c>
      <c r="AR1046" s="9">
        <v>24.5</v>
      </c>
      <c r="AS1046" s="9">
        <v>18</v>
      </c>
      <c r="AT1046" s="9">
        <v>19</v>
      </c>
      <c r="AU1046" s="9">
        <v>95</v>
      </c>
      <c r="AV1046" s="9">
        <v>75</v>
      </c>
      <c r="DG1046" s="9" t="e">
        <f t="shared" si="16"/>
        <v>#NUM!</v>
      </c>
    </row>
    <row r="1047" spans="2:111" x14ac:dyDescent="0.2">
      <c r="B1047" s="69">
        <v>42929</v>
      </c>
      <c r="C1047" s="9" t="s">
        <v>196</v>
      </c>
      <c r="DG1047" s="9" t="e">
        <f t="shared" si="16"/>
        <v>#NUM!</v>
      </c>
    </row>
    <row r="1048" spans="2:111" x14ac:dyDescent="0.2">
      <c r="B1048" s="69">
        <v>42929</v>
      </c>
      <c r="C1048" s="9" t="s">
        <v>196</v>
      </c>
      <c r="D1048" s="9">
        <v>25</v>
      </c>
      <c r="E1048" s="9" t="s">
        <v>96</v>
      </c>
      <c r="F1048" s="17">
        <v>33797</v>
      </c>
      <c r="K1048" s="9">
        <v>2015</v>
      </c>
      <c r="L1048" s="9">
        <v>1</v>
      </c>
      <c r="M1048" s="9" t="s">
        <v>99</v>
      </c>
      <c r="N1048" s="9" t="s">
        <v>99</v>
      </c>
      <c r="O1048" s="9" t="s">
        <v>99</v>
      </c>
      <c r="P1048" s="9" t="s">
        <v>99</v>
      </c>
      <c r="Q1048" s="9" t="s">
        <v>99</v>
      </c>
      <c r="AA1048" s="9" t="s">
        <v>8115</v>
      </c>
      <c r="AB1048" s="9" t="s">
        <v>100</v>
      </c>
      <c r="AC1048" s="9" t="s">
        <v>100</v>
      </c>
      <c r="AD1048" s="9" t="s">
        <v>100</v>
      </c>
      <c r="AE1048" s="9" t="s">
        <v>110</v>
      </c>
      <c r="AL1048" s="9">
        <v>53.2</v>
      </c>
      <c r="AM1048" s="9">
        <v>162</v>
      </c>
      <c r="AN1048" s="9">
        <v>77</v>
      </c>
      <c r="AO1048" s="9">
        <v>91</v>
      </c>
      <c r="AP1048" s="9">
        <v>27.8</v>
      </c>
      <c r="AQ1048" s="9">
        <v>3</v>
      </c>
      <c r="AR1048" s="9">
        <v>29.5</v>
      </c>
      <c r="AS1048" s="9">
        <v>21</v>
      </c>
      <c r="AT1048" s="9">
        <v>20.3</v>
      </c>
      <c r="AU1048" s="9">
        <v>107</v>
      </c>
      <c r="AV1048" s="9">
        <v>80</v>
      </c>
      <c r="DG1048" s="9" t="e">
        <f t="shared" si="16"/>
        <v>#NUM!</v>
      </c>
    </row>
    <row r="1049" spans="2:111" x14ac:dyDescent="0.2">
      <c r="B1049" s="69">
        <v>42929</v>
      </c>
      <c r="C1049" s="9" t="s">
        <v>675</v>
      </c>
      <c r="D1049" s="9">
        <v>17</v>
      </c>
      <c r="E1049" s="9" t="s">
        <v>96</v>
      </c>
      <c r="G1049" s="9" t="s">
        <v>2313</v>
      </c>
      <c r="H1049" s="9" t="s">
        <v>7014</v>
      </c>
      <c r="M1049" s="9" t="s">
        <v>483</v>
      </c>
      <c r="N1049" s="9" t="s">
        <v>483</v>
      </c>
      <c r="O1049" s="9" t="s">
        <v>8116</v>
      </c>
      <c r="P1049" s="9" t="s">
        <v>588</v>
      </c>
      <c r="Q1049" s="9" t="s">
        <v>588</v>
      </c>
      <c r="R1049" s="9" t="s">
        <v>588</v>
      </c>
      <c r="S1049" s="9" t="s">
        <v>588</v>
      </c>
      <c r="T1049" s="9" t="s">
        <v>588</v>
      </c>
      <c r="U1049" s="9" t="s">
        <v>483</v>
      </c>
      <c r="V1049" s="9" t="s">
        <v>483</v>
      </c>
      <c r="AA1049" s="9" t="s">
        <v>949</v>
      </c>
      <c r="AB1049" s="9" t="s">
        <v>8117</v>
      </c>
      <c r="AC1049" s="9" t="s">
        <v>8021</v>
      </c>
      <c r="AD1049" s="9" t="s">
        <v>8117</v>
      </c>
      <c r="AE1049" s="9" t="s">
        <v>118</v>
      </c>
      <c r="AF1049" s="9" t="s">
        <v>118</v>
      </c>
      <c r="AG1049" s="9" t="s">
        <v>571</v>
      </c>
      <c r="AH1049" s="9" t="s">
        <v>99</v>
      </c>
      <c r="AI1049" s="9" t="s">
        <v>99</v>
      </c>
      <c r="AJ1049" s="9" t="s">
        <v>534</v>
      </c>
      <c r="AL1049" s="9">
        <v>108.1</v>
      </c>
      <c r="AM1049" s="9">
        <v>175</v>
      </c>
      <c r="AN1049" s="9">
        <v>102</v>
      </c>
      <c r="AO1049" s="9">
        <v>112</v>
      </c>
      <c r="AP1049" s="9">
        <v>34.799999999999997</v>
      </c>
      <c r="AT1049" s="9">
        <v>35.4</v>
      </c>
      <c r="AU1049" s="9">
        <v>127</v>
      </c>
      <c r="AV1049" s="9">
        <v>81</v>
      </c>
      <c r="AX1049" s="9" t="s">
        <v>8118</v>
      </c>
      <c r="AY1049" s="9" t="s">
        <v>666</v>
      </c>
      <c r="AZ1049" s="9" t="s">
        <v>679</v>
      </c>
      <c r="BB1049" s="9" t="s">
        <v>346</v>
      </c>
      <c r="BC1049" s="9" t="s">
        <v>3301</v>
      </c>
      <c r="BD1049" s="9" t="s">
        <v>3276</v>
      </c>
      <c r="BF1049" s="9" t="s">
        <v>8119</v>
      </c>
      <c r="BG1049" s="9" t="s">
        <v>350</v>
      </c>
      <c r="BH1049" s="9" t="s">
        <v>350</v>
      </c>
      <c r="BI1049" s="9" t="s">
        <v>350</v>
      </c>
      <c r="BJ1049" s="9" t="s">
        <v>348</v>
      </c>
      <c r="BK1049" s="9" t="s">
        <v>655</v>
      </c>
      <c r="BM1049" s="9" t="s">
        <v>350</v>
      </c>
      <c r="BN1049" s="9" t="s">
        <v>179</v>
      </c>
      <c r="BO1049" s="9" t="s">
        <v>180</v>
      </c>
      <c r="BP1049" s="9" t="s">
        <v>8120</v>
      </c>
      <c r="BR1049" s="9" t="s">
        <v>99</v>
      </c>
      <c r="BU1049" s="9" t="s">
        <v>350</v>
      </c>
      <c r="BV1049" s="9" t="s">
        <v>734</v>
      </c>
      <c r="BW1049" s="9" t="s">
        <v>8121</v>
      </c>
      <c r="BX1049" s="14" t="s">
        <v>857</v>
      </c>
      <c r="BY1049" s="9" t="s">
        <v>176</v>
      </c>
      <c r="BZ1049" s="9" t="s">
        <v>182</v>
      </c>
      <c r="CA1049" s="9" t="s">
        <v>8122</v>
      </c>
      <c r="CB1049" s="9" t="s">
        <v>1137</v>
      </c>
      <c r="CD1049" s="9" t="s">
        <v>99</v>
      </c>
      <c r="CG1049" s="9" t="s">
        <v>350</v>
      </c>
      <c r="CH1049" s="9" t="s">
        <v>2575</v>
      </c>
      <c r="CI1049" s="9" t="s">
        <v>1137</v>
      </c>
      <c r="CJ1049" s="9" t="s">
        <v>8123</v>
      </c>
      <c r="CK1049" s="9" t="s">
        <v>176</v>
      </c>
      <c r="CL1049" s="9" t="s">
        <v>1180</v>
      </c>
      <c r="CM1049" s="9" t="s">
        <v>5111</v>
      </c>
      <c r="CP1049" s="9" t="s">
        <v>362</v>
      </c>
      <c r="CQ1049" s="9" t="s">
        <v>361</v>
      </c>
      <c r="CR1049" s="9" t="s">
        <v>716</v>
      </c>
      <c r="CS1049" s="9" t="s">
        <v>350</v>
      </c>
      <c r="CT1049" s="9" t="s">
        <v>1729</v>
      </c>
      <c r="CU1049" s="9" t="s">
        <v>187</v>
      </c>
      <c r="CV1049" s="9" t="s">
        <v>1732</v>
      </c>
      <c r="CW1049" s="9">
        <v>3</v>
      </c>
      <c r="CX1049" s="9" t="s">
        <v>99</v>
      </c>
      <c r="CY1049" s="9" t="s">
        <v>8124</v>
      </c>
      <c r="CZ1049" s="9">
        <v>40</v>
      </c>
      <c r="DA1049" s="9">
        <v>50</v>
      </c>
      <c r="DB1049" s="9">
        <v>10</v>
      </c>
      <c r="DG1049" s="9" t="e">
        <f t="shared" si="16"/>
        <v>#NUM!</v>
      </c>
    </row>
    <row r="1050" spans="2:111" x14ac:dyDescent="0.2">
      <c r="B1050" s="69">
        <v>42929</v>
      </c>
      <c r="C1050" s="9" t="s">
        <v>675</v>
      </c>
      <c r="D1050" s="9">
        <v>18</v>
      </c>
      <c r="E1050" s="9" t="s">
        <v>96</v>
      </c>
      <c r="G1050" s="9" t="s">
        <v>2313</v>
      </c>
      <c r="H1050" s="9" t="s">
        <v>3794</v>
      </c>
      <c r="M1050" s="9" t="s">
        <v>99</v>
      </c>
      <c r="N1050" s="9" t="s">
        <v>99</v>
      </c>
      <c r="O1050" s="9" t="s">
        <v>99</v>
      </c>
      <c r="P1050" s="9" t="s">
        <v>110</v>
      </c>
      <c r="Q1050" s="9" t="s">
        <v>110</v>
      </c>
      <c r="R1050" s="9" t="s">
        <v>110</v>
      </c>
      <c r="S1050" s="9" t="s">
        <v>110</v>
      </c>
      <c r="T1050" s="9" t="s">
        <v>110</v>
      </c>
      <c r="U1050" s="9" t="s">
        <v>99</v>
      </c>
      <c r="V1050" s="9" t="s">
        <v>99</v>
      </c>
      <c r="W1050" s="9" t="s">
        <v>8125</v>
      </c>
      <c r="X1050" s="9" t="s">
        <v>99</v>
      </c>
      <c r="Y1050" s="9" t="s">
        <v>1903</v>
      </c>
      <c r="AA1050" s="9" t="s">
        <v>949</v>
      </c>
      <c r="AB1050" s="9" t="s">
        <v>100</v>
      </c>
      <c r="AC1050" s="9" t="s">
        <v>100</v>
      </c>
      <c r="AD1050" s="52" t="s">
        <v>2311</v>
      </c>
      <c r="AE1050" s="9" t="s">
        <v>8126</v>
      </c>
      <c r="AF1050" s="9" t="s">
        <v>99</v>
      </c>
      <c r="AG1050" s="9" t="s">
        <v>99</v>
      </c>
      <c r="AH1050" s="9" t="s">
        <v>8127</v>
      </c>
      <c r="AI1050" s="9" t="s">
        <v>534</v>
      </c>
      <c r="AJ1050" s="9" t="s">
        <v>99</v>
      </c>
      <c r="AK1050" s="9" t="s">
        <v>8128</v>
      </c>
      <c r="AL1050" s="9">
        <v>76.400000000000006</v>
      </c>
      <c r="AM1050" s="9">
        <v>179</v>
      </c>
      <c r="AN1050" s="9">
        <v>79</v>
      </c>
      <c r="AO1050" s="9">
        <v>100</v>
      </c>
      <c r="AP1050" s="9">
        <v>20.9</v>
      </c>
      <c r="AQ1050" s="9">
        <v>6</v>
      </c>
      <c r="AR1050" s="9">
        <v>39.799999999999997</v>
      </c>
      <c r="AS1050" s="9">
        <v>34</v>
      </c>
      <c r="AT1050" s="9">
        <v>23.8</v>
      </c>
      <c r="AU1050" s="9">
        <v>109</v>
      </c>
      <c r="AV1050" s="9">
        <v>87</v>
      </c>
      <c r="AX1050" s="9" t="s">
        <v>1977</v>
      </c>
      <c r="AY1050" s="9" t="s">
        <v>666</v>
      </c>
      <c r="AZ1050" s="9" t="s">
        <v>679</v>
      </c>
      <c r="BB1050" s="9" t="s">
        <v>8129</v>
      </c>
      <c r="BC1050" s="9" t="s">
        <v>8130</v>
      </c>
      <c r="BD1050" s="9" t="s">
        <v>2052</v>
      </c>
      <c r="BF1050" s="9" t="s">
        <v>8131</v>
      </c>
      <c r="BG1050" s="9" t="s">
        <v>1173</v>
      </c>
      <c r="BH1050" s="9" t="s">
        <v>350</v>
      </c>
      <c r="BI1050" s="9" t="s">
        <v>350</v>
      </c>
      <c r="BJ1050" s="9" t="s">
        <v>176</v>
      </c>
      <c r="BK1050" s="9" t="s">
        <v>8132</v>
      </c>
      <c r="BN1050" s="9" t="s">
        <v>5318</v>
      </c>
      <c r="BO1050" s="9" t="s">
        <v>3452</v>
      </c>
      <c r="BP1050" s="9" t="s">
        <v>1980</v>
      </c>
      <c r="BR1050" s="9" t="s">
        <v>99</v>
      </c>
      <c r="BU1050" s="9" t="s">
        <v>350</v>
      </c>
      <c r="BV1050" s="9" t="s">
        <v>734</v>
      </c>
      <c r="BW1050" s="9" t="s">
        <v>8121</v>
      </c>
      <c r="BX1050" s="14" t="s">
        <v>857</v>
      </c>
      <c r="BY1050" s="9" t="s">
        <v>176</v>
      </c>
      <c r="BZ1050" s="9" t="s">
        <v>182</v>
      </c>
      <c r="CA1050" s="9" t="s">
        <v>1137</v>
      </c>
      <c r="CB1050" s="9" t="s">
        <v>709</v>
      </c>
      <c r="CD1050" s="9" t="s">
        <v>99</v>
      </c>
      <c r="CH1050" s="9" t="s">
        <v>99</v>
      </c>
      <c r="CL1050" s="9" t="s">
        <v>8133</v>
      </c>
      <c r="CM1050" s="9" t="s">
        <v>8134</v>
      </c>
      <c r="CP1050" s="9" t="s">
        <v>2641</v>
      </c>
      <c r="CQ1050" s="9" t="s">
        <v>715</v>
      </c>
      <c r="CR1050" s="9" t="s">
        <v>716</v>
      </c>
      <c r="CT1050" s="9" t="s">
        <v>6118</v>
      </c>
      <c r="CU1050" s="9" t="s">
        <v>8135</v>
      </c>
      <c r="CV1050" s="9" t="s">
        <v>8136</v>
      </c>
      <c r="CW1050" s="9">
        <v>2</v>
      </c>
      <c r="CX1050" s="9" t="s">
        <v>99</v>
      </c>
      <c r="CY1050" s="9" t="s">
        <v>8124</v>
      </c>
      <c r="CZ1050" s="9">
        <v>33.299999999999997</v>
      </c>
      <c r="DA1050" s="9">
        <v>33.299999999999997</v>
      </c>
      <c r="DB1050" s="9">
        <v>33.299999999999997</v>
      </c>
      <c r="DG1050" s="9" t="e">
        <f t="shared" si="16"/>
        <v>#NUM!</v>
      </c>
    </row>
    <row r="1051" spans="2:111" x14ac:dyDescent="0.2">
      <c r="B1051" s="69">
        <v>42929</v>
      </c>
      <c r="C1051" s="9" t="s">
        <v>675</v>
      </c>
      <c r="D1051" s="9">
        <v>17</v>
      </c>
      <c r="E1051" s="9" t="s">
        <v>96</v>
      </c>
      <c r="F1051" s="17">
        <v>36554</v>
      </c>
      <c r="G1051" s="9" t="s">
        <v>2313</v>
      </c>
      <c r="M1051" s="9" t="s">
        <v>99</v>
      </c>
      <c r="N1051" s="9" t="s">
        <v>99</v>
      </c>
      <c r="O1051" s="9" t="s">
        <v>99</v>
      </c>
      <c r="P1051" s="9" t="s">
        <v>110</v>
      </c>
      <c r="Q1051" s="9" t="s">
        <v>110</v>
      </c>
      <c r="R1051" s="9" t="s">
        <v>110</v>
      </c>
      <c r="S1051" s="9" t="s">
        <v>110</v>
      </c>
      <c r="T1051" s="9" t="s">
        <v>99</v>
      </c>
      <c r="U1051" s="9" t="s">
        <v>99</v>
      </c>
      <c r="V1051" s="9" t="s">
        <v>99</v>
      </c>
      <c r="AA1051" s="9" t="s">
        <v>949</v>
      </c>
      <c r="AB1051" s="9" t="s">
        <v>100</v>
      </c>
      <c r="AC1051" s="9" t="s">
        <v>8137</v>
      </c>
      <c r="AD1051" s="9" t="s">
        <v>100</v>
      </c>
      <c r="AE1051" s="9" t="s">
        <v>1079</v>
      </c>
      <c r="AF1051" s="9" t="s">
        <v>99</v>
      </c>
      <c r="AG1051" s="9" t="s">
        <v>99</v>
      </c>
      <c r="AH1051" s="9" t="s">
        <v>99</v>
      </c>
      <c r="AI1051" s="9" t="s">
        <v>2252</v>
      </c>
      <c r="AJ1051" s="9" t="s">
        <v>99</v>
      </c>
      <c r="AK1051" s="9" t="s">
        <v>8138</v>
      </c>
      <c r="AL1051" s="9">
        <v>72.900000000000006</v>
      </c>
      <c r="AM1051" s="9">
        <v>173</v>
      </c>
      <c r="AN1051" s="9">
        <v>75</v>
      </c>
      <c r="AO1051" s="9">
        <v>96</v>
      </c>
      <c r="AP1051" s="9">
        <v>16</v>
      </c>
      <c r="AT1051" s="9">
        <v>24.4</v>
      </c>
      <c r="AU1051" s="9">
        <v>113</v>
      </c>
      <c r="AV1051" s="9">
        <v>63</v>
      </c>
      <c r="AX1051" s="9" t="s">
        <v>665</v>
      </c>
      <c r="AY1051" s="9" t="s">
        <v>2050</v>
      </c>
      <c r="AZ1051" s="9" t="s">
        <v>3248</v>
      </c>
      <c r="BB1051" s="9" t="s">
        <v>3213</v>
      </c>
      <c r="BC1051" s="9" t="s">
        <v>8139</v>
      </c>
      <c r="BD1051" s="9" t="s">
        <v>2635</v>
      </c>
      <c r="BF1051" s="9" t="s">
        <v>3542</v>
      </c>
      <c r="BG1051" s="9" t="s">
        <v>350</v>
      </c>
      <c r="BH1051" s="9" t="s">
        <v>350</v>
      </c>
      <c r="BI1051" s="9" t="s">
        <v>2828</v>
      </c>
      <c r="BJ1051" s="9" t="s">
        <v>176</v>
      </c>
      <c r="BK1051" s="9" t="s">
        <v>176</v>
      </c>
      <c r="BN1051" s="9" t="s">
        <v>3452</v>
      </c>
      <c r="BO1051" s="9" t="s">
        <v>8140</v>
      </c>
      <c r="BP1051" s="9" t="s">
        <v>3455</v>
      </c>
      <c r="BR1051" s="9" t="s">
        <v>99</v>
      </c>
      <c r="BU1051" s="9" t="s">
        <v>1979</v>
      </c>
      <c r="BV1051" s="9" t="s">
        <v>734</v>
      </c>
      <c r="BW1051" s="9" t="s">
        <v>8121</v>
      </c>
      <c r="BX1051" s="9" t="s">
        <v>857</v>
      </c>
      <c r="BZ1051" s="9" t="s">
        <v>2887</v>
      </c>
      <c r="CA1051" s="9" t="s">
        <v>8141</v>
      </c>
      <c r="CB1051" s="9" t="s">
        <v>8142</v>
      </c>
      <c r="CD1051" s="9" t="s">
        <v>99</v>
      </c>
      <c r="CH1051" s="9" t="s">
        <v>99</v>
      </c>
      <c r="CL1051" s="9" t="s">
        <v>823</v>
      </c>
      <c r="CM1051" s="9" t="s">
        <v>5971</v>
      </c>
      <c r="CP1051" s="9" t="s">
        <v>8143</v>
      </c>
      <c r="CQ1051" s="9" t="s">
        <v>6117</v>
      </c>
      <c r="CR1051" s="9" t="s">
        <v>8144</v>
      </c>
      <c r="CT1051" s="9" t="s">
        <v>8135</v>
      </c>
      <c r="CU1051" s="9" t="s">
        <v>8145</v>
      </c>
      <c r="CW1051" s="9">
        <v>3</v>
      </c>
      <c r="CX1051" s="9" t="s">
        <v>99</v>
      </c>
      <c r="CY1051" s="9" t="s">
        <v>8124</v>
      </c>
      <c r="CZ1051" s="9">
        <v>50</v>
      </c>
      <c r="DA1051" s="9">
        <v>30</v>
      </c>
      <c r="DB1051" s="9">
        <v>20</v>
      </c>
      <c r="DG1051" s="9" t="e">
        <f t="shared" si="16"/>
        <v>#NUM!</v>
      </c>
    </row>
    <row r="1052" spans="2:111" x14ac:dyDescent="0.2">
      <c r="B1052" s="69">
        <v>42929</v>
      </c>
      <c r="C1052" s="9" t="s">
        <v>196</v>
      </c>
      <c r="D1052" s="9">
        <v>19</v>
      </c>
      <c r="E1052" s="9" t="s">
        <v>96</v>
      </c>
      <c r="F1052" s="17">
        <v>35852</v>
      </c>
      <c r="G1052" s="9" t="s">
        <v>813</v>
      </c>
      <c r="H1052" s="9" t="s">
        <v>8146</v>
      </c>
      <c r="I1052" s="9">
        <v>12</v>
      </c>
      <c r="J1052" s="9" t="s">
        <v>99</v>
      </c>
      <c r="L1052" s="9">
        <v>0</v>
      </c>
      <c r="M1052" s="9" t="s">
        <v>99</v>
      </c>
      <c r="N1052" s="9" t="s">
        <v>99</v>
      </c>
      <c r="O1052" s="9" t="s">
        <v>99</v>
      </c>
      <c r="P1052" s="9" t="s">
        <v>110</v>
      </c>
      <c r="Q1052" s="9" t="s">
        <v>110</v>
      </c>
      <c r="R1052" s="9" t="s">
        <v>99</v>
      </c>
      <c r="S1052" s="9" t="s">
        <v>110</v>
      </c>
      <c r="T1052" s="9" t="s">
        <v>110</v>
      </c>
      <c r="U1052" s="9" t="s">
        <v>99</v>
      </c>
      <c r="V1052" s="9" t="s">
        <v>99</v>
      </c>
      <c r="Y1052" s="9" t="s">
        <v>8147</v>
      </c>
      <c r="Z1052" s="9" t="s">
        <v>1903</v>
      </c>
      <c r="AA1052" s="9" t="s">
        <v>100</v>
      </c>
      <c r="AB1052" s="9" t="s">
        <v>2234</v>
      </c>
      <c r="AC1052" s="9" t="s">
        <v>100</v>
      </c>
      <c r="AD1052" s="9" t="s">
        <v>100</v>
      </c>
      <c r="AE1052" s="9" t="s">
        <v>99</v>
      </c>
      <c r="AF1052" s="9" t="s">
        <v>4130</v>
      </c>
      <c r="AG1052" s="9" t="s">
        <v>99</v>
      </c>
      <c r="AH1052" s="9" t="s">
        <v>8148</v>
      </c>
      <c r="AI1052" s="9" t="s">
        <v>99</v>
      </c>
      <c r="AJ1052" s="9" t="s">
        <v>99</v>
      </c>
      <c r="AK1052" s="9" t="s">
        <v>99</v>
      </c>
      <c r="AL1052" s="9">
        <v>46.5</v>
      </c>
      <c r="AM1052" s="9">
        <v>162</v>
      </c>
      <c r="AN1052" s="9">
        <v>61</v>
      </c>
      <c r="AO1052" s="9">
        <v>87</v>
      </c>
      <c r="AP1052" s="9">
        <v>22.4</v>
      </c>
      <c r="AQ1052" s="9">
        <v>2</v>
      </c>
      <c r="AR1052" s="9">
        <v>29.2</v>
      </c>
      <c r="AS1052" s="9">
        <v>18</v>
      </c>
      <c r="AT1052" s="9">
        <v>17.7</v>
      </c>
      <c r="AU1052" s="9">
        <v>90</v>
      </c>
      <c r="AV1052" s="9">
        <v>67</v>
      </c>
      <c r="AX1052" s="9" t="s">
        <v>665</v>
      </c>
      <c r="AY1052" s="9" t="s">
        <v>666</v>
      </c>
      <c r="AZ1052" s="9" t="s">
        <v>679</v>
      </c>
      <c r="BB1052" s="9" t="s">
        <v>346</v>
      </c>
      <c r="BC1052" s="9" t="s">
        <v>1170</v>
      </c>
      <c r="BD1052" s="9" t="s">
        <v>8149</v>
      </c>
      <c r="BF1052" s="9" t="s">
        <v>3448</v>
      </c>
      <c r="BG1052" s="9" t="s">
        <v>8150</v>
      </c>
      <c r="BH1052" s="9" t="s">
        <v>350</v>
      </c>
      <c r="BI1052" s="9" t="s">
        <v>99</v>
      </c>
      <c r="BJ1052" s="9" t="s">
        <v>350</v>
      </c>
      <c r="BK1052" s="9" t="s">
        <v>1979</v>
      </c>
      <c r="BN1052" s="9" t="s">
        <v>8151</v>
      </c>
      <c r="BO1052" s="9" t="s">
        <v>179</v>
      </c>
      <c r="BP1052" s="14" t="s">
        <v>857</v>
      </c>
      <c r="BR1052" s="9" t="s">
        <v>99</v>
      </c>
      <c r="BV1052" s="9" t="s">
        <v>3453</v>
      </c>
      <c r="BW1052" s="14" t="s">
        <v>3455</v>
      </c>
      <c r="BX1052" s="9" t="s">
        <v>3454</v>
      </c>
      <c r="BZ1052" s="9" t="s">
        <v>1136</v>
      </c>
      <c r="CA1052" s="14" t="s">
        <v>8152</v>
      </c>
      <c r="CB1052" s="9" t="s">
        <v>1742</v>
      </c>
      <c r="CD1052" s="9" t="s">
        <v>99</v>
      </c>
      <c r="CH1052" s="9" t="s">
        <v>8153</v>
      </c>
      <c r="CL1052" s="9" t="s">
        <v>8154</v>
      </c>
      <c r="CM1052" s="9" t="s">
        <v>360</v>
      </c>
      <c r="CN1052" s="9" t="s">
        <v>3460</v>
      </c>
      <c r="CP1052" s="9" t="s">
        <v>2641</v>
      </c>
      <c r="CQ1052" s="9" t="s">
        <v>890</v>
      </c>
      <c r="CR1052" s="9" t="s">
        <v>2892</v>
      </c>
      <c r="CT1052" s="9" t="s">
        <v>8155</v>
      </c>
      <c r="CU1052" s="9" t="s">
        <v>5322</v>
      </c>
      <c r="CW1052" s="9">
        <v>3</v>
      </c>
      <c r="CX1052" s="9" t="s">
        <v>99</v>
      </c>
      <c r="CY1052" s="9" t="s">
        <v>7467</v>
      </c>
      <c r="CZ1052" s="9">
        <v>25</v>
      </c>
      <c r="DA1052" s="9">
        <v>45</v>
      </c>
      <c r="DB1052" s="9">
        <v>30</v>
      </c>
      <c r="DG1052" s="9" t="e">
        <f t="shared" si="16"/>
        <v>#NUM!</v>
      </c>
    </row>
    <row r="1053" spans="2:111" x14ac:dyDescent="0.2">
      <c r="B1053" s="69">
        <v>42929</v>
      </c>
      <c r="C1053" s="9" t="s">
        <v>675</v>
      </c>
      <c r="D1053" s="9">
        <v>13</v>
      </c>
      <c r="E1053" s="9" t="s">
        <v>96</v>
      </c>
      <c r="G1053" s="9" t="s">
        <v>2313</v>
      </c>
      <c r="H1053" s="9" t="s">
        <v>3794</v>
      </c>
      <c r="M1053" s="9" t="s">
        <v>99</v>
      </c>
      <c r="N1053" s="9" t="s">
        <v>99</v>
      </c>
      <c r="O1053" s="9" t="s">
        <v>99</v>
      </c>
      <c r="P1053" s="9" t="s">
        <v>99</v>
      </c>
      <c r="Q1053" s="9" t="s">
        <v>110</v>
      </c>
      <c r="R1053" s="9" t="s">
        <v>110</v>
      </c>
      <c r="S1053" s="9" t="s">
        <v>110</v>
      </c>
      <c r="T1053" s="9" t="s">
        <v>110</v>
      </c>
      <c r="W1053" s="9" t="s">
        <v>8156</v>
      </c>
      <c r="Y1053" s="9" t="s">
        <v>8157</v>
      </c>
      <c r="AA1053" s="9" t="s">
        <v>100</v>
      </c>
      <c r="AB1053" s="9" t="s">
        <v>100</v>
      </c>
      <c r="AC1053" s="9" t="s">
        <v>100</v>
      </c>
      <c r="AD1053" s="9" t="s">
        <v>2311</v>
      </c>
      <c r="AE1053" s="9" t="s">
        <v>8158</v>
      </c>
      <c r="AF1053" s="9" t="s">
        <v>99</v>
      </c>
      <c r="AG1053" s="9" t="s">
        <v>99</v>
      </c>
      <c r="AH1053" s="9" t="s">
        <v>534</v>
      </c>
      <c r="AI1053" s="9" t="s">
        <v>534</v>
      </c>
      <c r="AJ1053" s="9" t="s">
        <v>99</v>
      </c>
      <c r="AK1053" s="9" t="s">
        <v>8128</v>
      </c>
      <c r="AL1053" s="9">
        <v>57</v>
      </c>
      <c r="AM1053" s="9">
        <v>168</v>
      </c>
      <c r="AN1053" s="9">
        <v>71</v>
      </c>
      <c r="AO1053" s="9">
        <v>89</v>
      </c>
      <c r="AP1053" s="9">
        <v>9.9</v>
      </c>
      <c r="AQ1053" s="9">
        <v>2</v>
      </c>
      <c r="AR1053" s="9">
        <v>47.4</v>
      </c>
      <c r="AS1053" s="9">
        <v>18</v>
      </c>
      <c r="AT1053" s="9">
        <v>20.2</v>
      </c>
      <c r="AU1053" s="9">
        <v>110</v>
      </c>
      <c r="AV1053" s="9">
        <v>80</v>
      </c>
      <c r="AX1053" s="9" t="s">
        <v>1977</v>
      </c>
      <c r="AY1053" s="9" t="s">
        <v>666</v>
      </c>
      <c r="AZ1053" s="9" t="s">
        <v>679</v>
      </c>
      <c r="BB1053" s="9" t="s">
        <v>346</v>
      </c>
      <c r="BC1053" s="9" t="s">
        <v>8130</v>
      </c>
      <c r="BD1053" s="9" t="s">
        <v>2052</v>
      </c>
      <c r="BF1053" s="9" t="s">
        <v>8131</v>
      </c>
      <c r="BG1053" s="9" t="s">
        <v>8159</v>
      </c>
      <c r="BH1053" s="9" t="s">
        <v>350</v>
      </c>
      <c r="BI1053" s="9" t="s">
        <v>350</v>
      </c>
      <c r="BJ1053" s="9" t="s">
        <v>176</v>
      </c>
      <c r="BK1053" s="9" t="s">
        <v>8160</v>
      </c>
      <c r="BN1053" s="9" t="s">
        <v>5318</v>
      </c>
      <c r="BO1053" s="9" t="s">
        <v>3452</v>
      </c>
      <c r="BP1053" s="9" t="s">
        <v>1980</v>
      </c>
      <c r="BR1053" s="9" t="s">
        <v>99</v>
      </c>
      <c r="BU1053" s="9" t="s">
        <v>350</v>
      </c>
      <c r="BV1053" s="9" t="s">
        <v>734</v>
      </c>
      <c r="BW1053" s="9" t="s">
        <v>8121</v>
      </c>
      <c r="BX1053" s="14" t="s">
        <v>857</v>
      </c>
      <c r="BY1053" s="9" t="s">
        <v>176</v>
      </c>
      <c r="BZ1053" s="9" t="s">
        <v>182</v>
      </c>
      <c r="CA1053" s="9" t="s">
        <v>1137</v>
      </c>
      <c r="CB1053" s="9" t="s">
        <v>709</v>
      </c>
      <c r="CD1053" s="9" t="s">
        <v>99</v>
      </c>
      <c r="CH1053" s="9" t="s">
        <v>99</v>
      </c>
      <c r="CL1053" s="9" t="s">
        <v>1181</v>
      </c>
      <c r="CM1053" s="9" t="s">
        <v>2742</v>
      </c>
      <c r="CN1053" s="9" t="s">
        <v>8161</v>
      </c>
      <c r="CP1053" s="9" t="s">
        <v>2641</v>
      </c>
      <c r="CQ1053" s="9" t="s">
        <v>890</v>
      </c>
      <c r="CR1053" s="9" t="s">
        <v>2892</v>
      </c>
      <c r="CT1053" s="9" t="s">
        <v>6118</v>
      </c>
      <c r="CU1053" s="9" t="s">
        <v>8135</v>
      </c>
      <c r="CV1053" s="9" t="s">
        <v>8136</v>
      </c>
      <c r="CW1053" s="9">
        <v>2</v>
      </c>
      <c r="CX1053" s="9" t="s">
        <v>99</v>
      </c>
      <c r="CY1053" s="9" t="s">
        <v>8124</v>
      </c>
      <c r="CZ1053" s="9">
        <v>33.299999999999997</v>
      </c>
      <c r="DA1053" s="9">
        <v>33.299999999999997</v>
      </c>
      <c r="DB1053" s="9">
        <v>33.299999999999997</v>
      </c>
      <c r="DG1053" s="9" t="e">
        <f t="shared" si="16"/>
        <v>#NUM!</v>
      </c>
    </row>
    <row r="1054" spans="2:111" x14ac:dyDescent="0.2">
      <c r="B1054" s="69">
        <v>42929</v>
      </c>
      <c r="C1054" s="9" t="s">
        <v>196</v>
      </c>
      <c r="D1054" s="9">
        <v>16</v>
      </c>
      <c r="E1054" s="9" t="s">
        <v>96</v>
      </c>
      <c r="F1054" s="17">
        <v>36755</v>
      </c>
      <c r="G1054" s="9" t="s">
        <v>2313</v>
      </c>
      <c r="H1054" s="9" t="s">
        <v>7014</v>
      </c>
      <c r="I1054" s="9">
        <v>12</v>
      </c>
      <c r="J1054" s="9" t="s">
        <v>99</v>
      </c>
      <c r="L1054" s="9">
        <v>0</v>
      </c>
      <c r="M1054" s="9" t="s">
        <v>99</v>
      </c>
      <c r="N1054" s="9" t="s">
        <v>99</v>
      </c>
      <c r="O1054" s="9" t="s">
        <v>99</v>
      </c>
      <c r="P1054" s="9" t="s">
        <v>110</v>
      </c>
      <c r="Q1054" s="9" t="s">
        <v>99</v>
      </c>
      <c r="R1054" s="9" t="s">
        <v>110</v>
      </c>
      <c r="S1054" s="9" t="s">
        <v>110</v>
      </c>
      <c r="T1054" s="9" t="s">
        <v>110</v>
      </c>
      <c r="U1054" s="9" t="s">
        <v>8162</v>
      </c>
      <c r="V1054" s="9" t="s">
        <v>99</v>
      </c>
      <c r="W1054" s="9" t="s">
        <v>7924</v>
      </c>
      <c r="Y1054" s="9" t="s">
        <v>1903</v>
      </c>
      <c r="AA1054" s="9" t="s">
        <v>100</v>
      </c>
      <c r="AC1054" s="9" t="s">
        <v>100</v>
      </c>
      <c r="AD1054" s="9" t="s">
        <v>100</v>
      </c>
      <c r="AE1054" s="9" t="s">
        <v>99</v>
      </c>
      <c r="AF1054" s="9" t="s">
        <v>99</v>
      </c>
      <c r="AG1054" s="9" t="s">
        <v>99</v>
      </c>
      <c r="AH1054" s="9" t="s">
        <v>118</v>
      </c>
      <c r="AI1054" s="9" t="s">
        <v>99</v>
      </c>
      <c r="AJ1054" s="9" t="s">
        <v>99</v>
      </c>
      <c r="AK1054" s="9" t="s">
        <v>8163</v>
      </c>
      <c r="AL1054" s="9">
        <v>58.1</v>
      </c>
      <c r="AM1054" s="9">
        <v>160</v>
      </c>
      <c r="AN1054" s="9">
        <v>71</v>
      </c>
      <c r="AO1054" s="9">
        <v>95</v>
      </c>
      <c r="AP1054" s="9">
        <v>35.799999999999997</v>
      </c>
      <c r="AQ1054" s="9">
        <v>4</v>
      </c>
      <c r="AR1054" s="9">
        <v>26</v>
      </c>
      <c r="AS1054" s="9">
        <v>28</v>
      </c>
      <c r="AT1054" s="9">
        <v>22.9</v>
      </c>
      <c r="AU1054" s="9">
        <v>93</v>
      </c>
      <c r="AV1054" s="9">
        <v>68</v>
      </c>
      <c r="AX1054" s="9" t="s">
        <v>1977</v>
      </c>
      <c r="AY1054" s="9" t="s">
        <v>6042</v>
      </c>
      <c r="BB1054" s="9" t="s">
        <v>346</v>
      </c>
      <c r="BC1054" s="9" t="s">
        <v>8164</v>
      </c>
      <c r="BD1054" s="9" t="s">
        <v>8165</v>
      </c>
      <c r="BF1054" s="9" t="s">
        <v>176</v>
      </c>
      <c r="BG1054" s="9" t="s">
        <v>8166</v>
      </c>
      <c r="BH1054" s="9" t="s">
        <v>350</v>
      </c>
      <c r="BI1054" s="9" t="s">
        <v>350</v>
      </c>
      <c r="BJ1054" s="9" t="s">
        <v>176</v>
      </c>
      <c r="BK1054" s="9" t="s">
        <v>655</v>
      </c>
      <c r="BN1054" s="9" t="s">
        <v>5318</v>
      </c>
      <c r="BO1054" s="9" t="s">
        <v>1980</v>
      </c>
      <c r="BP1054" s="14" t="s">
        <v>3470</v>
      </c>
      <c r="BR1054" s="9" t="s">
        <v>99</v>
      </c>
      <c r="BZ1054" s="9" t="s">
        <v>8167</v>
      </c>
      <c r="CA1054" s="9" t="s">
        <v>8168</v>
      </c>
      <c r="CB1054" s="9" t="s">
        <v>8169</v>
      </c>
      <c r="CH1054" s="9" t="s">
        <v>8170</v>
      </c>
      <c r="CL1054" s="9" t="s">
        <v>8171</v>
      </c>
      <c r="CM1054" s="9" t="s">
        <v>823</v>
      </c>
      <c r="CP1054" s="9" t="s">
        <v>890</v>
      </c>
      <c r="CQ1054" s="9" t="s">
        <v>2641</v>
      </c>
      <c r="CR1054" s="9" t="s">
        <v>2892</v>
      </c>
      <c r="CT1054" s="9" t="s">
        <v>8135</v>
      </c>
      <c r="CU1054" s="9" t="s">
        <v>8136</v>
      </c>
      <c r="CV1054" s="9" t="s">
        <v>8172</v>
      </c>
      <c r="CW1054" s="9">
        <v>3</v>
      </c>
      <c r="CX1054" s="9" t="s">
        <v>99</v>
      </c>
      <c r="CY1054" s="9" t="s">
        <v>8124</v>
      </c>
      <c r="CZ1054" s="9">
        <v>33</v>
      </c>
      <c r="DA1054" s="9">
        <v>33</v>
      </c>
      <c r="DB1054" s="9">
        <v>33</v>
      </c>
      <c r="DG1054" s="9" t="e">
        <f t="shared" si="16"/>
        <v>#NUM!</v>
      </c>
    </row>
    <row r="1055" spans="2:111" x14ac:dyDescent="0.2">
      <c r="B1055" s="69">
        <v>42930</v>
      </c>
      <c r="C1055" s="9" t="s">
        <v>196</v>
      </c>
      <c r="D1055" s="9">
        <v>49</v>
      </c>
      <c r="E1055" s="14" t="s">
        <v>7416</v>
      </c>
      <c r="F1055" s="17">
        <v>24701</v>
      </c>
      <c r="G1055" s="9" t="s">
        <v>197</v>
      </c>
      <c r="H1055" s="9" t="s">
        <v>3422</v>
      </c>
      <c r="I1055" s="9">
        <v>14</v>
      </c>
      <c r="J1055" s="9" t="s">
        <v>1134</v>
      </c>
      <c r="K1055" s="9" t="s">
        <v>8173</v>
      </c>
      <c r="L1055" s="14" t="s">
        <v>8174</v>
      </c>
      <c r="M1055" s="9" t="s">
        <v>99</v>
      </c>
      <c r="N1055" s="9" t="s">
        <v>8175</v>
      </c>
      <c r="O1055" s="9" t="s">
        <v>99</v>
      </c>
      <c r="P1055" s="9" t="s">
        <v>99</v>
      </c>
      <c r="Q1055" s="9" t="s">
        <v>99</v>
      </c>
      <c r="R1055" s="9" t="s">
        <v>110</v>
      </c>
      <c r="S1055" s="9" t="s">
        <v>110</v>
      </c>
      <c r="T1055" s="9" t="s">
        <v>110</v>
      </c>
      <c r="U1055" s="9" t="s">
        <v>99</v>
      </c>
      <c r="W1055" s="9" t="s">
        <v>8176</v>
      </c>
      <c r="Y1055" s="9" t="s">
        <v>3941</v>
      </c>
      <c r="Z1055" s="9" t="s">
        <v>2309</v>
      </c>
      <c r="AA1055" s="14" t="s">
        <v>7416</v>
      </c>
      <c r="AB1055" s="14" t="s">
        <v>7416</v>
      </c>
      <c r="AE1055" s="9" t="s">
        <v>99</v>
      </c>
      <c r="AF1055" s="9" t="s">
        <v>125</v>
      </c>
      <c r="AG1055" s="9" t="s">
        <v>99</v>
      </c>
      <c r="AH1055" s="9" t="s">
        <v>125</v>
      </c>
      <c r="AI1055" s="9" t="s">
        <v>99</v>
      </c>
      <c r="AJ1055" s="9" t="s">
        <v>99</v>
      </c>
      <c r="AL1055" s="9">
        <v>63.3</v>
      </c>
      <c r="AN1055" s="9">
        <v>90</v>
      </c>
      <c r="AO1055" s="9">
        <v>100</v>
      </c>
      <c r="AP1055" s="9">
        <v>42</v>
      </c>
      <c r="AQ1055" s="9">
        <v>9</v>
      </c>
      <c r="AR1055" s="9">
        <v>25.1</v>
      </c>
      <c r="AS1055" s="9">
        <v>62</v>
      </c>
      <c r="AT1055" s="9">
        <v>28.9</v>
      </c>
      <c r="AU1055" s="9">
        <v>112</v>
      </c>
      <c r="AV1055" s="9">
        <v>80</v>
      </c>
      <c r="DG1055" s="9" t="e">
        <f t="shared" si="16"/>
        <v>#NUM!</v>
      </c>
    </row>
    <row r="1056" spans="2:111" x14ac:dyDescent="0.2">
      <c r="B1056" s="69">
        <v>42931</v>
      </c>
      <c r="C1056" s="9" t="s">
        <v>675</v>
      </c>
      <c r="D1056" s="9">
        <v>17</v>
      </c>
      <c r="E1056" s="9" t="s">
        <v>96</v>
      </c>
      <c r="F1056" s="17">
        <v>36418</v>
      </c>
      <c r="H1056" s="9" t="s">
        <v>3422</v>
      </c>
      <c r="M1056" s="9" t="s">
        <v>99</v>
      </c>
      <c r="N1056" s="9" t="s">
        <v>99</v>
      </c>
      <c r="O1056" s="9" t="s">
        <v>99</v>
      </c>
      <c r="P1056" s="9" t="s">
        <v>99</v>
      </c>
      <c r="Q1056" s="9" t="s">
        <v>99</v>
      </c>
      <c r="T1056" s="9" t="s">
        <v>110</v>
      </c>
      <c r="Z1056" s="9" t="s">
        <v>2596</v>
      </c>
      <c r="AL1056" s="9">
        <v>79.099999999999994</v>
      </c>
      <c r="AM1056" s="9">
        <v>175</v>
      </c>
      <c r="AN1056" s="9">
        <v>90</v>
      </c>
      <c r="AO1056" s="9">
        <v>103</v>
      </c>
      <c r="AP1056" s="9">
        <v>28.3</v>
      </c>
      <c r="AT1056" s="9">
        <v>25.8</v>
      </c>
      <c r="AU1056" s="9">
        <v>101</v>
      </c>
      <c r="AV1056" s="9">
        <v>83</v>
      </c>
      <c r="DC1056" s="9">
        <v>88</v>
      </c>
      <c r="DG1056" s="9" t="e">
        <f t="shared" si="16"/>
        <v>#NUM!</v>
      </c>
    </row>
    <row r="1057" spans="2:111" x14ac:dyDescent="0.2">
      <c r="B1057" s="69">
        <v>42942</v>
      </c>
      <c r="C1057" s="9" t="s">
        <v>196</v>
      </c>
      <c r="D1057" s="9">
        <v>35</v>
      </c>
      <c r="E1057" s="9" t="s">
        <v>96</v>
      </c>
      <c r="F1057" s="17">
        <v>30135</v>
      </c>
      <c r="G1057" s="9" t="s">
        <v>4777</v>
      </c>
      <c r="H1057" s="9" t="s">
        <v>3647</v>
      </c>
      <c r="K1057" s="9">
        <v>2007</v>
      </c>
      <c r="L1057" s="9">
        <v>2</v>
      </c>
      <c r="M1057" s="9" t="s">
        <v>483</v>
      </c>
      <c r="N1057" s="9" t="s">
        <v>99</v>
      </c>
      <c r="O1057" s="9" t="s">
        <v>99</v>
      </c>
      <c r="P1057" s="9" t="s">
        <v>99</v>
      </c>
      <c r="Q1057" s="9" t="s">
        <v>110</v>
      </c>
      <c r="R1057" s="9" t="s">
        <v>110</v>
      </c>
      <c r="V1057" s="9" t="s">
        <v>99</v>
      </c>
      <c r="X1057" s="9" t="s">
        <v>99</v>
      </c>
      <c r="AA1057" s="9" t="s">
        <v>100</v>
      </c>
      <c r="AB1057" s="9" t="s">
        <v>100</v>
      </c>
      <c r="AC1057" s="9" t="s">
        <v>100</v>
      </c>
      <c r="AD1057" s="9" t="s">
        <v>100</v>
      </c>
      <c r="AE1057" s="9" t="s">
        <v>99</v>
      </c>
      <c r="AF1057" s="9" t="s">
        <v>99</v>
      </c>
      <c r="AG1057" s="9" t="s">
        <v>99</v>
      </c>
      <c r="AH1057" s="9" t="s">
        <v>99</v>
      </c>
      <c r="AI1057" s="9" t="s">
        <v>99</v>
      </c>
      <c r="AJ1057" s="9" t="s">
        <v>99</v>
      </c>
      <c r="AK1057" s="9" t="s">
        <v>99</v>
      </c>
      <c r="AL1057" s="9">
        <v>83.8</v>
      </c>
      <c r="AM1057" s="9">
        <v>179</v>
      </c>
      <c r="AN1057" s="9">
        <v>88</v>
      </c>
      <c r="AP1057" s="9">
        <v>40.700000000000003</v>
      </c>
      <c r="AQ1057" s="9">
        <v>6</v>
      </c>
      <c r="AR1057" s="9">
        <v>25.4</v>
      </c>
      <c r="AS1057" s="9">
        <v>39</v>
      </c>
      <c r="AT1057" s="9">
        <v>26.2</v>
      </c>
      <c r="AU1057" s="9">
        <v>101</v>
      </c>
      <c r="AV1057" s="9">
        <v>76</v>
      </c>
      <c r="AX1057" s="9" t="s">
        <v>729</v>
      </c>
      <c r="AY1057" s="9" t="s">
        <v>573</v>
      </c>
      <c r="AZ1057" s="9" t="s">
        <v>345</v>
      </c>
      <c r="BB1057" s="9" t="s">
        <v>1080</v>
      </c>
      <c r="BC1057" s="9" t="s">
        <v>1641</v>
      </c>
      <c r="BD1057" s="9" t="s">
        <v>3352</v>
      </c>
      <c r="BF1057" s="9" t="s">
        <v>1173</v>
      </c>
      <c r="BG1057" s="9" t="s">
        <v>683</v>
      </c>
      <c r="BH1057" s="9" t="s">
        <v>683</v>
      </c>
      <c r="BI1057" s="9" t="s">
        <v>683</v>
      </c>
      <c r="BJ1057" s="9" t="s">
        <v>176</v>
      </c>
      <c r="BK1057" s="9">
        <v>1</v>
      </c>
      <c r="BN1057" s="9" t="s">
        <v>352</v>
      </c>
      <c r="BO1057" s="9" t="s">
        <v>353</v>
      </c>
      <c r="BP1057" s="9" t="s">
        <v>178</v>
      </c>
      <c r="BR1057" s="9" t="s">
        <v>99</v>
      </c>
      <c r="BV1057" s="9" t="s">
        <v>99</v>
      </c>
      <c r="BZ1057" s="9" t="s">
        <v>357</v>
      </c>
      <c r="CA1057" s="9" t="s">
        <v>752</v>
      </c>
      <c r="CB1057" s="9" t="s">
        <v>182</v>
      </c>
      <c r="CD1057" s="9" t="s">
        <v>99</v>
      </c>
      <c r="CH1057" s="9" t="s">
        <v>99</v>
      </c>
      <c r="CL1057" s="9" t="s">
        <v>579</v>
      </c>
      <c r="CM1057" s="9" t="s">
        <v>2822</v>
      </c>
      <c r="CN1057" s="9" t="s">
        <v>2753</v>
      </c>
      <c r="CP1057" s="9" t="s">
        <v>362</v>
      </c>
      <c r="CQ1057" s="9" t="s">
        <v>716</v>
      </c>
      <c r="CR1057" s="9" t="s">
        <v>3254</v>
      </c>
      <c r="CT1057" s="9" t="s">
        <v>2656</v>
      </c>
      <c r="CW1057" s="45" t="s">
        <v>3016</v>
      </c>
      <c r="CX1057" s="9" t="s">
        <v>99</v>
      </c>
      <c r="CY1057" s="9" t="s">
        <v>110</v>
      </c>
      <c r="CZ1057" s="9">
        <v>30</v>
      </c>
      <c r="DA1057" s="9">
        <v>20</v>
      </c>
      <c r="DB1057" s="9">
        <v>50</v>
      </c>
      <c r="DG1057" s="9" t="e">
        <f t="shared" si="16"/>
        <v>#NUM!</v>
      </c>
    </row>
    <row r="1058" spans="2:111" x14ac:dyDescent="0.2">
      <c r="B1058" s="69">
        <v>42944</v>
      </c>
      <c r="C1058" s="9" t="s">
        <v>196</v>
      </c>
      <c r="D1058" s="9">
        <v>42</v>
      </c>
      <c r="E1058" s="9" t="s">
        <v>96</v>
      </c>
      <c r="F1058" s="17">
        <v>27941</v>
      </c>
      <c r="G1058" s="9" t="s">
        <v>8177</v>
      </c>
      <c r="H1058" s="9" t="s">
        <v>8178</v>
      </c>
      <c r="J1058" s="9" t="s">
        <v>99</v>
      </c>
      <c r="K1058" s="9" t="s">
        <v>8179</v>
      </c>
      <c r="L1058" s="9">
        <v>2</v>
      </c>
      <c r="M1058" s="9" t="s">
        <v>99</v>
      </c>
      <c r="N1058" s="9" t="s">
        <v>99</v>
      </c>
      <c r="O1058" s="9" t="s">
        <v>99</v>
      </c>
      <c r="P1058" s="9" t="s">
        <v>99</v>
      </c>
      <c r="Q1058" s="9" t="s">
        <v>99</v>
      </c>
      <c r="U1058" s="9" t="s">
        <v>2439</v>
      </c>
      <c r="V1058" s="9" t="s">
        <v>99</v>
      </c>
      <c r="X1058" s="9" t="s">
        <v>99</v>
      </c>
      <c r="Y1058" s="9" t="s">
        <v>99</v>
      </c>
      <c r="AA1058" s="9" t="s">
        <v>100</v>
      </c>
      <c r="AB1058" s="9" t="s">
        <v>100</v>
      </c>
      <c r="AC1058" s="9" t="s">
        <v>100</v>
      </c>
      <c r="AD1058" s="9" t="s">
        <v>100</v>
      </c>
      <c r="AF1058" s="9" t="s">
        <v>534</v>
      </c>
      <c r="AG1058" s="9" t="s">
        <v>2355</v>
      </c>
      <c r="AL1058" s="9">
        <v>56</v>
      </c>
      <c r="AN1058" s="9">
        <v>83</v>
      </c>
      <c r="AO1058" s="9">
        <v>90</v>
      </c>
      <c r="AP1058" s="9">
        <v>38</v>
      </c>
      <c r="AQ1058" s="9">
        <v>7</v>
      </c>
      <c r="AR1058" s="9">
        <v>27</v>
      </c>
      <c r="AT1058" s="9">
        <v>25.3</v>
      </c>
      <c r="AW1058" s="9" t="s">
        <v>350</v>
      </c>
      <c r="AX1058" s="9" t="s">
        <v>1128</v>
      </c>
      <c r="AY1058" s="9" t="s">
        <v>8180</v>
      </c>
      <c r="BA1058" s="9" t="s">
        <v>350</v>
      </c>
      <c r="BB1058" s="9" t="s">
        <v>2746</v>
      </c>
      <c r="BF1058" s="9" t="s">
        <v>8181</v>
      </c>
      <c r="BH1058" s="9" t="s">
        <v>683</v>
      </c>
      <c r="BI1058" s="9" t="s">
        <v>683</v>
      </c>
      <c r="BJ1058" s="9" t="s">
        <v>683</v>
      </c>
      <c r="BK1058" s="9" t="s">
        <v>683</v>
      </c>
      <c r="BN1058" s="14" t="s">
        <v>125</v>
      </c>
      <c r="BO1058" s="14" t="s">
        <v>1664</v>
      </c>
      <c r="BP1058" s="9" t="s">
        <v>2534</v>
      </c>
      <c r="BR1058" s="9" t="s">
        <v>99</v>
      </c>
      <c r="BV1058" s="9" t="s">
        <v>99</v>
      </c>
      <c r="CL1058" s="9" t="s">
        <v>579</v>
      </c>
      <c r="CM1058" s="9" t="s">
        <v>825</v>
      </c>
      <c r="CP1058" s="9" t="s">
        <v>362</v>
      </c>
      <c r="CQ1058" s="9" t="s">
        <v>716</v>
      </c>
      <c r="CS1058" s="9" t="s">
        <v>350</v>
      </c>
      <c r="CT1058" s="9" t="s">
        <v>8182</v>
      </c>
      <c r="CU1058" s="9" t="s">
        <v>2615</v>
      </c>
      <c r="CW1058" s="9">
        <v>3</v>
      </c>
      <c r="CX1058" s="9" t="s">
        <v>110</v>
      </c>
      <c r="CY1058" s="9" t="s">
        <v>110</v>
      </c>
      <c r="DG1058" s="9" t="e">
        <f t="shared" si="16"/>
        <v>#NUM!</v>
      </c>
    </row>
    <row r="1059" spans="2:111" x14ac:dyDescent="0.2">
      <c r="B1059" s="69">
        <v>42942</v>
      </c>
      <c r="C1059" s="9" t="s">
        <v>196</v>
      </c>
      <c r="D1059" s="9">
        <v>41</v>
      </c>
      <c r="E1059" s="9" t="s">
        <v>96</v>
      </c>
      <c r="F1059" s="17">
        <v>27363</v>
      </c>
      <c r="H1059" s="9" t="s">
        <v>8183</v>
      </c>
      <c r="I1059" s="9">
        <v>9</v>
      </c>
      <c r="K1059" s="9">
        <v>2011</v>
      </c>
      <c r="L1059" s="9">
        <v>2</v>
      </c>
      <c r="M1059" s="9" t="s">
        <v>99</v>
      </c>
      <c r="N1059" s="9" t="s">
        <v>99</v>
      </c>
      <c r="O1059" s="9" t="s">
        <v>99</v>
      </c>
      <c r="P1059" s="9" t="s">
        <v>99</v>
      </c>
      <c r="Q1059" s="9" t="s">
        <v>99</v>
      </c>
      <c r="R1059" s="9" t="s">
        <v>110</v>
      </c>
      <c r="S1059" s="9" t="s">
        <v>99</v>
      </c>
      <c r="T1059" s="9" t="s">
        <v>99</v>
      </c>
      <c r="U1059" s="9" t="s">
        <v>8184</v>
      </c>
      <c r="V1059" s="9" t="s">
        <v>99</v>
      </c>
      <c r="W1059" s="9" t="s">
        <v>99</v>
      </c>
      <c r="X1059" s="9" t="s">
        <v>99</v>
      </c>
      <c r="AA1059" s="9" t="s">
        <v>100</v>
      </c>
      <c r="AB1059" s="9" t="s">
        <v>2234</v>
      </c>
      <c r="AC1059" s="9" t="s">
        <v>100</v>
      </c>
      <c r="AD1059" s="9" t="s">
        <v>100</v>
      </c>
      <c r="AE1059" s="9" t="s">
        <v>3893</v>
      </c>
      <c r="AF1059" s="9" t="s">
        <v>3223</v>
      </c>
      <c r="AG1059" s="9" t="s">
        <v>110</v>
      </c>
      <c r="AH1059" s="9" t="s">
        <v>3893</v>
      </c>
      <c r="AI1059" s="9" t="s">
        <v>99</v>
      </c>
      <c r="AJ1059" s="9" t="s">
        <v>99</v>
      </c>
      <c r="DG1059" s="9" t="e">
        <f t="shared" si="16"/>
        <v>#NUM!</v>
      </c>
    </row>
    <row r="1060" spans="2:111" x14ac:dyDescent="0.2">
      <c r="B1060" s="69">
        <v>43003</v>
      </c>
      <c r="C1060" s="9" t="s">
        <v>675</v>
      </c>
      <c r="D1060" s="9">
        <v>74</v>
      </c>
      <c r="E1060" s="14" t="s">
        <v>840</v>
      </c>
      <c r="G1060" s="9" t="s">
        <v>3009</v>
      </c>
      <c r="H1060" s="9" t="s">
        <v>1663</v>
      </c>
      <c r="M1060" s="9" t="s">
        <v>99</v>
      </c>
      <c r="N1060" s="9" t="s">
        <v>99</v>
      </c>
      <c r="O1060" s="9" t="s">
        <v>99</v>
      </c>
      <c r="P1060" s="9" t="s">
        <v>99</v>
      </c>
      <c r="Q1060" s="9" t="s">
        <v>99</v>
      </c>
      <c r="R1060" s="9" t="s">
        <v>99</v>
      </c>
      <c r="S1060" s="9" t="s">
        <v>110</v>
      </c>
      <c r="T1060" s="9" t="s">
        <v>110</v>
      </c>
      <c r="U1060" s="9" t="s">
        <v>8185</v>
      </c>
      <c r="W1060" s="9" t="s">
        <v>99</v>
      </c>
      <c r="X1060" s="9" t="s">
        <v>99</v>
      </c>
      <c r="Y1060" s="9" t="s">
        <v>8186</v>
      </c>
      <c r="Z1060" s="9" t="s">
        <v>5942</v>
      </c>
      <c r="AA1060" s="14" t="s">
        <v>840</v>
      </c>
      <c r="AB1060" s="14" t="s">
        <v>840</v>
      </c>
      <c r="AC1060" s="14" t="s">
        <v>840</v>
      </c>
      <c r="AD1060" s="14" t="s">
        <v>840</v>
      </c>
      <c r="AE1060" s="9" t="s">
        <v>2252</v>
      </c>
      <c r="AF1060" s="9" t="s">
        <v>99</v>
      </c>
      <c r="AG1060" s="9" t="s">
        <v>99</v>
      </c>
      <c r="AH1060" s="9" t="s">
        <v>99</v>
      </c>
      <c r="AI1060" s="9" t="s">
        <v>118</v>
      </c>
      <c r="AJ1060" s="9" t="s">
        <v>99</v>
      </c>
      <c r="AL1060" s="9">
        <v>79.400000000000006</v>
      </c>
      <c r="AM1060" s="9">
        <v>178</v>
      </c>
      <c r="AN1060" s="9">
        <v>100</v>
      </c>
      <c r="AO1060" s="9">
        <v>104</v>
      </c>
      <c r="AP1060" s="9">
        <v>22</v>
      </c>
      <c r="AQ1060" s="9">
        <v>9</v>
      </c>
      <c r="AR1060" s="9">
        <v>33</v>
      </c>
      <c r="AS1060" s="9">
        <v>62</v>
      </c>
      <c r="AT1060" s="9">
        <v>24.1</v>
      </c>
      <c r="AU1060" s="9">
        <v>124</v>
      </c>
      <c r="AV1060" s="9">
        <v>82</v>
      </c>
      <c r="DG1060" s="9" t="e">
        <f t="shared" si="16"/>
        <v>#NUM!</v>
      </c>
    </row>
    <row r="1061" spans="2:111" x14ac:dyDescent="0.2">
      <c r="B1061" s="69">
        <v>43005</v>
      </c>
      <c r="C1061" s="9" t="s">
        <v>675</v>
      </c>
      <c r="D1061" s="9">
        <v>52</v>
      </c>
      <c r="M1061" s="9" t="s">
        <v>99</v>
      </c>
      <c r="N1061" s="9" t="s">
        <v>99</v>
      </c>
      <c r="O1061" s="9" t="s">
        <v>8187</v>
      </c>
      <c r="P1061" s="9" t="s">
        <v>99</v>
      </c>
      <c r="Q1061" s="9" t="s">
        <v>99</v>
      </c>
      <c r="R1061" s="9" t="s">
        <v>99</v>
      </c>
      <c r="S1061" s="9" t="s">
        <v>110</v>
      </c>
      <c r="U1061" s="9">
        <v>2013</v>
      </c>
      <c r="V1061" s="9" t="s">
        <v>99</v>
      </c>
      <c r="W1061" s="9" t="s">
        <v>8188</v>
      </c>
      <c r="X1061" s="9" t="s">
        <v>99</v>
      </c>
      <c r="AA1061" s="9" t="s">
        <v>100</v>
      </c>
      <c r="AB1061" s="9" t="s">
        <v>100</v>
      </c>
      <c r="AC1061" s="9" t="s">
        <v>100</v>
      </c>
      <c r="AD1061" s="9" t="s">
        <v>100</v>
      </c>
      <c r="AE1061" s="9" t="s">
        <v>3223</v>
      </c>
      <c r="AF1061" s="9" t="s">
        <v>125</v>
      </c>
      <c r="AG1061" s="9" t="s">
        <v>99</v>
      </c>
      <c r="AH1061" s="9" t="s">
        <v>99</v>
      </c>
      <c r="AI1061" s="9" t="s">
        <v>99</v>
      </c>
      <c r="AJ1061" s="9" t="s">
        <v>99</v>
      </c>
      <c r="AK1061" s="9" t="s">
        <v>99</v>
      </c>
      <c r="AL1061" s="9">
        <v>82.9</v>
      </c>
      <c r="AM1061" s="9">
        <v>1.75</v>
      </c>
      <c r="AN1061" s="9">
        <v>97</v>
      </c>
      <c r="AO1061" s="9">
        <v>109</v>
      </c>
      <c r="AP1061" s="9">
        <v>28</v>
      </c>
      <c r="AQ1061" s="9">
        <v>12</v>
      </c>
      <c r="AR1061" s="9">
        <v>32</v>
      </c>
      <c r="AS1061" s="9">
        <v>59</v>
      </c>
      <c r="AT1061" s="9">
        <v>26.2</v>
      </c>
      <c r="AU1061" s="9">
        <v>125</v>
      </c>
      <c r="AV1061" s="9">
        <v>86</v>
      </c>
      <c r="AW1061" s="9" t="s">
        <v>350</v>
      </c>
      <c r="BA1061" s="9" t="s">
        <v>176</v>
      </c>
      <c r="BE1061" s="9" t="s">
        <v>350</v>
      </c>
      <c r="BM1061" s="9" t="s">
        <v>350</v>
      </c>
      <c r="BN1061" s="9" t="s">
        <v>179</v>
      </c>
      <c r="BO1061" s="9" t="s">
        <v>8189</v>
      </c>
      <c r="BP1061" s="14" t="s">
        <v>1664</v>
      </c>
      <c r="BR1061" s="9" t="s">
        <v>99</v>
      </c>
      <c r="BV1061" s="9" t="s">
        <v>99</v>
      </c>
      <c r="BY1061" s="9" t="s">
        <v>176</v>
      </c>
      <c r="CD1061" s="9" t="s">
        <v>99</v>
      </c>
      <c r="CH1061" s="9" t="s">
        <v>99</v>
      </c>
      <c r="CK1061" s="9" t="s">
        <v>350</v>
      </c>
      <c r="CL1061" s="9" t="s">
        <v>8190</v>
      </c>
      <c r="CO1061" s="9" t="s">
        <v>176</v>
      </c>
      <c r="CS1061" s="9" t="s">
        <v>655</v>
      </c>
      <c r="CT1061" s="9" t="s">
        <v>8191</v>
      </c>
      <c r="CW1061" s="9">
        <v>2</v>
      </c>
      <c r="CX1061" s="9" t="s">
        <v>99</v>
      </c>
      <c r="CY1061" s="9" t="s">
        <v>99</v>
      </c>
      <c r="CZ1061" s="9">
        <v>30</v>
      </c>
      <c r="DA1061" s="9">
        <v>20</v>
      </c>
      <c r="DB1061" s="9">
        <v>50</v>
      </c>
      <c r="DG1061" s="9" t="e">
        <f t="shared" si="16"/>
        <v>#NUM!</v>
      </c>
    </row>
    <row r="1062" spans="2:111" x14ac:dyDescent="0.2">
      <c r="B1062" s="69">
        <v>43005</v>
      </c>
      <c r="C1062" s="9" t="s">
        <v>675</v>
      </c>
      <c r="D1062" s="9">
        <v>37</v>
      </c>
      <c r="E1062" s="9" t="s">
        <v>96</v>
      </c>
      <c r="F1062" s="17">
        <v>29295</v>
      </c>
      <c r="G1062" s="9" t="s">
        <v>339</v>
      </c>
      <c r="H1062" s="9" t="s">
        <v>8192</v>
      </c>
      <c r="M1062" s="9" t="s">
        <v>99</v>
      </c>
      <c r="N1062" s="9" t="s">
        <v>99</v>
      </c>
      <c r="O1062" s="9" t="s">
        <v>99</v>
      </c>
      <c r="P1062" s="9" t="s">
        <v>110</v>
      </c>
      <c r="Q1062" s="9" t="s">
        <v>99</v>
      </c>
      <c r="R1062" s="9" t="s">
        <v>99</v>
      </c>
      <c r="S1062" s="9" t="s">
        <v>99</v>
      </c>
      <c r="T1062" s="9" t="s">
        <v>99</v>
      </c>
      <c r="W1062" s="9" t="s">
        <v>99</v>
      </c>
      <c r="AA1062" s="9" t="s">
        <v>100</v>
      </c>
      <c r="AB1062" s="9" t="s">
        <v>100</v>
      </c>
      <c r="AC1062" s="9" t="s">
        <v>100</v>
      </c>
      <c r="AD1062" s="9" t="s">
        <v>100</v>
      </c>
      <c r="AE1062" s="9" t="s">
        <v>99</v>
      </c>
      <c r="AF1062" s="9" t="s">
        <v>99</v>
      </c>
      <c r="AG1062" s="9" t="s">
        <v>99</v>
      </c>
      <c r="AH1062" s="9" t="s">
        <v>99</v>
      </c>
      <c r="AI1062" s="9" t="s">
        <v>99</v>
      </c>
      <c r="AJ1062" s="9" t="s">
        <v>99</v>
      </c>
      <c r="AK1062" s="9" t="s">
        <v>99</v>
      </c>
      <c r="AL1062" s="9">
        <v>93.6</v>
      </c>
      <c r="AM1062" s="9">
        <v>190</v>
      </c>
      <c r="AN1062" s="9">
        <v>101</v>
      </c>
      <c r="AO1062" s="9">
        <v>110</v>
      </c>
      <c r="AP1062" s="9">
        <v>21.7</v>
      </c>
      <c r="AQ1062" s="9">
        <v>8</v>
      </c>
      <c r="AR1062" s="9">
        <v>36.9</v>
      </c>
      <c r="AS1062" s="9">
        <v>61</v>
      </c>
      <c r="AT1062" s="9">
        <v>25.9</v>
      </c>
      <c r="AU1062" s="9">
        <v>130</v>
      </c>
      <c r="AV1062" s="9">
        <v>84</v>
      </c>
      <c r="DG1062" s="9" t="e">
        <f t="shared" si="16"/>
        <v>#NUM!</v>
      </c>
    </row>
    <row r="1063" spans="2:111" x14ac:dyDescent="0.2">
      <c r="B1063" s="69">
        <v>43005</v>
      </c>
      <c r="C1063" s="9" t="s">
        <v>675</v>
      </c>
      <c r="D1063" s="9">
        <v>28</v>
      </c>
      <c r="E1063" s="9" t="s">
        <v>96</v>
      </c>
      <c r="F1063" s="17">
        <v>32443</v>
      </c>
      <c r="P1063" s="9" t="s">
        <v>110</v>
      </c>
      <c r="Q1063" s="9" t="s">
        <v>110</v>
      </c>
      <c r="R1063" s="9" t="s">
        <v>110</v>
      </c>
      <c r="S1063" s="9" t="s">
        <v>99</v>
      </c>
      <c r="T1063" s="9" t="s">
        <v>99</v>
      </c>
      <c r="AA1063" s="9" t="s">
        <v>1654</v>
      </c>
      <c r="AB1063" s="9" t="s">
        <v>100</v>
      </c>
      <c r="AC1063" s="9" t="s">
        <v>8193</v>
      </c>
      <c r="AD1063" s="9" t="s">
        <v>8194</v>
      </c>
      <c r="AE1063" s="9" t="s">
        <v>3223</v>
      </c>
      <c r="AF1063" s="9" t="s">
        <v>6282</v>
      </c>
      <c r="AG1063" s="9" t="s">
        <v>2306</v>
      </c>
      <c r="AW1063" s="9" t="s">
        <v>1740</v>
      </c>
      <c r="AX1063" s="9" t="s">
        <v>592</v>
      </c>
      <c r="AY1063" s="9" t="s">
        <v>6537</v>
      </c>
      <c r="AZ1063" s="9" t="s">
        <v>4983</v>
      </c>
      <c r="BA1063" s="9" t="s">
        <v>1740</v>
      </c>
      <c r="BB1063" s="9" t="s">
        <v>750</v>
      </c>
      <c r="BE1063" s="9" t="s">
        <v>1740</v>
      </c>
      <c r="BF1063" s="9" t="s">
        <v>2681</v>
      </c>
      <c r="BG1063" s="9" t="s">
        <v>655</v>
      </c>
      <c r="BH1063" s="9" t="s">
        <v>655</v>
      </c>
      <c r="BI1063" s="9" t="s">
        <v>176</v>
      </c>
      <c r="BJ1063" s="9" t="s">
        <v>818</v>
      </c>
      <c r="BK1063" s="9" t="s">
        <v>655</v>
      </c>
      <c r="BM1063" s="9" t="s">
        <v>1740</v>
      </c>
      <c r="BN1063" s="9" t="s">
        <v>3833</v>
      </c>
      <c r="BO1063" s="14" t="s">
        <v>1136</v>
      </c>
      <c r="BP1063" s="9" t="s">
        <v>8195</v>
      </c>
      <c r="BR1063" s="9" t="s">
        <v>99</v>
      </c>
      <c r="BV1063" s="9" t="s">
        <v>8196</v>
      </c>
      <c r="BY1063" s="9" t="s">
        <v>350</v>
      </c>
      <c r="BZ1063" s="9" t="s">
        <v>1100</v>
      </c>
      <c r="CA1063" s="9" t="s">
        <v>822</v>
      </c>
      <c r="CB1063" s="9" t="s">
        <v>1730</v>
      </c>
      <c r="CD1063" s="9" t="s">
        <v>99</v>
      </c>
      <c r="CH1063" s="9" t="s">
        <v>2575</v>
      </c>
      <c r="CK1063" s="9" t="s">
        <v>176</v>
      </c>
      <c r="CL1063" s="9" t="s">
        <v>8197</v>
      </c>
      <c r="CM1063" s="9" t="s">
        <v>980</v>
      </c>
      <c r="CN1063" s="9" t="s">
        <v>8198</v>
      </c>
      <c r="CO1063" s="9" t="s">
        <v>176</v>
      </c>
      <c r="CP1063" s="9" t="s">
        <v>716</v>
      </c>
      <c r="CQ1063" s="9" t="s">
        <v>361</v>
      </c>
      <c r="CS1063" s="9" t="s">
        <v>655</v>
      </c>
      <c r="CT1063" s="9" t="s">
        <v>1732</v>
      </c>
      <c r="CU1063" s="9" t="s">
        <v>364</v>
      </c>
      <c r="CW1063" s="45">
        <v>43525</v>
      </c>
      <c r="CX1063" s="9" t="s">
        <v>99</v>
      </c>
      <c r="CY1063" s="9" t="s">
        <v>110</v>
      </c>
      <c r="DG1063" s="9" t="e">
        <f t="shared" si="16"/>
        <v>#NUM!</v>
      </c>
    </row>
    <row r="1064" spans="2:111" x14ac:dyDescent="0.2">
      <c r="C1064" s="9" t="s">
        <v>196</v>
      </c>
      <c r="D1064" s="9">
        <v>56</v>
      </c>
      <c r="G1064" s="9" t="s">
        <v>197</v>
      </c>
      <c r="H1064" s="9" t="s">
        <v>8199</v>
      </c>
      <c r="I1064" s="9">
        <v>14</v>
      </c>
      <c r="J1064" s="9">
        <v>50</v>
      </c>
      <c r="K1064" s="9">
        <v>92</v>
      </c>
      <c r="L1064" s="9">
        <v>3</v>
      </c>
      <c r="M1064" s="9" t="s">
        <v>99</v>
      </c>
      <c r="N1064" s="9" t="s">
        <v>99</v>
      </c>
      <c r="P1064" s="9" t="s">
        <v>110</v>
      </c>
      <c r="Q1064" s="9" t="s">
        <v>99</v>
      </c>
      <c r="R1064" s="9" t="s">
        <v>110</v>
      </c>
      <c r="S1064" s="9" t="s">
        <v>99</v>
      </c>
      <c r="T1064" s="9" t="s">
        <v>99</v>
      </c>
      <c r="U1064" s="9" t="s">
        <v>99</v>
      </c>
      <c r="Y1064" s="9" t="s">
        <v>8200</v>
      </c>
      <c r="Z1064" s="9" t="s">
        <v>2192</v>
      </c>
      <c r="AA1064" s="9" t="s">
        <v>203</v>
      </c>
      <c r="AB1064" s="9" t="s">
        <v>1123</v>
      </c>
      <c r="AC1064" s="9" t="s">
        <v>203</v>
      </c>
      <c r="AD1064" s="9" t="s">
        <v>1123</v>
      </c>
      <c r="AG1064" s="9" t="s">
        <v>8201</v>
      </c>
      <c r="AH1064" s="9" t="s">
        <v>664</v>
      </c>
      <c r="AL1064" s="9">
        <v>72</v>
      </c>
      <c r="AM1064" s="9">
        <v>155</v>
      </c>
      <c r="AN1064" s="9">
        <v>102</v>
      </c>
      <c r="AO1064" s="9">
        <v>106</v>
      </c>
      <c r="AP1064" s="9">
        <v>48.2</v>
      </c>
      <c r="AQ1064" s="9">
        <v>11</v>
      </c>
      <c r="AR1064" s="9">
        <v>20.8</v>
      </c>
      <c r="AS1064" s="9">
        <v>66</v>
      </c>
      <c r="AT1064" s="9">
        <v>30</v>
      </c>
      <c r="AU1064" s="9">
        <v>97</v>
      </c>
      <c r="AV1064" s="9">
        <v>72</v>
      </c>
      <c r="DG1064" s="9" t="e">
        <f t="shared" si="16"/>
        <v>#NUM!</v>
      </c>
    </row>
    <row r="1065" spans="2:111" x14ac:dyDescent="0.2">
      <c r="B1065" s="69">
        <v>43005</v>
      </c>
      <c r="C1065" s="9" t="s">
        <v>675</v>
      </c>
      <c r="D1065" s="9">
        <v>78</v>
      </c>
      <c r="G1065" s="9" t="s">
        <v>8202</v>
      </c>
      <c r="H1065" s="9" t="s">
        <v>8203</v>
      </c>
      <c r="M1065" s="9" t="s">
        <v>99</v>
      </c>
      <c r="N1065" s="9" t="s">
        <v>99</v>
      </c>
      <c r="O1065" s="9" t="s">
        <v>99</v>
      </c>
      <c r="P1065" s="9" t="s">
        <v>99</v>
      </c>
      <c r="Q1065" s="9" t="s">
        <v>8204</v>
      </c>
      <c r="S1065" s="9" t="s">
        <v>99</v>
      </c>
      <c r="T1065" s="9" t="s">
        <v>99</v>
      </c>
      <c r="U1065" s="9" t="s">
        <v>99</v>
      </c>
      <c r="W1065" s="9" t="s">
        <v>99</v>
      </c>
      <c r="X1065" s="9" t="s">
        <v>99</v>
      </c>
      <c r="AB1065" s="35" t="s">
        <v>8205</v>
      </c>
      <c r="AC1065" s="35" t="s">
        <v>8205</v>
      </c>
      <c r="AE1065" s="9" t="s">
        <v>99</v>
      </c>
      <c r="AF1065" s="9" t="s">
        <v>99</v>
      </c>
      <c r="AG1065" s="9" t="s">
        <v>99</v>
      </c>
      <c r="AH1065" s="9" t="s">
        <v>99</v>
      </c>
      <c r="AI1065" s="9" t="s">
        <v>99</v>
      </c>
      <c r="AJ1065" s="9" t="s">
        <v>99</v>
      </c>
      <c r="AK1065" s="9" t="s">
        <v>99</v>
      </c>
      <c r="AL1065" s="9">
        <v>79</v>
      </c>
      <c r="AU1065" s="9">
        <v>121</v>
      </c>
      <c r="AV1065" s="9">
        <v>70</v>
      </c>
      <c r="DG1065" s="9" t="e">
        <f t="shared" si="16"/>
        <v>#NUM!</v>
      </c>
    </row>
    <row r="1066" spans="2:111" x14ac:dyDescent="0.2">
      <c r="B1066" s="69">
        <v>43005</v>
      </c>
      <c r="C1066" s="9" t="s">
        <v>196</v>
      </c>
      <c r="D1066" s="9">
        <v>27</v>
      </c>
      <c r="E1066" s="9" t="s">
        <v>96</v>
      </c>
      <c r="F1066" s="17">
        <v>32792</v>
      </c>
      <c r="G1066" s="9" t="s">
        <v>813</v>
      </c>
      <c r="H1066" s="9" t="s">
        <v>8206</v>
      </c>
      <c r="K1066" s="9">
        <v>2013</v>
      </c>
      <c r="L1066" s="9">
        <v>2</v>
      </c>
      <c r="M1066" s="9" t="s">
        <v>99</v>
      </c>
      <c r="N1066" s="9" t="s">
        <v>99</v>
      </c>
      <c r="O1066" s="9" t="s">
        <v>99</v>
      </c>
      <c r="P1066" s="9" t="s">
        <v>110</v>
      </c>
      <c r="Q1066" s="9" t="s">
        <v>110</v>
      </c>
      <c r="R1066" s="9" t="s">
        <v>110</v>
      </c>
      <c r="S1066" s="9" t="s">
        <v>99</v>
      </c>
      <c r="T1066" s="9" t="s">
        <v>99</v>
      </c>
      <c r="U1066" s="9" t="s">
        <v>99</v>
      </c>
      <c r="AL1066" s="9">
        <v>86.9</v>
      </c>
      <c r="AM1066" s="9">
        <v>164</v>
      </c>
      <c r="AN1066" s="9">
        <v>90</v>
      </c>
      <c r="AO1066" s="9">
        <v>107</v>
      </c>
      <c r="AP1066" s="9">
        <v>38.9</v>
      </c>
      <c r="AQ1066" s="9">
        <v>7</v>
      </c>
      <c r="AR1066" s="9">
        <v>28</v>
      </c>
      <c r="AS1066" s="9">
        <v>48</v>
      </c>
      <c r="AT1066" s="9">
        <v>32.5</v>
      </c>
      <c r="AU1066" s="9">
        <v>108</v>
      </c>
      <c r="AV1066" s="9">
        <v>79</v>
      </c>
      <c r="DG1066" s="9" t="e">
        <f t="shared" si="16"/>
        <v>#NUM!</v>
      </c>
    </row>
    <row r="1067" spans="2:111" x14ac:dyDescent="0.2">
      <c r="B1067" s="69">
        <v>43005</v>
      </c>
      <c r="C1067" s="9" t="s">
        <v>675</v>
      </c>
      <c r="D1067" s="9">
        <v>37</v>
      </c>
      <c r="E1067" s="9" t="s">
        <v>96</v>
      </c>
      <c r="F1067" s="17">
        <v>31228</v>
      </c>
      <c r="G1067" s="9" t="s">
        <v>4268</v>
      </c>
      <c r="H1067" s="9" t="s">
        <v>8207</v>
      </c>
      <c r="M1067" s="9" t="s">
        <v>99</v>
      </c>
      <c r="N1067" s="9" t="s">
        <v>99</v>
      </c>
      <c r="O1067" s="9" t="s">
        <v>99</v>
      </c>
      <c r="P1067" s="9" t="s">
        <v>99</v>
      </c>
      <c r="Q1067" s="9" t="s">
        <v>99</v>
      </c>
      <c r="R1067" s="9" t="s">
        <v>110</v>
      </c>
      <c r="S1067" s="9" t="s">
        <v>99</v>
      </c>
      <c r="T1067" s="9" t="s">
        <v>99</v>
      </c>
      <c r="U1067" s="9" t="s">
        <v>99</v>
      </c>
      <c r="W1067" s="9" t="s">
        <v>99</v>
      </c>
      <c r="AC1067" s="9" t="s">
        <v>100</v>
      </c>
      <c r="AD1067" s="9" t="s">
        <v>100</v>
      </c>
      <c r="AE1067" s="9" t="s">
        <v>110</v>
      </c>
      <c r="AF1067" s="9" t="s">
        <v>99</v>
      </c>
      <c r="AG1067" s="9" t="s">
        <v>110</v>
      </c>
      <c r="AH1067" s="9" t="s">
        <v>99</v>
      </c>
      <c r="AI1067" s="9" t="s">
        <v>99</v>
      </c>
      <c r="AJ1067" s="9" t="s">
        <v>99</v>
      </c>
      <c r="AL1067" s="9">
        <v>92.5</v>
      </c>
      <c r="AM1067" s="9">
        <v>175</v>
      </c>
      <c r="AN1067" s="9">
        <v>102</v>
      </c>
      <c r="AO1067" s="9">
        <v>104</v>
      </c>
      <c r="AP1067" s="9">
        <v>37.700000000000003</v>
      </c>
      <c r="AQ1067" s="9">
        <v>14</v>
      </c>
      <c r="AR1067" s="9">
        <v>28.5</v>
      </c>
      <c r="AS1067" s="9">
        <v>63</v>
      </c>
      <c r="AT1067" s="9">
        <v>30.2</v>
      </c>
      <c r="AU1067" s="9">
        <v>117</v>
      </c>
      <c r="AV1067" s="9">
        <v>76</v>
      </c>
      <c r="DG1067" s="9" t="e">
        <f t="shared" si="16"/>
        <v>#NUM!</v>
      </c>
    </row>
    <row r="1068" spans="2:111" x14ac:dyDescent="0.2">
      <c r="B1068" s="69">
        <v>43005</v>
      </c>
      <c r="C1068" s="9" t="s">
        <v>196</v>
      </c>
      <c r="D1068" s="9">
        <v>26</v>
      </c>
      <c r="E1068" s="9" t="s">
        <v>96</v>
      </c>
      <c r="F1068" s="17">
        <v>33191</v>
      </c>
      <c r="G1068" s="9" t="s">
        <v>813</v>
      </c>
      <c r="H1068" s="9" t="s">
        <v>723</v>
      </c>
      <c r="I1068" s="9">
        <v>10</v>
      </c>
      <c r="J1068" s="9" t="s">
        <v>99</v>
      </c>
      <c r="L1068" s="9">
        <v>0</v>
      </c>
      <c r="M1068" s="9" t="s">
        <v>99</v>
      </c>
      <c r="N1068" s="9" t="s">
        <v>99</v>
      </c>
      <c r="O1068" s="9" t="s">
        <v>99</v>
      </c>
      <c r="P1068" s="9" t="s">
        <v>99</v>
      </c>
      <c r="Q1068" s="9" t="s">
        <v>99</v>
      </c>
      <c r="R1068" s="9" t="s">
        <v>110</v>
      </c>
      <c r="S1068" s="9" t="s">
        <v>99</v>
      </c>
      <c r="T1068" s="9" t="s">
        <v>99</v>
      </c>
      <c r="AA1068" s="9" t="s">
        <v>100</v>
      </c>
      <c r="AB1068" s="9" t="s">
        <v>8208</v>
      </c>
      <c r="AC1068" s="9" t="s">
        <v>100</v>
      </c>
      <c r="AD1068" s="9" t="s">
        <v>8208</v>
      </c>
      <c r="AE1068" s="9" t="s">
        <v>99</v>
      </c>
      <c r="AF1068" s="9" t="s">
        <v>118</v>
      </c>
      <c r="AG1068" s="9" t="s">
        <v>8209</v>
      </c>
      <c r="AH1068" s="9" t="s">
        <v>99</v>
      </c>
      <c r="AI1068" s="9" t="s">
        <v>99</v>
      </c>
      <c r="AJ1068" s="9" t="s">
        <v>99</v>
      </c>
      <c r="AL1068" s="9">
        <v>58.8</v>
      </c>
      <c r="AM1068" s="9">
        <v>159</v>
      </c>
      <c r="AN1068" s="9">
        <v>80</v>
      </c>
      <c r="AO1068" s="9">
        <v>109</v>
      </c>
      <c r="AP1068" s="9">
        <v>31.8</v>
      </c>
      <c r="AQ1068" s="9">
        <v>4</v>
      </c>
      <c r="AR1068" s="9">
        <v>29.4</v>
      </c>
      <c r="AS1068" s="9">
        <v>33</v>
      </c>
      <c r="AT1068" s="9">
        <v>23.3</v>
      </c>
      <c r="AU1068" s="9">
        <v>99</v>
      </c>
      <c r="AV1068" s="9">
        <v>60</v>
      </c>
      <c r="AX1068" s="9" t="s">
        <v>573</v>
      </c>
      <c r="AY1068" s="9" t="s">
        <v>1657</v>
      </c>
      <c r="AZ1068" s="9" t="s">
        <v>1128</v>
      </c>
      <c r="BB1068" s="9" t="s">
        <v>750</v>
      </c>
      <c r="BC1068" s="9" t="s">
        <v>1130</v>
      </c>
      <c r="BF1068" s="9" t="s">
        <v>683</v>
      </c>
      <c r="BG1068" s="9" t="s">
        <v>2407</v>
      </c>
      <c r="BH1068" s="9" t="s">
        <v>175</v>
      </c>
      <c r="BI1068" s="9" t="s">
        <v>1099</v>
      </c>
      <c r="BJ1068" s="9" t="s">
        <v>176</v>
      </c>
      <c r="BK1068" s="9" t="s">
        <v>2445</v>
      </c>
      <c r="BN1068" s="9" t="s">
        <v>8210</v>
      </c>
      <c r="BO1068" s="14" t="s">
        <v>1664</v>
      </c>
      <c r="BP1068" s="14" t="s">
        <v>125</v>
      </c>
      <c r="BR1068" s="9" t="s">
        <v>99</v>
      </c>
      <c r="BV1068" s="9" t="s">
        <v>99</v>
      </c>
      <c r="BZ1068" s="9" t="s">
        <v>2640</v>
      </c>
      <c r="CA1068" s="9" t="s">
        <v>807</v>
      </c>
      <c r="CB1068" s="9" t="s">
        <v>808</v>
      </c>
      <c r="CD1068" s="9" t="s">
        <v>99</v>
      </c>
      <c r="CH1068" s="9" t="s">
        <v>99</v>
      </c>
      <c r="CL1068" s="9" t="s">
        <v>3158</v>
      </c>
      <c r="CM1068" s="9" t="s">
        <v>215</v>
      </c>
      <c r="CN1068" s="9" t="s">
        <v>2448</v>
      </c>
      <c r="CP1068" s="9" t="s">
        <v>361</v>
      </c>
      <c r="CQ1068" s="9" t="s">
        <v>2534</v>
      </c>
      <c r="CR1068" s="9" t="s">
        <v>716</v>
      </c>
      <c r="CT1068" s="9" t="s">
        <v>99</v>
      </c>
      <c r="CW1068" s="9">
        <v>5</v>
      </c>
      <c r="CX1068" s="9" t="s">
        <v>110</v>
      </c>
      <c r="CY1068" s="9" t="s">
        <v>99</v>
      </c>
      <c r="CZ1068" s="9">
        <v>50</v>
      </c>
      <c r="DA1068" s="9">
        <v>20</v>
      </c>
      <c r="DB1068" s="9">
        <v>30</v>
      </c>
      <c r="DG1068" s="9" t="e">
        <f t="shared" si="16"/>
        <v>#NUM!</v>
      </c>
    </row>
    <row r="1069" spans="2:111" x14ac:dyDescent="0.2">
      <c r="B1069" s="69">
        <v>43005</v>
      </c>
      <c r="C1069" s="9" t="s">
        <v>675</v>
      </c>
      <c r="D1069" s="9">
        <v>47</v>
      </c>
      <c r="F1069" s="17">
        <v>25667</v>
      </c>
      <c r="G1069" s="9" t="s">
        <v>481</v>
      </c>
      <c r="H1069" s="9" t="s">
        <v>2628</v>
      </c>
      <c r="P1069" s="9" t="s">
        <v>99</v>
      </c>
      <c r="Q1069" s="9" t="s">
        <v>110</v>
      </c>
      <c r="AL1069" s="9">
        <v>89</v>
      </c>
      <c r="AM1069" s="9">
        <v>174</v>
      </c>
      <c r="AN1069" s="9">
        <v>104</v>
      </c>
      <c r="AO1069" s="9">
        <v>113</v>
      </c>
      <c r="AP1069" s="9">
        <v>26.4</v>
      </c>
      <c r="AQ1069" s="9">
        <v>13</v>
      </c>
      <c r="AR1069" s="9">
        <v>34.4</v>
      </c>
      <c r="AS1069" s="9">
        <v>60</v>
      </c>
      <c r="AT1069" s="9">
        <v>29.4</v>
      </c>
      <c r="AU1069" s="9">
        <v>130</v>
      </c>
      <c r="AV1069" s="9">
        <v>72</v>
      </c>
      <c r="DG1069" s="9" t="e">
        <f t="shared" si="16"/>
        <v>#NUM!</v>
      </c>
    </row>
    <row r="1070" spans="2:111" x14ac:dyDescent="0.2">
      <c r="B1070" s="69">
        <v>43005</v>
      </c>
      <c r="C1070" s="9" t="s">
        <v>196</v>
      </c>
      <c r="D1070" s="9">
        <v>50</v>
      </c>
      <c r="E1070" s="9" t="s">
        <v>96</v>
      </c>
      <c r="F1070" s="17"/>
      <c r="J1070" s="9" t="s">
        <v>99</v>
      </c>
      <c r="K1070" s="9">
        <v>2002</v>
      </c>
      <c r="L1070" s="9">
        <v>4</v>
      </c>
      <c r="M1070" s="9" t="s">
        <v>99</v>
      </c>
      <c r="N1070" s="9" t="s">
        <v>99</v>
      </c>
      <c r="P1070" s="9" t="s">
        <v>99</v>
      </c>
      <c r="R1070" s="9" t="s">
        <v>110</v>
      </c>
      <c r="U1070" s="9" t="s">
        <v>7444</v>
      </c>
      <c r="X1070" s="9" t="s">
        <v>99</v>
      </c>
      <c r="AE1070" s="9" t="s">
        <v>99</v>
      </c>
      <c r="AF1070" s="9" t="s">
        <v>3223</v>
      </c>
      <c r="AG1070" s="9" t="s">
        <v>8211</v>
      </c>
      <c r="AH1070" s="9" t="s">
        <v>99</v>
      </c>
      <c r="AI1070" s="9" t="s">
        <v>99</v>
      </c>
      <c r="AJ1070" s="9" t="s">
        <v>99</v>
      </c>
      <c r="AL1070" s="9">
        <v>76.7</v>
      </c>
      <c r="AM1070" s="9">
        <v>174</v>
      </c>
      <c r="AN1070" s="9">
        <v>88</v>
      </c>
      <c r="AO1070" s="9">
        <v>104</v>
      </c>
      <c r="AP1070" s="9">
        <v>29</v>
      </c>
      <c r="AQ1070" s="9">
        <v>6</v>
      </c>
      <c r="AR1070" s="9">
        <v>31.8</v>
      </c>
      <c r="AS1070" s="9">
        <v>40</v>
      </c>
      <c r="AT1070" s="9">
        <v>25.3</v>
      </c>
      <c r="AU1070" s="9">
        <v>125</v>
      </c>
      <c r="AV1070" s="9">
        <v>81</v>
      </c>
      <c r="DG1070" s="9" t="e">
        <f t="shared" si="16"/>
        <v>#NUM!</v>
      </c>
    </row>
    <row r="1071" spans="2:111" x14ac:dyDescent="0.2">
      <c r="B1071" s="69">
        <v>43005</v>
      </c>
      <c r="C1071" s="9" t="s">
        <v>675</v>
      </c>
      <c r="D1071" s="9">
        <v>54</v>
      </c>
      <c r="E1071" s="9" t="s">
        <v>96</v>
      </c>
      <c r="G1071" s="9" t="s">
        <v>3950</v>
      </c>
      <c r="H1071" s="9" t="s">
        <v>3951</v>
      </c>
      <c r="M1071" s="9" t="s">
        <v>99</v>
      </c>
      <c r="N1071" s="9" t="s">
        <v>8212</v>
      </c>
      <c r="O1071" s="9" t="s">
        <v>99</v>
      </c>
      <c r="P1071" s="9" t="s">
        <v>99</v>
      </c>
      <c r="Q1071" s="9" t="s">
        <v>110</v>
      </c>
      <c r="S1071" s="9" t="s">
        <v>99</v>
      </c>
      <c r="T1071" s="9" t="s">
        <v>110</v>
      </c>
      <c r="U1071" s="9" t="s">
        <v>8213</v>
      </c>
      <c r="W1071" s="9" t="s">
        <v>99</v>
      </c>
      <c r="X1071" s="9" t="s">
        <v>99</v>
      </c>
      <c r="Y1071" s="9" t="s">
        <v>8214</v>
      </c>
      <c r="Z1071" s="9" t="s">
        <v>8215</v>
      </c>
      <c r="AA1071" s="9" t="s">
        <v>100</v>
      </c>
      <c r="AB1071" s="9" t="s">
        <v>100</v>
      </c>
      <c r="AC1071" s="9" t="s">
        <v>100</v>
      </c>
      <c r="AD1071" s="9" t="s">
        <v>100</v>
      </c>
      <c r="AE1071" s="9" t="s">
        <v>2627</v>
      </c>
      <c r="AF1071" s="9" t="s">
        <v>99</v>
      </c>
      <c r="AG1071" s="9" t="s">
        <v>8216</v>
      </c>
      <c r="AH1071" s="9" t="s">
        <v>2627</v>
      </c>
      <c r="AI1071" s="9" t="s">
        <v>99</v>
      </c>
      <c r="AJ1071" s="9" t="s">
        <v>99</v>
      </c>
      <c r="AK1071" s="9" t="s">
        <v>99</v>
      </c>
      <c r="AL1071" s="9">
        <v>72.099999999999994</v>
      </c>
      <c r="AM1071" s="9">
        <v>164</v>
      </c>
      <c r="AN1071" s="9">
        <v>95</v>
      </c>
      <c r="AO1071" s="9">
        <v>107</v>
      </c>
      <c r="AP1071" s="9">
        <v>26.6</v>
      </c>
      <c r="AQ1071" s="9">
        <v>12</v>
      </c>
      <c r="AR1071" s="9">
        <v>33.6</v>
      </c>
      <c r="AS1071" s="9">
        <v>48</v>
      </c>
      <c r="AT1071" s="9">
        <v>26.8</v>
      </c>
      <c r="AU1071" s="9">
        <v>120</v>
      </c>
      <c r="AV1071" s="9">
        <v>82</v>
      </c>
      <c r="DG1071" s="9" t="e">
        <f t="shared" si="16"/>
        <v>#NUM!</v>
      </c>
    </row>
    <row r="1072" spans="2:111" x14ac:dyDescent="0.2">
      <c r="B1072" s="69">
        <v>43308</v>
      </c>
      <c r="C1072" s="9" t="s">
        <v>196</v>
      </c>
      <c r="DG1072" s="9" t="e">
        <f t="shared" si="16"/>
        <v>#NUM!</v>
      </c>
    </row>
    <row r="1073" spans="2:111" x14ac:dyDescent="0.2">
      <c r="B1073" s="69">
        <v>43300</v>
      </c>
      <c r="C1073" s="9" t="s">
        <v>675</v>
      </c>
      <c r="D1073" s="9">
        <v>29</v>
      </c>
      <c r="E1073" s="9" t="s">
        <v>1123</v>
      </c>
      <c r="F1073" s="17">
        <v>32068</v>
      </c>
      <c r="M1073" s="9" t="s">
        <v>99</v>
      </c>
      <c r="N1073" s="9" t="s">
        <v>99</v>
      </c>
      <c r="O1073" s="9" t="s">
        <v>99</v>
      </c>
      <c r="P1073" s="9" t="s">
        <v>110</v>
      </c>
      <c r="Q1073" s="9" t="s">
        <v>99</v>
      </c>
      <c r="R1073" s="9" t="s">
        <v>110</v>
      </c>
      <c r="W1073" s="9" t="s">
        <v>8217</v>
      </c>
      <c r="X1073" s="9" t="s">
        <v>110</v>
      </c>
      <c r="Y1073" s="9" t="s">
        <v>8218</v>
      </c>
      <c r="AA1073" s="9" t="s">
        <v>1123</v>
      </c>
      <c r="AB1073" s="9" t="s">
        <v>1123</v>
      </c>
      <c r="AC1073" s="9" t="s">
        <v>8219</v>
      </c>
      <c r="AD1073" s="14" t="s">
        <v>7416</v>
      </c>
      <c r="AE1073" s="9" t="s">
        <v>99</v>
      </c>
      <c r="AF1073" s="9" t="s">
        <v>99</v>
      </c>
      <c r="AG1073" s="9" t="s">
        <v>99</v>
      </c>
      <c r="AH1073" s="9" t="s">
        <v>99</v>
      </c>
      <c r="AI1073" s="9" t="s">
        <v>99</v>
      </c>
      <c r="AJ1073" s="9" t="s">
        <v>99</v>
      </c>
      <c r="AK1073" s="9" t="s">
        <v>99</v>
      </c>
      <c r="AL1073" s="9">
        <v>47</v>
      </c>
      <c r="AM1073" s="9">
        <v>153</v>
      </c>
      <c r="AN1073" s="9">
        <v>71</v>
      </c>
      <c r="AO1073" s="9">
        <v>85</v>
      </c>
      <c r="AP1073" s="9">
        <v>14.1</v>
      </c>
      <c r="AQ1073" s="9">
        <v>4</v>
      </c>
      <c r="AR1073" s="9">
        <v>41.7</v>
      </c>
      <c r="AS1073" s="9">
        <v>18</v>
      </c>
      <c r="AT1073" s="9">
        <v>20.100000000000001</v>
      </c>
      <c r="AU1073" s="9">
        <v>119</v>
      </c>
      <c r="AV1073" s="9">
        <v>85</v>
      </c>
      <c r="DG1073" s="9" t="e">
        <f t="shared" si="16"/>
        <v>#NUM!</v>
      </c>
    </row>
    <row r="1074" spans="2:111" x14ac:dyDescent="0.2">
      <c r="B1074" s="69">
        <v>43299</v>
      </c>
      <c r="C1074" s="9" t="s">
        <v>675</v>
      </c>
      <c r="D1074" s="9">
        <v>83</v>
      </c>
      <c r="E1074" s="9" t="s">
        <v>96</v>
      </c>
      <c r="G1074" s="9" t="s">
        <v>5794</v>
      </c>
      <c r="H1074" s="9" t="s">
        <v>8220</v>
      </c>
      <c r="M1074" s="9" t="s">
        <v>99</v>
      </c>
      <c r="N1074" s="9" t="s">
        <v>8221</v>
      </c>
      <c r="O1074" s="9" t="s">
        <v>99</v>
      </c>
      <c r="P1074" s="9" t="s">
        <v>99</v>
      </c>
      <c r="Q1074" s="9" t="s">
        <v>110</v>
      </c>
      <c r="R1074" s="9" t="s">
        <v>110</v>
      </c>
      <c r="S1074" s="9" t="s">
        <v>99</v>
      </c>
      <c r="T1074" s="9" t="s">
        <v>110</v>
      </c>
      <c r="U1074" s="9" t="s">
        <v>2920</v>
      </c>
      <c r="V1074" s="9" t="s">
        <v>99</v>
      </c>
      <c r="W1074" s="9" t="s">
        <v>99</v>
      </c>
      <c r="X1074" s="9" t="s">
        <v>99</v>
      </c>
      <c r="Z1074" s="9" t="s">
        <v>1903</v>
      </c>
      <c r="AA1074" s="9" t="s">
        <v>100</v>
      </c>
      <c r="AB1074" s="9" t="s">
        <v>7124</v>
      </c>
      <c r="AE1074" s="9" t="s">
        <v>99</v>
      </c>
      <c r="AF1074" s="9" t="s">
        <v>99</v>
      </c>
      <c r="AG1074" s="9" t="s">
        <v>99</v>
      </c>
      <c r="AH1074" s="9" t="s">
        <v>99</v>
      </c>
      <c r="AI1074" s="9" t="s">
        <v>99</v>
      </c>
      <c r="AJ1074" s="9" t="s">
        <v>99</v>
      </c>
      <c r="AL1074" s="9">
        <v>79.7</v>
      </c>
      <c r="AM1074" s="9">
        <v>170</v>
      </c>
      <c r="AN1074" s="9">
        <v>103</v>
      </c>
      <c r="AO1074" s="9">
        <v>109</v>
      </c>
      <c r="AP1074" s="9">
        <v>27.9</v>
      </c>
      <c r="AQ1074" s="9">
        <v>15</v>
      </c>
      <c r="AR1074" s="9">
        <v>29.9</v>
      </c>
      <c r="AS1074" s="9">
        <v>67</v>
      </c>
      <c r="AT1074" s="9">
        <v>27.6</v>
      </c>
      <c r="AU1074" s="9">
        <v>139</v>
      </c>
      <c r="AV1074" s="9">
        <v>96</v>
      </c>
      <c r="DG1074" s="9" t="e">
        <f t="shared" si="16"/>
        <v>#NUM!</v>
      </c>
    </row>
    <row r="1075" spans="2:111" x14ac:dyDescent="0.2">
      <c r="B1075" s="69">
        <v>43299</v>
      </c>
      <c r="C1075" s="9" t="s">
        <v>675</v>
      </c>
      <c r="D1075" s="9">
        <v>53</v>
      </c>
      <c r="E1075" s="9" t="s">
        <v>96</v>
      </c>
      <c r="F1075" s="17">
        <v>23822</v>
      </c>
      <c r="G1075" s="9" t="s">
        <v>1636</v>
      </c>
      <c r="H1075" s="9" t="s">
        <v>4294</v>
      </c>
      <c r="M1075" s="9" t="s">
        <v>8222</v>
      </c>
      <c r="N1075" s="9" t="s">
        <v>99</v>
      </c>
      <c r="O1075" s="9" t="s">
        <v>8223</v>
      </c>
      <c r="P1075" s="9" t="s">
        <v>99</v>
      </c>
      <c r="Q1075" s="9" t="s">
        <v>110</v>
      </c>
      <c r="R1075" s="9" t="s">
        <v>99</v>
      </c>
      <c r="S1075" s="9" t="s">
        <v>110</v>
      </c>
      <c r="Y1075" s="9" t="s">
        <v>7895</v>
      </c>
      <c r="AA1075" s="9" t="s">
        <v>100</v>
      </c>
      <c r="AB1075" s="9" t="s">
        <v>7124</v>
      </c>
      <c r="AC1075" s="9" t="s">
        <v>100</v>
      </c>
      <c r="AD1075" s="9" t="s">
        <v>100</v>
      </c>
      <c r="AE1075" s="9" t="s">
        <v>118</v>
      </c>
      <c r="AF1075" s="9" t="s">
        <v>99</v>
      </c>
      <c r="AG1075" s="9" t="s">
        <v>570</v>
      </c>
      <c r="AH1075" s="9" t="s">
        <v>99</v>
      </c>
      <c r="AI1075" s="9" t="s">
        <v>99</v>
      </c>
      <c r="AJ1075" s="9" t="s">
        <v>99</v>
      </c>
      <c r="AL1075" s="9">
        <v>76.099999999999994</v>
      </c>
      <c r="AM1075" s="9">
        <v>165</v>
      </c>
      <c r="AN1075" s="9">
        <v>101</v>
      </c>
      <c r="AO1075" s="9">
        <v>99</v>
      </c>
      <c r="AP1075" s="9">
        <v>17.7</v>
      </c>
      <c r="AQ1075" s="9">
        <v>8</v>
      </c>
      <c r="AR1075" s="9">
        <v>39.1</v>
      </c>
      <c r="AS1075" s="9">
        <v>49</v>
      </c>
      <c r="AT1075" s="9">
        <v>28</v>
      </c>
      <c r="AU1075" s="9">
        <v>145</v>
      </c>
      <c r="AV1075" s="9">
        <v>103</v>
      </c>
      <c r="AX1075" s="9" t="s">
        <v>2937</v>
      </c>
      <c r="AY1075" s="9" t="s">
        <v>666</v>
      </c>
      <c r="AZ1075" s="9" t="s">
        <v>8224</v>
      </c>
      <c r="BB1075" s="9" t="s">
        <v>3846</v>
      </c>
      <c r="BC1075" s="9" t="s">
        <v>8225</v>
      </c>
      <c r="BD1075" s="9" t="s">
        <v>8226</v>
      </c>
      <c r="BF1075" s="9" t="s">
        <v>176</v>
      </c>
      <c r="BG1075" s="9" t="s">
        <v>175</v>
      </c>
      <c r="BH1075" s="9" t="s">
        <v>350</v>
      </c>
      <c r="BI1075" s="9" t="s">
        <v>175</v>
      </c>
      <c r="BK1075" s="9" t="s">
        <v>3234</v>
      </c>
      <c r="BN1075" s="9" t="s">
        <v>8227</v>
      </c>
      <c r="BO1075" s="9" t="s">
        <v>3833</v>
      </c>
      <c r="BP1075" s="9" t="s">
        <v>2909</v>
      </c>
      <c r="BV1075" s="9" t="s">
        <v>8228</v>
      </c>
      <c r="BZ1075" s="9" t="s">
        <v>671</v>
      </c>
      <c r="CA1075" s="9" t="s">
        <v>3252</v>
      </c>
      <c r="CB1075" s="9" t="s">
        <v>2887</v>
      </c>
      <c r="CD1075" s="9" t="s">
        <v>8229</v>
      </c>
      <c r="CL1075" s="9" t="s">
        <v>8230</v>
      </c>
      <c r="CM1075" s="9" t="s">
        <v>685</v>
      </c>
      <c r="CN1075" s="9" t="s">
        <v>823</v>
      </c>
      <c r="CP1075" s="9" t="s">
        <v>361</v>
      </c>
      <c r="CQ1075" s="9" t="s">
        <v>2098</v>
      </c>
      <c r="CR1075" s="9" t="s">
        <v>3899</v>
      </c>
      <c r="CT1075" s="9" t="s">
        <v>8136</v>
      </c>
      <c r="CW1075" s="9">
        <v>2</v>
      </c>
      <c r="CX1075" s="9" t="s">
        <v>110</v>
      </c>
      <c r="CY1075" s="9" t="s">
        <v>110</v>
      </c>
      <c r="CZ1075" s="9">
        <v>10</v>
      </c>
      <c r="DA1075" s="9">
        <v>40</v>
      </c>
      <c r="DB1075" s="9">
        <v>50</v>
      </c>
      <c r="DG1075" s="9" t="e">
        <f t="shared" si="16"/>
        <v>#NUM!</v>
      </c>
    </row>
    <row r="1076" spans="2:111" x14ac:dyDescent="0.2">
      <c r="B1076" s="69">
        <v>43299</v>
      </c>
      <c r="C1076" s="9" t="s">
        <v>675</v>
      </c>
      <c r="D1076" s="9">
        <v>20</v>
      </c>
      <c r="E1076" s="9" t="s">
        <v>96</v>
      </c>
      <c r="F1076" s="17">
        <v>35691</v>
      </c>
      <c r="G1076" s="9" t="s">
        <v>2313</v>
      </c>
      <c r="H1076" s="9" t="s">
        <v>8231</v>
      </c>
      <c r="M1076" s="9" t="s">
        <v>99</v>
      </c>
      <c r="N1076" s="9" t="s">
        <v>99</v>
      </c>
      <c r="O1076" s="9" t="s">
        <v>99</v>
      </c>
      <c r="P1076" s="9" t="s">
        <v>110</v>
      </c>
      <c r="Q1076" s="9" t="s">
        <v>110</v>
      </c>
      <c r="R1076" s="9" t="s">
        <v>110</v>
      </c>
      <c r="S1076" s="9" t="s">
        <v>110</v>
      </c>
      <c r="W1076" s="9" t="s">
        <v>8232</v>
      </c>
      <c r="Y1076" s="9" t="s">
        <v>7895</v>
      </c>
      <c r="AA1076" s="9" t="s">
        <v>100</v>
      </c>
      <c r="AB1076" s="9" t="s">
        <v>100</v>
      </c>
      <c r="AC1076" s="9" t="s">
        <v>100</v>
      </c>
      <c r="AD1076" s="9" t="s">
        <v>100</v>
      </c>
      <c r="AE1076" s="9" t="s">
        <v>2627</v>
      </c>
      <c r="AF1076" s="9" t="s">
        <v>534</v>
      </c>
      <c r="AG1076" s="9" t="s">
        <v>8233</v>
      </c>
      <c r="AH1076" s="9" t="s">
        <v>99</v>
      </c>
      <c r="AI1076" s="9" t="s">
        <v>99</v>
      </c>
      <c r="AJ1076" s="9" t="s">
        <v>99</v>
      </c>
      <c r="AK1076" s="9" t="s">
        <v>99</v>
      </c>
      <c r="AL1076" s="9">
        <v>95.5</v>
      </c>
      <c r="AM1076" s="9">
        <v>177</v>
      </c>
      <c r="AN1076" s="9">
        <v>100.5</v>
      </c>
      <c r="AO1076" s="9">
        <v>115</v>
      </c>
      <c r="AP1076" s="9">
        <v>36.6</v>
      </c>
      <c r="AQ1076" s="9">
        <v>12</v>
      </c>
      <c r="AR1076" s="9">
        <v>30.5</v>
      </c>
      <c r="AS1076" s="9">
        <v>59</v>
      </c>
      <c r="AT1076" s="9">
        <v>30.5</v>
      </c>
      <c r="AU1076" s="9">
        <v>130</v>
      </c>
      <c r="AV1076" s="9">
        <v>95</v>
      </c>
      <c r="AX1076" s="9" t="s">
        <v>2937</v>
      </c>
      <c r="AY1076" s="9" t="s">
        <v>8234</v>
      </c>
      <c r="AZ1076" s="9" t="s">
        <v>666</v>
      </c>
      <c r="BB1076" s="9" t="s">
        <v>3814</v>
      </c>
      <c r="BC1076" s="9" t="s">
        <v>3276</v>
      </c>
      <c r="BF1076" s="9" t="s">
        <v>176</v>
      </c>
      <c r="BG1076" s="9" t="s">
        <v>175</v>
      </c>
      <c r="BH1076" s="9" t="s">
        <v>142</v>
      </c>
      <c r="BI1076" s="9" t="s">
        <v>176</v>
      </c>
      <c r="BJ1076" s="9" t="s">
        <v>350</v>
      </c>
      <c r="BK1076" s="9" t="s">
        <v>2445</v>
      </c>
      <c r="BN1076" s="9" t="s">
        <v>3450</v>
      </c>
      <c r="BO1076" s="9" t="s">
        <v>5318</v>
      </c>
      <c r="BP1076" s="9" t="s">
        <v>8152</v>
      </c>
      <c r="BV1076" s="9" t="s">
        <v>8228</v>
      </c>
      <c r="BZ1076" s="9" t="s">
        <v>8235</v>
      </c>
      <c r="CA1076" s="9" t="s">
        <v>709</v>
      </c>
      <c r="CB1076" s="9" t="s">
        <v>357</v>
      </c>
      <c r="CH1076" s="9" t="s">
        <v>8236</v>
      </c>
      <c r="CL1076" s="9" t="s">
        <v>685</v>
      </c>
      <c r="CM1076" s="9" t="s">
        <v>7772</v>
      </c>
      <c r="CN1076" s="9" t="s">
        <v>823</v>
      </c>
      <c r="CP1076" s="9" t="s">
        <v>890</v>
      </c>
      <c r="CQ1076" s="9" t="s">
        <v>2641</v>
      </c>
      <c r="CT1076" s="9" t="s">
        <v>8237</v>
      </c>
      <c r="CU1076" s="9" t="s">
        <v>8238</v>
      </c>
      <c r="CV1076" s="9" t="s">
        <v>8239</v>
      </c>
      <c r="CW1076" s="9">
        <v>3</v>
      </c>
      <c r="CX1076" s="9" t="s">
        <v>99</v>
      </c>
      <c r="CY1076" s="9" t="s">
        <v>99</v>
      </c>
      <c r="CZ1076" s="9">
        <v>2</v>
      </c>
      <c r="DA1076" s="9">
        <v>25</v>
      </c>
      <c r="DB1076" s="9">
        <v>50</v>
      </c>
      <c r="DG1076" s="9" t="e">
        <f t="shared" si="16"/>
        <v>#NUM!</v>
      </c>
    </row>
    <row r="1077" spans="2:111" x14ac:dyDescent="0.2">
      <c r="B1077" s="69">
        <v>43299</v>
      </c>
      <c r="C1077" s="9" t="s">
        <v>196</v>
      </c>
      <c r="D1077" s="9">
        <v>52</v>
      </c>
      <c r="E1077" s="9" t="s">
        <v>96</v>
      </c>
      <c r="F1077" s="17">
        <v>24237</v>
      </c>
      <c r="G1077" s="9" t="s">
        <v>197</v>
      </c>
      <c r="H1077" s="9" t="s">
        <v>3864</v>
      </c>
      <c r="I1077" s="9">
        <v>12</v>
      </c>
      <c r="J1077" s="9">
        <v>50</v>
      </c>
      <c r="K1077" s="9">
        <v>41</v>
      </c>
      <c r="L1077" s="9">
        <v>3</v>
      </c>
      <c r="M1077" s="9" t="s">
        <v>99</v>
      </c>
      <c r="N1077" s="9" t="s">
        <v>99</v>
      </c>
      <c r="O1077" s="9" t="s">
        <v>99</v>
      </c>
      <c r="P1077" s="9" t="s">
        <v>99</v>
      </c>
      <c r="Q1077" s="9" t="s">
        <v>110</v>
      </c>
      <c r="R1077" s="9" t="s">
        <v>99</v>
      </c>
      <c r="S1077" s="9" t="s">
        <v>99</v>
      </c>
      <c r="T1077" s="9" t="s">
        <v>99</v>
      </c>
      <c r="U1077" s="9" t="s">
        <v>8240</v>
      </c>
      <c r="V1077" s="9" t="s">
        <v>8241</v>
      </c>
      <c r="W1077" s="9" t="s">
        <v>99</v>
      </c>
      <c r="X1077" s="9" t="s">
        <v>99</v>
      </c>
      <c r="Y1077" s="9" t="s">
        <v>1903</v>
      </c>
      <c r="AA1077" s="9" t="s">
        <v>8242</v>
      </c>
      <c r="AB1077" s="9" t="s">
        <v>8242</v>
      </c>
      <c r="AC1077" s="9" t="s">
        <v>100</v>
      </c>
      <c r="AD1077" s="9" t="s">
        <v>100</v>
      </c>
      <c r="AE1077" s="9" t="s">
        <v>99</v>
      </c>
      <c r="AF1077" s="9" t="s">
        <v>664</v>
      </c>
      <c r="AG1077" s="9" t="s">
        <v>126</v>
      </c>
      <c r="AH1077" s="9" t="s">
        <v>99</v>
      </c>
      <c r="AI1077" s="9" t="s">
        <v>99</v>
      </c>
      <c r="AJ1077" s="9" t="s">
        <v>99</v>
      </c>
      <c r="DG1077" s="9" t="e">
        <f t="shared" si="16"/>
        <v>#NUM!</v>
      </c>
    </row>
    <row r="1078" spans="2:111" x14ac:dyDescent="0.2">
      <c r="B1078" s="69">
        <v>43300</v>
      </c>
      <c r="C1078" s="9" t="s">
        <v>196</v>
      </c>
      <c r="AL1078" s="9">
        <v>74.099999999999994</v>
      </c>
      <c r="AM1078" s="9">
        <v>168</v>
      </c>
      <c r="AN1078" s="9">
        <v>93</v>
      </c>
      <c r="AO1078" s="9">
        <v>110</v>
      </c>
      <c r="AP1078" s="9">
        <v>43.4</v>
      </c>
      <c r="AQ1078" s="9">
        <v>9</v>
      </c>
      <c r="AR1078" s="9">
        <v>22.6</v>
      </c>
      <c r="AS1078" s="9">
        <v>58</v>
      </c>
      <c r="AT1078" s="9">
        <v>26.3</v>
      </c>
      <c r="AU1078" s="9">
        <v>128</v>
      </c>
      <c r="AV1078" s="9">
        <v>93</v>
      </c>
      <c r="DG1078" s="9" t="e">
        <f t="shared" si="16"/>
        <v>#NUM!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227"/>
  <sheetViews>
    <sheetView workbookViewId="0">
      <selection activeCell="B2" sqref="B1:B1048576"/>
    </sheetView>
  </sheetViews>
  <sheetFormatPr baseColWidth="10" defaultColWidth="11.5" defaultRowHeight="15" x14ac:dyDescent="0.2"/>
  <cols>
    <col min="1" max="1" width="10.33203125" style="9" customWidth="1"/>
    <col min="2" max="2" width="13.5" style="9" customWidth="1"/>
    <col min="3" max="3" width="11.5" style="9"/>
    <col min="4" max="4" width="8.83203125" style="9" customWidth="1"/>
    <col min="5" max="5" width="11.5" style="9"/>
    <col min="6" max="6" width="13.33203125" style="9" customWidth="1"/>
    <col min="7" max="7" width="11.5" style="9"/>
    <col min="8" max="8" width="22.6640625" style="9" customWidth="1"/>
    <col min="9" max="9" width="13.1640625" style="9" customWidth="1"/>
    <col min="10" max="24" width="11.5" style="9"/>
    <col min="25" max="25" width="22.83203125" style="9" customWidth="1"/>
    <col min="26" max="26" width="23" style="9" customWidth="1"/>
    <col min="27" max="100" width="11.5" style="9"/>
    <col min="101" max="101" width="13.6640625" style="9" customWidth="1"/>
    <col min="102" max="119" width="11.5" style="9"/>
    <col min="120" max="120" width="11.5" style="11"/>
    <col min="121" max="125" width="11.5" style="9"/>
    <col min="126" max="126" width="11.5" style="6"/>
    <col min="127" max="16384" width="11.5" style="9"/>
  </cols>
  <sheetData>
    <row r="1" spans="1:125" s="1" customFormat="1" x14ac:dyDescent="0.2">
      <c r="A1" s="249" t="s">
        <v>0</v>
      </c>
      <c r="B1" s="249"/>
      <c r="C1" s="249"/>
      <c r="D1" s="249"/>
      <c r="E1" s="249"/>
      <c r="F1" s="249"/>
      <c r="G1" s="249"/>
      <c r="H1" s="249"/>
      <c r="I1" s="249" t="s">
        <v>1</v>
      </c>
      <c r="J1" s="249"/>
      <c r="K1" s="249"/>
      <c r="L1" s="249"/>
      <c r="M1" s="249" t="s">
        <v>2</v>
      </c>
      <c r="N1" s="249"/>
      <c r="O1" s="249"/>
      <c r="P1" s="249"/>
      <c r="Q1" s="249"/>
      <c r="R1" s="249"/>
      <c r="S1" s="249"/>
      <c r="T1" s="249"/>
      <c r="U1" s="249" t="s">
        <v>3</v>
      </c>
      <c r="V1" s="249"/>
      <c r="W1" s="249"/>
      <c r="X1" s="249"/>
      <c r="Y1" s="249"/>
      <c r="Z1" s="249"/>
      <c r="AA1" s="249" t="s">
        <v>4</v>
      </c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 t="s">
        <v>5</v>
      </c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 t="s">
        <v>6</v>
      </c>
      <c r="AX1" s="249"/>
      <c r="AY1" s="249"/>
      <c r="AZ1" s="249"/>
      <c r="BA1" s="249"/>
      <c r="BB1" s="249"/>
      <c r="BC1" s="249"/>
      <c r="BD1" s="249"/>
      <c r="BE1" s="249"/>
      <c r="BF1" s="249"/>
      <c r="BG1" s="249"/>
      <c r="BH1" s="249"/>
      <c r="BI1" s="249"/>
      <c r="BJ1" s="249"/>
      <c r="BK1" s="249"/>
      <c r="BL1" s="249"/>
      <c r="BM1" s="249"/>
      <c r="BN1" s="249"/>
      <c r="BO1" s="249"/>
      <c r="BP1" s="249"/>
      <c r="BQ1" s="249"/>
      <c r="BR1" s="249"/>
      <c r="BS1" s="249"/>
      <c r="BT1" s="249"/>
      <c r="BU1" s="249"/>
      <c r="BV1" s="249"/>
      <c r="BW1" s="249"/>
      <c r="BX1" s="249"/>
      <c r="BY1" s="249"/>
      <c r="BZ1" s="249"/>
      <c r="CA1" s="249"/>
      <c r="CB1" s="249"/>
      <c r="CC1" s="249"/>
      <c r="CD1" s="249"/>
      <c r="CE1" s="249"/>
      <c r="CF1" s="249"/>
      <c r="CG1" s="249"/>
      <c r="CH1" s="249"/>
      <c r="CI1" s="249"/>
      <c r="CJ1" s="249"/>
      <c r="CK1" s="249"/>
      <c r="CL1" s="249"/>
      <c r="CM1" s="249"/>
      <c r="CN1" s="249"/>
      <c r="CO1" s="249"/>
      <c r="CP1" s="249"/>
      <c r="CQ1" s="249"/>
      <c r="CR1" s="249"/>
      <c r="CS1" s="249"/>
      <c r="CT1" s="249"/>
      <c r="CU1" s="249"/>
      <c r="CV1" s="249"/>
      <c r="CW1" s="249" t="s">
        <v>7</v>
      </c>
      <c r="CX1" s="249"/>
      <c r="CY1" s="249"/>
      <c r="CZ1" s="249"/>
      <c r="DA1" s="249"/>
      <c r="DB1" s="249"/>
      <c r="DC1" s="249" t="s">
        <v>8</v>
      </c>
      <c r="DD1" s="249"/>
      <c r="DE1" s="249"/>
      <c r="DF1" s="249"/>
      <c r="DG1" s="249"/>
      <c r="DH1" s="249"/>
      <c r="DI1" s="249"/>
      <c r="DJ1" s="249"/>
      <c r="DK1" s="249"/>
      <c r="DL1" s="249"/>
      <c r="DM1" s="249"/>
      <c r="DP1" s="2"/>
    </row>
    <row r="2" spans="1:125" s="3" customFormat="1" x14ac:dyDescent="0.2">
      <c r="A2" s="3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  <c r="AD2" s="3" t="s">
        <v>38</v>
      </c>
      <c r="AE2" s="3" t="s">
        <v>21</v>
      </c>
      <c r="AF2" s="3" t="s">
        <v>22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43</v>
      </c>
      <c r="AL2" s="3" t="s">
        <v>44</v>
      </c>
      <c r="AM2" s="3" t="s">
        <v>45</v>
      </c>
      <c r="AN2" s="3" t="s">
        <v>46</v>
      </c>
      <c r="AO2" s="3" t="s">
        <v>47</v>
      </c>
      <c r="AP2" s="3" t="s">
        <v>48</v>
      </c>
      <c r="AQ2" s="3" t="s">
        <v>49</v>
      </c>
      <c r="AR2" s="3" t="s">
        <v>50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>
        <v>1</v>
      </c>
      <c r="AY2" s="3">
        <v>2</v>
      </c>
      <c r="AZ2" s="3">
        <v>3</v>
      </c>
      <c r="BA2" s="3" t="s">
        <v>56</v>
      </c>
      <c r="BB2" s="3">
        <v>1</v>
      </c>
      <c r="BC2" s="3">
        <v>2</v>
      </c>
      <c r="BD2" s="3">
        <v>3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>
        <v>1</v>
      </c>
      <c r="BO2" s="3">
        <v>2</v>
      </c>
      <c r="BP2" s="3">
        <v>3</v>
      </c>
      <c r="BQ2" s="3" t="s">
        <v>66</v>
      </c>
      <c r="BR2" s="3">
        <v>1</v>
      </c>
      <c r="BS2" s="3">
        <v>2</v>
      </c>
      <c r="BT2" s="3">
        <v>3</v>
      </c>
      <c r="BU2" s="3" t="s">
        <v>67</v>
      </c>
      <c r="BV2" s="3">
        <v>1</v>
      </c>
      <c r="BW2" s="3">
        <v>2</v>
      </c>
      <c r="BX2" s="3">
        <v>3</v>
      </c>
      <c r="BY2" s="3" t="s">
        <v>68</v>
      </c>
      <c r="BZ2" s="3">
        <v>1</v>
      </c>
      <c r="CA2" s="3">
        <v>2</v>
      </c>
      <c r="CB2" s="3">
        <v>3</v>
      </c>
      <c r="CC2" s="3" t="s">
        <v>66</v>
      </c>
      <c r="CD2" s="3">
        <v>1</v>
      </c>
      <c r="CE2" s="3">
        <v>2</v>
      </c>
      <c r="CF2" s="3">
        <v>3</v>
      </c>
      <c r="CG2" s="3" t="s">
        <v>67</v>
      </c>
      <c r="CH2" s="3">
        <v>1</v>
      </c>
      <c r="CI2" s="3">
        <v>2</v>
      </c>
      <c r="CJ2" s="3">
        <v>3</v>
      </c>
      <c r="CK2" s="3" t="s">
        <v>69</v>
      </c>
      <c r="CL2" s="3">
        <v>1</v>
      </c>
      <c r="CM2" s="3">
        <v>2</v>
      </c>
      <c r="CN2" s="3">
        <v>3</v>
      </c>
      <c r="CO2" s="3" t="s">
        <v>70</v>
      </c>
      <c r="CP2" s="3">
        <v>1</v>
      </c>
      <c r="CQ2" s="3">
        <v>2</v>
      </c>
      <c r="CR2" s="3">
        <v>3</v>
      </c>
      <c r="CS2" s="3" t="s">
        <v>71</v>
      </c>
      <c r="CT2" s="3">
        <v>1</v>
      </c>
      <c r="CU2" s="3">
        <v>2</v>
      </c>
      <c r="CV2" s="3">
        <v>3</v>
      </c>
      <c r="CW2" s="3" t="s">
        <v>72</v>
      </c>
      <c r="CX2" s="3" t="s">
        <v>73</v>
      </c>
      <c r="CY2" s="3" t="s">
        <v>74</v>
      </c>
      <c r="CZ2" s="4" t="s">
        <v>75</v>
      </c>
      <c r="DA2" s="3" t="s">
        <v>76</v>
      </c>
      <c r="DB2" s="3" t="s">
        <v>77</v>
      </c>
      <c r="DC2" s="3" t="s">
        <v>78</v>
      </c>
      <c r="DD2" s="3" t="s">
        <v>79</v>
      </c>
      <c r="DE2" s="3" t="s">
        <v>80</v>
      </c>
      <c r="DF2" s="3" t="s">
        <v>81</v>
      </c>
      <c r="DG2" s="3" t="s">
        <v>82</v>
      </c>
      <c r="DH2" s="3" t="s">
        <v>83</v>
      </c>
      <c r="DI2" s="3" t="s">
        <v>84</v>
      </c>
      <c r="DJ2" s="3" t="s">
        <v>85</v>
      </c>
      <c r="DK2" s="3" t="s">
        <v>86</v>
      </c>
      <c r="DL2" s="3" t="s">
        <v>87</v>
      </c>
      <c r="DM2" s="3" t="s">
        <v>88</v>
      </c>
      <c r="DN2" s="3" t="s">
        <v>89</v>
      </c>
      <c r="DO2" s="3" t="s">
        <v>90</v>
      </c>
      <c r="DP2" s="5">
        <v>150</v>
      </c>
      <c r="DQ2" s="3">
        <v>822</v>
      </c>
      <c r="DR2" s="3">
        <v>513</v>
      </c>
      <c r="DS2" s="3">
        <v>2019</v>
      </c>
      <c r="DT2" s="3" t="s">
        <v>91</v>
      </c>
      <c r="DU2" s="3" t="s">
        <v>92</v>
      </c>
    </row>
    <row r="3" spans="1:125" x14ac:dyDescent="0.2">
      <c r="A3" s="14" t="s">
        <v>106</v>
      </c>
      <c r="B3" s="8"/>
      <c r="C3" s="6" t="s">
        <v>107</v>
      </c>
      <c r="D3" s="6">
        <v>53</v>
      </c>
      <c r="E3" s="9" t="s">
        <v>96</v>
      </c>
      <c r="F3" s="8"/>
      <c r="G3" s="9" t="s">
        <v>108</v>
      </c>
      <c r="H3" s="6" t="s">
        <v>109</v>
      </c>
      <c r="M3" s="6"/>
      <c r="N3" s="6"/>
      <c r="O3" s="6"/>
      <c r="P3" s="6"/>
      <c r="Q3" s="6"/>
      <c r="R3" s="6" t="s">
        <v>110</v>
      </c>
      <c r="Y3" s="6"/>
      <c r="AB3" s="6"/>
      <c r="AC3" s="6"/>
      <c r="AE3" s="6"/>
      <c r="AF3" s="6"/>
      <c r="AG3" s="6"/>
      <c r="AH3" s="6"/>
      <c r="AI3" s="6"/>
      <c r="AJ3" s="6"/>
      <c r="AK3" s="6"/>
      <c r="AL3" s="6">
        <v>78.900000000000006</v>
      </c>
      <c r="AN3" s="6"/>
      <c r="AO3" s="6"/>
      <c r="AP3" s="6"/>
      <c r="AQ3" s="6"/>
      <c r="AR3" s="6"/>
      <c r="AS3" s="6"/>
      <c r="AT3" s="6">
        <v>29.7</v>
      </c>
      <c r="AU3" s="15">
        <v>130</v>
      </c>
      <c r="AV3" s="15">
        <v>85</v>
      </c>
      <c r="DC3" s="15">
        <v>137.9</v>
      </c>
      <c r="DD3" s="6">
        <v>1</v>
      </c>
      <c r="DE3" s="15">
        <v>224</v>
      </c>
      <c r="DF3" s="15">
        <v>205</v>
      </c>
      <c r="DG3" s="9">
        <f t="shared" ref="DG3:DG66" si="0">LN(DF3*DC3)/2</f>
        <v>5.1247693819688322</v>
      </c>
      <c r="DH3" s="6">
        <v>41</v>
      </c>
      <c r="DI3" s="6">
        <v>5.31</v>
      </c>
      <c r="DJ3" s="6">
        <v>61.1</v>
      </c>
      <c r="DK3" s="6">
        <v>37.9</v>
      </c>
      <c r="DL3" s="6">
        <v>46.6</v>
      </c>
      <c r="DM3" s="6">
        <v>136.4</v>
      </c>
      <c r="DN3" s="6"/>
      <c r="DP3" s="11">
        <v>3</v>
      </c>
      <c r="DQ3" s="6" t="s">
        <v>111</v>
      </c>
      <c r="DR3" s="9">
        <v>3</v>
      </c>
      <c r="DT3" s="9">
        <v>2.62</v>
      </c>
      <c r="DU3" s="9">
        <v>11.5</v>
      </c>
    </row>
    <row r="4" spans="1:125" x14ac:dyDescent="0.2">
      <c r="A4" s="14" t="s">
        <v>113</v>
      </c>
      <c r="B4" s="8">
        <v>42191</v>
      </c>
      <c r="C4" s="6" t="s">
        <v>95</v>
      </c>
      <c r="D4" s="6">
        <v>52</v>
      </c>
      <c r="E4" s="6" t="s">
        <v>100</v>
      </c>
      <c r="F4" s="8"/>
      <c r="H4" s="6" t="s">
        <v>109</v>
      </c>
      <c r="M4" s="6" t="s">
        <v>114</v>
      </c>
      <c r="N4" s="6" t="s">
        <v>114</v>
      </c>
      <c r="O4" s="6" t="s">
        <v>114</v>
      </c>
      <c r="P4" s="6" t="s">
        <v>115</v>
      </c>
      <c r="Q4" s="6" t="s">
        <v>116</v>
      </c>
      <c r="R4" s="6" t="s">
        <v>110</v>
      </c>
      <c r="Y4" s="6" t="s">
        <v>116</v>
      </c>
      <c r="AA4" s="6" t="s">
        <v>100</v>
      </c>
      <c r="AB4" s="6" t="s">
        <v>100</v>
      </c>
      <c r="AC4" s="6" t="s">
        <v>100</v>
      </c>
      <c r="AD4" s="6" t="s">
        <v>100</v>
      </c>
      <c r="AE4" s="15" t="s">
        <v>117</v>
      </c>
      <c r="AF4" s="15" t="s">
        <v>118</v>
      </c>
      <c r="AG4" s="6" t="s">
        <v>119</v>
      </c>
      <c r="AH4" s="6" t="s">
        <v>115</v>
      </c>
      <c r="AI4" s="6" t="s">
        <v>116</v>
      </c>
      <c r="AJ4" s="6" t="s">
        <v>115</v>
      </c>
      <c r="AK4" s="6" t="s">
        <v>115</v>
      </c>
      <c r="AL4" s="6">
        <v>77.8</v>
      </c>
      <c r="AM4" s="9">
        <v>155</v>
      </c>
      <c r="AN4" s="15">
        <v>102</v>
      </c>
      <c r="AO4" s="6">
        <v>108</v>
      </c>
      <c r="AP4" s="6">
        <v>51.1</v>
      </c>
      <c r="AQ4" s="6">
        <v>11</v>
      </c>
      <c r="AR4" s="6">
        <v>20</v>
      </c>
      <c r="AS4" s="6">
        <v>52</v>
      </c>
      <c r="AT4" s="6">
        <v>32.4</v>
      </c>
      <c r="AU4" s="6">
        <v>118</v>
      </c>
      <c r="AV4" s="6">
        <v>73</v>
      </c>
      <c r="CZ4" s="9">
        <v>60</v>
      </c>
      <c r="DA4" s="9">
        <v>30</v>
      </c>
      <c r="DB4" s="9">
        <v>10</v>
      </c>
      <c r="DC4" s="15">
        <v>127</v>
      </c>
      <c r="DD4" s="6"/>
      <c r="DE4" s="6">
        <v>193</v>
      </c>
      <c r="DF4" s="15">
        <v>203</v>
      </c>
      <c r="DG4" s="9">
        <f t="shared" si="0"/>
        <v>5.0786965327501896</v>
      </c>
      <c r="DH4" s="6"/>
      <c r="DI4" s="6"/>
      <c r="DJ4" s="6"/>
      <c r="DK4" s="6"/>
      <c r="DL4" s="6"/>
      <c r="DM4" s="6"/>
      <c r="DN4" s="6"/>
      <c r="DP4" s="11">
        <v>3</v>
      </c>
      <c r="DQ4" s="6" t="s">
        <v>105</v>
      </c>
      <c r="DR4" s="9">
        <v>3</v>
      </c>
      <c r="DT4" s="9">
        <v>4.93</v>
      </c>
      <c r="DU4" s="9">
        <v>6.42</v>
      </c>
    </row>
    <row r="5" spans="1:125" x14ac:dyDescent="0.2">
      <c r="A5" s="14" t="s">
        <v>127</v>
      </c>
      <c r="B5" s="8">
        <v>42192</v>
      </c>
      <c r="C5" s="6" t="s">
        <v>95</v>
      </c>
      <c r="D5" s="6">
        <v>32</v>
      </c>
      <c r="E5" s="6" t="s">
        <v>100</v>
      </c>
      <c r="F5" s="8"/>
      <c r="H5" s="6" t="s">
        <v>109</v>
      </c>
      <c r="M5" s="6" t="s">
        <v>114</v>
      </c>
      <c r="N5" s="6" t="s">
        <v>114</v>
      </c>
      <c r="O5" s="6" t="s">
        <v>114</v>
      </c>
      <c r="P5" s="15" t="s">
        <v>128</v>
      </c>
      <c r="Q5" s="6" t="s">
        <v>116</v>
      </c>
      <c r="R5" s="6" t="s">
        <v>110</v>
      </c>
      <c r="Y5" s="6" t="s">
        <v>115</v>
      </c>
      <c r="AA5" s="6" t="s">
        <v>100</v>
      </c>
      <c r="AB5" s="6" t="s">
        <v>100</v>
      </c>
      <c r="AC5" s="6" t="s">
        <v>100</v>
      </c>
      <c r="AD5" s="6" t="s">
        <v>100</v>
      </c>
      <c r="AE5" s="15" t="s">
        <v>129</v>
      </c>
      <c r="AF5" s="15" t="s">
        <v>118</v>
      </c>
      <c r="AG5" s="15" t="s">
        <v>130</v>
      </c>
      <c r="AH5" s="6" t="s">
        <v>116</v>
      </c>
      <c r="AI5" s="15" t="s">
        <v>118</v>
      </c>
      <c r="AJ5" s="6" t="s">
        <v>115</v>
      </c>
      <c r="AK5" s="6" t="s">
        <v>119</v>
      </c>
      <c r="AL5" s="6">
        <v>82.4</v>
      </c>
      <c r="AN5" s="15">
        <v>102</v>
      </c>
      <c r="AO5" s="6">
        <v>103</v>
      </c>
      <c r="AP5" s="6">
        <v>47.6</v>
      </c>
      <c r="AQ5" s="6">
        <v>8</v>
      </c>
      <c r="AR5" s="6">
        <v>22.5</v>
      </c>
      <c r="AS5" s="6">
        <v>54</v>
      </c>
      <c r="AT5" s="6">
        <v>31</v>
      </c>
      <c r="AU5" s="6">
        <v>95</v>
      </c>
      <c r="AV5" s="6">
        <v>67</v>
      </c>
      <c r="DC5" s="16">
        <v>165</v>
      </c>
      <c r="DD5" s="6">
        <v>0.38</v>
      </c>
      <c r="DE5" s="15">
        <v>207</v>
      </c>
      <c r="DF5" s="15">
        <v>272</v>
      </c>
      <c r="DG5" s="9">
        <f t="shared" si="0"/>
        <v>5.355873770098289</v>
      </c>
      <c r="DH5" s="6"/>
      <c r="DI5" s="6">
        <v>4</v>
      </c>
      <c r="DJ5" s="6"/>
      <c r="DK5" s="6"/>
      <c r="DL5" s="6"/>
      <c r="DM5" s="6"/>
      <c r="DN5" s="6"/>
      <c r="DP5" s="11">
        <v>3</v>
      </c>
      <c r="DQ5" s="6" t="s">
        <v>105</v>
      </c>
      <c r="DR5" s="9">
        <v>3</v>
      </c>
      <c r="DT5" s="9">
        <v>3</v>
      </c>
    </row>
    <row r="6" spans="1:125" x14ac:dyDescent="0.2">
      <c r="A6" s="14" t="s">
        <v>131</v>
      </c>
      <c r="B6" s="8">
        <v>42193</v>
      </c>
      <c r="C6" s="6" t="s">
        <v>107</v>
      </c>
      <c r="D6" s="6">
        <v>53</v>
      </c>
      <c r="E6" s="6" t="s">
        <v>100</v>
      </c>
      <c r="F6" s="17"/>
      <c r="H6" s="6" t="s">
        <v>109</v>
      </c>
      <c r="M6" s="6" t="s">
        <v>114</v>
      </c>
      <c r="N6" s="15" t="s">
        <v>132</v>
      </c>
      <c r="O6" s="6" t="s">
        <v>114</v>
      </c>
      <c r="P6" s="15" t="s">
        <v>133</v>
      </c>
      <c r="Q6" s="6" t="s">
        <v>116</v>
      </c>
      <c r="R6" s="6" t="s">
        <v>110</v>
      </c>
      <c r="Y6" s="15" t="s">
        <v>134</v>
      </c>
      <c r="AA6" s="6" t="s">
        <v>100</v>
      </c>
      <c r="AB6" s="6" t="s">
        <v>100</v>
      </c>
      <c r="AC6" s="6" t="s">
        <v>100</v>
      </c>
      <c r="AD6" s="6" t="s">
        <v>100</v>
      </c>
      <c r="AE6" s="15" t="s">
        <v>135</v>
      </c>
      <c r="AF6" s="6"/>
      <c r="AG6" s="15" t="s">
        <v>135</v>
      </c>
      <c r="AH6" s="6" t="s">
        <v>119</v>
      </c>
      <c r="AI6" s="6" t="s">
        <v>115</v>
      </c>
      <c r="AJ6" s="6" t="s">
        <v>116</v>
      </c>
      <c r="AK6" s="6" t="s">
        <v>115</v>
      </c>
      <c r="AL6" s="6">
        <v>95</v>
      </c>
      <c r="AN6" s="15">
        <v>110</v>
      </c>
      <c r="AO6" s="6">
        <v>118</v>
      </c>
      <c r="AP6" s="6">
        <v>33.4</v>
      </c>
      <c r="AQ6" s="6">
        <v>16</v>
      </c>
      <c r="AR6" s="6">
        <v>29.7</v>
      </c>
      <c r="AS6" s="6">
        <v>69</v>
      </c>
      <c r="AT6" s="6">
        <v>30.7</v>
      </c>
      <c r="AU6" s="15">
        <v>149</v>
      </c>
      <c r="AV6" s="15">
        <v>97</v>
      </c>
      <c r="CZ6" s="9">
        <v>40</v>
      </c>
      <c r="DA6" s="9">
        <v>40</v>
      </c>
      <c r="DB6" s="9">
        <v>20</v>
      </c>
      <c r="DC6" s="15">
        <v>120</v>
      </c>
      <c r="DD6" s="6">
        <v>0.85</v>
      </c>
      <c r="DE6" s="6">
        <v>180</v>
      </c>
      <c r="DF6" s="15">
        <v>249</v>
      </c>
      <c r="DG6" s="9">
        <f t="shared" si="0"/>
        <v>5.152472319623377</v>
      </c>
      <c r="DH6" s="6"/>
      <c r="DI6" s="15">
        <v>6.97</v>
      </c>
      <c r="DJ6" s="6"/>
      <c r="DK6" s="6"/>
      <c r="DL6" s="6"/>
      <c r="DM6" s="6"/>
      <c r="DN6" s="6"/>
      <c r="DP6" s="11">
        <v>3</v>
      </c>
      <c r="DQ6" s="6" t="s">
        <v>111</v>
      </c>
      <c r="DR6" s="9">
        <v>3</v>
      </c>
      <c r="DT6" s="9">
        <v>4.28</v>
      </c>
      <c r="DU6" s="9">
        <v>9.1199999999999992</v>
      </c>
    </row>
    <row r="7" spans="1:125" x14ac:dyDescent="0.2">
      <c r="A7" s="14" t="s">
        <v>136</v>
      </c>
      <c r="B7" s="8">
        <v>42193</v>
      </c>
      <c r="C7" s="6" t="s">
        <v>95</v>
      </c>
      <c r="D7" s="6">
        <v>56</v>
      </c>
      <c r="E7" s="6" t="s">
        <v>100</v>
      </c>
      <c r="F7" s="8"/>
      <c r="H7" s="6" t="s">
        <v>109</v>
      </c>
      <c r="J7" s="10">
        <v>2013</v>
      </c>
      <c r="M7" s="6" t="s">
        <v>114</v>
      </c>
      <c r="N7" s="15" t="s">
        <v>137</v>
      </c>
      <c r="O7" s="6" t="s">
        <v>116</v>
      </c>
      <c r="P7" s="15" t="s">
        <v>110</v>
      </c>
      <c r="Q7" s="6" t="s">
        <v>116</v>
      </c>
      <c r="R7" s="6" t="s">
        <v>110</v>
      </c>
      <c r="Y7" s="15" t="s">
        <v>138</v>
      </c>
      <c r="AA7" s="6" t="s">
        <v>100</v>
      </c>
      <c r="AB7" s="6" t="s">
        <v>100</v>
      </c>
      <c r="AC7" s="6" t="s">
        <v>100</v>
      </c>
      <c r="AD7" s="6" t="s">
        <v>100</v>
      </c>
      <c r="AE7" s="15" t="s">
        <v>110</v>
      </c>
      <c r="AF7" s="15" t="s">
        <v>110</v>
      </c>
      <c r="AG7" s="15" t="s">
        <v>139</v>
      </c>
      <c r="AH7" s="6" t="s">
        <v>115</v>
      </c>
      <c r="AI7" s="15" t="s">
        <v>110</v>
      </c>
      <c r="AJ7" s="6" t="s">
        <v>115</v>
      </c>
      <c r="AK7" s="6" t="s">
        <v>116</v>
      </c>
      <c r="AL7" s="6">
        <v>84</v>
      </c>
      <c r="AN7" s="15">
        <v>94</v>
      </c>
      <c r="AO7" s="6">
        <v>102</v>
      </c>
      <c r="AP7" s="6">
        <v>43.6</v>
      </c>
      <c r="AQ7" s="6">
        <v>10</v>
      </c>
      <c r="AR7" s="6">
        <v>24.1</v>
      </c>
      <c r="AS7" s="6">
        <v>61</v>
      </c>
      <c r="AT7" s="6">
        <v>28.9</v>
      </c>
      <c r="AU7" s="6">
        <v>107</v>
      </c>
      <c r="AV7" s="6">
        <v>65</v>
      </c>
      <c r="DC7" s="15">
        <v>132</v>
      </c>
      <c r="DD7" s="6">
        <v>0.69</v>
      </c>
      <c r="DE7" s="15">
        <v>221</v>
      </c>
      <c r="DF7" s="15">
        <v>298</v>
      </c>
      <c r="DG7" s="9">
        <f t="shared" si="0"/>
        <v>5.289947704545888</v>
      </c>
      <c r="DH7" s="6"/>
      <c r="DI7" s="6">
        <v>7.31</v>
      </c>
      <c r="DJ7" s="6"/>
      <c r="DK7" s="6"/>
      <c r="DL7" s="6"/>
      <c r="DM7" s="6"/>
      <c r="DN7" s="6"/>
      <c r="DP7" s="11">
        <v>2</v>
      </c>
      <c r="DQ7" s="6" t="s">
        <v>111</v>
      </c>
      <c r="DR7" s="9">
        <v>3</v>
      </c>
      <c r="DT7" s="9">
        <v>8.16</v>
      </c>
      <c r="DU7" s="9">
        <v>6.42</v>
      </c>
    </row>
    <row r="8" spans="1:125" x14ac:dyDescent="0.2">
      <c r="A8" s="14" t="s">
        <v>140</v>
      </c>
      <c r="B8" s="8">
        <v>42193</v>
      </c>
      <c r="C8" s="6" t="s">
        <v>95</v>
      </c>
      <c r="D8" s="6">
        <v>53</v>
      </c>
      <c r="E8" s="6" t="s">
        <v>100</v>
      </c>
      <c r="F8" s="8"/>
      <c r="H8" s="6" t="s">
        <v>109</v>
      </c>
      <c r="M8" s="16" t="s">
        <v>141</v>
      </c>
      <c r="N8" s="6" t="s">
        <v>116</v>
      </c>
      <c r="O8" s="6" t="s">
        <v>116</v>
      </c>
      <c r="P8" s="15" t="s">
        <v>142</v>
      </c>
      <c r="Q8" s="6" t="s">
        <v>115</v>
      </c>
      <c r="R8" s="6" t="s">
        <v>110</v>
      </c>
      <c r="Y8" s="15" t="s">
        <v>143</v>
      </c>
      <c r="AB8" s="6" t="s">
        <v>100</v>
      </c>
      <c r="AC8" s="6" t="s">
        <v>116</v>
      </c>
      <c r="AE8" s="15" t="s">
        <v>144</v>
      </c>
      <c r="AF8" s="6" t="s">
        <v>114</v>
      </c>
      <c r="AG8" s="6" t="s">
        <v>114</v>
      </c>
      <c r="AH8" s="15" t="s">
        <v>110</v>
      </c>
      <c r="AI8" s="15" t="s">
        <v>110</v>
      </c>
      <c r="AJ8" s="6" t="s">
        <v>114</v>
      </c>
      <c r="AK8" s="6" t="s">
        <v>114</v>
      </c>
      <c r="AL8" s="6">
        <v>74.099999999999994</v>
      </c>
      <c r="AN8" s="15">
        <v>102</v>
      </c>
      <c r="AO8" s="6">
        <v>109</v>
      </c>
      <c r="AP8" s="6">
        <v>46.9</v>
      </c>
      <c r="AQ8" s="6">
        <v>9</v>
      </c>
      <c r="AR8" s="6">
        <v>20.7</v>
      </c>
      <c r="AS8" s="6">
        <v>58</v>
      </c>
      <c r="AT8" s="6">
        <v>27.9</v>
      </c>
      <c r="AU8" s="15">
        <v>131</v>
      </c>
      <c r="AV8" s="15">
        <v>98</v>
      </c>
      <c r="DC8" s="16">
        <v>232.2</v>
      </c>
      <c r="DD8" s="6">
        <v>0.47</v>
      </c>
      <c r="DE8" s="6">
        <v>208</v>
      </c>
      <c r="DF8" s="6">
        <v>134</v>
      </c>
      <c r="DG8" s="9">
        <f t="shared" si="0"/>
        <v>5.1727194346073508</v>
      </c>
      <c r="DH8" s="6">
        <v>26.8</v>
      </c>
      <c r="DI8" s="6">
        <v>3.12</v>
      </c>
      <c r="DJ8" s="6">
        <v>29.8</v>
      </c>
      <c r="DK8" s="6">
        <v>20.5</v>
      </c>
      <c r="DL8" s="6"/>
      <c r="DM8" s="6"/>
      <c r="DN8" s="6"/>
      <c r="DP8" s="11">
        <v>2</v>
      </c>
      <c r="DQ8" s="6" t="s">
        <v>111</v>
      </c>
      <c r="DR8" s="9">
        <v>3</v>
      </c>
      <c r="DT8" s="9">
        <v>7</v>
      </c>
      <c r="DU8" s="9">
        <v>3.27</v>
      </c>
    </row>
    <row r="9" spans="1:125" x14ac:dyDescent="0.2">
      <c r="A9" s="14" t="s">
        <v>145</v>
      </c>
      <c r="B9" s="8">
        <v>42273</v>
      </c>
      <c r="C9" s="6" t="s">
        <v>95</v>
      </c>
      <c r="D9" s="6">
        <v>44</v>
      </c>
      <c r="E9" s="6" t="s">
        <v>100</v>
      </c>
      <c r="F9" s="8">
        <v>26056</v>
      </c>
      <c r="H9" s="9" t="s">
        <v>146</v>
      </c>
      <c r="M9" s="6" t="s">
        <v>116</v>
      </c>
      <c r="N9" s="6" t="s">
        <v>116</v>
      </c>
      <c r="O9" s="15" t="s">
        <v>110</v>
      </c>
      <c r="P9" s="6" t="s">
        <v>114</v>
      </c>
      <c r="Q9" s="6" t="s">
        <v>114</v>
      </c>
      <c r="R9" s="6" t="s">
        <v>110</v>
      </c>
      <c r="S9" s="6" t="s">
        <v>147</v>
      </c>
      <c r="T9" s="6" t="s">
        <v>148</v>
      </c>
      <c r="Y9" s="15" t="s">
        <v>149</v>
      </c>
      <c r="AA9" s="6" t="s">
        <v>100</v>
      </c>
      <c r="AB9" s="16" t="s">
        <v>150</v>
      </c>
      <c r="AC9" s="6" t="s">
        <v>100</v>
      </c>
      <c r="AD9" s="14" t="s">
        <v>151</v>
      </c>
      <c r="AE9" s="15" t="s">
        <v>152</v>
      </c>
      <c r="AF9" s="6" t="s">
        <v>114</v>
      </c>
      <c r="AG9" s="6" t="s">
        <v>116</v>
      </c>
      <c r="AH9" s="6" t="s">
        <v>114</v>
      </c>
      <c r="AI9" s="15" t="s">
        <v>118</v>
      </c>
      <c r="AJ9" s="6" t="s">
        <v>116</v>
      </c>
      <c r="AK9" s="6" t="s">
        <v>153</v>
      </c>
      <c r="AL9" s="6">
        <v>76.400000000000006</v>
      </c>
      <c r="AM9" s="9">
        <v>155</v>
      </c>
      <c r="AN9" s="15">
        <v>106</v>
      </c>
      <c r="AO9" s="6"/>
      <c r="AP9" s="6">
        <v>41.3</v>
      </c>
      <c r="AQ9" s="6"/>
      <c r="AR9" s="6">
        <v>44.8</v>
      </c>
      <c r="AS9" s="6"/>
      <c r="AT9" s="6">
        <v>31.8</v>
      </c>
      <c r="AU9" s="6">
        <v>123</v>
      </c>
      <c r="AV9" s="6">
        <v>87</v>
      </c>
      <c r="DC9" s="15">
        <v>126.4</v>
      </c>
      <c r="DD9" s="6">
        <v>0.39</v>
      </c>
      <c r="DE9" s="6">
        <v>197</v>
      </c>
      <c r="DF9" s="15">
        <v>289</v>
      </c>
      <c r="DG9" s="9">
        <f t="shared" si="0"/>
        <v>5.2529390849125948</v>
      </c>
      <c r="DH9" s="6">
        <v>57.8</v>
      </c>
      <c r="DI9" s="6">
        <v>5.03</v>
      </c>
      <c r="DJ9" s="6">
        <v>20</v>
      </c>
      <c r="DK9" s="6">
        <v>14.4</v>
      </c>
      <c r="DL9" s="6">
        <v>67.900000000000006</v>
      </c>
      <c r="DM9" s="6">
        <v>85.3</v>
      </c>
      <c r="DN9" s="6"/>
      <c r="DP9" s="18">
        <v>1</v>
      </c>
      <c r="DQ9" s="6" t="s">
        <v>111</v>
      </c>
      <c r="DR9" s="9">
        <v>2</v>
      </c>
      <c r="DT9" s="9">
        <v>5.68</v>
      </c>
      <c r="DU9" s="9">
        <v>5.37</v>
      </c>
    </row>
    <row r="10" spans="1:125" x14ac:dyDescent="0.2">
      <c r="A10" s="14" t="s">
        <v>154</v>
      </c>
      <c r="B10" s="8"/>
      <c r="E10" s="9" t="s">
        <v>155</v>
      </c>
      <c r="F10" s="8"/>
      <c r="DC10" s="14">
        <v>131.69999999999999</v>
      </c>
      <c r="DD10" s="9">
        <v>1.07</v>
      </c>
      <c r="DE10" s="10">
        <v>203</v>
      </c>
      <c r="DF10" s="9">
        <v>100</v>
      </c>
      <c r="DG10" s="9">
        <f t="shared" si="0"/>
        <v>4.7428483973686637</v>
      </c>
      <c r="DH10" s="9">
        <v>20</v>
      </c>
      <c r="DI10" s="9">
        <v>5.96</v>
      </c>
      <c r="DT10" s="9">
        <v>10.5</v>
      </c>
      <c r="DU10" s="9">
        <v>3.84</v>
      </c>
    </row>
    <row r="11" spans="1:125" x14ac:dyDescent="0.2">
      <c r="A11" s="14" t="s">
        <v>399</v>
      </c>
      <c r="B11" s="8">
        <v>43278</v>
      </c>
      <c r="C11" s="9" t="s">
        <v>107</v>
      </c>
      <c r="D11" s="9">
        <v>37</v>
      </c>
      <c r="E11" s="35" t="s">
        <v>155</v>
      </c>
      <c r="F11" s="8">
        <v>29514</v>
      </c>
      <c r="G11" s="9" t="s">
        <v>400</v>
      </c>
      <c r="H11" s="9" t="s">
        <v>162</v>
      </c>
      <c r="I11" s="9" t="s">
        <v>162</v>
      </c>
      <c r="J11" s="9" t="s">
        <v>162</v>
      </c>
      <c r="K11" s="9" t="s">
        <v>162</v>
      </c>
      <c r="L11" s="9" t="s">
        <v>162</v>
      </c>
      <c r="M11" s="10" t="s">
        <v>368</v>
      </c>
      <c r="N11" s="9" t="s">
        <v>263</v>
      </c>
      <c r="O11" s="10" t="s">
        <v>368</v>
      </c>
      <c r="P11" s="9" t="s">
        <v>263</v>
      </c>
      <c r="Q11" s="9" t="s">
        <v>263</v>
      </c>
      <c r="R11" s="9" t="s">
        <v>368</v>
      </c>
      <c r="S11" s="9" t="s">
        <v>263</v>
      </c>
      <c r="T11" s="9" t="s">
        <v>368</v>
      </c>
      <c r="U11" s="9" t="s">
        <v>401</v>
      </c>
      <c r="V11" s="9" t="s">
        <v>263</v>
      </c>
      <c r="W11" s="9" t="s">
        <v>263</v>
      </c>
      <c r="X11" s="9" t="s">
        <v>263</v>
      </c>
      <c r="Y11" s="36" t="s">
        <v>402</v>
      </c>
      <c r="Z11" s="9" t="s">
        <v>162</v>
      </c>
      <c r="AA11" s="37" t="s">
        <v>403</v>
      </c>
      <c r="AB11" s="37" t="s">
        <v>403</v>
      </c>
      <c r="AC11" s="37" t="s">
        <v>403</v>
      </c>
      <c r="AD11" s="37" t="s">
        <v>403</v>
      </c>
      <c r="AE11" s="10" t="s">
        <v>404</v>
      </c>
      <c r="AF11" s="10" t="s">
        <v>405</v>
      </c>
      <c r="AG11" s="9" t="s">
        <v>263</v>
      </c>
      <c r="AH11" s="10" t="s">
        <v>406</v>
      </c>
      <c r="AI11" s="10" t="s">
        <v>407</v>
      </c>
      <c r="AJ11" s="9" t="s">
        <v>263</v>
      </c>
      <c r="AK11" s="9" t="s">
        <v>263</v>
      </c>
      <c r="AL11" s="9">
        <v>81.7</v>
      </c>
      <c r="AM11" s="9" t="s">
        <v>162</v>
      </c>
      <c r="AN11" s="10">
        <v>101</v>
      </c>
      <c r="AO11" s="9">
        <v>105</v>
      </c>
      <c r="AP11" s="9">
        <v>29.6</v>
      </c>
      <c r="AQ11" s="9">
        <v>12</v>
      </c>
      <c r="AR11" s="9">
        <v>33.700000000000003</v>
      </c>
      <c r="AS11" s="9">
        <v>50</v>
      </c>
      <c r="AT11" s="9">
        <v>28.6</v>
      </c>
      <c r="AU11" s="9">
        <v>115</v>
      </c>
      <c r="AV11" s="9">
        <v>82</v>
      </c>
      <c r="AX11" s="9" t="s">
        <v>168</v>
      </c>
      <c r="AY11" s="9" t="s">
        <v>321</v>
      </c>
      <c r="AZ11" s="9" t="s">
        <v>408</v>
      </c>
      <c r="BB11" s="9" t="s">
        <v>409</v>
      </c>
      <c r="BC11" s="9" t="s">
        <v>162</v>
      </c>
      <c r="BD11" s="9" t="s">
        <v>162</v>
      </c>
      <c r="BF11" s="9" t="s">
        <v>322</v>
      </c>
      <c r="BG11" s="9" t="s">
        <v>375</v>
      </c>
      <c r="BH11" s="9" t="s">
        <v>375</v>
      </c>
      <c r="BI11" s="9" t="s">
        <v>375</v>
      </c>
      <c r="BJ11" s="9" t="s">
        <v>375</v>
      </c>
      <c r="BK11" s="9" t="s">
        <v>375</v>
      </c>
      <c r="BN11" s="9" t="s">
        <v>410</v>
      </c>
      <c r="BO11" s="9" t="s">
        <v>411</v>
      </c>
      <c r="BP11" s="9" t="s">
        <v>412</v>
      </c>
      <c r="BR11" s="9" t="s">
        <v>162</v>
      </c>
      <c r="BS11" s="9" t="s">
        <v>162</v>
      </c>
      <c r="BT11" s="9" t="s">
        <v>162</v>
      </c>
      <c r="BV11" s="9" t="s">
        <v>162</v>
      </c>
      <c r="BW11" s="9" t="s">
        <v>162</v>
      </c>
      <c r="BX11" s="9" t="s">
        <v>162</v>
      </c>
      <c r="BZ11" s="9" t="s">
        <v>413</v>
      </c>
      <c r="CA11" s="9" t="s">
        <v>414</v>
      </c>
      <c r="CB11" s="9" t="s">
        <v>415</v>
      </c>
      <c r="CD11" s="9" t="s">
        <v>162</v>
      </c>
      <c r="CE11" s="9" t="s">
        <v>162</v>
      </c>
      <c r="CF11" s="9" t="s">
        <v>162</v>
      </c>
      <c r="CH11" s="9" t="s">
        <v>162</v>
      </c>
      <c r="CI11" s="9" t="s">
        <v>162</v>
      </c>
      <c r="CJ11" s="9" t="s">
        <v>162</v>
      </c>
      <c r="CL11" s="9" t="s">
        <v>416</v>
      </c>
      <c r="CM11" s="9" t="s">
        <v>417</v>
      </c>
      <c r="CN11" s="9" t="s">
        <v>418</v>
      </c>
      <c r="CP11" s="9" t="s">
        <v>419</v>
      </c>
      <c r="CQ11" s="9" t="s">
        <v>162</v>
      </c>
      <c r="CR11" s="9" t="s">
        <v>162</v>
      </c>
      <c r="CT11" s="9" t="s">
        <v>323</v>
      </c>
      <c r="CU11" s="9" t="s">
        <v>162</v>
      </c>
      <c r="CV11" s="9" t="s">
        <v>162</v>
      </c>
      <c r="CW11" s="9">
        <v>3</v>
      </c>
      <c r="CX11" s="9" t="s">
        <v>368</v>
      </c>
      <c r="CY11" s="9" t="s">
        <v>263</v>
      </c>
      <c r="CZ11" s="9">
        <v>50</v>
      </c>
      <c r="DA11" s="9">
        <v>10</v>
      </c>
      <c r="DB11" s="9">
        <v>40</v>
      </c>
      <c r="DC11" s="30">
        <v>105.3</v>
      </c>
      <c r="DD11" s="9">
        <v>0.56000000000000005</v>
      </c>
      <c r="DE11" s="9">
        <v>184</v>
      </c>
      <c r="DF11" s="30">
        <v>364</v>
      </c>
      <c r="DG11" s="9">
        <f t="shared" si="0"/>
        <v>5.276983643388335</v>
      </c>
      <c r="DH11" s="9">
        <v>72.8</v>
      </c>
      <c r="DI11" s="9">
        <v>5.14</v>
      </c>
      <c r="DJ11" s="9">
        <v>17.7</v>
      </c>
      <c r="DK11" s="9">
        <v>20</v>
      </c>
      <c r="DL11" s="30">
        <v>34.9</v>
      </c>
      <c r="DM11" s="9">
        <v>76.3</v>
      </c>
    </row>
    <row r="12" spans="1:125" x14ac:dyDescent="0.2">
      <c r="A12" s="36" t="s">
        <v>507</v>
      </c>
      <c r="B12" s="17">
        <v>43279</v>
      </c>
      <c r="C12" s="9" t="s">
        <v>107</v>
      </c>
      <c r="D12" s="9">
        <v>64</v>
      </c>
      <c r="E12" s="35" t="s">
        <v>155</v>
      </c>
      <c r="G12" s="9" t="s">
        <v>508</v>
      </c>
      <c r="H12" s="9" t="s">
        <v>509</v>
      </c>
      <c r="M12" s="14" t="s">
        <v>510</v>
      </c>
      <c r="N12" s="9" t="s">
        <v>263</v>
      </c>
      <c r="O12" s="9" t="s">
        <v>263</v>
      </c>
      <c r="P12" s="9" t="s">
        <v>99</v>
      </c>
      <c r="Q12" s="9" t="s">
        <v>485</v>
      </c>
      <c r="R12" s="9" t="s">
        <v>110</v>
      </c>
      <c r="S12" s="9" t="s">
        <v>99</v>
      </c>
      <c r="T12" s="9" t="s">
        <v>99</v>
      </c>
      <c r="U12" s="9" t="s">
        <v>99</v>
      </c>
      <c r="W12" s="14" t="s">
        <v>511</v>
      </c>
      <c r="Y12" s="9" t="s">
        <v>402</v>
      </c>
      <c r="AA12" s="35" t="s">
        <v>155</v>
      </c>
      <c r="AB12" s="35" t="s">
        <v>155</v>
      </c>
      <c r="AC12" s="37" t="s">
        <v>512</v>
      </c>
      <c r="AD12" s="35" t="s">
        <v>155</v>
      </c>
      <c r="AE12" s="10" t="s">
        <v>513</v>
      </c>
      <c r="AF12" s="9" t="s">
        <v>263</v>
      </c>
      <c r="AG12" s="9" t="s">
        <v>99</v>
      </c>
      <c r="AH12" s="9" t="s">
        <v>263</v>
      </c>
      <c r="AI12" s="10" t="s">
        <v>514</v>
      </c>
      <c r="AJ12" s="9" t="s">
        <v>99</v>
      </c>
      <c r="AK12" s="9" t="s">
        <v>99</v>
      </c>
      <c r="AL12" s="9">
        <v>72.7</v>
      </c>
      <c r="AN12" s="30">
        <v>104</v>
      </c>
      <c r="AO12" s="9">
        <v>97</v>
      </c>
      <c r="AP12" s="9">
        <v>23.9</v>
      </c>
      <c r="AQ12" s="9">
        <v>7</v>
      </c>
      <c r="AR12" s="9">
        <v>33.6</v>
      </c>
      <c r="AS12" s="9">
        <v>50</v>
      </c>
      <c r="AT12" s="30">
        <v>23.5</v>
      </c>
      <c r="AU12" s="9">
        <v>114</v>
      </c>
      <c r="AV12" s="9">
        <v>73</v>
      </c>
      <c r="AX12" s="9" t="s">
        <v>322</v>
      </c>
      <c r="BB12" s="9" t="s">
        <v>515</v>
      </c>
      <c r="BC12" s="9" t="s">
        <v>516</v>
      </c>
      <c r="BF12" s="9" t="s">
        <v>322</v>
      </c>
      <c r="BG12" s="9" t="s">
        <v>322</v>
      </c>
      <c r="BH12" s="9" t="s">
        <v>375</v>
      </c>
      <c r="BI12" s="9" t="s">
        <v>322</v>
      </c>
      <c r="BJ12" s="9" t="s">
        <v>322</v>
      </c>
      <c r="BK12" s="9" t="s">
        <v>375</v>
      </c>
      <c r="BM12" s="9" t="s">
        <v>517</v>
      </c>
      <c r="BN12" s="9" t="s">
        <v>518</v>
      </c>
      <c r="BO12" s="9" t="s">
        <v>519</v>
      </c>
      <c r="BR12" s="9" t="s">
        <v>520</v>
      </c>
      <c r="BS12" s="9" t="s">
        <v>521</v>
      </c>
      <c r="BT12" s="9" t="s">
        <v>522</v>
      </c>
      <c r="BV12" s="9" t="s">
        <v>523</v>
      </c>
      <c r="BW12" s="9" t="s">
        <v>524</v>
      </c>
      <c r="BZ12" s="9" t="s">
        <v>525</v>
      </c>
      <c r="CA12" s="9" t="s">
        <v>526</v>
      </c>
      <c r="CB12" s="9" t="s">
        <v>527</v>
      </c>
      <c r="CC12" s="9" t="s">
        <v>263</v>
      </c>
      <c r="CG12" s="9" t="s">
        <v>263</v>
      </c>
      <c r="CI12" s="9" t="s">
        <v>528</v>
      </c>
      <c r="CJ12" s="9" t="s">
        <v>504</v>
      </c>
      <c r="CK12" s="9" t="s">
        <v>529</v>
      </c>
      <c r="CL12" s="9" t="s">
        <v>500</v>
      </c>
      <c r="CT12" s="9" t="s">
        <v>530</v>
      </c>
      <c r="CW12" s="9">
        <v>3</v>
      </c>
      <c r="CX12" s="9" t="s">
        <v>483</v>
      </c>
      <c r="CY12" s="9" t="s">
        <v>483</v>
      </c>
      <c r="CZ12" s="9">
        <v>40</v>
      </c>
      <c r="DA12" s="9">
        <v>30</v>
      </c>
      <c r="DB12" s="9">
        <v>50</v>
      </c>
      <c r="DC12" s="14">
        <v>285.3</v>
      </c>
      <c r="DD12" s="9">
        <v>0.4</v>
      </c>
      <c r="DE12" s="9">
        <v>231</v>
      </c>
      <c r="DF12" s="14">
        <v>498</v>
      </c>
      <c r="DG12" s="9">
        <f t="shared" si="0"/>
        <v>5.932070667622054</v>
      </c>
      <c r="DH12" s="9">
        <v>99.6</v>
      </c>
      <c r="DI12" s="9">
        <v>4.4000000000000004</v>
      </c>
      <c r="DJ12" s="9">
        <v>24.3</v>
      </c>
      <c r="DK12" s="9">
        <v>19.7</v>
      </c>
      <c r="DL12" s="10">
        <v>37.299999999999997</v>
      </c>
      <c r="DM12" s="9">
        <v>9410</v>
      </c>
      <c r="DU12" s="9">
        <v>6.4</v>
      </c>
    </row>
    <row r="13" spans="1:125" x14ac:dyDescent="0.2">
      <c r="A13" s="14" t="s">
        <v>565</v>
      </c>
      <c r="B13" s="8">
        <v>43308</v>
      </c>
      <c r="C13" s="9" t="s">
        <v>95</v>
      </c>
      <c r="D13" s="9">
        <v>42</v>
      </c>
      <c r="E13" s="9" t="s">
        <v>96</v>
      </c>
      <c r="F13" s="8">
        <v>25654</v>
      </c>
      <c r="I13" s="9" t="s">
        <v>566</v>
      </c>
      <c r="K13" s="8"/>
      <c r="M13" s="10" t="s">
        <v>567</v>
      </c>
      <c r="N13" s="10" t="s">
        <v>568</v>
      </c>
      <c r="R13" s="9" t="s">
        <v>569</v>
      </c>
      <c r="S13" s="9" t="s">
        <v>110</v>
      </c>
      <c r="AA13" s="9" t="s">
        <v>100</v>
      </c>
      <c r="AB13" s="9" t="s">
        <v>100</v>
      </c>
      <c r="AC13" s="9" t="s">
        <v>100</v>
      </c>
      <c r="AD13" s="9" t="s">
        <v>100</v>
      </c>
      <c r="AE13" s="10" t="s">
        <v>570</v>
      </c>
      <c r="AF13" s="10" t="s">
        <v>118</v>
      </c>
      <c r="AG13" s="10" t="s">
        <v>571</v>
      </c>
      <c r="AL13" s="9">
        <v>130.4</v>
      </c>
      <c r="AM13" s="9">
        <v>155</v>
      </c>
      <c r="AN13" s="10">
        <v>155</v>
      </c>
      <c r="AO13" s="9">
        <v>167</v>
      </c>
      <c r="AU13" s="10">
        <v>133</v>
      </c>
      <c r="AV13" s="10">
        <v>96</v>
      </c>
      <c r="AX13" s="9" t="s">
        <v>572</v>
      </c>
      <c r="AY13" s="9" t="s">
        <v>573</v>
      </c>
      <c r="AZ13" s="9" t="s">
        <v>574</v>
      </c>
      <c r="BF13" s="9" t="s">
        <v>176</v>
      </c>
      <c r="BG13" s="9" t="s">
        <v>350</v>
      </c>
      <c r="BH13" s="9" t="s">
        <v>350</v>
      </c>
      <c r="BI13" s="9" t="s">
        <v>176</v>
      </c>
      <c r="BN13" s="9" t="s">
        <v>575</v>
      </c>
      <c r="BO13" s="9" t="s">
        <v>352</v>
      </c>
      <c r="BP13" s="9" t="s">
        <v>178</v>
      </c>
      <c r="BV13" s="9" t="s">
        <v>576</v>
      </c>
      <c r="BZ13" s="9" t="s">
        <v>577</v>
      </c>
      <c r="CA13" s="9" t="s">
        <v>182</v>
      </c>
      <c r="CB13" s="9" t="s">
        <v>183</v>
      </c>
      <c r="CD13" s="9" t="s">
        <v>578</v>
      </c>
      <c r="CL13" s="9" t="s">
        <v>579</v>
      </c>
      <c r="CM13" s="9" t="s">
        <v>580</v>
      </c>
      <c r="CN13" s="9" t="s">
        <v>581</v>
      </c>
      <c r="CT13" s="9" t="s">
        <v>582</v>
      </c>
      <c r="CW13" s="45" t="s">
        <v>583</v>
      </c>
      <c r="CX13" s="9" t="s">
        <v>99</v>
      </c>
      <c r="CY13" s="9" t="s">
        <v>99</v>
      </c>
      <c r="CZ13" s="9">
        <v>30</v>
      </c>
      <c r="DA13" s="9">
        <v>20</v>
      </c>
      <c r="DB13" s="9">
        <v>50</v>
      </c>
      <c r="DC13" s="14">
        <v>483.7</v>
      </c>
      <c r="DD13" s="9">
        <v>0.39</v>
      </c>
      <c r="DE13" s="34">
        <v>223</v>
      </c>
      <c r="DF13" s="9">
        <v>146</v>
      </c>
      <c r="DG13" s="9">
        <f t="shared" si="0"/>
        <v>5.5825357507686366</v>
      </c>
      <c r="DH13" s="9">
        <v>29.2</v>
      </c>
      <c r="DI13" s="9">
        <v>3.77</v>
      </c>
      <c r="DL13" s="9">
        <v>56.5</v>
      </c>
      <c r="DM13" s="9">
        <v>137.30000000000001</v>
      </c>
      <c r="DP13" s="11">
        <v>2</v>
      </c>
      <c r="DQ13" s="9">
        <v>2</v>
      </c>
      <c r="DR13" s="9">
        <v>2</v>
      </c>
      <c r="DU13" s="9">
        <v>12.6</v>
      </c>
    </row>
    <row r="14" spans="1:125" x14ac:dyDescent="0.2">
      <c r="A14" s="14" t="s">
        <v>663</v>
      </c>
      <c r="B14" s="8">
        <v>43308</v>
      </c>
      <c r="C14" s="9" t="s">
        <v>95</v>
      </c>
      <c r="D14" s="9">
        <v>64</v>
      </c>
      <c r="E14" s="9" t="s">
        <v>96</v>
      </c>
      <c r="F14" s="8"/>
      <c r="AA14" s="9" t="s">
        <v>100</v>
      </c>
      <c r="AB14" s="9" t="s">
        <v>100</v>
      </c>
      <c r="AC14" s="9" t="s">
        <v>100</v>
      </c>
      <c r="AD14" s="9" t="s">
        <v>100</v>
      </c>
      <c r="AE14" s="10" t="s">
        <v>664</v>
      </c>
      <c r="AF14" s="10" t="s">
        <v>135</v>
      </c>
      <c r="AL14" s="9">
        <v>68</v>
      </c>
      <c r="AM14" s="9">
        <v>148</v>
      </c>
      <c r="AN14" s="46">
        <v>93</v>
      </c>
      <c r="AO14" s="9">
        <v>110</v>
      </c>
      <c r="AP14" s="9">
        <v>36</v>
      </c>
      <c r="AQ14" s="9">
        <v>14</v>
      </c>
      <c r="AR14" s="9">
        <v>9.3000000000000007</v>
      </c>
      <c r="AT14" s="9">
        <v>31</v>
      </c>
      <c r="AU14" s="10">
        <v>154</v>
      </c>
      <c r="AV14" s="10">
        <v>93</v>
      </c>
      <c r="AX14" s="9" t="s">
        <v>665</v>
      </c>
      <c r="AY14" s="9" t="s">
        <v>666</v>
      </c>
      <c r="BD14" s="47"/>
      <c r="BF14" s="9" t="s">
        <v>596</v>
      </c>
      <c r="BG14" s="9" t="s">
        <v>596</v>
      </c>
      <c r="BH14" s="9" t="s">
        <v>596</v>
      </c>
      <c r="BI14" s="9" t="s">
        <v>624</v>
      </c>
      <c r="BJ14" s="9" t="s">
        <v>596</v>
      </c>
      <c r="BN14" s="9" t="s">
        <v>667</v>
      </c>
      <c r="BO14" s="9" t="s">
        <v>668</v>
      </c>
      <c r="BP14" s="9" t="s">
        <v>669</v>
      </c>
      <c r="BZ14" s="9" t="s">
        <v>670</v>
      </c>
      <c r="CA14" s="9" t="s">
        <v>671</v>
      </c>
      <c r="CB14" s="9" t="s">
        <v>672</v>
      </c>
      <c r="CW14" s="9">
        <v>3</v>
      </c>
      <c r="CX14" s="9" t="s">
        <v>99</v>
      </c>
      <c r="DC14" s="10">
        <v>111.1</v>
      </c>
      <c r="DD14" s="9">
        <v>0.67</v>
      </c>
      <c r="DE14" s="9">
        <v>191</v>
      </c>
      <c r="DF14" s="9">
        <v>113</v>
      </c>
      <c r="DG14" s="9">
        <f t="shared" si="0"/>
        <v>4.7189092576789626</v>
      </c>
      <c r="DH14" s="9">
        <v>22.6</v>
      </c>
      <c r="DI14" s="9">
        <v>5.43</v>
      </c>
      <c r="DL14" s="9">
        <v>70.8</v>
      </c>
      <c r="DM14" s="9">
        <v>97.6</v>
      </c>
      <c r="DP14" s="11">
        <v>2</v>
      </c>
      <c r="DQ14" s="9">
        <v>3</v>
      </c>
      <c r="DR14" s="9">
        <v>2</v>
      </c>
      <c r="DT14" s="9">
        <v>14</v>
      </c>
      <c r="DU14" s="9">
        <v>4.5999999999999996</v>
      </c>
    </row>
    <row r="15" spans="1:125" s="33" customFormat="1" x14ac:dyDescent="0.2">
      <c r="A15" s="14" t="s">
        <v>673</v>
      </c>
      <c r="B15" s="31" t="s">
        <v>674</v>
      </c>
      <c r="C15" s="31" t="s">
        <v>675</v>
      </c>
      <c r="D15" s="31">
        <v>44</v>
      </c>
      <c r="E15" s="31" t="s">
        <v>100</v>
      </c>
      <c r="F15" s="32">
        <v>27632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>
        <v>86.5</v>
      </c>
      <c r="AM15" s="31">
        <v>175</v>
      </c>
      <c r="AN15" s="48">
        <v>103</v>
      </c>
      <c r="AO15" s="31">
        <v>109</v>
      </c>
      <c r="AP15" s="31">
        <v>28.7</v>
      </c>
      <c r="AQ15" s="31">
        <v>12</v>
      </c>
      <c r="AR15" s="31">
        <v>332</v>
      </c>
      <c r="AS15" s="31">
        <v>57</v>
      </c>
      <c r="AT15" s="31">
        <v>28.2</v>
      </c>
      <c r="AU15" s="31">
        <v>135</v>
      </c>
      <c r="AV15" s="31">
        <v>86</v>
      </c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48">
        <v>104.1</v>
      </c>
      <c r="DD15" s="31">
        <v>1.0900000000000001</v>
      </c>
      <c r="DE15" s="31">
        <v>175</v>
      </c>
      <c r="DF15" s="48">
        <v>362</v>
      </c>
      <c r="DG15" s="9">
        <f t="shared" si="0"/>
        <v>5.2684980937233474</v>
      </c>
      <c r="DH15" s="31">
        <v>72.400000000000006</v>
      </c>
      <c r="DI15" s="48">
        <v>10.92</v>
      </c>
      <c r="DJ15" s="31"/>
      <c r="DK15" s="31"/>
      <c r="DL15" s="48">
        <v>34.4</v>
      </c>
      <c r="DM15" s="31">
        <v>68.2</v>
      </c>
      <c r="DN15" s="31"/>
      <c r="DO15" s="31"/>
      <c r="DP15" s="31"/>
      <c r="DQ15" s="31"/>
      <c r="DR15" s="31"/>
      <c r="DS15" s="31"/>
      <c r="DT15" s="31"/>
      <c r="DU15" s="31">
        <v>10.4</v>
      </c>
    </row>
    <row r="16" spans="1:125" x14ac:dyDescent="0.2">
      <c r="A16" s="14" t="s">
        <v>831</v>
      </c>
      <c r="B16" s="8">
        <v>43308</v>
      </c>
      <c r="C16" s="9" t="s">
        <v>107</v>
      </c>
      <c r="D16" s="9">
        <v>72</v>
      </c>
      <c r="E16" s="9" t="s">
        <v>96</v>
      </c>
      <c r="F16" s="17">
        <v>17031</v>
      </c>
      <c r="G16" s="9" t="s">
        <v>481</v>
      </c>
      <c r="H16" s="9" t="s">
        <v>832</v>
      </c>
      <c r="M16" s="9" t="s">
        <v>99</v>
      </c>
      <c r="N16" s="9" t="s">
        <v>99</v>
      </c>
      <c r="O16" s="9" t="s">
        <v>99</v>
      </c>
      <c r="P16" s="10" t="s">
        <v>833</v>
      </c>
      <c r="Q16" s="10" t="s">
        <v>834</v>
      </c>
      <c r="S16" s="9" t="s">
        <v>99</v>
      </c>
      <c r="T16" s="9" t="s">
        <v>99</v>
      </c>
      <c r="U16" s="9" t="s">
        <v>99</v>
      </c>
      <c r="V16" s="9" t="s">
        <v>99</v>
      </c>
      <c r="W16" s="9" t="s">
        <v>99</v>
      </c>
      <c r="X16" s="9" t="s">
        <v>99</v>
      </c>
      <c r="AA16" s="9" t="s">
        <v>605</v>
      </c>
      <c r="AB16" s="9" t="s">
        <v>100</v>
      </c>
      <c r="AC16" s="9" t="s">
        <v>605</v>
      </c>
      <c r="AD16" s="9" t="s">
        <v>100</v>
      </c>
      <c r="AE16" s="9" t="s">
        <v>99</v>
      </c>
      <c r="AF16" s="9" t="s">
        <v>99</v>
      </c>
      <c r="AG16" s="9" t="s">
        <v>99</v>
      </c>
      <c r="AH16" s="9" t="s">
        <v>99</v>
      </c>
      <c r="AI16" s="9" t="s">
        <v>99</v>
      </c>
      <c r="AJ16" s="9" t="s">
        <v>99</v>
      </c>
      <c r="AK16" s="9" t="s">
        <v>99</v>
      </c>
      <c r="AL16" s="9">
        <v>73</v>
      </c>
      <c r="AM16" s="9">
        <v>167</v>
      </c>
      <c r="AN16" s="10">
        <v>106</v>
      </c>
      <c r="AO16" s="9">
        <v>98</v>
      </c>
      <c r="AP16" s="9">
        <v>29</v>
      </c>
      <c r="AQ16" s="9">
        <v>14</v>
      </c>
      <c r="AR16" s="9">
        <v>29.5</v>
      </c>
      <c r="AS16" s="9">
        <v>59</v>
      </c>
      <c r="AT16" s="9">
        <v>26.5</v>
      </c>
      <c r="AU16" s="10">
        <v>136</v>
      </c>
      <c r="AV16" s="10">
        <v>85</v>
      </c>
      <c r="AW16" s="9" t="s">
        <v>176</v>
      </c>
      <c r="BA16" s="9" t="s">
        <v>176</v>
      </c>
      <c r="BE16" s="9" t="s">
        <v>176</v>
      </c>
      <c r="BL16" s="9" t="s">
        <v>176</v>
      </c>
      <c r="BY16" s="9" t="s">
        <v>176</v>
      </c>
      <c r="CW16" s="9">
        <v>2</v>
      </c>
      <c r="CX16" s="9" t="s">
        <v>99</v>
      </c>
      <c r="CY16" s="9" t="s">
        <v>835</v>
      </c>
      <c r="CZ16" s="9">
        <v>25</v>
      </c>
      <c r="DA16" s="9">
        <v>25</v>
      </c>
      <c r="DB16" s="9">
        <v>50</v>
      </c>
      <c r="DC16" s="10">
        <v>108.7</v>
      </c>
      <c r="DD16" s="10">
        <v>1.7</v>
      </c>
      <c r="DE16" s="9">
        <v>168</v>
      </c>
      <c r="DF16" s="10">
        <v>157</v>
      </c>
      <c r="DG16" s="9">
        <f t="shared" si="0"/>
        <v>4.8724187997377362</v>
      </c>
      <c r="DH16" s="9">
        <v>31.4</v>
      </c>
      <c r="DI16" s="9">
        <v>8.0399999999999991</v>
      </c>
      <c r="DP16" s="11">
        <v>2</v>
      </c>
      <c r="DR16" s="9">
        <v>2</v>
      </c>
      <c r="DU16" s="9">
        <v>4.2</v>
      </c>
    </row>
    <row r="17" spans="1:156" x14ac:dyDescent="0.2">
      <c r="A17" s="36" t="s">
        <v>970</v>
      </c>
      <c r="B17" s="8">
        <v>43308</v>
      </c>
      <c r="C17" s="9" t="s">
        <v>196</v>
      </c>
      <c r="D17" s="9">
        <v>50</v>
      </c>
      <c r="E17" s="9" t="s">
        <v>100</v>
      </c>
      <c r="F17" s="8">
        <v>24992</v>
      </c>
      <c r="H17" s="9" t="s">
        <v>971</v>
      </c>
      <c r="I17" s="9" t="s">
        <v>972</v>
      </c>
      <c r="J17" s="9" t="s">
        <v>99</v>
      </c>
      <c r="K17" s="9">
        <v>1997</v>
      </c>
      <c r="L17" s="9">
        <v>1</v>
      </c>
      <c r="M17" s="9" t="s">
        <v>99</v>
      </c>
      <c r="N17" s="9" t="s">
        <v>99</v>
      </c>
      <c r="O17" s="9" t="s">
        <v>99</v>
      </c>
      <c r="P17" s="9" t="s">
        <v>99</v>
      </c>
      <c r="Q17" s="9" t="s">
        <v>99</v>
      </c>
      <c r="W17" s="9" t="s">
        <v>973</v>
      </c>
      <c r="Y17" s="9" t="s">
        <v>974</v>
      </c>
      <c r="AA17" s="9" t="s">
        <v>100</v>
      </c>
      <c r="AB17" s="9" t="s">
        <v>100</v>
      </c>
      <c r="AC17" s="49" t="s">
        <v>975</v>
      </c>
      <c r="AD17" s="35" t="s">
        <v>155</v>
      </c>
      <c r="AE17" s="10" t="s">
        <v>118</v>
      </c>
      <c r="AF17" s="9" t="s">
        <v>99</v>
      </c>
      <c r="AG17" s="10" t="s">
        <v>976</v>
      </c>
      <c r="AL17" s="9">
        <v>78.900000000000006</v>
      </c>
      <c r="AM17" s="9">
        <v>162</v>
      </c>
      <c r="AN17" s="10">
        <v>95</v>
      </c>
      <c r="AO17" s="9">
        <v>101</v>
      </c>
      <c r="AP17" s="54">
        <v>0.47699999999999998</v>
      </c>
      <c r="AQ17" s="9">
        <v>10</v>
      </c>
      <c r="AR17" s="9">
        <v>21.7</v>
      </c>
      <c r="AS17" s="9">
        <v>62</v>
      </c>
      <c r="AT17" s="9">
        <v>30.1</v>
      </c>
      <c r="AU17" s="9">
        <v>118</v>
      </c>
      <c r="AV17" s="9">
        <v>78</v>
      </c>
      <c r="AX17" s="9" t="s">
        <v>977</v>
      </c>
      <c r="BB17" s="9" t="s">
        <v>978</v>
      </c>
      <c r="BF17" s="9" t="s">
        <v>176</v>
      </c>
      <c r="BG17" s="9" t="s">
        <v>350</v>
      </c>
      <c r="BH17" s="9" t="s">
        <v>854</v>
      </c>
      <c r="BI17" s="9" t="s">
        <v>979</v>
      </c>
      <c r="BM17" s="9" t="s">
        <v>176</v>
      </c>
      <c r="BN17" s="9" t="s">
        <v>180</v>
      </c>
      <c r="BO17" s="9" t="s">
        <v>179</v>
      </c>
      <c r="BP17" s="9" t="s">
        <v>219</v>
      </c>
      <c r="BR17" s="9" t="s">
        <v>110</v>
      </c>
      <c r="BV17" s="9" t="s">
        <v>110</v>
      </c>
      <c r="BY17" s="9" t="s">
        <v>176</v>
      </c>
      <c r="BZ17" s="9" t="s">
        <v>182</v>
      </c>
      <c r="CA17" s="9" t="s">
        <v>752</v>
      </c>
      <c r="CB17" s="9" t="s">
        <v>184</v>
      </c>
      <c r="CD17" s="9" t="s">
        <v>99</v>
      </c>
      <c r="CH17" s="9" t="s">
        <v>99</v>
      </c>
      <c r="CL17" s="9" t="s">
        <v>980</v>
      </c>
      <c r="CM17" s="9" t="s">
        <v>825</v>
      </c>
      <c r="CP17" s="9" t="s">
        <v>981</v>
      </c>
      <c r="CQ17" s="9" t="s">
        <v>362</v>
      </c>
      <c r="CR17" s="9" t="s">
        <v>982</v>
      </c>
      <c r="CT17" s="9" t="s">
        <v>983</v>
      </c>
      <c r="CU17" s="9" t="s">
        <v>984</v>
      </c>
      <c r="CV17" s="9" t="s">
        <v>985</v>
      </c>
      <c r="CW17" s="9">
        <v>3</v>
      </c>
      <c r="CX17" s="9" t="s">
        <v>110</v>
      </c>
      <c r="CY17" s="9" t="s">
        <v>99</v>
      </c>
      <c r="CZ17" s="9">
        <v>30</v>
      </c>
      <c r="DA17" s="9">
        <v>25</v>
      </c>
      <c r="DB17" s="9" t="s">
        <v>986</v>
      </c>
      <c r="DC17" s="10">
        <v>100.5</v>
      </c>
      <c r="DD17" s="9">
        <v>0.37</v>
      </c>
      <c r="DE17" s="10">
        <v>237</v>
      </c>
      <c r="DF17" s="9">
        <v>104</v>
      </c>
      <c r="DG17" s="9">
        <f t="shared" si="0"/>
        <v>4.6272743133202514</v>
      </c>
      <c r="DH17" s="9">
        <v>20.8</v>
      </c>
      <c r="DI17" s="9">
        <v>3.58</v>
      </c>
      <c r="DL17" s="10">
        <v>45.3</v>
      </c>
      <c r="DM17" s="9">
        <v>170.9</v>
      </c>
      <c r="DP17" s="11">
        <v>3</v>
      </c>
      <c r="DQ17" s="30">
        <v>1</v>
      </c>
      <c r="DR17" s="30">
        <v>1</v>
      </c>
      <c r="DT17" s="9">
        <v>9</v>
      </c>
      <c r="DU17" s="9">
        <v>5.38</v>
      </c>
    </row>
    <row r="18" spans="1:156" x14ac:dyDescent="0.2">
      <c r="A18" s="14" t="s">
        <v>1012</v>
      </c>
      <c r="B18" s="8">
        <v>43308</v>
      </c>
      <c r="C18" s="9" t="s">
        <v>95</v>
      </c>
      <c r="D18" s="9">
        <v>53</v>
      </c>
      <c r="E18" s="35" t="s">
        <v>155</v>
      </c>
      <c r="F18" s="8">
        <v>23864</v>
      </c>
      <c r="G18" s="9" t="s">
        <v>585</v>
      </c>
      <c r="I18" s="9">
        <v>12</v>
      </c>
      <c r="J18" s="10">
        <v>2018</v>
      </c>
      <c r="K18" s="9">
        <v>1998</v>
      </c>
      <c r="L18" s="9">
        <v>3</v>
      </c>
      <c r="M18" s="9" t="s">
        <v>263</v>
      </c>
      <c r="N18" s="9" t="s">
        <v>263</v>
      </c>
      <c r="P18" s="9" t="s">
        <v>263</v>
      </c>
      <c r="Q18" s="9" t="s">
        <v>483</v>
      </c>
      <c r="R18" s="9" t="s">
        <v>588</v>
      </c>
      <c r="T18" s="9" t="s">
        <v>990</v>
      </c>
      <c r="U18" s="9" t="s">
        <v>1013</v>
      </c>
      <c r="V18" s="9" t="s">
        <v>483</v>
      </c>
      <c r="W18" s="9" t="s">
        <v>1014</v>
      </c>
      <c r="X18" s="9" t="s">
        <v>483</v>
      </c>
      <c r="AA18" s="35" t="s">
        <v>155</v>
      </c>
      <c r="AB18" s="49" t="s">
        <v>1015</v>
      </c>
      <c r="AC18" s="35" t="s">
        <v>992</v>
      </c>
      <c r="AD18" s="35" t="s">
        <v>1016</v>
      </c>
      <c r="AE18" s="9" t="s">
        <v>263</v>
      </c>
      <c r="AF18" s="10" t="s">
        <v>423</v>
      </c>
      <c r="AG18" s="10" t="s">
        <v>1017</v>
      </c>
      <c r="AH18" s="10" t="s">
        <v>1018</v>
      </c>
      <c r="AI18" s="10" t="s">
        <v>1019</v>
      </c>
      <c r="AJ18" s="9" t="s">
        <v>483</v>
      </c>
      <c r="AK18" s="9" t="s">
        <v>483</v>
      </c>
      <c r="AL18" s="9">
        <v>81.3</v>
      </c>
      <c r="AM18" s="9">
        <v>157</v>
      </c>
      <c r="AN18" s="10">
        <v>96</v>
      </c>
      <c r="AO18" s="9">
        <v>112</v>
      </c>
      <c r="AP18" s="9">
        <v>47.7</v>
      </c>
      <c r="AQ18" s="9">
        <v>11</v>
      </c>
      <c r="AR18" s="9">
        <v>22.8</v>
      </c>
      <c r="AS18" s="9">
        <v>69</v>
      </c>
      <c r="AT18" s="9">
        <v>32.799999999999997</v>
      </c>
      <c r="AU18" s="9">
        <v>115</v>
      </c>
      <c r="AV18" s="9">
        <v>67</v>
      </c>
      <c r="AX18" s="9" t="s">
        <v>389</v>
      </c>
      <c r="AY18" s="9" t="s">
        <v>321</v>
      </c>
      <c r="AZ18" s="9" t="s">
        <v>1020</v>
      </c>
      <c r="BB18" s="9" t="s">
        <v>409</v>
      </c>
      <c r="BC18" s="9" t="s">
        <v>785</v>
      </c>
      <c r="BF18" s="9" t="s">
        <v>323</v>
      </c>
      <c r="BG18" s="9" t="s">
        <v>323</v>
      </c>
      <c r="BH18" s="9" t="s">
        <v>323</v>
      </c>
      <c r="BI18" s="9" t="s">
        <v>323</v>
      </c>
      <c r="BJ18" s="9" t="s">
        <v>325</v>
      </c>
      <c r="BK18" s="9" t="s">
        <v>1004</v>
      </c>
      <c r="BN18" s="9" t="s">
        <v>919</v>
      </c>
      <c r="BO18" s="9" t="s">
        <v>1021</v>
      </c>
      <c r="BP18" s="9" t="s">
        <v>920</v>
      </c>
      <c r="BR18" s="9" t="s">
        <v>1022</v>
      </c>
      <c r="BV18" s="9" t="s">
        <v>324</v>
      </c>
      <c r="BZ18" s="9" t="s">
        <v>330</v>
      </c>
      <c r="CA18" s="9" t="s">
        <v>1023</v>
      </c>
      <c r="CB18" s="9" t="s">
        <v>1024</v>
      </c>
      <c r="CL18" s="9" t="s">
        <v>997</v>
      </c>
      <c r="CM18" s="9" t="s">
        <v>333</v>
      </c>
      <c r="CN18" s="9" t="s">
        <v>1025</v>
      </c>
      <c r="CP18" s="9" t="s">
        <v>452</v>
      </c>
      <c r="CQ18" s="9" t="s">
        <v>1026</v>
      </c>
      <c r="CR18" s="9" t="s">
        <v>946</v>
      </c>
      <c r="CT18" s="9" t="s">
        <v>1027</v>
      </c>
      <c r="CU18" s="9" t="s">
        <v>1028</v>
      </c>
      <c r="CV18" s="9" t="s">
        <v>1029</v>
      </c>
      <c r="CW18" s="9">
        <v>2</v>
      </c>
      <c r="CX18" s="9" t="s">
        <v>483</v>
      </c>
      <c r="CY18" s="9" t="s">
        <v>483</v>
      </c>
      <c r="CZ18" s="9">
        <v>50</v>
      </c>
      <c r="DA18" s="9">
        <v>25</v>
      </c>
      <c r="DB18" s="9">
        <v>25</v>
      </c>
      <c r="DC18" s="10">
        <v>135</v>
      </c>
      <c r="DD18" s="9">
        <v>0.72</v>
      </c>
      <c r="DE18" s="10">
        <v>254</v>
      </c>
      <c r="DF18" s="10">
        <v>157</v>
      </c>
      <c r="DG18" s="9">
        <f t="shared" si="0"/>
        <v>4.9807602918933691</v>
      </c>
      <c r="DH18" s="9">
        <v>31.4</v>
      </c>
      <c r="DI18" s="9">
        <v>7.7</v>
      </c>
      <c r="DL18" s="9">
        <v>53.3</v>
      </c>
      <c r="DM18" s="9">
        <v>169.3</v>
      </c>
      <c r="DP18" s="11">
        <v>3</v>
      </c>
      <c r="DR18" s="9">
        <v>3</v>
      </c>
      <c r="DU18" s="9">
        <v>5</v>
      </c>
    </row>
    <row r="19" spans="1:156" x14ac:dyDescent="0.2">
      <c r="A19" s="36" t="s">
        <v>1043</v>
      </c>
      <c r="B19" s="8">
        <v>43308</v>
      </c>
      <c r="C19" s="9" t="s">
        <v>95</v>
      </c>
      <c r="D19" s="9">
        <v>54</v>
      </c>
      <c r="E19" s="9" t="s">
        <v>100</v>
      </c>
      <c r="F19" s="8">
        <v>23267</v>
      </c>
      <c r="G19" s="9" t="s">
        <v>1044</v>
      </c>
      <c r="H19" s="9" t="s">
        <v>1045</v>
      </c>
      <c r="J19" s="10">
        <v>2008</v>
      </c>
      <c r="K19" s="9">
        <v>2001</v>
      </c>
      <c r="L19" s="9">
        <v>2</v>
      </c>
      <c r="M19" s="9" t="s">
        <v>263</v>
      </c>
      <c r="N19" s="9" t="s">
        <v>263</v>
      </c>
      <c r="O19" s="9" t="s">
        <v>263</v>
      </c>
      <c r="P19" s="9" t="s">
        <v>263</v>
      </c>
      <c r="Q19" s="10" t="s">
        <v>588</v>
      </c>
      <c r="R19" s="9" t="s">
        <v>588</v>
      </c>
      <c r="U19" s="9" t="s">
        <v>483</v>
      </c>
      <c r="V19" s="9" t="s">
        <v>483</v>
      </c>
      <c r="W19" s="14" t="s">
        <v>1046</v>
      </c>
      <c r="X19" s="9" t="s">
        <v>263</v>
      </c>
      <c r="Y19" s="14" t="s">
        <v>1047</v>
      </c>
      <c r="Z19" s="9" t="s">
        <v>1048</v>
      </c>
      <c r="AA19" s="9" t="s">
        <v>100</v>
      </c>
      <c r="AB19" s="52" t="s">
        <v>914</v>
      </c>
      <c r="AC19" s="9" t="s">
        <v>100</v>
      </c>
      <c r="AD19" s="52" t="s">
        <v>914</v>
      </c>
      <c r="AE19" s="9" t="s">
        <v>483</v>
      </c>
      <c r="AF19" s="9" t="s">
        <v>483</v>
      </c>
      <c r="AG19" s="10" t="s">
        <v>423</v>
      </c>
      <c r="AH19" s="9" t="s">
        <v>483</v>
      </c>
      <c r="AI19" s="9" t="s">
        <v>483</v>
      </c>
      <c r="AJ19" s="9" t="s">
        <v>483</v>
      </c>
      <c r="AK19" s="10" t="s">
        <v>1049</v>
      </c>
      <c r="AL19" s="9">
        <v>70.900000000000006</v>
      </c>
      <c r="AM19" s="9">
        <v>161</v>
      </c>
      <c r="AN19" s="10">
        <v>100</v>
      </c>
      <c r="AO19" s="9">
        <v>103</v>
      </c>
      <c r="AP19" s="9">
        <v>46.1</v>
      </c>
      <c r="AQ19" s="9">
        <v>9</v>
      </c>
      <c r="AR19" s="9">
        <v>20.8</v>
      </c>
      <c r="AS19" s="9">
        <v>58</v>
      </c>
      <c r="AT19" s="9">
        <v>27.4</v>
      </c>
      <c r="AU19" s="9">
        <v>114</v>
      </c>
      <c r="AV19" s="9">
        <v>88</v>
      </c>
      <c r="AX19" s="9" t="s">
        <v>168</v>
      </c>
      <c r="AY19" s="9" t="s">
        <v>793</v>
      </c>
      <c r="AZ19" s="9" t="s">
        <v>937</v>
      </c>
      <c r="BB19" s="9" t="s">
        <v>409</v>
      </c>
      <c r="BC19" s="9" t="s">
        <v>1050</v>
      </c>
      <c r="BD19" s="9" t="s">
        <v>785</v>
      </c>
      <c r="BF19" s="9" t="s">
        <v>635</v>
      </c>
      <c r="BG19" s="9" t="s">
        <v>323</v>
      </c>
      <c r="BH19" s="9" t="s">
        <v>323</v>
      </c>
      <c r="BI19" s="9" t="s">
        <v>635</v>
      </c>
      <c r="BJ19" s="9" t="s">
        <v>635</v>
      </c>
      <c r="BK19" s="9" t="s">
        <v>323</v>
      </c>
      <c r="BY19" s="9" t="s">
        <v>1051</v>
      </c>
      <c r="BZ19" s="9" t="s">
        <v>415</v>
      </c>
      <c r="CA19" s="9" t="s">
        <v>1052</v>
      </c>
      <c r="CD19" s="9" t="s">
        <v>1053</v>
      </c>
      <c r="CL19" s="9" t="s">
        <v>333</v>
      </c>
      <c r="CM19" s="9" t="s">
        <v>383</v>
      </c>
      <c r="CP19" s="9" t="s">
        <v>946</v>
      </c>
      <c r="CQ19" s="9" t="s">
        <v>791</v>
      </c>
      <c r="CR19" s="9" t="s">
        <v>1054</v>
      </c>
      <c r="CT19" s="9" t="s">
        <v>1027</v>
      </c>
      <c r="CW19" s="9">
        <v>3</v>
      </c>
      <c r="CX19" s="9" t="s">
        <v>483</v>
      </c>
      <c r="CY19" s="9" t="s">
        <v>483</v>
      </c>
      <c r="CZ19" s="9">
        <v>40</v>
      </c>
      <c r="DA19" s="9">
        <v>20</v>
      </c>
      <c r="DB19" s="9">
        <v>40</v>
      </c>
      <c r="DC19" s="7">
        <v>98.6</v>
      </c>
      <c r="DD19" s="9">
        <v>0.43</v>
      </c>
      <c r="DE19" s="10">
        <v>200</v>
      </c>
      <c r="DF19" s="10">
        <v>161</v>
      </c>
      <c r="DG19" s="9">
        <f t="shared" si="0"/>
        <v>4.8362378132965267</v>
      </c>
      <c r="DH19" s="9">
        <v>32.200000000000003</v>
      </c>
      <c r="DI19" s="9">
        <v>6.77</v>
      </c>
      <c r="DL19" s="10">
        <v>41.4</v>
      </c>
      <c r="DM19" s="9">
        <v>126.4</v>
      </c>
      <c r="DP19" s="11">
        <v>2</v>
      </c>
      <c r="DQ19" s="9">
        <v>3</v>
      </c>
      <c r="DR19" s="9">
        <v>3</v>
      </c>
      <c r="DU19" s="9">
        <v>10.3</v>
      </c>
    </row>
    <row r="20" spans="1:156" x14ac:dyDescent="0.2">
      <c r="A20" s="14" t="s">
        <v>1062</v>
      </c>
      <c r="B20" s="8">
        <v>43308</v>
      </c>
      <c r="C20" s="9" t="s">
        <v>95</v>
      </c>
      <c r="D20" s="9">
        <v>43</v>
      </c>
      <c r="E20" s="9" t="s">
        <v>96</v>
      </c>
      <c r="F20" s="8">
        <v>27267</v>
      </c>
      <c r="G20" s="9" t="s">
        <v>585</v>
      </c>
      <c r="H20" s="9" t="s">
        <v>870</v>
      </c>
      <c r="J20" s="42"/>
      <c r="K20" s="9">
        <v>1996</v>
      </c>
      <c r="L20" s="9">
        <v>1</v>
      </c>
      <c r="M20" s="10" t="s">
        <v>588</v>
      </c>
      <c r="N20" s="10" t="s">
        <v>588</v>
      </c>
      <c r="P20" s="9" t="s">
        <v>483</v>
      </c>
      <c r="Q20" s="9" t="s">
        <v>483</v>
      </c>
      <c r="R20" s="9" t="s">
        <v>588</v>
      </c>
      <c r="W20" s="9" t="s">
        <v>1063</v>
      </c>
      <c r="AA20" s="9" t="s">
        <v>100</v>
      </c>
      <c r="AB20" s="9" t="s">
        <v>949</v>
      </c>
      <c r="AC20" s="9" t="s">
        <v>932</v>
      </c>
      <c r="AD20" s="9" t="s">
        <v>932</v>
      </c>
      <c r="AE20" s="10" t="s">
        <v>423</v>
      </c>
      <c r="AF20" s="10" t="s">
        <v>423</v>
      </c>
      <c r="AG20" s="10" t="s">
        <v>1064</v>
      </c>
      <c r="AH20" s="10" t="s">
        <v>423</v>
      </c>
      <c r="AI20" s="9" t="s">
        <v>483</v>
      </c>
      <c r="AJ20" s="9" t="s">
        <v>1065</v>
      </c>
      <c r="AK20" s="9" t="s">
        <v>483</v>
      </c>
      <c r="AL20" s="9">
        <v>84.6</v>
      </c>
      <c r="AM20" s="9">
        <v>147</v>
      </c>
      <c r="AN20" s="10">
        <v>103</v>
      </c>
      <c r="AO20" s="9">
        <v>125</v>
      </c>
      <c r="AP20" s="9">
        <v>52.9</v>
      </c>
      <c r="AQ20" s="9">
        <v>11</v>
      </c>
      <c r="AR20" s="9">
        <v>20.8</v>
      </c>
      <c r="AS20" s="9">
        <v>72</v>
      </c>
      <c r="AT20" s="9">
        <v>38.1</v>
      </c>
      <c r="DC20" s="10">
        <v>105.7</v>
      </c>
      <c r="DD20" s="9">
        <v>0.27</v>
      </c>
      <c r="DE20" s="10">
        <v>247</v>
      </c>
      <c r="DF20" s="10">
        <v>224</v>
      </c>
      <c r="DG20" s="9">
        <f t="shared" si="0"/>
        <v>5.0361254723656161</v>
      </c>
      <c r="DH20" s="9">
        <v>44.8</v>
      </c>
      <c r="DI20" s="9">
        <v>4.67</v>
      </c>
      <c r="DL20" s="9">
        <v>46.6</v>
      </c>
      <c r="DM20" s="9">
        <v>155.6</v>
      </c>
      <c r="DP20" s="11">
        <v>3</v>
      </c>
      <c r="DQ20" s="9">
        <v>2</v>
      </c>
      <c r="DR20" s="9">
        <v>3</v>
      </c>
      <c r="DT20" s="9">
        <v>11.8</v>
      </c>
      <c r="DU20" s="9">
        <v>4</v>
      </c>
    </row>
    <row r="21" spans="1:156" x14ac:dyDescent="0.2">
      <c r="A21" s="36" t="s">
        <v>1066</v>
      </c>
      <c r="B21" s="8">
        <v>43308</v>
      </c>
      <c r="C21" s="9" t="s">
        <v>95</v>
      </c>
      <c r="D21" s="9">
        <v>40</v>
      </c>
      <c r="E21" s="9" t="s">
        <v>96</v>
      </c>
      <c r="F21" s="8">
        <v>28441</v>
      </c>
      <c r="H21" s="9" t="s">
        <v>1067</v>
      </c>
      <c r="I21" s="9">
        <v>12</v>
      </c>
      <c r="K21" s="9">
        <v>2010</v>
      </c>
      <c r="L21" s="9">
        <v>5</v>
      </c>
      <c r="M21" s="9" t="s">
        <v>99</v>
      </c>
      <c r="N21" s="9" t="s">
        <v>99</v>
      </c>
      <c r="O21" s="9" t="s">
        <v>99</v>
      </c>
      <c r="P21" s="9" t="s">
        <v>99</v>
      </c>
      <c r="Q21" s="9" t="s">
        <v>483</v>
      </c>
      <c r="R21" s="9" t="s">
        <v>588</v>
      </c>
      <c r="S21" s="9" t="s">
        <v>483</v>
      </c>
      <c r="T21" s="47" t="s">
        <v>483</v>
      </c>
      <c r="U21" s="9" t="s">
        <v>588</v>
      </c>
      <c r="V21" s="9" t="s">
        <v>483</v>
      </c>
      <c r="AA21" s="9" t="s">
        <v>1068</v>
      </c>
      <c r="AB21" s="9" t="s">
        <v>949</v>
      </c>
      <c r="AE21" s="9" t="s">
        <v>99</v>
      </c>
      <c r="AF21" s="10" t="s">
        <v>406</v>
      </c>
      <c r="AG21" s="10" t="s">
        <v>423</v>
      </c>
      <c r="AH21" s="9" t="s">
        <v>483</v>
      </c>
      <c r="AI21" s="9" t="s">
        <v>483</v>
      </c>
      <c r="AJ21" s="9" t="s">
        <v>483</v>
      </c>
      <c r="AK21" s="9" t="s">
        <v>99</v>
      </c>
      <c r="AL21" s="9">
        <v>89.5</v>
      </c>
      <c r="AM21" s="9">
        <v>163</v>
      </c>
      <c r="AN21" s="10">
        <v>98</v>
      </c>
      <c r="AO21" s="9">
        <v>116</v>
      </c>
      <c r="AP21" s="9">
        <v>47.3</v>
      </c>
      <c r="AQ21" s="9">
        <v>9</v>
      </c>
      <c r="AR21" s="9">
        <v>23.4</v>
      </c>
      <c r="AS21" s="9">
        <v>67</v>
      </c>
      <c r="AT21" s="9">
        <v>33.700000000000003</v>
      </c>
      <c r="AU21" s="10">
        <v>141</v>
      </c>
      <c r="AV21" s="10">
        <v>93</v>
      </c>
      <c r="AX21" s="9" t="s">
        <v>1069</v>
      </c>
      <c r="AY21" s="9" t="s">
        <v>1070</v>
      </c>
      <c r="AZ21" s="9" t="s">
        <v>1071</v>
      </c>
      <c r="BB21" s="9" t="s">
        <v>785</v>
      </c>
      <c r="BC21" s="9" t="s">
        <v>409</v>
      </c>
      <c r="BF21" s="9" t="s">
        <v>350</v>
      </c>
      <c r="BG21" s="9" t="s">
        <v>350</v>
      </c>
      <c r="BH21" s="9" t="s">
        <v>323</v>
      </c>
      <c r="BI21" s="9" t="s">
        <v>635</v>
      </c>
      <c r="BJ21" s="9" t="s">
        <v>635</v>
      </c>
      <c r="BK21" s="9" t="s">
        <v>325</v>
      </c>
      <c r="BN21" s="9" t="s">
        <v>918</v>
      </c>
      <c r="BO21" s="9" t="s">
        <v>1072</v>
      </c>
      <c r="BP21" s="9" t="s">
        <v>1073</v>
      </c>
      <c r="BV21" s="9" t="s">
        <v>64</v>
      </c>
      <c r="BZ21" s="9" t="s">
        <v>278</v>
      </c>
      <c r="CA21" s="9" t="s">
        <v>1074</v>
      </c>
      <c r="CB21" s="9" t="s">
        <v>1075</v>
      </c>
      <c r="CL21" s="9" t="s">
        <v>383</v>
      </c>
      <c r="CM21" s="9" t="s">
        <v>1076</v>
      </c>
      <c r="CN21" s="9" t="s">
        <v>449</v>
      </c>
      <c r="CT21" s="9" t="s">
        <v>435</v>
      </c>
      <c r="CW21" s="9">
        <v>2</v>
      </c>
      <c r="CX21" s="9" t="s">
        <v>588</v>
      </c>
      <c r="CY21" s="9" t="s">
        <v>323</v>
      </c>
      <c r="DC21" s="7">
        <v>84.5</v>
      </c>
      <c r="DD21" s="9">
        <v>0.5</v>
      </c>
      <c r="DE21" s="9">
        <v>149</v>
      </c>
      <c r="DF21" s="10">
        <v>177</v>
      </c>
      <c r="DG21" s="9">
        <f t="shared" si="0"/>
        <v>4.8064506334684785</v>
      </c>
      <c r="DH21" s="9">
        <v>35.4</v>
      </c>
      <c r="DI21" s="9">
        <v>5.89</v>
      </c>
      <c r="DL21" s="10">
        <v>38.799999999999997</v>
      </c>
      <c r="DM21" s="9">
        <v>74.8</v>
      </c>
      <c r="DP21" s="11">
        <v>2</v>
      </c>
      <c r="DQ21" s="9">
        <v>3</v>
      </c>
      <c r="DR21" s="9">
        <v>3</v>
      </c>
      <c r="DU21" s="9">
        <v>6.2</v>
      </c>
    </row>
    <row r="22" spans="1:156" x14ac:dyDescent="0.2">
      <c r="A22" s="36" t="s">
        <v>1186</v>
      </c>
      <c r="B22" s="8">
        <v>43308</v>
      </c>
      <c r="C22" s="9" t="s">
        <v>95</v>
      </c>
      <c r="F22" s="8"/>
      <c r="K22" s="9">
        <v>1988</v>
      </c>
      <c r="L22" s="9">
        <v>4</v>
      </c>
      <c r="W22" s="9" t="s">
        <v>483</v>
      </c>
      <c r="X22" s="9" t="s">
        <v>483</v>
      </c>
      <c r="AA22" s="9" t="s">
        <v>96</v>
      </c>
      <c r="AB22" s="9" t="s">
        <v>96</v>
      </c>
      <c r="AC22" s="9" t="s">
        <v>96</v>
      </c>
      <c r="AD22" s="9" t="s">
        <v>96</v>
      </c>
      <c r="AE22" s="10" t="s">
        <v>406</v>
      </c>
      <c r="AL22" s="9">
        <v>73.599999999999994</v>
      </c>
      <c r="AM22" s="9">
        <v>1.59</v>
      </c>
      <c r="AN22" s="10">
        <v>101</v>
      </c>
      <c r="AO22" s="9">
        <v>111</v>
      </c>
      <c r="AP22" s="9">
        <v>42.7</v>
      </c>
      <c r="AQ22" s="9">
        <v>10</v>
      </c>
      <c r="AR22" s="9">
        <v>24.7</v>
      </c>
      <c r="AS22" s="9">
        <v>65</v>
      </c>
      <c r="AT22" s="9">
        <v>29.1</v>
      </c>
      <c r="AU22" s="10">
        <v>153</v>
      </c>
      <c r="AV22" s="10">
        <v>100</v>
      </c>
      <c r="BF22" s="9" t="s">
        <v>588</v>
      </c>
      <c r="BG22" s="9" t="s">
        <v>588</v>
      </c>
      <c r="BH22" s="9" t="s">
        <v>588</v>
      </c>
      <c r="BI22" s="9" t="s">
        <v>588</v>
      </c>
      <c r="BN22" s="9" t="s">
        <v>635</v>
      </c>
      <c r="BR22" s="9" t="s">
        <v>323</v>
      </c>
      <c r="BV22" s="9" t="s">
        <v>325</v>
      </c>
      <c r="BZ22" s="9" t="s">
        <v>635</v>
      </c>
      <c r="DC22" s="9">
        <v>91</v>
      </c>
      <c r="DD22" s="9">
        <v>0.5</v>
      </c>
      <c r="DE22" s="10">
        <v>200</v>
      </c>
      <c r="DF22" s="10">
        <v>222</v>
      </c>
      <c r="DG22" s="9">
        <f t="shared" si="0"/>
        <v>4.956768444194565</v>
      </c>
      <c r="DI22" s="9">
        <v>4.96</v>
      </c>
      <c r="DU22" s="9">
        <v>7.2</v>
      </c>
    </row>
    <row r="23" spans="1:156" x14ac:dyDescent="0.2">
      <c r="A23" s="36" t="s">
        <v>1230</v>
      </c>
      <c r="B23" s="38">
        <v>43308</v>
      </c>
      <c r="C23" s="39" t="s">
        <v>95</v>
      </c>
      <c r="D23" s="39">
        <v>36</v>
      </c>
      <c r="E23" s="39" t="s">
        <v>96</v>
      </c>
      <c r="F23" s="57">
        <v>29821</v>
      </c>
      <c r="G23" s="39"/>
      <c r="H23" s="39"/>
      <c r="I23" s="39">
        <v>13</v>
      </c>
      <c r="J23" s="39"/>
      <c r="K23" s="39">
        <v>2009</v>
      </c>
      <c r="L23" s="39">
        <v>1</v>
      </c>
      <c r="M23" s="10" t="s">
        <v>588</v>
      </c>
      <c r="N23" s="39" t="s">
        <v>483</v>
      </c>
      <c r="O23" s="39"/>
      <c r="P23" s="10" t="s">
        <v>588</v>
      </c>
      <c r="Q23" s="10" t="s">
        <v>588</v>
      </c>
      <c r="R23" s="39" t="s">
        <v>588</v>
      </c>
      <c r="S23" s="39" t="s">
        <v>483</v>
      </c>
      <c r="T23" s="39" t="s">
        <v>483</v>
      </c>
      <c r="U23" s="39" t="s">
        <v>483</v>
      </c>
      <c r="V23" s="39" t="s">
        <v>483</v>
      </c>
      <c r="W23" s="39" t="s">
        <v>483</v>
      </c>
      <c r="X23" s="39" t="s">
        <v>483</v>
      </c>
      <c r="Y23" s="39"/>
      <c r="Z23" s="39"/>
      <c r="AA23" s="39" t="s">
        <v>949</v>
      </c>
      <c r="AB23" s="39" t="s">
        <v>949</v>
      </c>
      <c r="AC23" s="39" t="s">
        <v>949</v>
      </c>
      <c r="AD23" s="39" t="s">
        <v>949</v>
      </c>
      <c r="AE23" s="10" t="s">
        <v>1231</v>
      </c>
      <c r="AF23" s="10" t="s">
        <v>1232</v>
      </c>
      <c r="AG23" s="10" t="s">
        <v>425</v>
      </c>
      <c r="AH23" s="39" t="s">
        <v>483</v>
      </c>
      <c r="AI23" s="39" t="s">
        <v>483</v>
      </c>
      <c r="AJ23" s="39" t="s">
        <v>483</v>
      </c>
      <c r="AK23" s="39" t="s">
        <v>483</v>
      </c>
      <c r="AL23" s="39">
        <v>68</v>
      </c>
      <c r="AM23" s="39">
        <v>1.62</v>
      </c>
      <c r="AN23" s="10">
        <v>87</v>
      </c>
      <c r="AO23" s="39">
        <v>93</v>
      </c>
      <c r="AP23" s="39">
        <v>37.4</v>
      </c>
      <c r="AQ23" s="39">
        <v>6</v>
      </c>
      <c r="AR23" s="39">
        <v>27.1</v>
      </c>
      <c r="AS23" s="39">
        <v>44</v>
      </c>
      <c r="AT23" s="39">
        <v>25.9</v>
      </c>
      <c r="AU23" s="39">
        <v>114</v>
      </c>
      <c r="AV23" s="39">
        <v>78</v>
      </c>
      <c r="AW23" s="39"/>
      <c r="AX23" s="39" t="s">
        <v>1233</v>
      </c>
      <c r="AY23" s="39" t="s">
        <v>1234</v>
      </c>
      <c r="AZ23" s="39"/>
      <c r="BA23" s="39"/>
      <c r="BB23" s="39" t="s">
        <v>1148</v>
      </c>
      <c r="BC23" s="39"/>
      <c r="BD23" s="39"/>
      <c r="BE23" s="39"/>
      <c r="BF23" s="39" t="s">
        <v>635</v>
      </c>
      <c r="BG23" s="39" t="s">
        <v>323</v>
      </c>
      <c r="BH23" s="39" t="s">
        <v>323</v>
      </c>
      <c r="BI23" s="39" t="s">
        <v>635</v>
      </c>
      <c r="BJ23" s="39" t="s">
        <v>635</v>
      </c>
      <c r="BK23" s="39" t="s">
        <v>325</v>
      </c>
      <c r="BL23" s="39"/>
      <c r="BM23" s="39"/>
      <c r="BN23" s="39" t="s">
        <v>376</v>
      </c>
      <c r="BO23" s="39" t="s">
        <v>904</v>
      </c>
      <c r="BP23" s="39" t="s">
        <v>499</v>
      </c>
      <c r="BQ23" s="39"/>
      <c r="BR23" s="39"/>
      <c r="BS23" s="39"/>
      <c r="BT23" s="39"/>
      <c r="BU23" s="39"/>
      <c r="BV23" s="39"/>
      <c r="BW23" s="39"/>
      <c r="BX23" s="39"/>
      <c r="BY23" s="39"/>
      <c r="BZ23" s="39" t="s">
        <v>1074</v>
      </c>
      <c r="CA23" s="39" t="s">
        <v>1235</v>
      </c>
      <c r="CB23" s="39" t="s">
        <v>1236</v>
      </c>
      <c r="CC23" s="39"/>
      <c r="CD23" s="39"/>
      <c r="CE23" s="39"/>
      <c r="CF23" s="39"/>
      <c r="CG23" s="39"/>
      <c r="CH23" s="39"/>
      <c r="CI23" s="39"/>
      <c r="CJ23" s="39"/>
      <c r="CK23" s="39"/>
      <c r="CL23" s="39" t="s">
        <v>1237</v>
      </c>
      <c r="CM23" s="39" t="s">
        <v>1238</v>
      </c>
      <c r="CN23" s="39" t="s">
        <v>1239</v>
      </c>
      <c r="CO23" s="39"/>
      <c r="CP23" s="39"/>
      <c r="CQ23" s="39"/>
      <c r="CR23" s="39"/>
      <c r="CS23" s="39"/>
      <c r="CT23" s="39" t="s">
        <v>1240</v>
      </c>
      <c r="CU23" s="39"/>
      <c r="CV23" s="39"/>
      <c r="CW23" s="39">
        <v>3</v>
      </c>
      <c r="CX23" s="39" t="s">
        <v>588</v>
      </c>
      <c r="CY23" s="39" t="s">
        <v>483</v>
      </c>
      <c r="CZ23" s="39"/>
      <c r="DA23" s="39"/>
      <c r="DB23" s="39"/>
      <c r="DC23" s="10">
        <v>296.60000000000002</v>
      </c>
      <c r="DD23" s="39">
        <v>0.33</v>
      </c>
      <c r="DE23" s="39">
        <v>198</v>
      </c>
      <c r="DF23" s="39">
        <v>103</v>
      </c>
      <c r="DG23" s="9">
        <f t="shared" si="0"/>
        <v>5.163556708966734</v>
      </c>
      <c r="DH23" s="39"/>
      <c r="DI23" s="39">
        <v>3.07</v>
      </c>
      <c r="DJ23" s="39"/>
      <c r="DK23" s="39"/>
      <c r="DL23" s="10">
        <v>43.4</v>
      </c>
      <c r="DM23" s="39"/>
      <c r="DN23" s="39"/>
      <c r="DO23" s="39"/>
      <c r="DP23" s="40"/>
      <c r="DQ23" s="39"/>
      <c r="DR23" s="39"/>
      <c r="DS23" s="39"/>
      <c r="DT23" s="39"/>
      <c r="DU23" s="39">
        <v>6.3</v>
      </c>
    </row>
    <row r="24" spans="1:156" x14ac:dyDescent="0.2">
      <c r="A24" s="36" t="s">
        <v>1247</v>
      </c>
      <c r="B24" s="38">
        <v>43308</v>
      </c>
      <c r="C24" s="39" t="s">
        <v>95</v>
      </c>
      <c r="D24" s="39">
        <v>44</v>
      </c>
      <c r="E24" s="39" t="s">
        <v>96</v>
      </c>
      <c r="F24" s="57">
        <v>27039</v>
      </c>
      <c r="G24" s="39"/>
      <c r="H24" s="39"/>
      <c r="I24" s="39">
        <v>12</v>
      </c>
      <c r="J24" s="39"/>
      <c r="K24" s="39">
        <v>1998</v>
      </c>
      <c r="L24" s="39">
        <v>2</v>
      </c>
      <c r="M24" s="39" t="s">
        <v>263</v>
      </c>
      <c r="N24" s="39" t="s">
        <v>263</v>
      </c>
      <c r="O24" s="39"/>
      <c r="P24" s="10" t="s">
        <v>588</v>
      </c>
      <c r="Q24" s="10" t="s">
        <v>588</v>
      </c>
      <c r="R24" s="7" t="s">
        <v>483</v>
      </c>
      <c r="S24" s="39"/>
      <c r="T24" s="39"/>
      <c r="U24" s="39" t="s">
        <v>483</v>
      </c>
      <c r="V24" s="39" t="s">
        <v>483</v>
      </c>
      <c r="W24" s="39" t="s">
        <v>483</v>
      </c>
      <c r="X24" s="39" t="s">
        <v>483</v>
      </c>
      <c r="Y24" s="39"/>
      <c r="Z24" s="39" t="s">
        <v>545</v>
      </c>
      <c r="AA24" s="39" t="s">
        <v>96</v>
      </c>
      <c r="AB24" s="39" t="s">
        <v>100</v>
      </c>
      <c r="AC24" s="39"/>
      <c r="AD24" s="39"/>
      <c r="AE24" s="10" t="s">
        <v>1231</v>
      </c>
      <c r="AF24" s="39" t="s">
        <v>263</v>
      </c>
      <c r="AG24" s="39" t="s">
        <v>99</v>
      </c>
      <c r="AH24" s="39" t="s">
        <v>263</v>
      </c>
      <c r="AI24" s="10" t="s">
        <v>901</v>
      </c>
      <c r="AJ24" s="39" t="s">
        <v>99</v>
      </c>
      <c r="AK24" s="39" t="s">
        <v>99</v>
      </c>
      <c r="AL24" s="39">
        <v>57</v>
      </c>
      <c r="AM24" s="39">
        <v>1.51</v>
      </c>
      <c r="AN24" s="30">
        <v>72</v>
      </c>
      <c r="AO24" s="39">
        <v>98</v>
      </c>
      <c r="AP24" s="39">
        <v>42.3</v>
      </c>
      <c r="AQ24" s="39">
        <v>7</v>
      </c>
      <c r="AR24" s="39">
        <v>20.5</v>
      </c>
      <c r="AS24" s="39">
        <v>47</v>
      </c>
      <c r="AT24" s="30">
        <v>25</v>
      </c>
      <c r="AU24" s="10">
        <v>130</v>
      </c>
      <c r="AV24" s="10">
        <v>88</v>
      </c>
      <c r="AW24" s="39"/>
      <c r="AX24" s="39" t="s">
        <v>389</v>
      </c>
      <c r="AY24" s="39" t="s">
        <v>1146</v>
      </c>
      <c r="AZ24" s="39" t="s">
        <v>917</v>
      </c>
      <c r="BA24" s="39"/>
      <c r="BB24" s="39"/>
      <c r="BC24" s="39"/>
      <c r="BD24" s="39"/>
      <c r="BE24" s="39"/>
      <c r="BF24" s="39" t="s">
        <v>323</v>
      </c>
      <c r="BG24" s="39" t="s">
        <v>323</v>
      </c>
      <c r="BH24" s="39" t="s">
        <v>323</v>
      </c>
      <c r="BI24" s="39" t="s">
        <v>323</v>
      </c>
      <c r="BJ24" s="39" t="s">
        <v>323</v>
      </c>
      <c r="BK24" s="39" t="s">
        <v>325</v>
      </c>
      <c r="BL24" s="39"/>
      <c r="BM24" s="39"/>
      <c r="BN24" s="39" t="s">
        <v>326</v>
      </c>
      <c r="BO24" s="39" t="s">
        <v>394</v>
      </c>
      <c r="BP24" s="39" t="s">
        <v>1248</v>
      </c>
      <c r="BQ24" s="39"/>
      <c r="BR24" s="39" t="s">
        <v>323</v>
      </c>
      <c r="BS24" s="39"/>
      <c r="BT24" s="39"/>
      <c r="BU24" s="39"/>
      <c r="BV24" s="39" t="s">
        <v>323</v>
      </c>
      <c r="BW24" s="39"/>
      <c r="BX24" s="39"/>
      <c r="BY24" s="39"/>
      <c r="BZ24" s="39" t="s">
        <v>1245</v>
      </c>
      <c r="CA24" s="39"/>
      <c r="CB24" s="39"/>
      <c r="CC24" s="39"/>
      <c r="CD24" s="39"/>
      <c r="CE24" s="39"/>
      <c r="CF24" s="39"/>
      <c r="CG24" s="39"/>
      <c r="CH24" s="39" t="s">
        <v>1249</v>
      </c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58" t="s">
        <v>1250</v>
      </c>
      <c r="CX24" s="39" t="s">
        <v>483</v>
      </c>
      <c r="CY24" s="39" t="s">
        <v>1251</v>
      </c>
      <c r="CZ24" s="39"/>
      <c r="DA24" s="39"/>
      <c r="DB24" s="39"/>
      <c r="DC24" s="39">
        <v>88.2</v>
      </c>
      <c r="DD24" s="39">
        <v>0.65</v>
      </c>
      <c r="DE24" s="10">
        <v>268</v>
      </c>
      <c r="DF24" s="10">
        <v>255</v>
      </c>
      <c r="DG24" s="9">
        <f t="shared" si="0"/>
        <v>5.0104352540855857</v>
      </c>
      <c r="DH24" s="39"/>
      <c r="DI24" s="39">
        <v>6.94</v>
      </c>
      <c r="DJ24" s="39"/>
      <c r="DK24" s="39"/>
      <c r="DL24" s="39">
        <v>49</v>
      </c>
      <c r="DM24" s="39"/>
      <c r="DN24" s="39"/>
      <c r="DO24" s="39"/>
      <c r="DP24" s="40">
        <v>3</v>
      </c>
      <c r="DQ24" s="39">
        <v>2</v>
      </c>
      <c r="DR24" s="39">
        <v>2</v>
      </c>
      <c r="DS24" s="39"/>
      <c r="DT24" s="39">
        <v>13.5</v>
      </c>
      <c r="DU24" s="39">
        <v>3</v>
      </c>
    </row>
    <row r="25" spans="1:156" x14ac:dyDescent="0.2">
      <c r="A25" s="14" t="s">
        <v>1262</v>
      </c>
      <c r="B25" s="38">
        <v>43308</v>
      </c>
      <c r="C25" s="39" t="s">
        <v>95</v>
      </c>
      <c r="D25" s="39">
        <v>36</v>
      </c>
      <c r="E25" s="39" t="s">
        <v>96</v>
      </c>
      <c r="F25" s="57">
        <v>30301</v>
      </c>
      <c r="G25" s="39"/>
      <c r="H25" s="39" t="s">
        <v>1263</v>
      </c>
      <c r="I25" s="39">
        <v>13</v>
      </c>
      <c r="J25" s="39"/>
      <c r="K25" s="39">
        <v>2015</v>
      </c>
      <c r="L25" s="39">
        <v>6</v>
      </c>
      <c r="M25" s="39" t="s">
        <v>263</v>
      </c>
      <c r="N25" s="39" t="s">
        <v>263</v>
      </c>
      <c r="O25" s="39" t="s">
        <v>263</v>
      </c>
      <c r="P25" s="39" t="s">
        <v>99</v>
      </c>
      <c r="Q25" s="39" t="s">
        <v>483</v>
      </c>
      <c r="R25" s="39" t="s">
        <v>588</v>
      </c>
      <c r="S25" s="39" t="s">
        <v>483</v>
      </c>
      <c r="T25" s="39" t="s">
        <v>483</v>
      </c>
      <c r="U25" s="39" t="s">
        <v>483</v>
      </c>
      <c r="V25" s="39" t="s">
        <v>483</v>
      </c>
      <c r="W25" s="39" t="s">
        <v>483</v>
      </c>
      <c r="X25" s="39" t="s">
        <v>483</v>
      </c>
      <c r="Y25" s="39"/>
      <c r="Z25" s="39"/>
      <c r="AA25" s="39" t="s">
        <v>949</v>
      </c>
      <c r="AB25" s="39" t="s">
        <v>949</v>
      </c>
      <c r="AC25" s="39" t="s">
        <v>949</v>
      </c>
      <c r="AD25" s="39" t="s">
        <v>949</v>
      </c>
      <c r="AE25" s="10" t="s">
        <v>406</v>
      </c>
      <c r="AF25" s="10" t="s">
        <v>423</v>
      </c>
      <c r="AG25" s="39" t="s">
        <v>483</v>
      </c>
      <c r="AH25" s="39" t="s">
        <v>483</v>
      </c>
      <c r="AI25" s="39" t="s">
        <v>483</v>
      </c>
      <c r="AJ25" s="39" t="s">
        <v>483</v>
      </c>
      <c r="AK25" s="39" t="s">
        <v>483</v>
      </c>
      <c r="AL25" s="39">
        <v>76.2</v>
      </c>
      <c r="AM25" s="39">
        <v>1.56</v>
      </c>
      <c r="AN25" s="10">
        <v>100</v>
      </c>
      <c r="AO25" s="39">
        <v>109</v>
      </c>
      <c r="AP25" s="39">
        <v>48.9</v>
      </c>
      <c r="AQ25" s="39">
        <v>9</v>
      </c>
      <c r="AR25" s="39">
        <v>21.5</v>
      </c>
      <c r="AS25" s="39">
        <v>59</v>
      </c>
      <c r="AT25" s="39">
        <v>31.3</v>
      </c>
      <c r="AU25" s="10">
        <v>135</v>
      </c>
      <c r="AV25" s="10">
        <v>90</v>
      </c>
      <c r="AW25" s="39"/>
      <c r="AX25" s="39" t="s">
        <v>389</v>
      </c>
      <c r="AY25" s="39" t="s">
        <v>917</v>
      </c>
      <c r="AZ25" s="39" t="s">
        <v>1264</v>
      </c>
      <c r="BA25" s="39"/>
      <c r="BB25" s="39" t="s">
        <v>409</v>
      </c>
      <c r="BC25" s="39" t="s">
        <v>1265</v>
      </c>
      <c r="BD25" s="39"/>
      <c r="BE25" s="39"/>
      <c r="BF25" s="39" t="s">
        <v>323</v>
      </c>
      <c r="BG25" s="39" t="s">
        <v>323</v>
      </c>
      <c r="BH25" s="39" t="s">
        <v>323</v>
      </c>
      <c r="BI25" s="39" t="s">
        <v>323</v>
      </c>
      <c r="BJ25" s="39" t="s">
        <v>483</v>
      </c>
      <c r="BK25" s="39" t="s">
        <v>325</v>
      </c>
      <c r="BL25" s="39"/>
      <c r="BM25" s="39"/>
      <c r="BN25" s="39" t="s">
        <v>498</v>
      </c>
      <c r="BO25" s="39" t="s">
        <v>376</v>
      </c>
      <c r="BP25" s="39" t="s">
        <v>1248</v>
      </c>
      <c r="BQ25" s="39"/>
      <c r="BR25" s="39"/>
      <c r="BS25" s="39"/>
      <c r="BT25" s="39"/>
      <c r="BU25" s="39"/>
      <c r="BV25" s="39" t="s">
        <v>1266</v>
      </c>
      <c r="BW25" s="39"/>
      <c r="BX25" s="39"/>
      <c r="BY25" s="39"/>
      <c r="BZ25" s="39" t="s">
        <v>1213</v>
      </c>
      <c r="CA25" s="39" t="s">
        <v>1039</v>
      </c>
      <c r="CB25" s="39" t="s">
        <v>1267</v>
      </c>
      <c r="CC25" s="39"/>
      <c r="CD25" s="39"/>
      <c r="CE25" s="39"/>
      <c r="CF25" s="39"/>
      <c r="CG25" s="39"/>
      <c r="CH25" s="39"/>
      <c r="CI25" s="39"/>
      <c r="CJ25" s="39"/>
      <c r="CK25" s="39"/>
      <c r="CL25" s="39" t="s">
        <v>333</v>
      </c>
      <c r="CM25" s="39" t="s">
        <v>997</v>
      </c>
      <c r="CN25" s="39" t="s">
        <v>334</v>
      </c>
      <c r="CO25" s="39"/>
      <c r="CP25" s="39" t="s">
        <v>1268</v>
      </c>
      <c r="CQ25" s="39"/>
      <c r="CR25" s="39"/>
      <c r="CS25" s="39"/>
      <c r="CT25" s="39" t="s">
        <v>1240</v>
      </c>
      <c r="CU25" s="39" t="s">
        <v>1269</v>
      </c>
      <c r="CV25" s="39"/>
      <c r="CW25" s="39"/>
      <c r="CX25" s="39" t="s">
        <v>483</v>
      </c>
      <c r="CY25" s="39" t="s">
        <v>483</v>
      </c>
      <c r="CZ25" s="39"/>
      <c r="DA25" s="39"/>
      <c r="DB25" s="39"/>
      <c r="DC25" s="10">
        <v>157.9</v>
      </c>
      <c r="DD25" s="39">
        <v>0.84</v>
      </c>
      <c r="DE25" s="10">
        <v>256</v>
      </c>
      <c r="DF25" s="10">
        <v>387</v>
      </c>
      <c r="DG25" s="9">
        <f t="shared" si="0"/>
        <v>5.5101933071456894</v>
      </c>
      <c r="DH25" s="39"/>
      <c r="DI25" s="39">
        <v>9.18</v>
      </c>
      <c r="DJ25" s="39"/>
      <c r="DK25" s="39"/>
      <c r="DL25" s="39">
        <v>37.299999999999997</v>
      </c>
      <c r="DM25" s="39"/>
      <c r="DN25" s="39"/>
      <c r="DO25" s="39"/>
      <c r="DP25" s="40">
        <v>3</v>
      </c>
      <c r="DQ25" s="39">
        <v>3</v>
      </c>
      <c r="DR25" s="39">
        <v>2</v>
      </c>
      <c r="DS25" s="39"/>
      <c r="DT25" s="39">
        <v>13.1</v>
      </c>
      <c r="DU25" s="39">
        <v>6</v>
      </c>
    </row>
    <row r="26" spans="1:156" x14ac:dyDescent="0.2">
      <c r="A26" s="36" t="s">
        <v>1288</v>
      </c>
      <c r="B26" s="38">
        <v>43308</v>
      </c>
      <c r="C26" s="39" t="s">
        <v>95</v>
      </c>
      <c r="D26" s="39">
        <v>58</v>
      </c>
      <c r="E26" s="39" t="s">
        <v>96</v>
      </c>
      <c r="F26" s="57">
        <v>21794</v>
      </c>
      <c r="G26" s="39" t="s">
        <v>585</v>
      </c>
      <c r="H26" s="39" t="s">
        <v>1289</v>
      </c>
      <c r="I26" s="39">
        <v>10</v>
      </c>
      <c r="J26" s="39">
        <v>42</v>
      </c>
      <c r="K26" s="39">
        <v>2002</v>
      </c>
      <c r="L26" s="39">
        <v>6</v>
      </c>
      <c r="M26" s="39" t="s">
        <v>483</v>
      </c>
      <c r="N26" s="39" t="s">
        <v>483</v>
      </c>
      <c r="O26" s="39" t="s">
        <v>483</v>
      </c>
      <c r="P26" s="39" t="s">
        <v>483</v>
      </c>
      <c r="Q26" s="39" t="s">
        <v>483</v>
      </c>
      <c r="R26" s="39" t="s">
        <v>588</v>
      </c>
      <c r="S26" s="39"/>
      <c r="T26" s="39"/>
      <c r="U26" s="39" t="s">
        <v>1290</v>
      </c>
      <c r="V26" s="39" t="s">
        <v>588</v>
      </c>
      <c r="W26" s="39"/>
      <c r="X26" s="39"/>
      <c r="Y26" s="39"/>
      <c r="Z26" s="39"/>
      <c r="AA26" s="39" t="s">
        <v>949</v>
      </c>
      <c r="AB26" s="39" t="s">
        <v>949</v>
      </c>
      <c r="AC26" s="39"/>
      <c r="AD26" s="39"/>
      <c r="AE26" s="39" t="s">
        <v>483</v>
      </c>
      <c r="AF26" s="10" t="s">
        <v>1086</v>
      </c>
      <c r="AG26" s="39" t="s">
        <v>483</v>
      </c>
      <c r="AH26" s="39" t="s">
        <v>483</v>
      </c>
      <c r="AI26" s="39" t="s">
        <v>483</v>
      </c>
      <c r="AJ26" s="39" t="s">
        <v>483</v>
      </c>
      <c r="AK26" s="39" t="s">
        <v>483</v>
      </c>
      <c r="AL26" s="39">
        <v>80.7</v>
      </c>
      <c r="AM26" s="39">
        <v>154</v>
      </c>
      <c r="AN26" s="10">
        <v>107</v>
      </c>
      <c r="AO26" s="39">
        <v>118</v>
      </c>
      <c r="AP26" s="39"/>
      <c r="AQ26" s="39"/>
      <c r="AR26" s="39"/>
      <c r="AS26" s="39"/>
      <c r="AT26" s="39"/>
      <c r="AU26" s="10">
        <v>147</v>
      </c>
      <c r="AV26" s="10">
        <v>93</v>
      </c>
      <c r="AW26" s="39"/>
      <c r="AX26" s="39" t="s">
        <v>1280</v>
      </c>
      <c r="AY26" s="39" t="s">
        <v>1291</v>
      </c>
      <c r="AZ26" s="39" t="s">
        <v>1264</v>
      </c>
      <c r="BA26" s="39"/>
      <c r="BB26" s="39" t="s">
        <v>785</v>
      </c>
      <c r="BC26" s="39" t="s">
        <v>409</v>
      </c>
      <c r="BD26" s="39" t="s">
        <v>1020</v>
      </c>
      <c r="BE26" s="39"/>
      <c r="BF26" s="39" t="s">
        <v>323</v>
      </c>
      <c r="BG26" s="39" t="s">
        <v>323</v>
      </c>
      <c r="BH26" s="39" t="s">
        <v>325</v>
      </c>
      <c r="BI26" s="39" t="s">
        <v>323</v>
      </c>
      <c r="BJ26" s="39" t="s">
        <v>323</v>
      </c>
      <c r="BK26" s="39" t="s">
        <v>323</v>
      </c>
      <c r="BL26" s="39"/>
      <c r="BM26" s="39"/>
      <c r="BN26" s="39" t="s">
        <v>918</v>
      </c>
      <c r="BO26" s="39" t="s">
        <v>1292</v>
      </c>
      <c r="BP26" s="39" t="s">
        <v>1293</v>
      </c>
      <c r="BQ26" s="39"/>
      <c r="BR26" s="39" t="s">
        <v>1022</v>
      </c>
      <c r="BS26" s="39"/>
      <c r="BT26" s="39"/>
      <c r="BU26" s="39"/>
      <c r="BV26" s="39" t="s">
        <v>1282</v>
      </c>
      <c r="BW26" s="39"/>
      <c r="BX26" s="39"/>
      <c r="BY26" s="39"/>
      <c r="BZ26" s="39" t="s">
        <v>1283</v>
      </c>
      <c r="CA26" s="39" t="s">
        <v>330</v>
      </c>
      <c r="CB26" s="39" t="s">
        <v>1294</v>
      </c>
      <c r="CC26" s="39"/>
      <c r="CD26" s="39"/>
      <c r="CE26" s="39"/>
      <c r="CF26" s="39"/>
      <c r="CG26" s="39"/>
      <c r="CH26" s="39"/>
      <c r="CI26" s="39"/>
      <c r="CJ26" s="39"/>
      <c r="CK26" s="39"/>
      <c r="CL26" s="39" t="s">
        <v>997</v>
      </c>
      <c r="CM26" s="39" t="s">
        <v>922</v>
      </c>
      <c r="CN26" s="39" t="s">
        <v>1295</v>
      </c>
      <c r="CO26" s="39"/>
      <c r="CP26" s="39" t="s">
        <v>385</v>
      </c>
      <c r="CQ26" s="39" t="s">
        <v>1200</v>
      </c>
      <c r="CR26" s="39" t="s">
        <v>451</v>
      </c>
      <c r="CS26" s="39"/>
      <c r="CT26" s="39" t="s">
        <v>435</v>
      </c>
      <c r="CU26" s="39" t="s">
        <v>1296</v>
      </c>
      <c r="CV26" s="39"/>
      <c r="CW26" s="39" t="s">
        <v>1250</v>
      </c>
      <c r="CX26" s="39" t="s">
        <v>483</v>
      </c>
      <c r="CY26" s="39" t="s">
        <v>483</v>
      </c>
      <c r="CZ26" s="39"/>
      <c r="DA26" s="39"/>
      <c r="DB26" s="39"/>
      <c r="DC26" s="39">
        <v>95.2</v>
      </c>
      <c r="DD26" s="39">
        <v>0.7</v>
      </c>
      <c r="DE26" s="10">
        <v>200</v>
      </c>
      <c r="DF26" s="10">
        <v>168</v>
      </c>
      <c r="DG26" s="9">
        <f t="shared" si="0"/>
        <v>4.8399719606002893</v>
      </c>
      <c r="DH26" s="39"/>
      <c r="DI26" s="39">
        <v>5.39</v>
      </c>
      <c r="DJ26" s="39"/>
      <c r="DK26" s="39"/>
      <c r="DL26" s="10">
        <v>45</v>
      </c>
      <c r="DM26" s="39"/>
      <c r="DN26" s="39"/>
      <c r="DO26" s="39"/>
      <c r="DP26" s="40">
        <v>3</v>
      </c>
      <c r="DQ26" s="39">
        <v>2</v>
      </c>
      <c r="DR26" s="39">
        <v>2</v>
      </c>
      <c r="DS26" s="39"/>
      <c r="DT26" s="39">
        <v>15.6</v>
      </c>
      <c r="DU26" s="39">
        <v>3.75</v>
      </c>
    </row>
    <row r="27" spans="1:156" x14ac:dyDescent="0.2">
      <c r="A27" s="36" t="s">
        <v>1301</v>
      </c>
      <c r="B27" s="57">
        <v>43308</v>
      </c>
      <c r="C27" s="39" t="s">
        <v>107</v>
      </c>
      <c r="D27" s="39">
        <v>50</v>
      </c>
      <c r="E27" s="39" t="s">
        <v>96</v>
      </c>
      <c r="F27" s="57">
        <v>24719</v>
      </c>
      <c r="G27" s="39" t="s">
        <v>1302</v>
      </c>
      <c r="H27" s="39" t="s">
        <v>1303</v>
      </c>
      <c r="I27" s="39"/>
      <c r="J27" s="39"/>
      <c r="K27" s="39"/>
      <c r="L27" s="39"/>
      <c r="M27" s="39" t="s">
        <v>483</v>
      </c>
      <c r="N27" s="39" t="s">
        <v>483</v>
      </c>
      <c r="O27" s="39" t="s">
        <v>483</v>
      </c>
      <c r="P27" s="39" t="s">
        <v>483</v>
      </c>
      <c r="Q27" s="10" t="s">
        <v>588</v>
      </c>
      <c r="R27" s="7" t="s">
        <v>483</v>
      </c>
      <c r="S27" s="39" t="s">
        <v>483</v>
      </c>
      <c r="T27" s="39" t="s">
        <v>483</v>
      </c>
      <c r="U27" s="39" t="s">
        <v>483</v>
      </c>
      <c r="V27" s="39" t="s">
        <v>483</v>
      </c>
      <c r="W27" s="39" t="s">
        <v>483</v>
      </c>
      <c r="X27" s="39" t="s">
        <v>483</v>
      </c>
      <c r="Y27" s="39"/>
      <c r="Z27" s="39"/>
      <c r="AA27" s="39" t="s">
        <v>949</v>
      </c>
      <c r="AB27" s="39" t="s">
        <v>605</v>
      </c>
      <c r="AC27" s="39" t="s">
        <v>949</v>
      </c>
      <c r="AD27" s="39" t="s">
        <v>932</v>
      </c>
      <c r="AE27" s="39" t="s">
        <v>483</v>
      </c>
      <c r="AF27" s="39" t="s">
        <v>483</v>
      </c>
      <c r="AG27" s="39" t="s">
        <v>483</v>
      </c>
      <c r="AH27" s="39" t="s">
        <v>483</v>
      </c>
      <c r="AI27" s="39" t="s">
        <v>483</v>
      </c>
      <c r="AJ27" s="39" t="s">
        <v>483</v>
      </c>
      <c r="AK27" s="39" t="s">
        <v>483</v>
      </c>
      <c r="AL27" s="39">
        <v>84.6</v>
      </c>
      <c r="AM27" s="39">
        <v>1.75</v>
      </c>
      <c r="AN27" s="10">
        <v>102</v>
      </c>
      <c r="AO27" s="39">
        <v>106</v>
      </c>
      <c r="AP27" s="39">
        <v>28.5</v>
      </c>
      <c r="AQ27" s="39">
        <v>12</v>
      </c>
      <c r="AR27" s="39">
        <v>32.6</v>
      </c>
      <c r="AS27" s="39">
        <v>58</v>
      </c>
      <c r="AT27" s="39">
        <v>27.6</v>
      </c>
      <c r="AU27" s="10">
        <v>147</v>
      </c>
      <c r="AV27" s="10">
        <v>108</v>
      </c>
      <c r="AW27" s="39"/>
      <c r="AX27" s="39" t="s">
        <v>1034</v>
      </c>
      <c r="AY27" s="39" t="s">
        <v>1146</v>
      </c>
      <c r="AZ27" s="39" t="s">
        <v>1071</v>
      </c>
      <c r="BA27" s="39"/>
      <c r="BB27" s="39" t="s">
        <v>409</v>
      </c>
      <c r="BC27" s="39" t="s">
        <v>1304</v>
      </c>
      <c r="BD27" s="39"/>
      <c r="BE27" s="39"/>
      <c r="BF27" s="39" t="s">
        <v>323</v>
      </c>
      <c r="BG27" s="39" t="s">
        <v>323</v>
      </c>
      <c r="BH27" s="39" t="s">
        <v>323</v>
      </c>
      <c r="BI27" s="39" t="s">
        <v>323</v>
      </c>
      <c r="BJ27" s="39" t="s">
        <v>323</v>
      </c>
      <c r="BK27" s="39" t="s">
        <v>323</v>
      </c>
      <c r="BL27" s="39"/>
      <c r="BM27" s="39"/>
      <c r="BN27" s="39" t="s">
        <v>410</v>
      </c>
      <c r="BO27" s="39" t="s">
        <v>412</v>
      </c>
      <c r="BP27" s="39" t="s">
        <v>326</v>
      </c>
      <c r="BQ27" s="39"/>
      <c r="BR27" s="39"/>
      <c r="BS27" s="39"/>
      <c r="BT27" s="39"/>
      <c r="BU27" s="39"/>
      <c r="BV27" s="39" t="s">
        <v>1305</v>
      </c>
      <c r="BW27" s="39"/>
      <c r="BX27" s="39"/>
      <c r="BY27" s="39"/>
      <c r="BZ27" s="39" t="s">
        <v>415</v>
      </c>
      <c r="CA27" s="39" t="s">
        <v>941</v>
      </c>
      <c r="CB27" s="39" t="s">
        <v>1051</v>
      </c>
      <c r="CC27" s="39"/>
      <c r="CD27" s="39"/>
      <c r="CE27" s="39"/>
      <c r="CF27" s="39"/>
      <c r="CG27" s="39"/>
      <c r="CH27" s="39"/>
      <c r="CI27" s="39"/>
      <c r="CJ27" s="39"/>
      <c r="CK27" s="39"/>
      <c r="CL27" s="39" t="s">
        <v>333</v>
      </c>
      <c r="CM27" s="39" t="s">
        <v>335</v>
      </c>
      <c r="CN27" s="39" t="s">
        <v>308</v>
      </c>
      <c r="CO27" s="39"/>
      <c r="CP27" s="39" t="s">
        <v>637</v>
      </c>
      <c r="CQ27" s="39" t="s">
        <v>636</v>
      </c>
      <c r="CR27" s="39"/>
      <c r="CS27" s="39"/>
      <c r="CT27" s="39" t="s">
        <v>539</v>
      </c>
      <c r="CU27" s="39"/>
      <c r="CV27" s="39"/>
      <c r="CW27" s="39">
        <v>3</v>
      </c>
      <c r="CX27" s="39" t="s">
        <v>588</v>
      </c>
      <c r="CY27" s="39" t="s">
        <v>1251</v>
      </c>
      <c r="CZ27" s="39"/>
      <c r="DA27" s="39"/>
      <c r="DB27" s="39"/>
      <c r="DC27" s="39">
        <v>96.4</v>
      </c>
      <c r="DD27" s="39">
        <v>1.06</v>
      </c>
      <c r="DE27" s="10">
        <v>232</v>
      </c>
      <c r="DF27" s="10">
        <v>220</v>
      </c>
      <c r="DG27" s="9">
        <f t="shared" si="0"/>
        <v>4.9810668739844308</v>
      </c>
      <c r="DH27" s="39"/>
      <c r="DI27" s="39">
        <v>6.27</v>
      </c>
      <c r="DJ27" s="39"/>
      <c r="DK27" s="39"/>
      <c r="DL27" s="10">
        <v>38.299999999999997</v>
      </c>
      <c r="DM27" s="39"/>
      <c r="DN27" s="39"/>
      <c r="DO27" s="39"/>
      <c r="DP27" s="40">
        <v>3</v>
      </c>
      <c r="DQ27" s="30">
        <v>1</v>
      </c>
      <c r="DR27" s="39">
        <v>2</v>
      </c>
      <c r="DS27" s="39"/>
      <c r="DT27" s="39">
        <v>14.5</v>
      </c>
      <c r="DU27" s="39">
        <v>6.52</v>
      </c>
    </row>
    <row r="28" spans="1:156" customFormat="1" x14ac:dyDescent="0.2">
      <c r="A28" s="71" t="s">
        <v>1635</v>
      </c>
      <c r="B28" s="69">
        <v>43796</v>
      </c>
      <c r="C28" s="29" t="s">
        <v>675</v>
      </c>
      <c r="D28" s="29">
        <v>57</v>
      </c>
      <c r="E28" s="29" t="s">
        <v>1123</v>
      </c>
      <c r="F28" s="69">
        <v>22934</v>
      </c>
      <c r="G28" s="29" t="s">
        <v>1636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>
        <v>88</v>
      </c>
      <c r="AM28" s="29">
        <v>162</v>
      </c>
      <c r="AN28" s="29">
        <v>109</v>
      </c>
      <c r="AO28" s="29">
        <v>108</v>
      </c>
      <c r="AP28" s="29">
        <v>32.1</v>
      </c>
      <c r="AQ28" s="29">
        <v>20</v>
      </c>
      <c r="AR28" s="29">
        <v>31.1</v>
      </c>
      <c r="AS28" s="29">
        <v>62</v>
      </c>
      <c r="AT28" s="29">
        <v>33.5</v>
      </c>
      <c r="AU28" s="48">
        <v>133</v>
      </c>
      <c r="AV28" s="48">
        <v>103</v>
      </c>
      <c r="AW28" s="29" t="s">
        <v>176</v>
      </c>
      <c r="AX28" s="29"/>
      <c r="AY28" s="29"/>
      <c r="AZ28" s="29"/>
      <c r="BA28" s="29" t="s">
        <v>351</v>
      </c>
      <c r="BB28" s="29"/>
      <c r="BC28" s="29"/>
      <c r="BD28" s="29"/>
      <c r="BE28" s="29" t="s">
        <v>351</v>
      </c>
      <c r="BF28" s="29"/>
      <c r="BG28" s="29"/>
      <c r="BH28" s="29"/>
      <c r="BI28" s="29"/>
      <c r="BJ28" s="29"/>
      <c r="BK28" s="29"/>
      <c r="BL28" s="29" t="s">
        <v>351</v>
      </c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 t="s">
        <v>351</v>
      </c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 t="s">
        <v>350</v>
      </c>
      <c r="CP28" s="29"/>
      <c r="CQ28" s="29"/>
      <c r="CR28" s="29"/>
      <c r="CS28" s="29" t="s">
        <v>350</v>
      </c>
      <c r="CT28" s="29"/>
      <c r="CU28" s="29"/>
      <c r="CV28" s="29"/>
      <c r="CW28" s="29">
        <v>3</v>
      </c>
      <c r="CX28" s="29" t="s">
        <v>110</v>
      </c>
      <c r="CY28" s="29"/>
      <c r="CZ28" s="29"/>
      <c r="DA28" s="29"/>
      <c r="DB28" s="29"/>
      <c r="DC28" s="29">
        <v>98.1</v>
      </c>
      <c r="DD28" s="29">
        <v>1.19</v>
      </c>
      <c r="DE28" s="29">
        <v>192</v>
      </c>
      <c r="DF28" s="48">
        <v>175</v>
      </c>
      <c r="DG28" s="9">
        <f t="shared" si="0"/>
        <v>4.8753866702474156</v>
      </c>
      <c r="DH28" s="29">
        <v>35</v>
      </c>
      <c r="DI28" s="29">
        <v>6.41</v>
      </c>
      <c r="DJ28" s="29"/>
      <c r="DK28" s="29"/>
      <c r="DL28" s="48">
        <v>31.8</v>
      </c>
      <c r="DM28" s="29">
        <v>125.2</v>
      </c>
      <c r="DN28" s="29"/>
      <c r="DO28" s="29"/>
      <c r="DP28" s="29">
        <v>3</v>
      </c>
      <c r="DQ28" s="29"/>
      <c r="DR28" s="29">
        <v>2</v>
      </c>
      <c r="DS28" s="29"/>
      <c r="DT28" s="29"/>
      <c r="DU28" s="29">
        <v>6.2</v>
      </c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</row>
    <row r="29" spans="1:156" customFormat="1" x14ac:dyDescent="0.2">
      <c r="A29" s="73" t="s">
        <v>1696</v>
      </c>
      <c r="B29" s="26">
        <v>43796</v>
      </c>
      <c r="C29" t="s">
        <v>107</v>
      </c>
      <c r="D29">
        <v>49</v>
      </c>
      <c r="E29" t="s">
        <v>1697</v>
      </c>
      <c r="F29" s="26">
        <v>25678</v>
      </c>
      <c r="H29" t="s">
        <v>1698</v>
      </c>
      <c r="K29" s="26"/>
      <c r="M29" t="s">
        <v>99</v>
      </c>
      <c r="N29" t="s">
        <v>99</v>
      </c>
      <c r="O29" t="s">
        <v>110</v>
      </c>
      <c r="P29" s="29" t="s">
        <v>99</v>
      </c>
      <c r="Q29" s="29" t="s">
        <v>1699</v>
      </c>
      <c r="R29" s="29"/>
      <c r="S29" s="29" t="s">
        <v>110</v>
      </c>
      <c r="T29" s="29" t="s">
        <v>1700</v>
      </c>
      <c r="U29" s="29" t="s">
        <v>1701</v>
      </c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>
        <v>77.599999999999994</v>
      </c>
      <c r="AM29">
        <v>168</v>
      </c>
      <c r="AN29">
        <v>93</v>
      </c>
      <c r="AO29">
        <v>100</v>
      </c>
      <c r="AP29">
        <v>31.6</v>
      </c>
      <c r="AQ29">
        <v>13</v>
      </c>
      <c r="AR29">
        <v>30.6</v>
      </c>
      <c r="AS29">
        <v>54</v>
      </c>
      <c r="AT29">
        <v>27.5</v>
      </c>
      <c r="AU29" t="s">
        <v>1702</v>
      </c>
      <c r="AV29" t="s">
        <v>1703</v>
      </c>
      <c r="AX29" t="s">
        <v>488</v>
      </c>
      <c r="BF29" t="s">
        <v>375</v>
      </c>
      <c r="BG29" t="s">
        <v>322</v>
      </c>
      <c r="BI29" t="s">
        <v>276</v>
      </c>
      <c r="BK29" t="s">
        <v>276</v>
      </c>
      <c r="BN29" t="s">
        <v>938</v>
      </c>
      <c r="BO29" t="s">
        <v>376</v>
      </c>
      <c r="BZ29" t="s">
        <v>415</v>
      </c>
      <c r="CA29" t="s">
        <v>1267</v>
      </c>
      <c r="CB29" t="s">
        <v>1704</v>
      </c>
      <c r="CL29" t="s">
        <v>1705</v>
      </c>
      <c r="CP29" t="s">
        <v>1706</v>
      </c>
      <c r="CQ29" t="s">
        <v>1707</v>
      </c>
      <c r="CR29" t="s">
        <v>1708</v>
      </c>
      <c r="CW29">
        <v>3</v>
      </c>
      <c r="CY29" t="s">
        <v>110</v>
      </c>
      <c r="DC29">
        <v>111.9</v>
      </c>
      <c r="DD29">
        <v>1.01</v>
      </c>
      <c r="DE29">
        <v>253</v>
      </c>
      <c r="DF29">
        <v>366</v>
      </c>
      <c r="DG29" s="9">
        <f t="shared" si="0"/>
        <v>5.3101194743596229</v>
      </c>
      <c r="DH29">
        <v>73.2</v>
      </c>
      <c r="DI29">
        <v>6.81</v>
      </c>
      <c r="DL29">
        <v>53.7</v>
      </c>
      <c r="DM29">
        <v>126.1</v>
      </c>
      <c r="DP29">
        <v>3</v>
      </c>
      <c r="DR29">
        <v>3</v>
      </c>
    </row>
    <row r="30" spans="1:156" customFormat="1" x14ac:dyDescent="0.2">
      <c r="A30" s="73" t="s">
        <v>1854</v>
      </c>
      <c r="B30" s="26">
        <v>43795</v>
      </c>
      <c r="C30" t="s">
        <v>95</v>
      </c>
      <c r="D30">
        <v>38</v>
      </c>
      <c r="E30" t="s">
        <v>96</v>
      </c>
      <c r="F30" s="26">
        <v>29742</v>
      </c>
      <c r="G30" t="s">
        <v>1855</v>
      </c>
      <c r="H30" t="s">
        <v>1856</v>
      </c>
      <c r="I30" s="26">
        <v>33559</v>
      </c>
      <c r="K30" s="26"/>
      <c r="M30" t="s">
        <v>99</v>
      </c>
      <c r="O30" t="s">
        <v>99</v>
      </c>
      <c r="P30" s="29" t="s">
        <v>99</v>
      </c>
      <c r="Q30" s="29"/>
      <c r="R30" s="29" t="s">
        <v>110</v>
      </c>
      <c r="S30" s="29"/>
      <c r="T30" s="29"/>
      <c r="U30" t="s">
        <v>1857</v>
      </c>
      <c r="V30" s="29" t="s">
        <v>1858</v>
      </c>
      <c r="W30" s="29" t="s">
        <v>1859</v>
      </c>
      <c r="X30" s="29" t="s">
        <v>99</v>
      </c>
      <c r="Y30" s="29" t="s">
        <v>99</v>
      </c>
      <c r="Z30" s="29" t="s">
        <v>99</v>
      </c>
      <c r="AA30" s="29" t="s">
        <v>100</v>
      </c>
      <c r="AB30" s="29" t="s">
        <v>100</v>
      </c>
      <c r="AC30" s="29" t="s">
        <v>100</v>
      </c>
      <c r="AD30" s="29" t="s">
        <v>100</v>
      </c>
      <c r="AE30" s="29" t="s">
        <v>1480</v>
      </c>
      <c r="AF30" s="29" t="s">
        <v>1860</v>
      </c>
      <c r="AG30" s="29" t="s">
        <v>1861</v>
      </c>
      <c r="AH30" s="29" t="s">
        <v>1420</v>
      </c>
      <c r="AI30" s="29"/>
      <c r="AJ30" s="29"/>
      <c r="AK30" s="29"/>
      <c r="AL30">
        <v>80.099999999999994</v>
      </c>
      <c r="AM30">
        <v>152</v>
      </c>
      <c r="AN30">
        <v>106</v>
      </c>
      <c r="AO30">
        <v>117</v>
      </c>
      <c r="AP30">
        <v>51.2</v>
      </c>
      <c r="AQ30">
        <v>10</v>
      </c>
      <c r="AR30">
        <v>21.1</v>
      </c>
      <c r="AS30">
        <v>65</v>
      </c>
      <c r="AT30">
        <v>34.700000000000003</v>
      </c>
      <c r="AU30" t="s">
        <v>1862</v>
      </c>
      <c r="AV30" t="s">
        <v>1863</v>
      </c>
      <c r="AW30" t="s">
        <v>375</v>
      </c>
      <c r="BA30" t="s">
        <v>322</v>
      </c>
      <c r="BB30" t="s">
        <v>1864</v>
      </c>
      <c r="BC30" t="s">
        <v>171</v>
      </c>
      <c r="BE30" t="s">
        <v>322</v>
      </c>
      <c r="BF30" t="s">
        <v>110</v>
      </c>
      <c r="BG30" t="s">
        <v>110</v>
      </c>
      <c r="BH30" t="s">
        <v>110</v>
      </c>
      <c r="BI30" t="s">
        <v>110</v>
      </c>
      <c r="BJ30" t="s">
        <v>110</v>
      </c>
      <c r="BK30" t="s">
        <v>110</v>
      </c>
      <c r="BL30" t="s">
        <v>322</v>
      </c>
      <c r="BN30" t="s">
        <v>953</v>
      </c>
      <c r="BO30" t="s">
        <v>1072</v>
      </c>
      <c r="BP30" t="s">
        <v>918</v>
      </c>
      <c r="BY30" t="s">
        <v>322</v>
      </c>
      <c r="BZ30" t="s">
        <v>277</v>
      </c>
      <c r="CA30" t="s">
        <v>1236</v>
      </c>
      <c r="CB30" t="s">
        <v>1865</v>
      </c>
      <c r="CL30" t="s">
        <v>1866</v>
      </c>
      <c r="CM30" t="s">
        <v>1237</v>
      </c>
      <c r="CN30" t="s">
        <v>1867</v>
      </c>
      <c r="CO30" t="s">
        <v>322</v>
      </c>
      <c r="CS30" t="s">
        <v>322</v>
      </c>
      <c r="CT30" t="s">
        <v>1868</v>
      </c>
      <c r="CU30" t="s">
        <v>1437</v>
      </c>
      <c r="CV30" t="s">
        <v>1869</v>
      </c>
      <c r="CW30">
        <v>3</v>
      </c>
      <c r="CY30" t="s">
        <v>99</v>
      </c>
      <c r="CZ30">
        <v>20</v>
      </c>
      <c r="DA30">
        <v>20</v>
      </c>
      <c r="DB30">
        <v>60</v>
      </c>
      <c r="DC30">
        <v>96</v>
      </c>
      <c r="DD30">
        <v>0.6</v>
      </c>
      <c r="DE30">
        <v>326</v>
      </c>
      <c r="DF30">
        <v>700</v>
      </c>
      <c r="DG30" s="9">
        <f t="shared" si="0"/>
        <v>5.5577142632556207</v>
      </c>
      <c r="DH30" t="s">
        <v>1870</v>
      </c>
      <c r="DI30">
        <v>16.39</v>
      </c>
      <c r="DL30">
        <v>40.4</v>
      </c>
      <c r="DM30" t="s">
        <v>1870</v>
      </c>
      <c r="DP30" s="62">
        <v>2</v>
      </c>
      <c r="DR30">
        <v>2</v>
      </c>
    </row>
    <row r="31" spans="1:156" customFormat="1" x14ac:dyDescent="0.2">
      <c r="A31" s="73" t="s">
        <v>1907</v>
      </c>
      <c r="B31" s="26">
        <v>43795</v>
      </c>
      <c r="C31" t="s">
        <v>95</v>
      </c>
      <c r="D31">
        <v>57</v>
      </c>
      <c r="E31" t="s">
        <v>96</v>
      </c>
      <c r="F31" s="26">
        <v>22700</v>
      </c>
      <c r="G31" t="s">
        <v>1908</v>
      </c>
      <c r="H31" t="s">
        <v>1909</v>
      </c>
      <c r="K31" s="26">
        <v>31906</v>
      </c>
      <c r="L31">
        <v>3</v>
      </c>
      <c r="M31" t="s">
        <v>1910</v>
      </c>
      <c r="N31" t="s">
        <v>99</v>
      </c>
      <c r="P31" s="29" t="s">
        <v>99</v>
      </c>
      <c r="Q31" s="29" t="s">
        <v>1911</v>
      </c>
      <c r="R31" s="29" t="s">
        <v>110</v>
      </c>
      <c r="S31" s="29" t="s">
        <v>99</v>
      </c>
      <c r="T31" s="29" t="s">
        <v>99</v>
      </c>
      <c r="V31" s="29" t="s">
        <v>99</v>
      </c>
      <c r="W31" s="29" t="s">
        <v>99</v>
      </c>
      <c r="X31" s="29" t="s">
        <v>99</v>
      </c>
      <c r="Y31" s="29" t="s">
        <v>99</v>
      </c>
      <c r="Z31" s="29" t="s">
        <v>99</v>
      </c>
      <c r="AA31" s="29" t="s">
        <v>100</v>
      </c>
      <c r="AB31" s="29" t="s">
        <v>100</v>
      </c>
      <c r="AC31" s="29"/>
      <c r="AD31" s="29" t="s">
        <v>100</v>
      </c>
      <c r="AE31" s="29" t="s">
        <v>1912</v>
      </c>
      <c r="AF31" s="29" t="s">
        <v>110</v>
      </c>
      <c r="AG31" s="29" t="s">
        <v>99</v>
      </c>
      <c r="AH31" s="29" t="s">
        <v>110</v>
      </c>
      <c r="AI31" s="29" t="s">
        <v>99</v>
      </c>
      <c r="AJ31" s="29" t="s">
        <v>99</v>
      </c>
      <c r="AK31" s="29" t="s">
        <v>99</v>
      </c>
      <c r="AL31">
        <v>86.9</v>
      </c>
      <c r="AM31">
        <v>161</v>
      </c>
      <c r="AN31">
        <v>106</v>
      </c>
      <c r="AO31">
        <v>117</v>
      </c>
      <c r="AP31">
        <v>48.7</v>
      </c>
      <c r="AQ31">
        <v>12</v>
      </c>
      <c r="AR31">
        <v>22.3</v>
      </c>
      <c r="AS31">
        <v>71</v>
      </c>
      <c r="AT31">
        <v>33.5</v>
      </c>
      <c r="AU31" t="s">
        <v>1913</v>
      </c>
      <c r="AV31" t="s">
        <v>1914</v>
      </c>
      <c r="AW31" t="s">
        <v>375</v>
      </c>
      <c r="BA31" t="s">
        <v>375</v>
      </c>
      <c r="BE31" t="s">
        <v>322</v>
      </c>
      <c r="BF31" t="s">
        <v>110</v>
      </c>
      <c r="BG31" t="s">
        <v>110</v>
      </c>
      <c r="BH31" t="s">
        <v>110</v>
      </c>
      <c r="BI31" t="s">
        <v>110</v>
      </c>
      <c r="BJ31" t="s">
        <v>110</v>
      </c>
      <c r="BK31" t="s">
        <v>110</v>
      </c>
      <c r="BL31" t="s">
        <v>322</v>
      </c>
      <c r="BN31" t="s">
        <v>918</v>
      </c>
      <c r="BO31" t="s">
        <v>1886</v>
      </c>
      <c r="BP31" t="s">
        <v>1073</v>
      </c>
      <c r="BZ31" t="s">
        <v>277</v>
      </c>
      <c r="CA31" t="s">
        <v>1865</v>
      </c>
      <c r="CB31" t="s">
        <v>1764</v>
      </c>
      <c r="CL31" t="s">
        <v>1238</v>
      </c>
      <c r="CM31" t="s">
        <v>1237</v>
      </c>
      <c r="CN31" t="s">
        <v>1155</v>
      </c>
      <c r="CW31">
        <v>3</v>
      </c>
      <c r="CX31" t="s">
        <v>110</v>
      </c>
      <c r="CY31" t="s">
        <v>99</v>
      </c>
      <c r="CZ31">
        <v>30</v>
      </c>
      <c r="DC31">
        <v>131.80000000000001</v>
      </c>
      <c r="DD31">
        <v>0.44</v>
      </c>
      <c r="DE31">
        <v>229</v>
      </c>
      <c r="DF31">
        <v>246</v>
      </c>
      <c r="DG31" s="9">
        <f t="shared" si="0"/>
        <v>5.1933085790003846</v>
      </c>
      <c r="DH31">
        <v>49.2</v>
      </c>
      <c r="DI31">
        <v>5.94</v>
      </c>
      <c r="DL31">
        <v>48.5</v>
      </c>
      <c r="DM31">
        <v>131.30000000000001</v>
      </c>
      <c r="DP31">
        <v>3</v>
      </c>
      <c r="DR31">
        <v>3</v>
      </c>
    </row>
    <row r="32" spans="1:156" customFormat="1" x14ac:dyDescent="0.2">
      <c r="A32" s="71" t="s">
        <v>2044</v>
      </c>
      <c r="B32" s="69">
        <v>43795</v>
      </c>
      <c r="C32" s="29" t="s">
        <v>675</v>
      </c>
      <c r="D32" s="29">
        <v>41</v>
      </c>
      <c r="E32" s="29" t="s">
        <v>100</v>
      </c>
      <c r="F32" s="69">
        <v>28548</v>
      </c>
      <c r="G32" s="29" t="s">
        <v>339</v>
      </c>
      <c r="H32" s="29"/>
      <c r="I32" s="29"/>
      <c r="J32" s="29"/>
      <c r="K32" s="29"/>
      <c r="L32" s="29"/>
      <c r="M32" s="29" t="s">
        <v>99</v>
      </c>
      <c r="N32" s="29" t="s">
        <v>2045</v>
      </c>
      <c r="O32" s="29" t="s">
        <v>110</v>
      </c>
      <c r="P32" s="29" t="s">
        <v>99</v>
      </c>
      <c r="Q32" s="29" t="s">
        <v>1736</v>
      </c>
      <c r="R32" s="29" t="s">
        <v>2046</v>
      </c>
      <c r="S32" s="29"/>
      <c r="T32" s="29"/>
      <c r="U32" s="29" t="s">
        <v>99</v>
      </c>
      <c r="V32" s="29" t="s">
        <v>99</v>
      </c>
      <c r="W32" s="29"/>
      <c r="X32" s="29"/>
      <c r="Y32" s="29"/>
      <c r="Z32" s="29" t="s">
        <v>1222</v>
      </c>
      <c r="AA32" s="29" t="s">
        <v>100</v>
      </c>
      <c r="AB32" s="29" t="s">
        <v>1123</v>
      </c>
      <c r="AC32" s="29" t="s">
        <v>1123</v>
      </c>
      <c r="AD32" s="29" t="s">
        <v>1123</v>
      </c>
      <c r="AE32" s="29" t="s">
        <v>2047</v>
      </c>
      <c r="AF32" s="29" t="s">
        <v>1127</v>
      </c>
      <c r="AG32" s="29" t="s">
        <v>343</v>
      </c>
      <c r="AH32" s="29" t="s">
        <v>2048</v>
      </c>
      <c r="AI32" s="29" t="s">
        <v>2048</v>
      </c>
      <c r="AJ32" s="29" t="s">
        <v>99</v>
      </c>
      <c r="AK32" s="29" t="s">
        <v>99</v>
      </c>
      <c r="AL32" s="29">
        <v>113.8</v>
      </c>
      <c r="AM32" s="29">
        <v>169</v>
      </c>
      <c r="AN32" s="29">
        <v>119</v>
      </c>
      <c r="AO32" s="29">
        <v>119</v>
      </c>
      <c r="AP32" s="29">
        <v>37.6</v>
      </c>
      <c r="AQ32" s="29">
        <v>22</v>
      </c>
      <c r="AR32" s="29">
        <v>29</v>
      </c>
      <c r="AS32" s="29">
        <v>76</v>
      </c>
      <c r="AT32" s="29">
        <v>39.799999999999997</v>
      </c>
      <c r="AU32" s="29">
        <v>120</v>
      </c>
      <c r="AV32" s="29">
        <v>76</v>
      </c>
      <c r="AW32" s="29"/>
      <c r="AX32" s="29" t="s">
        <v>2049</v>
      </c>
      <c r="AY32" s="29" t="s">
        <v>2050</v>
      </c>
      <c r="AZ32" s="29" t="s">
        <v>2051</v>
      </c>
      <c r="BA32" s="29"/>
      <c r="BB32" s="29" t="s">
        <v>2052</v>
      </c>
      <c r="BC32" s="29" t="s">
        <v>346</v>
      </c>
      <c r="BD32" s="29" t="s">
        <v>2053</v>
      </c>
      <c r="BE32" s="29"/>
      <c r="BF32" s="29" t="s">
        <v>351</v>
      </c>
      <c r="BG32" s="29" t="s">
        <v>350</v>
      </c>
      <c r="BH32" s="29" t="s">
        <v>350</v>
      </c>
      <c r="BI32" s="29" t="s">
        <v>351</v>
      </c>
      <c r="BJ32" s="29" t="s">
        <v>351</v>
      </c>
      <c r="BK32" s="29" t="s">
        <v>1513</v>
      </c>
      <c r="BL32" s="29" t="s">
        <v>350</v>
      </c>
      <c r="BM32" s="29"/>
      <c r="BN32" s="29" t="s">
        <v>180</v>
      </c>
      <c r="BO32" s="29" t="s">
        <v>178</v>
      </c>
      <c r="BP32" s="29" t="s">
        <v>125</v>
      </c>
      <c r="BQ32" s="29"/>
      <c r="BR32" s="29"/>
      <c r="BS32" s="29"/>
      <c r="BT32" s="29"/>
      <c r="BU32" s="29"/>
      <c r="BV32" s="29" t="s">
        <v>734</v>
      </c>
      <c r="BW32" s="29"/>
      <c r="BX32" s="29"/>
      <c r="BY32" s="29"/>
      <c r="BZ32" s="29" t="s">
        <v>182</v>
      </c>
      <c r="CA32" s="29" t="s">
        <v>709</v>
      </c>
      <c r="CB32" s="29" t="s">
        <v>183</v>
      </c>
      <c r="CC32" s="29"/>
      <c r="CD32" s="29"/>
      <c r="CE32" s="29"/>
      <c r="CF32" s="29"/>
      <c r="CG32" s="29"/>
      <c r="CH32" s="29" t="s">
        <v>1137</v>
      </c>
      <c r="CI32" s="29"/>
      <c r="CJ32" s="29"/>
      <c r="CK32" s="29"/>
      <c r="CL32" s="29" t="s">
        <v>980</v>
      </c>
      <c r="CM32" s="29" t="s">
        <v>581</v>
      </c>
      <c r="CN32" s="29" t="s">
        <v>579</v>
      </c>
      <c r="CO32" s="29"/>
      <c r="CP32" s="29" t="s">
        <v>362</v>
      </c>
      <c r="CQ32" s="29" t="s">
        <v>716</v>
      </c>
      <c r="CR32" s="29"/>
      <c r="CS32" s="29"/>
      <c r="CT32" s="29" t="s">
        <v>2054</v>
      </c>
      <c r="CU32" s="29" t="s">
        <v>2055</v>
      </c>
      <c r="CV32" s="29"/>
      <c r="CW32" s="29">
        <v>3</v>
      </c>
      <c r="CX32" s="29" t="s">
        <v>99</v>
      </c>
      <c r="CY32" s="29" t="s">
        <v>110</v>
      </c>
      <c r="CZ32" s="29"/>
      <c r="DA32" s="29"/>
      <c r="DB32" s="29"/>
      <c r="DC32" s="29">
        <v>85.6</v>
      </c>
      <c r="DD32" s="29">
        <v>1.1599999999999999</v>
      </c>
      <c r="DE32" s="48">
        <v>186</v>
      </c>
      <c r="DF32" s="48">
        <v>183</v>
      </c>
      <c r="DG32" s="9">
        <f t="shared" si="0"/>
        <v>4.8295857179945587</v>
      </c>
      <c r="DH32" s="29">
        <v>36.6</v>
      </c>
      <c r="DI32" s="29">
        <v>7.38</v>
      </c>
      <c r="DJ32" s="29"/>
      <c r="DK32" s="29"/>
      <c r="DL32" s="48">
        <v>35.6</v>
      </c>
      <c r="DM32" s="29">
        <v>113.8</v>
      </c>
      <c r="DN32" s="29"/>
      <c r="DO32" s="29"/>
      <c r="DP32" s="29">
        <v>1</v>
      </c>
      <c r="DQ32" s="29"/>
      <c r="DR32" s="29">
        <v>3</v>
      </c>
      <c r="DS32" s="29"/>
      <c r="DT32" s="29"/>
      <c r="DU32" s="29">
        <v>4.7</v>
      </c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</row>
    <row r="33" spans="1:125" x14ac:dyDescent="0.2">
      <c r="A33" s="16">
        <v>102</v>
      </c>
      <c r="B33" s="8">
        <v>42191</v>
      </c>
      <c r="C33" s="6" t="s">
        <v>95</v>
      </c>
      <c r="D33" s="6">
        <v>53</v>
      </c>
      <c r="E33" s="6" t="s">
        <v>100</v>
      </c>
      <c r="F33" s="17">
        <v>22769</v>
      </c>
      <c r="G33" s="6" t="s">
        <v>116</v>
      </c>
      <c r="H33" s="6" t="s">
        <v>109</v>
      </c>
      <c r="J33" s="10">
        <v>2014</v>
      </c>
      <c r="L33" s="6"/>
      <c r="M33" s="6" t="s">
        <v>116</v>
      </c>
      <c r="N33" s="6" t="s">
        <v>114</v>
      </c>
      <c r="O33" s="6" t="s">
        <v>114</v>
      </c>
      <c r="P33" s="6" t="s">
        <v>115</v>
      </c>
      <c r="Q33" s="6" t="s">
        <v>116</v>
      </c>
      <c r="R33" s="6" t="s">
        <v>110</v>
      </c>
      <c r="S33" s="6" t="s">
        <v>116</v>
      </c>
      <c r="T33" s="6" t="s">
        <v>116</v>
      </c>
      <c r="U33" s="6" t="s">
        <v>116</v>
      </c>
      <c r="W33" s="6" t="s">
        <v>116</v>
      </c>
      <c r="X33" s="6"/>
      <c r="Y33" s="6" t="s">
        <v>115</v>
      </c>
      <c r="AB33" s="6" t="s">
        <v>100</v>
      </c>
      <c r="AC33" s="6" t="s">
        <v>100</v>
      </c>
      <c r="AE33" s="6" t="s">
        <v>116</v>
      </c>
      <c r="AF33" s="6" t="s">
        <v>116</v>
      </c>
      <c r="AG33" s="6" t="s">
        <v>116</v>
      </c>
      <c r="AH33" s="6" t="s">
        <v>116</v>
      </c>
      <c r="AI33" s="6" t="s">
        <v>116</v>
      </c>
      <c r="AJ33" s="6" t="s">
        <v>116</v>
      </c>
      <c r="AK33" s="6" t="s">
        <v>116</v>
      </c>
      <c r="AL33" s="6">
        <v>76.400000000000006</v>
      </c>
      <c r="AM33" s="9">
        <v>156</v>
      </c>
      <c r="AN33" s="15">
        <v>98</v>
      </c>
      <c r="AO33" s="6">
        <v>110</v>
      </c>
      <c r="AP33" s="6">
        <v>49.7</v>
      </c>
      <c r="AQ33" s="6"/>
      <c r="AR33" s="6">
        <v>20.6</v>
      </c>
      <c r="AS33" s="6"/>
      <c r="AT33" s="6">
        <v>31.4</v>
      </c>
      <c r="AU33" s="15">
        <v>133</v>
      </c>
      <c r="AV33" s="15">
        <v>98</v>
      </c>
      <c r="DC33" s="15">
        <v>103</v>
      </c>
      <c r="DD33" s="6"/>
      <c r="DE33" s="15">
        <v>205</v>
      </c>
      <c r="DF33" s="6">
        <v>94</v>
      </c>
      <c r="DG33" s="9">
        <f t="shared" si="0"/>
        <v>4.5890118852498194</v>
      </c>
      <c r="DH33" s="6"/>
      <c r="DI33" s="6"/>
      <c r="DJ33" s="6"/>
      <c r="DK33" s="6"/>
      <c r="DL33" s="6"/>
      <c r="DM33" s="6"/>
      <c r="DN33" s="6"/>
      <c r="DP33" s="11">
        <v>2</v>
      </c>
      <c r="DQ33" s="6" t="s">
        <v>111</v>
      </c>
      <c r="DR33" s="9">
        <v>2</v>
      </c>
      <c r="DT33" s="9">
        <v>8.94</v>
      </c>
      <c r="DU33" s="9">
        <v>5.8</v>
      </c>
    </row>
    <row r="34" spans="1:125" x14ac:dyDescent="0.2">
      <c r="A34" s="78">
        <v>103</v>
      </c>
      <c r="B34" s="8">
        <v>42191</v>
      </c>
      <c r="C34" s="6" t="s">
        <v>95</v>
      </c>
      <c r="D34" s="6">
        <v>65</v>
      </c>
      <c r="E34" s="6" t="s">
        <v>100</v>
      </c>
      <c r="F34" s="17">
        <v>18314</v>
      </c>
      <c r="G34" s="6" t="s">
        <v>114</v>
      </c>
      <c r="H34" s="6" t="s">
        <v>109</v>
      </c>
      <c r="J34" s="10">
        <v>1995</v>
      </c>
      <c r="L34" s="6"/>
      <c r="M34" s="6" t="s">
        <v>114</v>
      </c>
      <c r="N34" s="6" t="s">
        <v>114</v>
      </c>
      <c r="O34" s="6" t="s">
        <v>114</v>
      </c>
      <c r="P34" s="15" t="s">
        <v>110</v>
      </c>
      <c r="Q34" s="15" t="s">
        <v>110</v>
      </c>
      <c r="R34" s="6" t="s">
        <v>110</v>
      </c>
      <c r="S34" s="6" t="s">
        <v>114</v>
      </c>
      <c r="T34" s="6" t="s">
        <v>114</v>
      </c>
      <c r="U34" s="6" t="s">
        <v>114</v>
      </c>
      <c r="W34" s="6" t="s">
        <v>114</v>
      </c>
      <c r="X34" s="6"/>
      <c r="Y34" s="6" t="s">
        <v>116</v>
      </c>
      <c r="AB34" s="6" t="s">
        <v>1123</v>
      </c>
      <c r="AC34" s="6" t="s">
        <v>116</v>
      </c>
      <c r="AE34" s="6" t="s">
        <v>115</v>
      </c>
      <c r="AF34" s="6" t="s">
        <v>114</v>
      </c>
      <c r="AG34" s="6" t="s">
        <v>114</v>
      </c>
      <c r="AH34" s="6" t="s">
        <v>114</v>
      </c>
      <c r="AI34" s="6" t="s">
        <v>114</v>
      </c>
      <c r="AJ34" s="6" t="s">
        <v>114</v>
      </c>
      <c r="AK34" s="6" t="s">
        <v>114</v>
      </c>
      <c r="AL34" s="6">
        <v>71.900000000000006</v>
      </c>
      <c r="AN34" s="15">
        <v>132</v>
      </c>
      <c r="AO34" s="6">
        <v>102</v>
      </c>
      <c r="AP34" s="6">
        <v>38.5</v>
      </c>
      <c r="AQ34" s="6">
        <v>12</v>
      </c>
      <c r="AR34" s="6">
        <v>11.2</v>
      </c>
      <c r="AS34" s="6"/>
      <c r="AT34" s="6">
        <v>28.1</v>
      </c>
      <c r="AU34" s="15">
        <v>133</v>
      </c>
      <c r="AV34" s="15">
        <v>85</v>
      </c>
      <c r="DC34" s="6">
        <v>85</v>
      </c>
      <c r="DD34" s="6">
        <v>0.68</v>
      </c>
      <c r="DE34" s="6">
        <v>163</v>
      </c>
      <c r="DF34" s="15">
        <v>163</v>
      </c>
      <c r="DG34" s="9">
        <f t="shared" si="0"/>
        <v>4.7682007286485391</v>
      </c>
      <c r="DH34" s="6"/>
      <c r="DI34" s="6">
        <v>4.41</v>
      </c>
      <c r="DJ34" s="6"/>
      <c r="DK34" s="6"/>
      <c r="DL34" s="6"/>
      <c r="DM34" s="6"/>
      <c r="DN34" s="6"/>
      <c r="DP34" s="18">
        <v>1</v>
      </c>
      <c r="DQ34" s="6" t="s">
        <v>111</v>
      </c>
      <c r="DR34" s="9">
        <v>3</v>
      </c>
      <c r="DT34" s="9">
        <v>8.33</v>
      </c>
      <c r="DU34" s="9">
        <v>11.2</v>
      </c>
    </row>
    <row r="35" spans="1:125" x14ac:dyDescent="0.2">
      <c r="A35" s="16">
        <v>104</v>
      </c>
      <c r="B35" s="8">
        <v>42193</v>
      </c>
      <c r="C35" s="6" t="s">
        <v>95</v>
      </c>
      <c r="D35" s="6">
        <v>75</v>
      </c>
      <c r="E35" s="6" t="s">
        <v>116</v>
      </c>
      <c r="F35" s="17"/>
      <c r="G35" s="6" t="s">
        <v>114</v>
      </c>
      <c r="H35" s="6" t="s">
        <v>109</v>
      </c>
      <c r="K35" s="17"/>
      <c r="L35" s="6"/>
      <c r="M35" s="6" t="s">
        <v>114</v>
      </c>
      <c r="N35" s="6" t="s">
        <v>114</v>
      </c>
      <c r="O35" s="6" t="s">
        <v>114</v>
      </c>
      <c r="P35" s="6" t="s">
        <v>114</v>
      </c>
      <c r="Q35" s="6" t="s">
        <v>116</v>
      </c>
      <c r="R35" s="6" t="s">
        <v>110</v>
      </c>
      <c r="S35" s="6" t="s">
        <v>114</v>
      </c>
      <c r="T35" s="6" t="s">
        <v>114</v>
      </c>
      <c r="U35" s="6" t="s">
        <v>114</v>
      </c>
      <c r="W35" s="6" t="s">
        <v>114</v>
      </c>
      <c r="X35" s="6"/>
      <c r="Y35" s="6" t="s">
        <v>116</v>
      </c>
      <c r="AB35" s="6" t="s">
        <v>116</v>
      </c>
      <c r="AC35" s="6" t="s">
        <v>116</v>
      </c>
      <c r="AE35" s="15" t="s">
        <v>110</v>
      </c>
      <c r="AF35" s="15" t="s">
        <v>110</v>
      </c>
      <c r="AG35" s="15" t="s">
        <v>118</v>
      </c>
      <c r="AH35" s="6" t="s">
        <v>114</v>
      </c>
      <c r="AI35" s="6" t="s">
        <v>116</v>
      </c>
      <c r="AJ35" s="6" t="s">
        <v>114</v>
      </c>
      <c r="AK35" s="6" t="s">
        <v>114</v>
      </c>
      <c r="AL35" s="6">
        <v>80.099999999999994</v>
      </c>
      <c r="AM35" s="9">
        <v>162</v>
      </c>
      <c r="AN35" s="15">
        <v>100</v>
      </c>
      <c r="AO35" s="6">
        <v>128</v>
      </c>
      <c r="AP35" s="6">
        <v>42.1</v>
      </c>
      <c r="AQ35" s="6"/>
      <c r="AR35" s="6">
        <v>25.4</v>
      </c>
      <c r="AS35" s="6"/>
      <c r="AT35" s="6">
        <v>30.5</v>
      </c>
      <c r="AU35" s="15">
        <v>182</v>
      </c>
      <c r="AV35" s="15">
        <v>80</v>
      </c>
      <c r="DC35" s="15">
        <v>120</v>
      </c>
      <c r="DD35" s="6"/>
      <c r="DE35" s="15">
        <v>216</v>
      </c>
      <c r="DF35" s="6">
        <v>108</v>
      </c>
      <c r="DG35" s="9">
        <f t="shared" si="0"/>
        <v>4.7348114849531324</v>
      </c>
      <c r="DH35" s="6"/>
      <c r="DI35" s="6"/>
      <c r="DJ35" s="6"/>
      <c r="DK35" s="6"/>
      <c r="DL35" s="6"/>
      <c r="DM35" s="6"/>
      <c r="DN35" s="6"/>
      <c r="DP35" s="11">
        <v>2</v>
      </c>
      <c r="DQ35" s="6" t="s">
        <v>111</v>
      </c>
      <c r="DR35" s="9">
        <v>3</v>
      </c>
      <c r="DU35" s="9">
        <v>5</v>
      </c>
    </row>
    <row r="36" spans="1:125" x14ac:dyDescent="0.2">
      <c r="A36" s="16">
        <v>107</v>
      </c>
      <c r="B36" s="8">
        <v>42191</v>
      </c>
      <c r="C36" s="6" t="s">
        <v>95</v>
      </c>
      <c r="D36" s="6">
        <v>43</v>
      </c>
      <c r="E36" s="6" t="s">
        <v>116</v>
      </c>
      <c r="F36" s="17"/>
      <c r="G36" s="6" t="s">
        <v>114</v>
      </c>
      <c r="H36" s="6" t="s">
        <v>109</v>
      </c>
      <c r="K36" s="17"/>
      <c r="L36" s="6"/>
      <c r="M36" s="6" t="s">
        <v>114</v>
      </c>
      <c r="N36" s="6" t="s">
        <v>114</v>
      </c>
      <c r="O36" s="6" t="s">
        <v>114</v>
      </c>
      <c r="P36" s="6" t="s">
        <v>114</v>
      </c>
      <c r="Q36" s="6" t="s">
        <v>116</v>
      </c>
      <c r="R36" s="6" t="s">
        <v>110</v>
      </c>
      <c r="S36" s="6" t="s">
        <v>114</v>
      </c>
      <c r="T36" s="6" t="s">
        <v>114</v>
      </c>
      <c r="U36" s="6" t="s">
        <v>114</v>
      </c>
      <c r="W36" s="6" t="s">
        <v>114</v>
      </c>
      <c r="X36" s="6"/>
      <c r="Y36" s="6" t="s">
        <v>116</v>
      </c>
      <c r="AB36" s="6" t="s">
        <v>116</v>
      </c>
      <c r="AC36" s="6" t="s">
        <v>116</v>
      </c>
      <c r="AE36" s="15" t="s">
        <v>144</v>
      </c>
      <c r="AF36" s="15" t="s">
        <v>125</v>
      </c>
      <c r="AG36" s="6" t="s">
        <v>114</v>
      </c>
      <c r="AH36" s="6" t="s">
        <v>114</v>
      </c>
      <c r="AI36" s="6" t="s">
        <v>114</v>
      </c>
      <c r="AJ36" s="6" t="s">
        <v>114</v>
      </c>
      <c r="AK36" s="6" t="s">
        <v>114</v>
      </c>
      <c r="AL36" s="6">
        <v>74</v>
      </c>
      <c r="AM36" s="9">
        <v>160</v>
      </c>
      <c r="AN36" s="15">
        <v>88</v>
      </c>
      <c r="AO36" s="6">
        <v>98</v>
      </c>
      <c r="AP36" s="6">
        <v>46.3</v>
      </c>
      <c r="AQ36" s="6"/>
      <c r="AR36" s="6">
        <v>22.1</v>
      </c>
      <c r="AS36" s="6"/>
      <c r="AT36" s="6">
        <v>28.9</v>
      </c>
      <c r="AU36" s="6">
        <v>107</v>
      </c>
      <c r="AV36" s="6">
        <v>78</v>
      </c>
      <c r="DC36" s="15">
        <v>108</v>
      </c>
      <c r="DD36" s="6"/>
      <c r="DE36" s="6">
        <v>183</v>
      </c>
      <c r="DF36" s="15">
        <v>171</v>
      </c>
      <c r="DG36" s="9">
        <f t="shared" si="0"/>
        <v>4.9118973918134401</v>
      </c>
      <c r="DH36" s="6"/>
      <c r="DI36" s="6"/>
      <c r="DJ36" s="6"/>
      <c r="DK36" s="6"/>
      <c r="DL36" s="6"/>
      <c r="DM36" s="6"/>
      <c r="DN36" s="6"/>
      <c r="DP36" s="11">
        <v>2</v>
      </c>
      <c r="DQ36" s="6" t="s">
        <v>111</v>
      </c>
      <c r="DR36" s="9">
        <v>3</v>
      </c>
      <c r="DU36" s="9">
        <v>6.8</v>
      </c>
    </row>
    <row r="37" spans="1:125" x14ac:dyDescent="0.2">
      <c r="A37" s="16">
        <v>108</v>
      </c>
      <c r="B37" s="8">
        <v>42192</v>
      </c>
      <c r="C37" s="6" t="s">
        <v>95</v>
      </c>
      <c r="D37" s="6">
        <v>42</v>
      </c>
      <c r="E37" s="6" t="s">
        <v>100</v>
      </c>
      <c r="F37" s="17">
        <v>26634</v>
      </c>
      <c r="G37" s="6" t="s">
        <v>114</v>
      </c>
      <c r="H37" s="6" t="s">
        <v>109</v>
      </c>
      <c r="L37" s="6"/>
      <c r="M37" s="6" t="s">
        <v>114</v>
      </c>
      <c r="N37" s="6" t="s">
        <v>114</v>
      </c>
      <c r="O37" s="6" t="s">
        <v>114</v>
      </c>
      <c r="P37" s="6" t="s">
        <v>114</v>
      </c>
      <c r="Q37" s="6" t="s">
        <v>114</v>
      </c>
      <c r="R37" s="6" t="s">
        <v>110</v>
      </c>
      <c r="S37" s="6" t="s">
        <v>114</v>
      </c>
      <c r="T37" s="6" t="s">
        <v>114</v>
      </c>
      <c r="U37" s="6" t="s">
        <v>114</v>
      </c>
      <c r="W37" s="6" t="s">
        <v>114</v>
      </c>
      <c r="X37" s="6"/>
      <c r="Y37" s="6" t="s">
        <v>116</v>
      </c>
      <c r="AA37" s="9" t="s">
        <v>100</v>
      </c>
      <c r="AB37" s="16" t="s">
        <v>2225</v>
      </c>
      <c r="AC37" s="6" t="s">
        <v>100</v>
      </c>
      <c r="AE37" s="15" t="s">
        <v>664</v>
      </c>
      <c r="AF37" s="15" t="s">
        <v>123</v>
      </c>
      <c r="AG37" s="6" t="s">
        <v>116</v>
      </c>
      <c r="AH37" s="6" t="s">
        <v>114</v>
      </c>
      <c r="AI37" s="6" t="s">
        <v>114</v>
      </c>
      <c r="AJ37" s="6" t="s">
        <v>114</v>
      </c>
      <c r="AK37" s="6" t="s">
        <v>114</v>
      </c>
      <c r="AL37" s="6">
        <v>118</v>
      </c>
      <c r="AN37" s="15">
        <v>120</v>
      </c>
      <c r="AO37" s="6">
        <v>128</v>
      </c>
      <c r="AP37" s="6">
        <v>48.3</v>
      </c>
      <c r="AQ37" s="6"/>
      <c r="AR37" s="6">
        <v>23.5</v>
      </c>
      <c r="AS37" s="6">
        <v>65</v>
      </c>
      <c r="AT37" s="6">
        <v>39.9</v>
      </c>
      <c r="AU37" s="6">
        <v>110</v>
      </c>
      <c r="AV37" s="6">
        <v>83</v>
      </c>
      <c r="DC37" s="15">
        <v>120</v>
      </c>
      <c r="DD37" s="6"/>
      <c r="DE37" s="6">
        <v>179</v>
      </c>
      <c r="DF37" s="15">
        <v>157</v>
      </c>
      <c r="DG37" s="9">
        <f t="shared" si="0"/>
        <v>4.9218687740651772</v>
      </c>
      <c r="DH37" s="6"/>
      <c r="DI37" s="6"/>
      <c r="DJ37" s="6"/>
      <c r="DK37" s="6"/>
      <c r="DL37" s="6"/>
      <c r="DM37" s="6"/>
      <c r="DN37" s="6"/>
      <c r="DP37" s="11">
        <v>2</v>
      </c>
      <c r="DQ37" s="6" t="s">
        <v>111</v>
      </c>
      <c r="DR37" s="9">
        <v>2</v>
      </c>
      <c r="DU37" s="9">
        <v>13.5</v>
      </c>
    </row>
    <row r="38" spans="1:125" x14ac:dyDescent="0.2">
      <c r="A38" s="16">
        <v>109</v>
      </c>
      <c r="B38" s="8">
        <v>42192</v>
      </c>
      <c r="C38" s="6" t="s">
        <v>95</v>
      </c>
      <c r="D38" s="6">
        <v>83</v>
      </c>
      <c r="E38" s="6" t="s">
        <v>114</v>
      </c>
      <c r="F38" s="17"/>
      <c r="G38" s="6" t="s">
        <v>114</v>
      </c>
      <c r="H38" s="6" t="s">
        <v>109</v>
      </c>
      <c r="L38" s="6"/>
      <c r="M38" s="6" t="s">
        <v>114</v>
      </c>
      <c r="N38" s="15" t="s">
        <v>110</v>
      </c>
      <c r="O38" s="6" t="s">
        <v>114</v>
      </c>
      <c r="P38" s="6" t="s">
        <v>114</v>
      </c>
      <c r="Q38" s="6" t="s">
        <v>114</v>
      </c>
      <c r="R38" s="6" t="s">
        <v>110</v>
      </c>
      <c r="S38" s="6" t="s">
        <v>114</v>
      </c>
      <c r="T38" s="6" t="s">
        <v>114</v>
      </c>
      <c r="U38" s="6" t="s">
        <v>114</v>
      </c>
      <c r="W38" s="16" t="s">
        <v>2226</v>
      </c>
      <c r="X38" s="6"/>
      <c r="Y38" s="6" t="s">
        <v>114</v>
      </c>
      <c r="AB38" s="6" t="s">
        <v>114</v>
      </c>
      <c r="AC38" s="6" t="s">
        <v>114</v>
      </c>
      <c r="AE38" s="15" t="s">
        <v>2227</v>
      </c>
      <c r="AF38" s="6" t="s">
        <v>114</v>
      </c>
      <c r="AG38" s="15" t="s">
        <v>118</v>
      </c>
      <c r="AH38" s="6" t="s">
        <v>114</v>
      </c>
      <c r="AI38" s="6" t="s">
        <v>114</v>
      </c>
      <c r="AJ38" s="6" t="s">
        <v>114</v>
      </c>
      <c r="AK38" s="6" t="s">
        <v>114</v>
      </c>
      <c r="AL38" s="6">
        <v>63.7</v>
      </c>
      <c r="AN38" s="15">
        <v>88</v>
      </c>
      <c r="AO38" s="6">
        <v>106</v>
      </c>
      <c r="AP38" s="6">
        <v>47.9</v>
      </c>
      <c r="AQ38" s="6"/>
      <c r="AR38" s="6">
        <v>20.7</v>
      </c>
      <c r="AS38" s="6">
        <v>80</v>
      </c>
      <c r="AT38" s="6">
        <v>30.3</v>
      </c>
      <c r="AU38" s="15">
        <v>165</v>
      </c>
      <c r="AV38" s="15">
        <v>85</v>
      </c>
      <c r="DC38" s="15">
        <v>102</v>
      </c>
      <c r="DD38" s="6"/>
      <c r="DE38" s="15">
        <v>206</v>
      </c>
      <c r="DF38" s="15">
        <v>245</v>
      </c>
      <c r="DG38" s="9">
        <f t="shared" si="0"/>
        <v>5.063115511914499</v>
      </c>
      <c r="DH38" s="6"/>
      <c r="DI38" s="6"/>
      <c r="DJ38" s="6"/>
      <c r="DK38" s="6"/>
      <c r="DL38" s="6"/>
      <c r="DM38" s="6"/>
      <c r="DN38" s="6"/>
      <c r="DP38" s="11">
        <v>2</v>
      </c>
      <c r="DQ38" s="6" t="s">
        <v>111</v>
      </c>
      <c r="DR38" s="9">
        <v>3</v>
      </c>
      <c r="DU38" s="9">
        <v>6.2</v>
      </c>
    </row>
    <row r="39" spans="1:125" x14ac:dyDescent="0.2">
      <c r="A39" s="16">
        <v>110</v>
      </c>
      <c r="B39" s="8">
        <v>42192</v>
      </c>
      <c r="C39" s="6" t="s">
        <v>107</v>
      </c>
      <c r="D39" s="6">
        <v>68</v>
      </c>
      <c r="E39" s="16" t="s">
        <v>2225</v>
      </c>
      <c r="F39" s="17">
        <v>17227</v>
      </c>
      <c r="G39" s="6" t="s">
        <v>114</v>
      </c>
      <c r="H39" s="6" t="s">
        <v>109</v>
      </c>
      <c r="L39" s="6" t="s">
        <v>114</v>
      </c>
      <c r="M39" s="6" t="s">
        <v>114</v>
      </c>
      <c r="N39" s="6" t="s">
        <v>114</v>
      </c>
      <c r="O39" s="6" t="s">
        <v>114</v>
      </c>
      <c r="P39" s="15" t="s">
        <v>110</v>
      </c>
      <c r="Q39" s="15" t="s">
        <v>110</v>
      </c>
      <c r="R39" s="6" t="s">
        <v>110</v>
      </c>
      <c r="S39" s="6" t="s">
        <v>114</v>
      </c>
      <c r="T39" s="6" t="s">
        <v>114</v>
      </c>
      <c r="U39" s="6" t="s">
        <v>114</v>
      </c>
      <c r="W39" s="6" t="s">
        <v>114</v>
      </c>
      <c r="X39" s="6"/>
      <c r="Y39" s="6" t="s">
        <v>114</v>
      </c>
      <c r="AB39" s="6" t="s">
        <v>100</v>
      </c>
      <c r="AC39" s="16" t="s">
        <v>2225</v>
      </c>
      <c r="AE39" s="15" t="s">
        <v>571</v>
      </c>
      <c r="AF39" s="6" t="s">
        <v>114</v>
      </c>
      <c r="AG39" s="15" t="s">
        <v>2228</v>
      </c>
      <c r="AH39" s="6" t="s">
        <v>114</v>
      </c>
      <c r="AI39" s="6" t="s">
        <v>114</v>
      </c>
      <c r="AJ39" s="6" t="s">
        <v>114</v>
      </c>
      <c r="AK39" s="6" t="s">
        <v>114</v>
      </c>
      <c r="AL39" s="6">
        <v>90.5</v>
      </c>
      <c r="AN39" s="15">
        <v>107</v>
      </c>
      <c r="AO39" s="6">
        <v>110</v>
      </c>
      <c r="AP39" s="6">
        <v>33.700000000000003</v>
      </c>
      <c r="AQ39" s="6">
        <v>19</v>
      </c>
      <c r="AR39" s="6">
        <v>28.4</v>
      </c>
      <c r="AS39" s="6">
        <v>70</v>
      </c>
      <c r="AT39" s="6">
        <v>31.3</v>
      </c>
      <c r="AU39" s="15">
        <v>165</v>
      </c>
      <c r="AV39" s="15">
        <v>87</v>
      </c>
      <c r="DC39" s="15">
        <v>108</v>
      </c>
      <c r="DD39" s="6"/>
      <c r="DE39" s="6">
        <v>149</v>
      </c>
      <c r="DF39" s="15">
        <v>161</v>
      </c>
      <c r="DG39" s="9">
        <f t="shared" si="0"/>
        <v>4.8817677960543415</v>
      </c>
      <c r="DH39" s="6"/>
      <c r="DI39" s="6"/>
      <c r="DJ39" s="6"/>
      <c r="DK39" s="6"/>
      <c r="DL39" s="6"/>
      <c r="DM39" s="6"/>
      <c r="DN39" s="6"/>
      <c r="DP39" s="11">
        <v>2</v>
      </c>
      <c r="DQ39" s="6" t="s">
        <v>105</v>
      </c>
      <c r="DR39" s="9">
        <v>2</v>
      </c>
      <c r="DU39" s="9">
        <v>6.5</v>
      </c>
    </row>
    <row r="40" spans="1:125" x14ac:dyDescent="0.2">
      <c r="A40" s="16">
        <v>112</v>
      </c>
      <c r="B40" s="8">
        <v>42193</v>
      </c>
      <c r="C40" s="6" t="s">
        <v>107</v>
      </c>
      <c r="D40" s="6">
        <v>65</v>
      </c>
      <c r="E40" s="16" t="s">
        <v>2230</v>
      </c>
      <c r="F40" s="17"/>
      <c r="G40" s="6" t="s">
        <v>114</v>
      </c>
      <c r="H40" s="6" t="s">
        <v>109</v>
      </c>
      <c r="L40" s="6" t="s">
        <v>114</v>
      </c>
      <c r="M40" s="6" t="s">
        <v>114</v>
      </c>
      <c r="N40" s="15" t="s">
        <v>110</v>
      </c>
      <c r="O40" s="6" t="s">
        <v>114</v>
      </c>
      <c r="P40" s="6" t="s">
        <v>114</v>
      </c>
      <c r="Q40" s="6" t="s">
        <v>114</v>
      </c>
      <c r="R40" s="6" t="s">
        <v>114</v>
      </c>
      <c r="S40" s="6" t="s">
        <v>114</v>
      </c>
      <c r="T40" s="6" t="s">
        <v>114</v>
      </c>
      <c r="U40" s="6" t="s">
        <v>114</v>
      </c>
      <c r="W40" s="6" t="s">
        <v>114</v>
      </c>
      <c r="X40" s="6"/>
      <c r="Y40" s="15" t="s">
        <v>2231</v>
      </c>
      <c r="AB40" s="16" t="s">
        <v>2225</v>
      </c>
      <c r="AC40" s="16" t="s">
        <v>2225</v>
      </c>
      <c r="AE40" s="6" t="s">
        <v>114</v>
      </c>
      <c r="AF40" s="15" t="s">
        <v>110</v>
      </c>
      <c r="AG40" s="6" t="s">
        <v>114</v>
      </c>
      <c r="AH40" s="6" t="s">
        <v>114</v>
      </c>
      <c r="AI40" s="6" t="s">
        <v>114</v>
      </c>
      <c r="AJ40" s="6" t="s">
        <v>114</v>
      </c>
      <c r="AK40" s="6" t="s">
        <v>114</v>
      </c>
      <c r="AL40" s="6">
        <v>77.2</v>
      </c>
      <c r="AM40" s="9">
        <v>180</v>
      </c>
      <c r="AN40" s="19">
        <v>103</v>
      </c>
      <c r="AO40" s="6">
        <v>103</v>
      </c>
      <c r="AP40" s="6">
        <v>19.7</v>
      </c>
      <c r="AQ40" s="6">
        <v>7</v>
      </c>
      <c r="AR40" s="6">
        <v>35.299999999999997</v>
      </c>
      <c r="AS40" s="6">
        <v>57</v>
      </c>
      <c r="AT40" s="19">
        <v>23.8</v>
      </c>
      <c r="AU40" s="15">
        <v>140</v>
      </c>
      <c r="AV40" s="15">
        <v>83</v>
      </c>
      <c r="DC40" s="15">
        <v>116</v>
      </c>
      <c r="DD40" s="6"/>
      <c r="DE40" s="6">
        <v>149</v>
      </c>
      <c r="DF40" s="6">
        <v>102</v>
      </c>
      <c r="DG40" s="9">
        <f t="shared" si="0"/>
        <v>4.6892815021953176</v>
      </c>
      <c r="DH40" s="6"/>
      <c r="DI40" s="6"/>
      <c r="DJ40" s="6"/>
      <c r="DK40" s="6"/>
      <c r="DL40" s="6"/>
      <c r="DM40" s="6"/>
      <c r="DN40" s="6"/>
      <c r="DP40" s="11">
        <v>3</v>
      </c>
      <c r="DQ40" s="6" t="s">
        <v>111</v>
      </c>
      <c r="DR40" s="30">
        <v>1</v>
      </c>
      <c r="DT40" s="9">
        <v>11.8</v>
      </c>
      <c r="DU40" s="9">
        <v>7.7</v>
      </c>
    </row>
    <row r="41" spans="1:125" x14ac:dyDescent="0.2">
      <c r="A41" s="16">
        <v>113</v>
      </c>
      <c r="B41" s="8">
        <v>42193</v>
      </c>
      <c r="C41" s="6" t="s">
        <v>107</v>
      </c>
      <c r="D41" s="6">
        <v>57</v>
      </c>
      <c r="E41" s="6"/>
      <c r="F41" s="17"/>
      <c r="G41" s="6" t="s">
        <v>114</v>
      </c>
      <c r="H41" s="6" t="s">
        <v>109</v>
      </c>
      <c r="L41" s="6" t="s">
        <v>114</v>
      </c>
      <c r="M41" s="6" t="s">
        <v>114</v>
      </c>
      <c r="N41" s="15" t="s">
        <v>2232</v>
      </c>
      <c r="O41" s="15" t="s">
        <v>2233</v>
      </c>
      <c r="P41" s="6" t="s">
        <v>114</v>
      </c>
      <c r="Q41" s="15" t="s">
        <v>176</v>
      </c>
      <c r="R41" s="6" t="s">
        <v>110</v>
      </c>
      <c r="S41" s="6" t="s">
        <v>114</v>
      </c>
      <c r="T41" s="6" t="s">
        <v>114</v>
      </c>
      <c r="U41" s="6" t="s">
        <v>114</v>
      </c>
      <c r="W41" s="6" t="s">
        <v>114</v>
      </c>
      <c r="X41" s="6"/>
      <c r="Y41" s="6" t="s">
        <v>114</v>
      </c>
      <c r="AB41" s="6"/>
      <c r="AC41" s="6" t="s">
        <v>114</v>
      </c>
      <c r="AE41" s="6" t="s">
        <v>114</v>
      </c>
      <c r="AF41" s="15" t="s">
        <v>110</v>
      </c>
      <c r="AG41" s="6" t="s">
        <v>114</v>
      </c>
      <c r="AH41" s="6" t="s">
        <v>114</v>
      </c>
      <c r="AI41" s="6" t="s">
        <v>114</v>
      </c>
      <c r="AJ41" s="6" t="s">
        <v>114</v>
      </c>
      <c r="AK41" s="6" t="s">
        <v>114</v>
      </c>
      <c r="AL41" s="6">
        <v>75.3</v>
      </c>
      <c r="AN41" s="15">
        <v>94</v>
      </c>
      <c r="AO41" s="6">
        <v>102</v>
      </c>
      <c r="AP41" s="6">
        <v>23.4</v>
      </c>
      <c r="AQ41" s="6">
        <v>12</v>
      </c>
      <c r="AR41" s="6">
        <v>35.200000000000003</v>
      </c>
      <c r="AS41" s="6">
        <v>51</v>
      </c>
      <c r="AT41" s="6">
        <v>26.7</v>
      </c>
      <c r="AU41" s="15">
        <v>152</v>
      </c>
      <c r="AV41" s="15">
        <v>109</v>
      </c>
      <c r="DC41" s="15">
        <v>110</v>
      </c>
      <c r="DD41" s="6"/>
      <c r="DE41" s="6">
        <v>189</v>
      </c>
      <c r="DF41" s="6">
        <v>120</v>
      </c>
      <c r="DG41" s="9">
        <f t="shared" si="0"/>
        <v>4.7439860542872312</v>
      </c>
      <c r="DH41" s="6"/>
      <c r="DI41" s="6"/>
      <c r="DJ41" s="6"/>
      <c r="DK41" s="6"/>
      <c r="DL41" s="6"/>
      <c r="DM41" s="6"/>
      <c r="DN41" s="6"/>
      <c r="DQ41" s="6" t="s">
        <v>105</v>
      </c>
      <c r="DU41" s="9">
        <v>6.2</v>
      </c>
    </row>
    <row r="42" spans="1:125" x14ac:dyDescent="0.2">
      <c r="A42" s="78">
        <v>114</v>
      </c>
      <c r="B42" s="8">
        <v>42193</v>
      </c>
      <c r="C42" s="6" t="s">
        <v>107</v>
      </c>
      <c r="D42" s="6">
        <v>54</v>
      </c>
      <c r="E42" s="6" t="s">
        <v>100</v>
      </c>
      <c r="F42" s="17"/>
      <c r="G42" s="6" t="s">
        <v>114</v>
      </c>
      <c r="H42" s="6" t="s">
        <v>109</v>
      </c>
      <c r="L42" s="6" t="s">
        <v>114</v>
      </c>
      <c r="M42" s="6" t="s">
        <v>114</v>
      </c>
      <c r="N42" s="6" t="s">
        <v>114</v>
      </c>
      <c r="O42" s="6" t="s">
        <v>114</v>
      </c>
      <c r="P42" s="6" t="s">
        <v>114</v>
      </c>
      <c r="Q42" s="6" t="s">
        <v>114</v>
      </c>
      <c r="R42" s="6" t="s">
        <v>110</v>
      </c>
      <c r="S42" s="6" t="s">
        <v>114</v>
      </c>
      <c r="T42" s="6" t="s">
        <v>114</v>
      </c>
      <c r="U42" s="6" t="s">
        <v>114</v>
      </c>
      <c r="W42" s="6" t="s">
        <v>114</v>
      </c>
      <c r="X42" s="6"/>
      <c r="Y42" s="6" t="s">
        <v>114</v>
      </c>
      <c r="AB42" s="6" t="s">
        <v>2234</v>
      </c>
      <c r="AC42" s="6" t="s">
        <v>2234</v>
      </c>
      <c r="AE42" s="6" t="s">
        <v>114</v>
      </c>
      <c r="AF42" s="6" t="s">
        <v>114</v>
      </c>
      <c r="AG42" s="6" t="s">
        <v>114</v>
      </c>
      <c r="AH42" s="6" t="s">
        <v>114</v>
      </c>
      <c r="AI42" s="6" t="s">
        <v>114</v>
      </c>
      <c r="AJ42" s="6" t="s">
        <v>114</v>
      </c>
      <c r="AK42" s="6" t="s">
        <v>114</v>
      </c>
      <c r="AL42" s="6">
        <v>94.6</v>
      </c>
      <c r="AN42" s="15">
        <v>97</v>
      </c>
      <c r="AO42" s="6">
        <v>98</v>
      </c>
      <c r="AP42" s="6">
        <v>31.6</v>
      </c>
      <c r="AQ42" s="6">
        <v>15</v>
      </c>
      <c r="AR42" s="6">
        <v>30.4</v>
      </c>
      <c r="AS42" s="6">
        <v>69</v>
      </c>
      <c r="AT42" s="6">
        <v>29.5</v>
      </c>
      <c r="AU42" s="15">
        <v>138</v>
      </c>
      <c r="AV42" s="15">
        <v>95</v>
      </c>
      <c r="DC42" s="6">
        <v>99</v>
      </c>
      <c r="DD42" s="6"/>
      <c r="DE42" s="15">
        <v>212</v>
      </c>
      <c r="DF42" s="15">
        <v>198</v>
      </c>
      <c r="DG42" s="9">
        <f t="shared" si="0"/>
        <v>4.9416934404145625</v>
      </c>
      <c r="DH42" s="6"/>
      <c r="DI42" s="6"/>
      <c r="DJ42" s="6"/>
      <c r="DK42" s="6"/>
      <c r="DL42" s="6"/>
      <c r="DM42" s="6"/>
      <c r="DN42" s="6"/>
      <c r="DP42" s="11">
        <v>3</v>
      </c>
      <c r="DQ42" s="6" t="s">
        <v>111</v>
      </c>
      <c r="DR42" s="9">
        <v>2</v>
      </c>
      <c r="DU42" s="9">
        <v>9.4</v>
      </c>
    </row>
    <row r="43" spans="1:125" x14ac:dyDescent="0.2">
      <c r="A43" s="16">
        <v>115</v>
      </c>
      <c r="B43" s="8">
        <v>42193</v>
      </c>
      <c r="C43" s="6" t="s">
        <v>95</v>
      </c>
      <c r="D43" s="6">
        <v>72</v>
      </c>
      <c r="E43" s="6" t="s">
        <v>100</v>
      </c>
      <c r="F43" s="17">
        <v>13882</v>
      </c>
      <c r="G43" s="6" t="s">
        <v>114</v>
      </c>
      <c r="H43" s="6" t="s">
        <v>109</v>
      </c>
      <c r="K43" s="8"/>
      <c r="L43" s="6"/>
      <c r="M43" s="15" t="s">
        <v>110</v>
      </c>
      <c r="N43" s="15" t="s">
        <v>110</v>
      </c>
      <c r="O43" s="6" t="s">
        <v>114</v>
      </c>
      <c r="P43" s="6" t="s">
        <v>114</v>
      </c>
      <c r="Q43" s="6" t="s">
        <v>114</v>
      </c>
      <c r="R43" s="6" t="s">
        <v>110</v>
      </c>
      <c r="S43" s="6" t="s">
        <v>114</v>
      </c>
      <c r="T43" s="6" t="s">
        <v>114</v>
      </c>
      <c r="U43" s="6" t="s">
        <v>114</v>
      </c>
      <c r="W43" s="6" t="s">
        <v>114</v>
      </c>
      <c r="X43" s="6"/>
      <c r="Y43" s="15" t="s">
        <v>2235</v>
      </c>
      <c r="AB43" s="6" t="s">
        <v>114</v>
      </c>
      <c r="AC43" s="6" t="s">
        <v>114</v>
      </c>
      <c r="AE43" s="15" t="s">
        <v>118</v>
      </c>
      <c r="AF43" s="15" t="s">
        <v>118</v>
      </c>
      <c r="AG43" s="15" t="s">
        <v>125</v>
      </c>
      <c r="AH43" s="15" t="s">
        <v>110</v>
      </c>
      <c r="AI43" s="15" t="s">
        <v>110</v>
      </c>
      <c r="AJ43" s="6" t="s">
        <v>114</v>
      </c>
      <c r="AK43" s="6" t="s">
        <v>114</v>
      </c>
      <c r="AL43" s="6">
        <v>85.6</v>
      </c>
      <c r="AN43" s="15">
        <v>110</v>
      </c>
      <c r="AO43" s="6">
        <v>113</v>
      </c>
      <c r="AP43" s="6">
        <v>50.2</v>
      </c>
      <c r="AQ43" s="6">
        <v>14</v>
      </c>
      <c r="AR43" s="6">
        <v>21.8</v>
      </c>
      <c r="AS43" s="6">
        <v>80</v>
      </c>
      <c r="AT43" s="6">
        <v>36.1</v>
      </c>
      <c r="AU43" s="6">
        <v>129</v>
      </c>
      <c r="AV43" s="6">
        <v>80</v>
      </c>
      <c r="DC43" s="16">
        <v>149</v>
      </c>
      <c r="DD43" s="6"/>
      <c r="DE43" s="6">
        <v>194</v>
      </c>
      <c r="DF43" s="15">
        <v>162</v>
      </c>
      <c r="DG43" s="9">
        <f t="shared" si="0"/>
        <v>5.0457713205889219</v>
      </c>
      <c r="DH43" s="6"/>
      <c r="DI43" s="6"/>
      <c r="DJ43" s="6"/>
      <c r="DK43" s="6"/>
      <c r="DL43" s="6"/>
      <c r="DM43" s="6"/>
      <c r="DN43" s="6"/>
      <c r="DP43" s="11">
        <v>2</v>
      </c>
      <c r="DQ43" s="6" t="s">
        <v>105</v>
      </c>
      <c r="DR43" s="9">
        <v>2</v>
      </c>
      <c r="DU43" s="9">
        <v>4.8</v>
      </c>
    </row>
    <row r="44" spans="1:125" x14ac:dyDescent="0.2">
      <c r="A44" s="16">
        <v>116</v>
      </c>
      <c r="B44" s="8">
        <v>42193</v>
      </c>
      <c r="C44" s="6" t="s">
        <v>95</v>
      </c>
      <c r="D44" s="6">
        <v>71</v>
      </c>
      <c r="E44" s="80" t="s">
        <v>1203</v>
      </c>
      <c r="F44" s="17">
        <v>15973</v>
      </c>
      <c r="G44" s="6" t="s">
        <v>114</v>
      </c>
      <c r="H44" s="6" t="s">
        <v>109</v>
      </c>
      <c r="L44" s="6"/>
      <c r="M44" s="6" t="s">
        <v>114</v>
      </c>
      <c r="N44" s="6" t="s">
        <v>114</v>
      </c>
      <c r="O44" s="6" t="s">
        <v>114</v>
      </c>
      <c r="P44" s="6" t="s">
        <v>114</v>
      </c>
      <c r="Q44" s="6" t="s">
        <v>114</v>
      </c>
      <c r="R44" s="6" t="s">
        <v>110</v>
      </c>
      <c r="S44" s="6" t="s">
        <v>114</v>
      </c>
      <c r="T44" s="6" t="s">
        <v>114</v>
      </c>
      <c r="U44" s="6" t="s">
        <v>114</v>
      </c>
      <c r="W44" s="6" t="s">
        <v>114</v>
      </c>
      <c r="X44" s="6"/>
      <c r="Y44" s="6" t="s">
        <v>114</v>
      </c>
      <c r="AB44" s="16" t="s">
        <v>840</v>
      </c>
      <c r="AC44" s="6" t="s">
        <v>114</v>
      </c>
      <c r="AE44" s="6" t="s">
        <v>116</v>
      </c>
      <c r="AF44" s="6" t="s">
        <v>116</v>
      </c>
      <c r="AG44" s="6" t="s">
        <v>116</v>
      </c>
      <c r="AH44" s="6" t="s">
        <v>116</v>
      </c>
      <c r="AI44" s="6" t="s">
        <v>116</v>
      </c>
      <c r="AJ44" s="6" t="s">
        <v>116</v>
      </c>
      <c r="AK44" s="6" t="s">
        <v>114</v>
      </c>
      <c r="AL44" s="6">
        <v>74</v>
      </c>
      <c r="AN44" s="15">
        <v>102</v>
      </c>
      <c r="AO44" s="6">
        <v>110</v>
      </c>
      <c r="AP44" s="6">
        <v>46.7</v>
      </c>
      <c r="AQ44" s="6">
        <v>12</v>
      </c>
      <c r="AR44" s="6">
        <v>22.6</v>
      </c>
      <c r="AS44" s="6">
        <v>74</v>
      </c>
      <c r="AT44" s="6">
        <v>31.2</v>
      </c>
      <c r="AU44" s="15">
        <v>145</v>
      </c>
      <c r="AV44" s="15">
        <v>90</v>
      </c>
      <c r="DC44" s="16">
        <v>130</v>
      </c>
      <c r="DD44" s="6"/>
      <c r="DE44" s="6">
        <v>192</v>
      </c>
      <c r="DF44" s="15">
        <v>277</v>
      </c>
      <c r="DG44" s="9">
        <f t="shared" si="0"/>
        <v>5.2457759783214604</v>
      </c>
      <c r="DH44" s="6"/>
      <c r="DI44" s="6"/>
      <c r="DJ44" s="6"/>
      <c r="DK44" s="6"/>
      <c r="DL44" s="6"/>
      <c r="DM44" s="6"/>
      <c r="DN44" s="6"/>
      <c r="DP44" s="11">
        <v>3</v>
      </c>
      <c r="DQ44" s="6" t="s">
        <v>111</v>
      </c>
      <c r="DR44" s="9">
        <v>2</v>
      </c>
      <c r="DU44" s="9">
        <v>5.0999999999999996</v>
      </c>
    </row>
    <row r="45" spans="1:125" x14ac:dyDescent="0.2">
      <c r="A45" s="78">
        <v>117</v>
      </c>
      <c r="B45" s="8">
        <v>42193</v>
      </c>
      <c r="C45" s="6" t="s">
        <v>95</v>
      </c>
      <c r="D45" s="6">
        <v>62</v>
      </c>
      <c r="E45" s="6" t="s">
        <v>100</v>
      </c>
      <c r="F45" s="17">
        <v>19220</v>
      </c>
      <c r="G45" s="6" t="s">
        <v>114</v>
      </c>
      <c r="H45" s="6" t="s">
        <v>109</v>
      </c>
      <c r="L45" s="6"/>
      <c r="M45" s="6" t="s">
        <v>114</v>
      </c>
      <c r="N45" s="6" t="s">
        <v>114</v>
      </c>
      <c r="O45" s="6" t="s">
        <v>114</v>
      </c>
      <c r="P45" s="6" t="s">
        <v>114</v>
      </c>
      <c r="Q45" s="15" t="s">
        <v>110</v>
      </c>
      <c r="R45" s="6" t="s">
        <v>110</v>
      </c>
      <c r="S45" s="6" t="s">
        <v>114</v>
      </c>
      <c r="T45" s="6" t="s">
        <v>114</v>
      </c>
      <c r="U45" s="6" t="s">
        <v>114</v>
      </c>
      <c r="W45" s="6" t="s">
        <v>114</v>
      </c>
      <c r="X45" s="6"/>
      <c r="Y45" s="6" t="s">
        <v>114</v>
      </c>
      <c r="AB45" s="6" t="s">
        <v>100</v>
      </c>
      <c r="AC45" s="6" t="s">
        <v>114</v>
      </c>
      <c r="AE45" s="15" t="s">
        <v>664</v>
      </c>
      <c r="AF45" s="15" t="s">
        <v>110</v>
      </c>
      <c r="AG45" s="6" t="s">
        <v>114</v>
      </c>
      <c r="AH45" s="6" t="s">
        <v>114</v>
      </c>
      <c r="AI45" s="6" t="s">
        <v>114</v>
      </c>
      <c r="AJ45" s="6" t="s">
        <v>114</v>
      </c>
      <c r="AK45" s="6" t="s">
        <v>114</v>
      </c>
      <c r="AL45" s="6">
        <v>75</v>
      </c>
      <c r="AN45" s="6">
        <v>90</v>
      </c>
      <c r="AO45" s="6">
        <v>100.5</v>
      </c>
      <c r="AP45" s="6">
        <v>22.7</v>
      </c>
      <c r="AQ45" s="6">
        <v>8</v>
      </c>
      <c r="AR45" s="6">
        <v>33.6</v>
      </c>
      <c r="AS45" s="6">
        <v>55</v>
      </c>
      <c r="AT45" s="79">
        <v>23.7</v>
      </c>
      <c r="AU45" s="15">
        <v>134</v>
      </c>
      <c r="AV45" s="15">
        <v>91</v>
      </c>
      <c r="DC45" s="6">
        <v>96</v>
      </c>
      <c r="DD45" s="6"/>
      <c r="DE45" s="15">
        <v>276</v>
      </c>
      <c r="DF45" s="15">
        <v>217</v>
      </c>
      <c r="DG45" s="9">
        <f t="shared" si="0"/>
        <v>4.9721227725041475</v>
      </c>
      <c r="DH45" s="6"/>
      <c r="DI45" s="6"/>
      <c r="DJ45" s="6"/>
      <c r="DK45" s="6"/>
      <c r="DL45" s="6"/>
      <c r="DM45" s="6"/>
      <c r="DN45" s="6"/>
      <c r="DP45" s="11">
        <v>2</v>
      </c>
      <c r="DQ45" s="6" t="s">
        <v>111</v>
      </c>
      <c r="DR45" s="9">
        <v>3</v>
      </c>
      <c r="DU45" s="9">
        <v>4.8</v>
      </c>
    </row>
    <row r="46" spans="1:125" x14ac:dyDescent="0.2">
      <c r="A46" s="16" t="s">
        <v>2240</v>
      </c>
      <c r="B46" s="17"/>
      <c r="C46" s="6" t="s">
        <v>95</v>
      </c>
      <c r="D46" s="82">
        <v>60</v>
      </c>
      <c r="E46" s="6" t="s">
        <v>100</v>
      </c>
      <c r="F46" s="17"/>
      <c r="G46" s="6" t="s">
        <v>2088</v>
      </c>
      <c r="H46" s="6" t="s">
        <v>2241</v>
      </c>
      <c r="L46" s="6"/>
      <c r="M46" s="15" t="s">
        <v>110</v>
      </c>
      <c r="N46" s="15" t="s">
        <v>110</v>
      </c>
      <c r="O46" s="15" t="s">
        <v>110</v>
      </c>
      <c r="P46" s="6" t="s">
        <v>114</v>
      </c>
      <c r="Q46" s="6" t="s">
        <v>114</v>
      </c>
      <c r="R46" s="6" t="s">
        <v>110</v>
      </c>
      <c r="S46" s="6" t="s">
        <v>114</v>
      </c>
      <c r="T46" s="6" t="s">
        <v>2229</v>
      </c>
      <c r="U46" s="6" t="s">
        <v>114</v>
      </c>
      <c r="W46" s="6" t="s">
        <v>114</v>
      </c>
      <c r="X46" s="6"/>
      <c r="Y46" s="15" t="s">
        <v>110</v>
      </c>
      <c r="AB46" s="6" t="s">
        <v>100</v>
      </c>
      <c r="AC46" s="6" t="s">
        <v>100</v>
      </c>
      <c r="AE46" s="15" t="s">
        <v>110</v>
      </c>
      <c r="AF46" s="15" t="s">
        <v>110</v>
      </c>
      <c r="AG46" s="6" t="s">
        <v>114</v>
      </c>
      <c r="AH46" s="6" t="s">
        <v>114</v>
      </c>
      <c r="AI46" s="6" t="s">
        <v>114</v>
      </c>
      <c r="AJ46" s="6" t="s">
        <v>116</v>
      </c>
      <c r="AK46" s="15" t="s">
        <v>2242</v>
      </c>
      <c r="AL46" s="6"/>
      <c r="AN46" s="6"/>
      <c r="AO46" s="6"/>
      <c r="AP46" s="6"/>
      <c r="AQ46" s="6"/>
      <c r="AR46" s="6"/>
      <c r="AS46" s="6"/>
      <c r="AT46" s="6"/>
      <c r="AU46" s="6"/>
      <c r="AV46" s="6"/>
      <c r="DC46" s="6"/>
      <c r="DD46" s="6">
        <v>0.48</v>
      </c>
      <c r="DE46" s="15">
        <v>219</v>
      </c>
      <c r="DF46" s="6">
        <v>101</v>
      </c>
      <c r="DG46" s="9" t="e">
        <f t="shared" si="0"/>
        <v>#NUM!</v>
      </c>
      <c r="DH46" s="6">
        <v>20.2</v>
      </c>
      <c r="DI46" s="6">
        <v>5.82</v>
      </c>
      <c r="DJ46" s="6">
        <v>26.4</v>
      </c>
      <c r="DK46" s="6">
        <v>20.7</v>
      </c>
      <c r="DL46" s="6">
        <v>65.400000000000006</v>
      </c>
      <c r="DM46" s="6">
        <v>133.4</v>
      </c>
      <c r="DN46" s="6"/>
      <c r="DP46" s="11">
        <v>2</v>
      </c>
      <c r="DQ46" s="6" t="s">
        <v>111</v>
      </c>
      <c r="DR46" s="9">
        <v>3</v>
      </c>
      <c r="DU46" s="9">
        <v>8.1999999999999993</v>
      </c>
    </row>
    <row r="47" spans="1:125" x14ac:dyDescent="0.2">
      <c r="A47" s="81" t="s">
        <v>2243</v>
      </c>
      <c r="B47" s="8">
        <v>42273</v>
      </c>
      <c r="C47" s="6" t="s">
        <v>95</v>
      </c>
      <c r="D47" s="6">
        <v>54</v>
      </c>
      <c r="E47" s="16" t="s">
        <v>840</v>
      </c>
      <c r="F47" s="83">
        <v>22409</v>
      </c>
      <c r="G47" s="6" t="s">
        <v>114</v>
      </c>
      <c r="H47" s="83" t="s">
        <v>146</v>
      </c>
      <c r="L47" s="6"/>
      <c r="M47" s="15" t="s">
        <v>110</v>
      </c>
      <c r="N47" s="15" t="s">
        <v>2244</v>
      </c>
      <c r="O47" s="15" t="s">
        <v>2245</v>
      </c>
      <c r="P47" s="15" t="s">
        <v>2246</v>
      </c>
      <c r="Q47" s="15" t="s">
        <v>2247</v>
      </c>
      <c r="R47" s="6" t="s">
        <v>110</v>
      </c>
      <c r="S47" s="6" t="s">
        <v>242</v>
      </c>
      <c r="T47" s="6" t="s">
        <v>2229</v>
      </c>
      <c r="U47" s="6" t="s">
        <v>114</v>
      </c>
      <c r="W47" s="6" t="s">
        <v>114</v>
      </c>
      <c r="X47" s="6"/>
      <c r="Y47" s="84" t="s">
        <v>2248</v>
      </c>
      <c r="AB47" s="16" t="s">
        <v>840</v>
      </c>
      <c r="AC47" s="16" t="s">
        <v>840</v>
      </c>
      <c r="AE47" s="15" t="s">
        <v>2249</v>
      </c>
      <c r="AF47" s="15" t="s">
        <v>125</v>
      </c>
      <c r="AG47" s="6" t="s">
        <v>114</v>
      </c>
      <c r="AH47" s="15" t="s">
        <v>125</v>
      </c>
      <c r="AI47" s="6" t="s">
        <v>114</v>
      </c>
      <c r="AJ47" s="6" t="s">
        <v>114</v>
      </c>
      <c r="AK47" s="6" t="s">
        <v>114</v>
      </c>
      <c r="AL47" s="6">
        <v>87.9</v>
      </c>
      <c r="AN47" s="15">
        <v>116</v>
      </c>
      <c r="AO47" s="6"/>
      <c r="AP47" s="6">
        <v>46.9</v>
      </c>
      <c r="AQ47" s="6"/>
      <c r="AR47" s="6">
        <v>46.7</v>
      </c>
      <c r="AS47" s="6"/>
      <c r="AT47" s="6">
        <v>31.1</v>
      </c>
      <c r="AU47" s="15">
        <v>174</v>
      </c>
      <c r="AV47" s="15">
        <v>94</v>
      </c>
      <c r="DC47" s="16">
        <v>308.7</v>
      </c>
      <c r="DD47" s="6">
        <v>0.47</v>
      </c>
      <c r="DE47" s="15">
        <v>252</v>
      </c>
      <c r="DF47" s="6">
        <v>140</v>
      </c>
      <c r="DG47" s="9">
        <f t="shared" si="0"/>
        <v>5.3370061770587087</v>
      </c>
      <c r="DH47" s="6">
        <v>28</v>
      </c>
      <c r="DI47" s="6">
        <v>4.6500000000000004</v>
      </c>
      <c r="DJ47" s="6">
        <v>7.3</v>
      </c>
      <c r="DK47" s="6">
        <v>8.3000000000000007</v>
      </c>
      <c r="DL47" s="6">
        <v>95.5</v>
      </c>
      <c r="DM47" s="6">
        <v>127.5</v>
      </c>
      <c r="DN47" s="6"/>
      <c r="DP47" s="11">
        <v>2</v>
      </c>
      <c r="DQ47" s="6" t="s">
        <v>105</v>
      </c>
      <c r="DR47" s="9">
        <v>3</v>
      </c>
      <c r="DU47" s="9">
        <v>8.8000000000000007</v>
      </c>
    </row>
    <row r="48" spans="1:125" x14ac:dyDescent="0.2">
      <c r="A48" s="16" t="s">
        <v>2250</v>
      </c>
      <c r="B48" s="8">
        <v>42275</v>
      </c>
      <c r="C48" s="6" t="s">
        <v>107</v>
      </c>
      <c r="D48" s="6">
        <v>54</v>
      </c>
      <c r="E48" s="6" t="s">
        <v>100</v>
      </c>
      <c r="F48" s="17">
        <v>22468</v>
      </c>
      <c r="G48" s="6" t="s">
        <v>114</v>
      </c>
      <c r="H48" s="6" t="s">
        <v>2251</v>
      </c>
      <c r="L48" s="6"/>
      <c r="M48" s="6" t="s">
        <v>114</v>
      </c>
      <c r="N48" s="6" t="s">
        <v>114</v>
      </c>
      <c r="O48" s="6" t="s">
        <v>114</v>
      </c>
      <c r="P48" s="15" t="s">
        <v>110</v>
      </c>
      <c r="Q48" s="15" t="s">
        <v>110</v>
      </c>
      <c r="R48" s="6" t="s">
        <v>99</v>
      </c>
      <c r="S48" s="6" t="s">
        <v>114</v>
      </c>
      <c r="T48" s="6"/>
      <c r="U48" s="6" t="s">
        <v>114</v>
      </c>
      <c r="W48" s="6" t="s">
        <v>114</v>
      </c>
      <c r="X48" s="6"/>
      <c r="Y48" s="6" t="s">
        <v>114</v>
      </c>
      <c r="AB48" s="85" t="s">
        <v>1654</v>
      </c>
      <c r="AC48" s="85" t="s">
        <v>1001</v>
      </c>
      <c r="AE48" s="6" t="s">
        <v>114</v>
      </c>
      <c r="AF48" s="6" t="s">
        <v>114</v>
      </c>
      <c r="AG48" s="6" t="s">
        <v>114</v>
      </c>
      <c r="AH48" s="15" t="s">
        <v>2252</v>
      </c>
      <c r="AI48" s="6" t="s">
        <v>114</v>
      </c>
      <c r="AJ48" s="6" t="s">
        <v>114</v>
      </c>
      <c r="AK48" s="6" t="s">
        <v>114</v>
      </c>
      <c r="AL48" s="6">
        <v>85.1</v>
      </c>
      <c r="AN48" s="6">
        <v>94</v>
      </c>
      <c r="AO48" s="6">
        <v>98</v>
      </c>
      <c r="AP48" s="6">
        <v>28.5</v>
      </c>
      <c r="AQ48" s="6">
        <v>11</v>
      </c>
      <c r="AR48" s="6">
        <v>31.6</v>
      </c>
      <c r="AS48" s="6">
        <v>62</v>
      </c>
      <c r="AT48" s="6">
        <v>26.3</v>
      </c>
      <c r="AU48" s="15">
        <v>130</v>
      </c>
      <c r="AV48" s="15">
        <v>91</v>
      </c>
      <c r="DC48" s="15">
        <v>108</v>
      </c>
      <c r="DD48" s="6"/>
      <c r="DE48" s="6">
        <v>159</v>
      </c>
      <c r="DF48" s="15">
        <v>159</v>
      </c>
      <c r="DG48" s="9">
        <f t="shared" si="0"/>
        <v>4.8755177146722257</v>
      </c>
      <c r="DH48" s="6"/>
      <c r="DI48" s="6"/>
      <c r="DJ48" s="6"/>
      <c r="DK48" s="6"/>
      <c r="DL48" s="6"/>
      <c r="DM48" s="6"/>
      <c r="DN48" s="6"/>
      <c r="DP48" s="11">
        <v>3</v>
      </c>
      <c r="DQ48" s="6" t="s">
        <v>105</v>
      </c>
      <c r="DR48" s="9">
        <v>2</v>
      </c>
      <c r="DU48" s="9">
        <v>8</v>
      </c>
    </row>
    <row r="49" spans="1:125" x14ac:dyDescent="0.2">
      <c r="A49" s="16" t="s">
        <v>2259</v>
      </c>
      <c r="B49" s="8">
        <v>42275</v>
      </c>
      <c r="C49" s="6" t="s">
        <v>95</v>
      </c>
      <c r="D49" s="6">
        <v>67</v>
      </c>
      <c r="E49" s="6" t="s">
        <v>100</v>
      </c>
      <c r="F49" s="17"/>
      <c r="G49" s="6"/>
      <c r="H49" s="6" t="s">
        <v>2251</v>
      </c>
      <c r="L49" s="6"/>
      <c r="M49" s="6"/>
      <c r="N49" s="6"/>
      <c r="O49" s="15" t="s">
        <v>2260</v>
      </c>
      <c r="P49" s="6"/>
      <c r="Q49" s="6"/>
      <c r="R49" s="6" t="s">
        <v>110</v>
      </c>
      <c r="S49" s="6"/>
      <c r="T49" s="6"/>
      <c r="U49" s="6"/>
      <c r="W49" s="6"/>
      <c r="X49" s="6"/>
      <c r="Y49" s="6" t="s">
        <v>110</v>
      </c>
      <c r="AA49" s="6" t="s">
        <v>100</v>
      </c>
      <c r="AB49" s="6" t="s">
        <v>100</v>
      </c>
      <c r="AC49" s="6" t="s">
        <v>100</v>
      </c>
      <c r="AD49" s="6" t="s">
        <v>100</v>
      </c>
      <c r="AE49" s="6" t="s">
        <v>110</v>
      </c>
      <c r="AF49" s="6" t="s">
        <v>110</v>
      </c>
      <c r="AG49" s="6"/>
      <c r="AH49" s="6"/>
      <c r="AI49" s="6"/>
      <c r="AJ49" s="6"/>
      <c r="AK49" s="6"/>
      <c r="AL49" s="6">
        <v>72.099999999999994</v>
      </c>
      <c r="AM49" s="9">
        <v>153</v>
      </c>
      <c r="AN49" s="15">
        <v>98</v>
      </c>
      <c r="AO49" s="6">
        <v>102</v>
      </c>
      <c r="AP49" s="6">
        <v>44.3</v>
      </c>
      <c r="AQ49" s="6">
        <v>12</v>
      </c>
      <c r="AR49" s="6"/>
      <c r="AS49" s="6"/>
      <c r="AT49" s="6">
        <v>38.799999999999997</v>
      </c>
      <c r="AU49" s="6">
        <v>118</v>
      </c>
      <c r="AV49" s="6">
        <v>80</v>
      </c>
      <c r="DC49" s="15">
        <v>105</v>
      </c>
      <c r="DD49" s="6"/>
      <c r="DE49" s="15">
        <v>219</v>
      </c>
      <c r="DF49" s="15">
        <v>224</v>
      </c>
      <c r="DG49" s="9">
        <f t="shared" si="0"/>
        <v>5.0328032010062813</v>
      </c>
      <c r="DH49" s="6"/>
      <c r="DI49" s="6"/>
      <c r="DJ49" s="6"/>
      <c r="DK49" s="6"/>
      <c r="DL49" s="6"/>
      <c r="DM49" s="6"/>
      <c r="DN49" s="6"/>
      <c r="DP49" s="11">
        <v>3</v>
      </c>
      <c r="DQ49" s="6" t="s">
        <v>105</v>
      </c>
      <c r="DR49" s="9">
        <v>3</v>
      </c>
      <c r="DU49" s="9">
        <v>8</v>
      </c>
    </row>
    <row r="50" spans="1:125" x14ac:dyDescent="0.2">
      <c r="A50" s="78" t="s">
        <v>2262</v>
      </c>
      <c r="B50" s="8">
        <v>42275</v>
      </c>
      <c r="C50" s="6" t="s">
        <v>95</v>
      </c>
      <c r="D50" s="6">
        <v>46</v>
      </c>
      <c r="E50" s="6" t="s">
        <v>100</v>
      </c>
      <c r="F50" s="17"/>
      <c r="G50" s="6"/>
      <c r="H50" s="6" t="s">
        <v>2251</v>
      </c>
      <c r="L50" s="6"/>
      <c r="M50" s="6" t="s">
        <v>99</v>
      </c>
      <c r="N50" s="6" t="s">
        <v>99</v>
      </c>
      <c r="O50" s="6" t="s">
        <v>99</v>
      </c>
      <c r="P50" s="6"/>
      <c r="Q50" s="6" t="s">
        <v>99</v>
      </c>
      <c r="R50" s="6"/>
      <c r="S50" s="6"/>
      <c r="T50" s="6"/>
      <c r="U50" s="6"/>
      <c r="W50" s="6"/>
      <c r="X50" s="6"/>
      <c r="Y50" s="6"/>
      <c r="AA50" s="6" t="s">
        <v>100</v>
      </c>
      <c r="AB50" s="6" t="s">
        <v>100</v>
      </c>
      <c r="AC50" s="6" t="s">
        <v>100</v>
      </c>
      <c r="AD50" s="6" t="s">
        <v>100</v>
      </c>
      <c r="AE50" s="6" t="s">
        <v>118</v>
      </c>
      <c r="AF50" s="6"/>
      <c r="AG50" s="6"/>
      <c r="AH50" s="6"/>
      <c r="AI50" s="6"/>
      <c r="AJ50" s="6"/>
      <c r="AK50" s="6"/>
      <c r="AL50" s="6">
        <v>60.7</v>
      </c>
      <c r="AM50" s="9">
        <v>156</v>
      </c>
      <c r="AN50" s="15">
        <v>82</v>
      </c>
      <c r="AO50" s="6">
        <v>87</v>
      </c>
      <c r="AP50" s="6">
        <v>24.1</v>
      </c>
      <c r="AQ50" s="6">
        <v>7</v>
      </c>
      <c r="AR50" s="6">
        <v>39.799999999999997</v>
      </c>
      <c r="AS50" s="6">
        <v>49</v>
      </c>
      <c r="AT50" s="79">
        <v>24.9</v>
      </c>
      <c r="AU50" s="6">
        <v>120</v>
      </c>
      <c r="AV50" s="6">
        <v>90</v>
      </c>
      <c r="DC50" s="15">
        <v>106</v>
      </c>
      <c r="DD50" s="6"/>
      <c r="DE50" s="15">
        <v>211</v>
      </c>
      <c r="DF50" s="15">
        <v>178</v>
      </c>
      <c r="DG50" s="9">
        <f t="shared" si="0"/>
        <v>4.9226113222020764</v>
      </c>
      <c r="DH50" s="6"/>
      <c r="DI50" s="6"/>
      <c r="DJ50" s="6"/>
      <c r="DK50" s="6"/>
      <c r="DL50" s="6"/>
      <c r="DM50" s="6"/>
      <c r="DN50" s="6"/>
      <c r="DP50" s="11">
        <v>2</v>
      </c>
      <c r="DQ50" s="6" t="s">
        <v>105</v>
      </c>
      <c r="DR50" s="9">
        <v>2</v>
      </c>
      <c r="DU50" s="9">
        <v>10.199999999999999</v>
      </c>
    </row>
    <row r="51" spans="1:125" x14ac:dyDescent="0.2">
      <c r="A51" s="16">
        <v>130</v>
      </c>
      <c r="B51" s="8">
        <v>42276</v>
      </c>
      <c r="C51" s="6" t="s">
        <v>107</v>
      </c>
      <c r="D51" s="6">
        <v>38</v>
      </c>
      <c r="E51" s="86" t="s">
        <v>155</v>
      </c>
      <c r="F51" s="17">
        <v>28433</v>
      </c>
      <c r="G51" s="6"/>
      <c r="H51" s="6" t="s">
        <v>2251</v>
      </c>
      <c r="L51" s="6"/>
      <c r="M51" s="6"/>
      <c r="N51" s="6"/>
      <c r="O51" s="6"/>
      <c r="P51" s="6" t="s">
        <v>99</v>
      </c>
      <c r="Q51" s="15" t="s">
        <v>110</v>
      </c>
      <c r="R51" s="6"/>
      <c r="S51" s="6"/>
      <c r="T51" s="6"/>
      <c r="U51" s="6"/>
      <c r="W51" s="6"/>
      <c r="X51" s="6"/>
      <c r="Y51" s="6"/>
      <c r="AA51" s="37" t="s">
        <v>1203</v>
      </c>
      <c r="AB51" s="16" t="s">
        <v>2267</v>
      </c>
      <c r="AC51" s="88" t="s">
        <v>1203</v>
      </c>
      <c r="AE51" s="6" t="s">
        <v>2268</v>
      </c>
      <c r="AF51" s="6"/>
      <c r="AG51" s="6"/>
      <c r="AH51" s="6"/>
      <c r="AI51" s="6"/>
      <c r="AJ51" s="6"/>
      <c r="AK51" s="6"/>
      <c r="AL51" s="6">
        <v>97.7</v>
      </c>
      <c r="AM51" s="9">
        <v>170</v>
      </c>
      <c r="AN51" s="15">
        <v>107</v>
      </c>
      <c r="AO51" s="6">
        <v>100</v>
      </c>
      <c r="AP51" s="6">
        <v>30.8</v>
      </c>
      <c r="AQ51" s="6">
        <v>17</v>
      </c>
      <c r="AR51" s="6">
        <v>33.1</v>
      </c>
      <c r="AS51" s="6">
        <v>64</v>
      </c>
      <c r="AT51" s="6">
        <v>33.799999999999997</v>
      </c>
      <c r="AU51" s="6">
        <v>112</v>
      </c>
      <c r="AV51" s="6">
        <v>81</v>
      </c>
      <c r="DC51" s="15" t="s">
        <v>2269</v>
      </c>
      <c r="DD51" s="6"/>
      <c r="DE51" s="6">
        <v>185</v>
      </c>
      <c r="DF51" s="15">
        <v>245</v>
      </c>
      <c r="DG51" s="9" t="e">
        <f t="shared" si="0"/>
        <v>#VALUE!</v>
      </c>
      <c r="DH51" s="6"/>
      <c r="DI51" s="6"/>
      <c r="DJ51" s="6"/>
      <c r="DK51" s="6"/>
      <c r="DL51" s="6"/>
      <c r="DM51" s="6"/>
      <c r="DN51" s="6"/>
      <c r="DP51" s="11">
        <v>2</v>
      </c>
      <c r="DQ51" s="6" t="s">
        <v>105</v>
      </c>
      <c r="DR51" s="9">
        <v>2</v>
      </c>
      <c r="DU51" s="9">
        <v>6.5</v>
      </c>
    </row>
    <row r="52" spans="1:125" x14ac:dyDescent="0.2">
      <c r="A52" s="16">
        <v>136</v>
      </c>
      <c r="B52" s="8">
        <v>42279</v>
      </c>
      <c r="C52" s="6" t="s">
        <v>95</v>
      </c>
      <c r="D52" s="6">
        <v>54</v>
      </c>
      <c r="E52" s="6" t="s">
        <v>100</v>
      </c>
      <c r="F52" s="17">
        <v>22376</v>
      </c>
      <c r="G52" s="6"/>
      <c r="H52" s="6"/>
      <c r="I52" s="9">
        <v>11</v>
      </c>
      <c r="J52" s="9">
        <v>52</v>
      </c>
      <c r="K52" s="8"/>
      <c r="L52" s="6"/>
      <c r="M52" s="6" t="s">
        <v>99</v>
      </c>
      <c r="N52" s="6" t="s">
        <v>99</v>
      </c>
      <c r="O52" s="6" t="s">
        <v>99</v>
      </c>
      <c r="P52" s="6" t="s">
        <v>99</v>
      </c>
      <c r="Q52" s="15" t="s">
        <v>110</v>
      </c>
      <c r="R52" s="6" t="s">
        <v>110</v>
      </c>
      <c r="S52" s="6" t="s">
        <v>110</v>
      </c>
      <c r="T52" s="6" t="s">
        <v>110</v>
      </c>
      <c r="U52" s="6"/>
      <c r="W52" s="6"/>
      <c r="X52" s="6"/>
      <c r="Y52" s="16" t="s">
        <v>2281</v>
      </c>
      <c r="AA52" s="6" t="s">
        <v>100</v>
      </c>
      <c r="AB52" s="6" t="s">
        <v>100</v>
      </c>
      <c r="AC52" s="6" t="s">
        <v>100</v>
      </c>
      <c r="AD52" s="6" t="s">
        <v>100</v>
      </c>
      <c r="AE52" s="6" t="s">
        <v>118</v>
      </c>
      <c r="AF52" s="6" t="s">
        <v>2282</v>
      </c>
      <c r="AG52" s="6"/>
      <c r="AH52" s="6" t="s">
        <v>125</v>
      </c>
      <c r="AI52" s="6"/>
      <c r="AJ52" s="6"/>
      <c r="AK52" s="6"/>
      <c r="AL52" s="6">
        <v>58</v>
      </c>
      <c r="AM52" s="9">
        <v>152</v>
      </c>
      <c r="AN52" s="6"/>
      <c r="AO52" s="6"/>
      <c r="AP52" s="6">
        <v>37.5</v>
      </c>
      <c r="AQ52" s="6">
        <v>8</v>
      </c>
      <c r="AR52" s="6">
        <v>25.9</v>
      </c>
      <c r="AS52" s="6">
        <v>56</v>
      </c>
      <c r="AT52" s="6">
        <v>25.2</v>
      </c>
      <c r="AU52" s="15">
        <v>145</v>
      </c>
      <c r="AV52" s="15">
        <v>91</v>
      </c>
      <c r="DC52" s="15" t="s">
        <v>2283</v>
      </c>
      <c r="DD52" s="6">
        <v>0.83</v>
      </c>
      <c r="DE52" s="16">
        <v>301</v>
      </c>
      <c r="DF52" s="16">
        <v>230</v>
      </c>
      <c r="DG52" s="9" t="e">
        <f t="shared" si="0"/>
        <v>#VALUE!</v>
      </c>
      <c r="DH52" s="6"/>
      <c r="DI52" s="6">
        <v>5.3</v>
      </c>
      <c r="DJ52" s="6"/>
      <c r="DK52" s="6"/>
      <c r="DL52" s="6"/>
      <c r="DM52" s="6"/>
      <c r="DN52" s="6"/>
      <c r="DP52" s="18">
        <v>1</v>
      </c>
      <c r="DQ52" s="6" t="s">
        <v>111</v>
      </c>
      <c r="DR52" s="9">
        <v>2</v>
      </c>
      <c r="DT52" s="9">
        <v>5</v>
      </c>
      <c r="DU52" s="9">
        <v>7.5</v>
      </c>
    </row>
    <row r="53" spans="1:125" x14ac:dyDescent="0.2">
      <c r="A53" s="16">
        <v>140</v>
      </c>
      <c r="B53" s="8">
        <v>42352</v>
      </c>
      <c r="C53" s="6" t="s">
        <v>196</v>
      </c>
      <c r="D53" s="6">
        <v>47</v>
      </c>
      <c r="E53" s="6" t="s">
        <v>100</v>
      </c>
      <c r="F53" s="17">
        <v>25169</v>
      </c>
      <c r="G53" s="6"/>
      <c r="H53" s="6" t="s">
        <v>2288</v>
      </c>
      <c r="K53" s="9">
        <v>1997</v>
      </c>
      <c r="L53" s="6"/>
      <c r="M53" s="6" t="s">
        <v>99</v>
      </c>
      <c r="N53" s="6" t="s">
        <v>99</v>
      </c>
      <c r="O53" s="6" t="s">
        <v>99</v>
      </c>
      <c r="P53" s="6" t="s">
        <v>99</v>
      </c>
      <c r="Q53" s="15" t="s">
        <v>110</v>
      </c>
      <c r="R53" s="6" t="s">
        <v>110</v>
      </c>
      <c r="S53" s="6" t="s">
        <v>110</v>
      </c>
      <c r="T53" s="6" t="s">
        <v>110</v>
      </c>
      <c r="U53" s="15" t="s">
        <v>2289</v>
      </c>
      <c r="W53" s="6" t="s">
        <v>2290</v>
      </c>
      <c r="X53" s="6"/>
      <c r="Y53" s="15" t="s">
        <v>2291</v>
      </c>
      <c r="AA53" s="9" t="s">
        <v>100</v>
      </c>
      <c r="AB53" s="6" t="s">
        <v>100</v>
      </c>
      <c r="AC53" s="6" t="s">
        <v>100</v>
      </c>
      <c r="AD53" s="9" t="s">
        <v>100</v>
      </c>
      <c r="AE53" s="6" t="s">
        <v>99</v>
      </c>
      <c r="AF53" s="6" t="s">
        <v>118</v>
      </c>
      <c r="AG53" s="6" t="s">
        <v>99</v>
      </c>
      <c r="AH53" s="6" t="s">
        <v>2292</v>
      </c>
      <c r="AI53" s="6" t="s">
        <v>99</v>
      </c>
      <c r="AJ53" s="6" t="s">
        <v>99</v>
      </c>
      <c r="AK53" s="6"/>
      <c r="AL53" s="6">
        <v>63.3</v>
      </c>
      <c r="AN53" s="15">
        <v>81.5</v>
      </c>
      <c r="AO53" s="6"/>
      <c r="AP53" s="6">
        <v>36.200000000000003</v>
      </c>
      <c r="AQ53" s="6"/>
      <c r="AR53" s="6">
        <v>40.4</v>
      </c>
      <c r="AS53" s="6"/>
      <c r="AT53" s="6">
        <v>26</v>
      </c>
      <c r="AU53" s="15">
        <v>133</v>
      </c>
      <c r="AV53" s="15">
        <v>86</v>
      </c>
      <c r="DC53" s="15">
        <v>104</v>
      </c>
      <c r="DD53" s="6">
        <v>0.6</v>
      </c>
      <c r="DE53" s="6">
        <v>155</v>
      </c>
      <c r="DF53" s="6">
        <v>101</v>
      </c>
      <c r="DG53" s="9">
        <f t="shared" si="0"/>
        <v>4.6297557079913156</v>
      </c>
      <c r="DH53" s="6"/>
      <c r="DI53" s="6">
        <v>4.82</v>
      </c>
      <c r="DJ53" s="6">
        <v>14.2</v>
      </c>
      <c r="DK53" s="6">
        <v>8.5</v>
      </c>
      <c r="DL53" s="6"/>
      <c r="DM53" s="6"/>
      <c r="DN53" s="6"/>
      <c r="DP53" s="11">
        <v>2</v>
      </c>
      <c r="DQ53" s="6" t="s">
        <v>105</v>
      </c>
      <c r="DR53" s="9">
        <v>2</v>
      </c>
      <c r="DU53" s="9">
        <v>8.1999999999999993</v>
      </c>
    </row>
    <row r="54" spans="1:125" x14ac:dyDescent="0.2">
      <c r="A54" s="81" t="s">
        <v>2299</v>
      </c>
      <c r="B54" s="8">
        <v>42354</v>
      </c>
      <c r="C54" s="6" t="s">
        <v>196</v>
      </c>
      <c r="D54" s="6">
        <v>38</v>
      </c>
      <c r="E54" s="6" t="s">
        <v>100</v>
      </c>
      <c r="F54" s="17">
        <v>28408</v>
      </c>
      <c r="G54" s="6" t="s">
        <v>2300</v>
      </c>
      <c r="H54" s="6"/>
      <c r="L54" s="6"/>
      <c r="M54" s="6" t="s">
        <v>99</v>
      </c>
      <c r="N54" s="15" t="s">
        <v>2301</v>
      </c>
      <c r="O54" s="6" t="s">
        <v>99</v>
      </c>
      <c r="P54" s="15" t="s">
        <v>110</v>
      </c>
      <c r="Q54" s="15" t="s">
        <v>110</v>
      </c>
      <c r="R54" s="6" t="s">
        <v>110</v>
      </c>
      <c r="S54" s="6" t="s">
        <v>110</v>
      </c>
      <c r="T54" s="6" t="s">
        <v>110</v>
      </c>
      <c r="U54" s="15" t="s">
        <v>2302</v>
      </c>
      <c r="W54" s="16" t="s">
        <v>2303</v>
      </c>
      <c r="X54" s="6"/>
      <c r="Y54" s="6" t="s">
        <v>110</v>
      </c>
      <c r="AA54" s="9" t="s">
        <v>100</v>
      </c>
      <c r="AB54" s="6" t="s">
        <v>100</v>
      </c>
      <c r="AC54" s="6" t="s">
        <v>100</v>
      </c>
      <c r="AE54" s="6" t="s">
        <v>2304</v>
      </c>
      <c r="AF54" s="6" t="s">
        <v>2305</v>
      </c>
      <c r="AG54" s="6" t="s">
        <v>2252</v>
      </c>
      <c r="AH54" s="6" t="s">
        <v>125</v>
      </c>
      <c r="AI54" s="6" t="s">
        <v>2252</v>
      </c>
      <c r="AJ54" s="6" t="s">
        <v>2306</v>
      </c>
      <c r="AK54" s="6"/>
      <c r="AL54" s="6">
        <v>93.3</v>
      </c>
      <c r="AN54" s="6"/>
      <c r="AO54" s="6">
        <v>117</v>
      </c>
      <c r="AP54" s="6">
        <v>47.1</v>
      </c>
      <c r="AQ54" s="6"/>
      <c r="AR54" s="6">
        <v>49.4</v>
      </c>
      <c r="AS54" s="6"/>
      <c r="AT54" s="6">
        <v>39.299999999999997</v>
      </c>
      <c r="AU54" s="15">
        <v>135</v>
      </c>
      <c r="AV54" s="15">
        <v>99</v>
      </c>
      <c r="DC54" s="15">
        <v>101.7</v>
      </c>
      <c r="DD54" s="6">
        <v>0.42</v>
      </c>
      <c r="DE54" s="15">
        <v>241</v>
      </c>
      <c r="DF54" s="15">
        <v>170</v>
      </c>
      <c r="DG54" s="9">
        <f t="shared" si="0"/>
        <v>4.8789128700523881</v>
      </c>
      <c r="DH54" s="6">
        <v>28</v>
      </c>
      <c r="DI54" s="6">
        <v>5.92</v>
      </c>
      <c r="DJ54" s="6">
        <v>62.8</v>
      </c>
      <c r="DK54" s="6">
        <v>38.700000000000003</v>
      </c>
      <c r="DL54" s="6">
        <v>58.1</v>
      </c>
      <c r="DM54" s="6">
        <v>125.9</v>
      </c>
      <c r="DN54" s="6"/>
      <c r="DP54" s="11">
        <v>2</v>
      </c>
      <c r="DQ54" s="6" t="s">
        <v>105</v>
      </c>
      <c r="DR54" s="9">
        <v>3</v>
      </c>
      <c r="DU54" s="9">
        <v>9.3000000000000007</v>
      </c>
    </row>
    <row r="55" spans="1:125" x14ac:dyDescent="0.2">
      <c r="A55" s="81" t="s">
        <v>2321</v>
      </c>
      <c r="B55" s="8">
        <v>42481</v>
      </c>
      <c r="C55" s="6" t="s">
        <v>107</v>
      </c>
      <c r="D55" s="6">
        <v>52</v>
      </c>
      <c r="E55" s="6" t="s">
        <v>100</v>
      </c>
      <c r="G55" s="6" t="s">
        <v>2322</v>
      </c>
      <c r="H55" s="6"/>
      <c r="L55" s="6"/>
      <c r="M55" s="6" t="s">
        <v>99</v>
      </c>
      <c r="N55" s="6" t="s">
        <v>99</v>
      </c>
      <c r="O55" s="6" t="s">
        <v>99</v>
      </c>
      <c r="P55" s="6" t="s">
        <v>99</v>
      </c>
      <c r="Q55" s="6" t="s">
        <v>99</v>
      </c>
      <c r="R55" s="6" t="s">
        <v>110</v>
      </c>
      <c r="S55" s="6" t="s">
        <v>99</v>
      </c>
      <c r="T55" s="6" t="s">
        <v>99</v>
      </c>
      <c r="U55" s="6" t="s">
        <v>99</v>
      </c>
      <c r="W55" s="6" t="s">
        <v>99</v>
      </c>
      <c r="X55" s="6"/>
      <c r="Y55" s="6" t="s">
        <v>2323</v>
      </c>
      <c r="AA55" s="9" t="s">
        <v>100</v>
      </c>
      <c r="AB55" s="80" t="s">
        <v>2324</v>
      </c>
      <c r="AC55" s="86"/>
      <c r="AD55" s="14" t="s">
        <v>2325</v>
      </c>
      <c r="AE55" s="6" t="s">
        <v>99</v>
      </c>
      <c r="AF55" s="15" t="s">
        <v>363</v>
      </c>
      <c r="AG55" s="6" t="s">
        <v>99</v>
      </c>
      <c r="AH55" s="6" t="s">
        <v>99</v>
      </c>
      <c r="AI55" s="6" t="s">
        <v>99</v>
      </c>
      <c r="AJ55" s="6" t="s">
        <v>99</v>
      </c>
      <c r="AK55" s="6" t="s">
        <v>99</v>
      </c>
      <c r="AL55" s="6">
        <v>96.2</v>
      </c>
      <c r="AN55" s="6"/>
      <c r="AO55" s="6"/>
      <c r="AP55" s="6">
        <v>43.1</v>
      </c>
      <c r="AQ55" s="6"/>
      <c r="AR55" s="6">
        <v>54.7</v>
      </c>
      <c r="AS55" s="6"/>
      <c r="AT55" s="6">
        <v>33.700000000000003</v>
      </c>
      <c r="AU55" s="15">
        <v>130</v>
      </c>
      <c r="AV55" s="15">
        <v>85</v>
      </c>
      <c r="DC55" s="15">
        <v>101.6</v>
      </c>
      <c r="DD55" s="6">
        <v>0.41</v>
      </c>
      <c r="DE55" s="15">
        <v>215</v>
      </c>
      <c r="DF55" s="15">
        <v>215</v>
      </c>
      <c r="DG55" s="9">
        <f t="shared" si="0"/>
        <v>4.995840781636022</v>
      </c>
      <c r="DH55" s="6"/>
      <c r="DI55" s="6">
        <v>7.66</v>
      </c>
      <c r="DJ55" s="6">
        <v>41.1</v>
      </c>
      <c r="DK55" s="6">
        <v>29.9</v>
      </c>
      <c r="DL55" s="6"/>
      <c r="DM55" s="6"/>
      <c r="DN55" s="6"/>
      <c r="DP55" s="11">
        <v>3</v>
      </c>
      <c r="DQ55" s="6" t="s">
        <v>111</v>
      </c>
      <c r="DR55" s="9">
        <v>1</v>
      </c>
      <c r="DU55" s="9">
        <v>5.4</v>
      </c>
    </row>
    <row r="56" spans="1:125" x14ac:dyDescent="0.2">
      <c r="A56" s="16">
        <v>150</v>
      </c>
      <c r="B56" s="8">
        <v>42534</v>
      </c>
      <c r="C56" s="6" t="s">
        <v>107</v>
      </c>
      <c r="D56" s="6">
        <v>54</v>
      </c>
      <c r="E56" s="6" t="s">
        <v>100</v>
      </c>
      <c r="F56" s="17">
        <v>22734</v>
      </c>
      <c r="G56" s="6"/>
      <c r="H56" s="6" t="s">
        <v>2288</v>
      </c>
      <c r="L56" s="6"/>
      <c r="M56" s="15" t="s">
        <v>2341</v>
      </c>
      <c r="N56" s="6" t="s">
        <v>99</v>
      </c>
      <c r="O56" s="15" t="s">
        <v>110</v>
      </c>
      <c r="P56" s="6" t="s">
        <v>99</v>
      </c>
      <c r="Q56" s="15" t="s">
        <v>110</v>
      </c>
      <c r="R56" s="6" t="s">
        <v>110</v>
      </c>
      <c r="S56" s="6" t="s">
        <v>99</v>
      </c>
      <c r="T56" s="6" t="s">
        <v>99</v>
      </c>
      <c r="U56" s="6" t="s">
        <v>99</v>
      </c>
      <c r="W56" s="6" t="s">
        <v>99</v>
      </c>
      <c r="X56" s="6"/>
      <c r="Y56" s="15" t="s">
        <v>2342</v>
      </c>
      <c r="AA56" s="9" t="s">
        <v>1123</v>
      </c>
      <c r="AB56" s="6" t="s">
        <v>100</v>
      </c>
      <c r="AC56" s="6" t="s">
        <v>1123</v>
      </c>
      <c r="AD56" s="6" t="s">
        <v>1123</v>
      </c>
      <c r="AE56" s="15" t="s">
        <v>664</v>
      </c>
      <c r="AF56" s="15" t="s">
        <v>570</v>
      </c>
      <c r="AG56" s="15" t="s">
        <v>570</v>
      </c>
      <c r="AH56" s="6" t="s">
        <v>99</v>
      </c>
      <c r="AI56" s="6" t="s">
        <v>99</v>
      </c>
      <c r="AJ56" s="6" t="s">
        <v>99</v>
      </c>
      <c r="AK56" s="6" t="s">
        <v>99</v>
      </c>
      <c r="AL56" s="6">
        <v>82.8</v>
      </c>
      <c r="AN56" s="15">
        <v>100</v>
      </c>
      <c r="AO56" s="6">
        <v>109</v>
      </c>
      <c r="AP56" s="6">
        <v>30.5</v>
      </c>
      <c r="AQ56" s="6">
        <v>16</v>
      </c>
      <c r="AR56" s="6">
        <v>31.8</v>
      </c>
      <c r="AS56" s="6">
        <v>58</v>
      </c>
      <c r="AT56" s="6">
        <v>30</v>
      </c>
      <c r="AU56" s="6"/>
      <c r="AV56" s="6"/>
      <c r="DC56" s="15">
        <v>123</v>
      </c>
      <c r="DD56" s="6"/>
      <c r="DE56" s="6">
        <v>185</v>
      </c>
      <c r="DF56" s="15">
        <v>201</v>
      </c>
      <c r="DG56" s="9">
        <f t="shared" si="0"/>
        <v>5.0577446317157468</v>
      </c>
      <c r="DH56" s="6"/>
      <c r="DI56" s="6"/>
      <c r="DJ56" s="6"/>
      <c r="DK56" s="6"/>
      <c r="DL56" s="6"/>
      <c r="DM56" s="6"/>
      <c r="DN56" s="6"/>
      <c r="DP56" s="11">
        <v>2</v>
      </c>
      <c r="DQ56" s="6" t="s">
        <v>111</v>
      </c>
      <c r="DR56" s="9">
        <v>3</v>
      </c>
    </row>
    <row r="57" spans="1:125" x14ac:dyDescent="0.2">
      <c r="A57" s="16" t="s">
        <v>2361</v>
      </c>
      <c r="B57" s="8">
        <v>42535</v>
      </c>
      <c r="C57" s="6" t="s">
        <v>107</v>
      </c>
      <c r="D57" s="6">
        <v>56</v>
      </c>
      <c r="E57" s="6" t="s">
        <v>100</v>
      </c>
      <c r="F57" s="17">
        <v>21867</v>
      </c>
      <c r="G57" s="6" t="s">
        <v>2362</v>
      </c>
      <c r="H57" s="6" t="s">
        <v>2288</v>
      </c>
      <c r="L57" s="6"/>
      <c r="M57" s="6" t="s">
        <v>99</v>
      </c>
      <c r="N57" s="6" t="s">
        <v>99</v>
      </c>
      <c r="O57" s="6" t="s">
        <v>99</v>
      </c>
      <c r="P57" s="15" t="s">
        <v>110</v>
      </c>
      <c r="Q57" s="15" t="s">
        <v>110</v>
      </c>
      <c r="R57" s="6" t="s">
        <v>110</v>
      </c>
      <c r="S57" s="6" t="s">
        <v>99</v>
      </c>
      <c r="T57" s="6" t="s">
        <v>99</v>
      </c>
      <c r="U57" s="6" t="s">
        <v>110</v>
      </c>
      <c r="W57" s="6" t="s">
        <v>110</v>
      </c>
      <c r="X57" s="6" t="s">
        <v>110</v>
      </c>
      <c r="Y57" s="6" t="s">
        <v>99</v>
      </c>
      <c r="AA57" s="9" t="s">
        <v>100</v>
      </c>
      <c r="AB57" s="6" t="s">
        <v>100</v>
      </c>
      <c r="AC57" s="6" t="s">
        <v>100</v>
      </c>
      <c r="AD57" s="9" t="s">
        <v>100</v>
      </c>
      <c r="AE57" s="6" t="s">
        <v>110</v>
      </c>
      <c r="AF57" s="6" t="s">
        <v>110</v>
      </c>
      <c r="AG57" s="6" t="s">
        <v>99</v>
      </c>
      <c r="AH57" s="6" t="s">
        <v>99</v>
      </c>
      <c r="AI57" s="15" t="s">
        <v>125</v>
      </c>
      <c r="AJ57" s="6" t="s">
        <v>99</v>
      </c>
      <c r="AK57" s="6" t="s">
        <v>99</v>
      </c>
      <c r="AL57" s="6">
        <v>86.2</v>
      </c>
      <c r="AN57" s="15">
        <v>105</v>
      </c>
      <c r="AO57" s="6">
        <v>105</v>
      </c>
      <c r="AP57" s="6">
        <v>34.299999999999997</v>
      </c>
      <c r="AQ57" s="6">
        <v>16</v>
      </c>
      <c r="AR57" s="6">
        <v>29.1</v>
      </c>
      <c r="AS57" s="6">
        <v>63</v>
      </c>
      <c r="AT57" s="6">
        <v>30.5</v>
      </c>
      <c r="AU57" s="6">
        <v>112</v>
      </c>
      <c r="AV57" s="6">
        <v>85</v>
      </c>
      <c r="DC57" s="16">
        <v>315</v>
      </c>
      <c r="DD57" s="6"/>
      <c r="DE57" s="6">
        <v>192</v>
      </c>
      <c r="DF57" s="16">
        <v>344</v>
      </c>
      <c r="DG57" s="9">
        <f t="shared" si="0"/>
        <v>5.7966071480995156</v>
      </c>
      <c r="DH57" s="6"/>
      <c r="DI57" s="6"/>
      <c r="DJ57" s="6"/>
      <c r="DK57" s="6"/>
      <c r="DL57" s="6"/>
      <c r="DM57" s="6"/>
      <c r="DN57" s="6"/>
      <c r="DQ57" s="6" t="s">
        <v>99</v>
      </c>
    </row>
    <row r="58" spans="1:125" x14ac:dyDescent="0.2">
      <c r="A58" s="16" t="s">
        <v>2363</v>
      </c>
      <c r="B58" s="8">
        <v>42534</v>
      </c>
      <c r="C58" s="6" t="s">
        <v>95</v>
      </c>
      <c r="D58" s="6">
        <v>73</v>
      </c>
      <c r="E58" s="6" t="s">
        <v>100</v>
      </c>
      <c r="G58" s="6" t="s">
        <v>2364</v>
      </c>
      <c r="H58" s="6" t="s">
        <v>2288</v>
      </c>
      <c r="K58" s="9" t="s">
        <v>2365</v>
      </c>
      <c r="L58" s="9" t="s">
        <v>2366</v>
      </c>
      <c r="M58" s="15" t="s">
        <v>2367</v>
      </c>
      <c r="N58" s="6" t="s">
        <v>99</v>
      </c>
      <c r="O58" s="15" t="s">
        <v>110</v>
      </c>
      <c r="P58" s="6" t="s">
        <v>99</v>
      </c>
      <c r="Q58" s="15" t="s">
        <v>2368</v>
      </c>
      <c r="R58" s="6" t="s">
        <v>110</v>
      </c>
      <c r="S58" s="6" t="s">
        <v>110</v>
      </c>
      <c r="T58" s="6" t="s">
        <v>110</v>
      </c>
      <c r="U58" s="6" t="s">
        <v>99</v>
      </c>
      <c r="W58" s="6" t="s">
        <v>2369</v>
      </c>
      <c r="X58" s="6"/>
      <c r="Y58" s="6" t="s">
        <v>2370</v>
      </c>
      <c r="AB58" s="6"/>
      <c r="AC58" s="6"/>
      <c r="AE58" s="15" t="s">
        <v>118</v>
      </c>
      <c r="AF58" s="6"/>
      <c r="AG58" s="15" t="s">
        <v>2371</v>
      </c>
      <c r="AH58" s="6"/>
      <c r="AI58" s="6"/>
      <c r="AJ58" s="6"/>
      <c r="AK58" s="6"/>
      <c r="AL58" s="6">
        <v>69.900000000000006</v>
      </c>
      <c r="AN58" s="15">
        <v>106</v>
      </c>
      <c r="AO58" s="6">
        <v>97</v>
      </c>
      <c r="AP58" s="6">
        <v>50.8</v>
      </c>
      <c r="AQ58" s="6">
        <v>14</v>
      </c>
      <c r="AR58" s="6">
        <v>18.7</v>
      </c>
      <c r="AS58" s="6">
        <v>78</v>
      </c>
      <c r="AT58" s="6">
        <v>31.1</v>
      </c>
      <c r="AU58" s="6">
        <v>124</v>
      </c>
      <c r="AV58" s="6">
        <v>77</v>
      </c>
      <c r="DC58" s="15">
        <v>155</v>
      </c>
      <c r="DD58" s="6"/>
      <c r="DE58" s="6">
        <v>187</v>
      </c>
      <c r="DF58" s="15">
        <v>277</v>
      </c>
      <c r="DG58" s="9">
        <f t="shared" si="0"/>
        <v>5.3337213115532922</v>
      </c>
      <c r="DH58" s="6"/>
      <c r="DI58" s="6"/>
      <c r="DJ58" s="6"/>
      <c r="DK58" s="6"/>
      <c r="DL58" s="6"/>
      <c r="DM58" s="6"/>
      <c r="DN58" s="6"/>
      <c r="DP58" s="11">
        <v>3</v>
      </c>
      <c r="DQ58" s="6" t="s">
        <v>111</v>
      </c>
      <c r="DR58" s="9">
        <v>2</v>
      </c>
      <c r="DT58" s="9">
        <v>4.17</v>
      </c>
      <c r="DU58" s="9">
        <v>2.5</v>
      </c>
    </row>
    <row r="59" spans="1:125" x14ac:dyDescent="0.2">
      <c r="A59" s="16" t="s">
        <v>2372</v>
      </c>
      <c r="B59" s="8">
        <v>42534</v>
      </c>
      <c r="C59" s="6" t="s">
        <v>95</v>
      </c>
      <c r="D59" s="6">
        <v>50</v>
      </c>
      <c r="E59" s="6" t="s">
        <v>1123</v>
      </c>
      <c r="F59" s="17">
        <v>23431</v>
      </c>
      <c r="G59" s="6" t="s">
        <v>197</v>
      </c>
      <c r="H59" s="6" t="s">
        <v>2288</v>
      </c>
      <c r="J59" s="9" t="s">
        <v>2373</v>
      </c>
      <c r="L59" s="6">
        <v>0</v>
      </c>
      <c r="M59" s="15" t="s">
        <v>110</v>
      </c>
      <c r="N59" s="15" t="s">
        <v>110</v>
      </c>
      <c r="O59" s="6" t="s">
        <v>99</v>
      </c>
      <c r="P59" s="15" t="s">
        <v>2374</v>
      </c>
      <c r="Q59" s="6" t="s">
        <v>99</v>
      </c>
      <c r="R59" s="6" t="s">
        <v>110</v>
      </c>
      <c r="S59" s="6" t="s">
        <v>99</v>
      </c>
      <c r="T59" s="6" t="s">
        <v>99</v>
      </c>
      <c r="U59" s="6" t="s">
        <v>99</v>
      </c>
      <c r="W59" s="6" t="s">
        <v>99</v>
      </c>
      <c r="X59" s="6"/>
      <c r="Y59" s="6" t="s">
        <v>110</v>
      </c>
      <c r="AA59" s="9" t="s">
        <v>1123</v>
      </c>
      <c r="AB59" s="6" t="s">
        <v>1123</v>
      </c>
      <c r="AC59" s="6" t="s">
        <v>1123</v>
      </c>
      <c r="AD59" s="9" t="s">
        <v>1123</v>
      </c>
      <c r="AE59" s="6" t="s">
        <v>99</v>
      </c>
      <c r="AF59" s="6" t="s">
        <v>99</v>
      </c>
      <c r="AG59" s="6" t="s">
        <v>99</v>
      </c>
      <c r="AH59" s="6" t="s">
        <v>99</v>
      </c>
      <c r="AI59" s="6" t="s">
        <v>99</v>
      </c>
      <c r="AJ59" s="6" t="s">
        <v>99</v>
      </c>
      <c r="AK59" s="6" t="s">
        <v>99</v>
      </c>
      <c r="AL59" s="6">
        <v>150</v>
      </c>
      <c r="AN59" s="6"/>
      <c r="AO59" s="6"/>
      <c r="AP59" s="6"/>
      <c r="AQ59" s="6"/>
      <c r="AR59" s="6"/>
      <c r="AS59" s="6"/>
      <c r="AT59" s="16">
        <v>55.1</v>
      </c>
      <c r="AU59" s="6"/>
      <c r="AV59" s="6"/>
      <c r="DC59" s="16">
        <v>405</v>
      </c>
      <c r="DD59" s="6"/>
      <c r="DE59" s="15">
        <v>290</v>
      </c>
      <c r="DF59" s="16">
        <v>398</v>
      </c>
      <c r="DG59" s="9">
        <f t="shared" si="0"/>
        <v>5.9951695361954886</v>
      </c>
      <c r="DH59" s="6"/>
      <c r="DI59" s="6"/>
      <c r="DJ59" s="6"/>
      <c r="DK59" s="6"/>
      <c r="DL59" s="6"/>
      <c r="DM59" s="6"/>
      <c r="DN59" s="6"/>
      <c r="DP59" s="11">
        <v>3</v>
      </c>
      <c r="DQ59" s="6" t="s">
        <v>111</v>
      </c>
      <c r="DR59" s="9">
        <v>2</v>
      </c>
    </row>
    <row r="60" spans="1:125" x14ac:dyDescent="0.2">
      <c r="A60" s="16" t="s">
        <v>2375</v>
      </c>
      <c r="B60" s="8">
        <v>42535</v>
      </c>
      <c r="C60" s="6" t="s">
        <v>95</v>
      </c>
      <c r="D60" s="6">
        <v>59</v>
      </c>
      <c r="E60" s="6" t="s">
        <v>100</v>
      </c>
      <c r="G60" s="6"/>
      <c r="H60" s="6" t="s">
        <v>2288</v>
      </c>
      <c r="J60" s="9">
        <v>1996</v>
      </c>
      <c r="K60" s="9">
        <v>1986</v>
      </c>
      <c r="L60" s="6">
        <v>3</v>
      </c>
      <c r="M60" s="6" t="s">
        <v>99</v>
      </c>
      <c r="N60" s="15" t="s">
        <v>2376</v>
      </c>
      <c r="O60" s="6" t="s">
        <v>99</v>
      </c>
      <c r="P60" s="15" t="s">
        <v>2377</v>
      </c>
      <c r="Q60" s="6" t="s">
        <v>99</v>
      </c>
      <c r="R60" s="6" t="s">
        <v>110</v>
      </c>
      <c r="S60" s="6" t="s">
        <v>110</v>
      </c>
      <c r="T60" s="6" t="s">
        <v>99</v>
      </c>
      <c r="U60" s="6"/>
      <c r="W60" s="6"/>
      <c r="X60" s="6"/>
      <c r="Y60" s="15" t="s">
        <v>2378</v>
      </c>
      <c r="Z60" s="9" t="s">
        <v>2379</v>
      </c>
      <c r="AA60" s="14" t="s">
        <v>840</v>
      </c>
      <c r="AB60" s="6" t="s">
        <v>100</v>
      </c>
      <c r="AC60" s="16" t="s">
        <v>840</v>
      </c>
      <c r="AD60" s="9" t="s">
        <v>100</v>
      </c>
      <c r="AE60" s="9" t="s">
        <v>99</v>
      </c>
      <c r="AF60" s="15" t="s">
        <v>110</v>
      </c>
      <c r="AG60" s="6" t="s">
        <v>99</v>
      </c>
      <c r="AH60" s="6" t="s">
        <v>99</v>
      </c>
      <c r="AI60" s="15" t="s">
        <v>110</v>
      </c>
      <c r="AJ60" s="6" t="s">
        <v>99</v>
      </c>
      <c r="AK60" s="6" t="s">
        <v>99</v>
      </c>
      <c r="AL60" s="6">
        <v>93.2</v>
      </c>
      <c r="AN60" s="15">
        <v>124</v>
      </c>
      <c r="AO60" s="6">
        <v>132</v>
      </c>
      <c r="AP60" s="6">
        <v>53.6</v>
      </c>
      <c r="AQ60" s="6">
        <v>14</v>
      </c>
      <c r="AR60" s="6">
        <v>20.100000000000001</v>
      </c>
      <c r="AS60" s="6">
        <v>79</v>
      </c>
      <c r="AT60" s="6">
        <v>37.799999999999997</v>
      </c>
      <c r="AU60" s="6">
        <v>128</v>
      </c>
      <c r="AV60" s="6">
        <v>89</v>
      </c>
      <c r="DC60" s="15">
        <v>122</v>
      </c>
      <c r="DD60" s="6"/>
      <c r="DE60" s="15">
        <v>285</v>
      </c>
      <c r="DF60" s="15">
        <v>176</v>
      </c>
      <c r="DG60" s="9">
        <f t="shared" si="0"/>
        <v>4.9872525198857041</v>
      </c>
      <c r="DH60" s="6"/>
      <c r="DI60" s="6"/>
      <c r="DJ60" s="6"/>
      <c r="DK60" s="6"/>
      <c r="DL60" s="6"/>
      <c r="DM60" s="6"/>
      <c r="DN60" s="6"/>
      <c r="DP60" s="11">
        <v>3</v>
      </c>
      <c r="DQ60" s="6" t="s">
        <v>111</v>
      </c>
      <c r="DR60" s="9">
        <v>2</v>
      </c>
      <c r="DT60" s="9">
        <v>7.72</v>
      </c>
    </row>
    <row r="61" spans="1:125" ht="16" x14ac:dyDescent="0.2">
      <c r="A61" s="92" t="s">
        <v>2392</v>
      </c>
      <c r="B61" s="8">
        <v>42817</v>
      </c>
      <c r="C61" s="6" t="s">
        <v>107</v>
      </c>
      <c r="D61" s="6">
        <v>28</v>
      </c>
      <c r="E61" s="6" t="s">
        <v>2234</v>
      </c>
      <c r="F61" s="17">
        <v>32441</v>
      </c>
      <c r="G61" s="6" t="s">
        <v>2393</v>
      </c>
      <c r="H61" s="6"/>
      <c r="L61" s="6"/>
      <c r="M61" s="6" t="s">
        <v>99</v>
      </c>
      <c r="N61" s="6" t="s">
        <v>99</v>
      </c>
      <c r="O61" s="6" t="s">
        <v>99</v>
      </c>
      <c r="P61" s="6" t="s">
        <v>99</v>
      </c>
      <c r="Q61" s="15" t="s">
        <v>110</v>
      </c>
      <c r="R61" s="6"/>
      <c r="S61" s="6" t="s">
        <v>110</v>
      </c>
      <c r="T61" s="6" t="s">
        <v>99</v>
      </c>
      <c r="U61" s="6"/>
      <c r="W61" s="15" t="s">
        <v>2394</v>
      </c>
      <c r="X61" s="6"/>
      <c r="Y61" s="6" t="s">
        <v>99</v>
      </c>
      <c r="AA61" s="9" t="s">
        <v>2234</v>
      </c>
      <c r="AB61" s="85" t="s">
        <v>2395</v>
      </c>
      <c r="AC61" s="6" t="s">
        <v>2234</v>
      </c>
      <c r="AD61" s="34" t="s">
        <v>2396</v>
      </c>
      <c r="AE61" s="15" t="s">
        <v>2397</v>
      </c>
      <c r="AF61" s="15" t="s">
        <v>2398</v>
      </c>
      <c r="AG61" s="6" t="s">
        <v>99</v>
      </c>
      <c r="AH61" s="15" t="s">
        <v>125</v>
      </c>
      <c r="AI61" s="15" t="s">
        <v>2264</v>
      </c>
      <c r="AJ61" s="15" t="s">
        <v>2399</v>
      </c>
      <c r="AK61" s="15" t="s">
        <v>2400</v>
      </c>
      <c r="AL61" s="6">
        <v>109.2</v>
      </c>
      <c r="AM61" s="9">
        <v>175</v>
      </c>
      <c r="AN61" s="15">
        <v>108</v>
      </c>
      <c r="AO61" s="6">
        <v>123</v>
      </c>
      <c r="AP61" s="6">
        <v>40.700000000000003</v>
      </c>
      <c r="AQ61" s="6">
        <v>17</v>
      </c>
      <c r="AR61" s="6">
        <v>27.8</v>
      </c>
      <c r="AS61" s="6">
        <v>71</v>
      </c>
      <c r="AT61" s="6">
        <v>35.700000000000003</v>
      </c>
      <c r="AU61" s="6">
        <v>128</v>
      </c>
      <c r="AV61" s="15">
        <v>93</v>
      </c>
      <c r="AX61" s="9" t="s">
        <v>2401</v>
      </c>
      <c r="AY61" s="9" t="s">
        <v>2402</v>
      </c>
      <c r="AZ61" s="9" t="s">
        <v>2403</v>
      </c>
      <c r="BB61" s="9" t="s">
        <v>2404</v>
      </c>
      <c r="BC61" s="9" t="s">
        <v>2405</v>
      </c>
      <c r="BD61" s="9" t="s">
        <v>2406</v>
      </c>
      <c r="BF61" s="9" t="s">
        <v>176</v>
      </c>
      <c r="BG61" s="9" t="s">
        <v>2407</v>
      </c>
      <c r="BH61" s="9" t="s">
        <v>601</v>
      </c>
      <c r="BI61" s="9" t="s">
        <v>176</v>
      </c>
      <c r="BJ61" s="9" t="s">
        <v>99</v>
      </c>
      <c r="BK61" s="9" t="s">
        <v>594</v>
      </c>
      <c r="BM61" s="9" t="s">
        <v>352</v>
      </c>
      <c r="BN61" s="9" t="s">
        <v>178</v>
      </c>
      <c r="BO61" s="9" t="s">
        <v>734</v>
      </c>
      <c r="BQ61" s="9" t="s">
        <v>99</v>
      </c>
      <c r="BV61" s="9" t="s">
        <v>857</v>
      </c>
      <c r="BZ61" s="9" t="s">
        <v>2408</v>
      </c>
      <c r="CA61" s="9" t="s">
        <v>182</v>
      </c>
      <c r="CB61" s="9" t="s">
        <v>1137</v>
      </c>
      <c r="CD61" s="9" t="s">
        <v>99</v>
      </c>
      <c r="CH61" s="9" t="s">
        <v>99</v>
      </c>
      <c r="CL61" s="9" t="s">
        <v>2409</v>
      </c>
      <c r="CN61" s="9" t="s">
        <v>1181</v>
      </c>
      <c r="CO61" s="9" t="s">
        <v>2410</v>
      </c>
      <c r="CR61" s="9" t="s">
        <v>361</v>
      </c>
      <c r="CS61" s="9" t="s">
        <v>716</v>
      </c>
      <c r="CT61" s="9" t="s">
        <v>362</v>
      </c>
      <c r="CV61" s="9" t="s">
        <v>2411</v>
      </c>
      <c r="CW61" s="9" t="s">
        <v>2412</v>
      </c>
      <c r="DA61" s="9" t="s">
        <v>2413</v>
      </c>
      <c r="DC61" s="91">
        <v>105</v>
      </c>
      <c r="DD61" s="91">
        <v>1</v>
      </c>
      <c r="DE61" s="82">
        <v>190</v>
      </c>
      <c r="DF61" s="82">
        <v>145</v>
      </c>
      <c r="DG61" s="9">
        <f t="shared" si="0"/>
        <v>4.8153470462890491</v>
      </c>
      <c r="DH61" s="82">
        <v>10</v>
      </c>
      <c r="DI61" s="82">
        <v>8.74</v>
      </c>
      <c r="DJ61" s="82">
        <v>18</v>
      </c>
      <c r="DK61" s="6"/>
      <c r="DL61" s="6">
        <v>49.2</v>
      </c>
      <c r="DM61" s="6">
        <v>130</v>
      </c>
      <c r="DN61" s="6"/>
      <c r="DP61" s="11">
        <v>3</v>
      </c>
      <c r="DQ61" s="6" t="s">
        <v>105</v>
      </c>
      <c r="DR61" s="9">
        <v>3</v>
      </c>
      <c r="DT61" s="9">
        <v>6.66</v>
      </c>
      <c r="DU61" s="9">
        <v>1.63</v>
      </c>
    </row>
    <row r="62" spans="1:125" x14ac:dyDescent="0.2">
      <c r="A62" s="93" t="s">
        <v>2414</v>
      </c>
      <c r="B62" s="8">
        <v>42534</v>
      </c>
      <c r="C62" s="6" t="s">
        <v>95</v>
      </c>
      <c r="D62" s="6">
        <v>51</v>
      </c>
      <c r="E62" s="6" t="s">
        <v>100</v>
      </c>
      <c r="G62" s="6"/>
      <c r="H62" s="6"/>
      <c r="L62" s="6"/>
      <c r="M62" s="15" t="s">
        <v>2415</v>
      </c>
      <c r="N62" s="6" t="s">
        <v>99</v>
      </c>
      <c r="O62" s="6" t="s">
        <v>99</v>
      </c>
      <c r="P62" s="15" t="s">
        <v>110</v>
      </c>
      <c r="Q62" s="6" t="s">
        <v>99</v>
      </c>
      <c r="R62" s="6"/>
      <c r="S62" s="6" t="s">
        <v>99</v>
      </c>
      <c r="T62" s="6"/>
      <c r="U62" s="6"/>
      <c r="W62" s="6"/>
      <c r="X62" s="6"/>
      <c r="Y62" s="15" t="s">
        <v>2416</v>
      </c>
      <c r="AA62" s="9" t="s">
        <v>100</v>
      </c>
      <c r="AB62" s="6" t="s">
        <v>100</v>
      </c>
      <c r="AC62" s="6" t="s">
        <v>100</v>
      </c>
      <c r="AD62" s="9" t="s">
        <v>100</v>
      </c>
      <c r="AE62" s="15" t="s">
        <v>2417</v>
      </c>
      <c r="AF62" s="15" t="s">
        <v>2417</v>
      </c>
      <c r="AG62" s="15" t="s">
        <v>1232</v>
      </c>
      <c r="AH62" s="6" t="s">
        <v>99</v>
      </c>
      <c r="AI62" s="6" t="s">
        <v>99</v>
      </c>
      <c r="AJ62" s="6" t="s">
        <v>99</v>
      </c>
      <c r="AK62" s="6" t="s">
        <v>99</v>
      </c>
      <c r="AL62" s="6">
        <v>61.1</v>
      </c>
      <c r="AN62" s="15">
        <v>81.5</v>
      </c>
      <c r="AO62" s="6">
        <v>94</v>
      </c>
      <c r="AP62" s="6">
        <v>32.700000000000003</v>
      </c>
      <c r="AQ62" s="6">
        <v>6</v>
      </c>
      <c r="AR62" s="6">
        <v>28.7</v>
      </c>
      <c r="AS62" s="6">
        <v>46</v>
      </c>
      <c r="AT62" s="79">
        <v>23.6</v>
      </c>
      <c r="AU62" s="6">
        <v>111</v>
      </c>
      <c r="AV62" s="6">
        <v>71</v>
      </c>
      <c r="DC62" s="16">
        <v>283</v>
      </c>
      <c r="DD62" s="6"/>
      <c r="DE62" s="15">
        <v>244</v>
      </c>
      <c r="DF62" s="15">
        <v>209</v>
      </c>
      <c r="DG62" s="9">
        <f t="shared" si="0"/>
        <v>5.4938905748040243</v>
      </c>
      <c r="DH62" s="6"/>
      <c r="DI62" s="6"/>
      <c r="DJ62" s="6"/>
      <c r="DK62" s="6"/>
      <c r="DL62" s="6"/>
      <c r="DM62" s="6"/>
      <c r="DN62" s="6"/>
      <c r="DP62" s="11">
        <v>2</v>
      </c>
      <c r="DQ62" s="6" t="s">
        <v>105</v>
      </c>
      <c r="DR62" s="9">
        <v>3</v>
      </c>
      <c r="DT62" s="9">
        <v>3.83</v>
      </c>
    </row>
    <row r="63" spans="1:125" x14ac:dyDescent="0.2">
      <c r="A63" s="78">
        <v>164</v>
      </c>
      <c r="B63" s="8">
        <v>42831</v>
      </c>
      <c r="C63" s="6" t="s">
        <v>107</v>
      </c>
      <c r="D63" s="6">
        <v>44</v>
      </c>
      <c r="E63" s="6" t="s">
        <v>100</v>
      </c>
      <c r="G63" s="6"/>
      <c r="H63" s="6"/>
      <c r="L63" s="6"/>
      <c r="M63" s="6" t="s">
        <v>99</v>
      </c>
      <c r="N63" s="6" t="s">
        <v>99</v>
      </c>
      <c r="O63" s="6" t="s">
        <v>99</v>
      </c>
      <c r="P63" s="6" t="s">
        <v>99</v>
      </c>
      <c r="Q63" s="6" t="s">
        <v>99</v>
      </c>
      <c r="R63" s="6" t="s">
        <v>110</v>
      </c>
      <c r="S63" s="6" t="s">
        <v>99</v>
      </c>
      <c r="T63" s="6" t="s">
        <v>99</v>
      </c>
      <c r="U63" s="6" t="s">
        <v>2418</v>
      </c>
      <c r="W63" s="6" t="s">
        <v>2419</v>
      </c>
      <c r="X63" s="6"/>
      <c r="Y63" s="6" t="s">
        <v>99</v>
      </c>
      <c r="AA63" s="85" t="s">
        <v>1001</v>
      </c>
      <c r="AB63" s="85" t="s">
        <v>1001</v>
      </c>
      <c r="AC63" s="85" t="s">
        <v>1001</v>
      </c>
      <c r="AD63" s="85" t="s">
        <v>1001</v>
      </c>
      <c r="AE63" s="6"/>
      <c r="AF63" s="6"/>
      <c r="AG63" s="15" t="s">
        <v>2420</v>
      </c>
      <c r="AH63" s="15" t="s">
        <v>118</v>
      </c>
      <c r="AI63" s="6"/>
      <c r="AJ63" s="6"/>
      <c r="AK63" s="6"/>
      <c r="AL63" s="6">
        <v>96.3</v>
      </c>
      <c r="AN63" s="15">
        <v>109.5</v>
      </c>
      <c r="AO63" s="6"/>
      <c r="AP63" s="6">
        <v>39.9</v>
      </c>
      <c r="AQ63" s="6">
        <v>21</v>
      </c>
      <c r="AR63" s="6">
        <v>27.7</v>
      </c>
      <c r="AS63" s="6">
        <v>66</v>
      </c>
      <c r="AT63" s="6">
        <v>36.200000000000003</v>
      </c>
      <c r="AU63" s="15">
        <v>138</v>
      </c>
      <c r="AV63" s="15">
        <v>85</v>
      </c>
      <c r="AX63" s="9" t="s">
        <v>2421</v>
      </c>
      <c r="AY63" s="9" t="s">
        <v>2422</v>
      </c>
      <c r="AZ63" s="9" t="s">
        <v>2423</v>
      </c>
      <c r="BB63" s="9" t="s">
        <v>2424</v>
      </c>
      <c r="BC63" s="9" t="s">
        <v>2425</v>
      </c>
      <c r="BF63" s="9" t="s">
        <v>2426</v>
      </c>
      <c r="BG63" s="9" t="s">
        <v>2427</v>
      </c>
      <c r="BH63" s="9" t="s">
        <v>2428</v>
      </c>
      <c r="BI63" s="9" t="s">
        <v>2428</v>
      </c>
      <c r="BJ63" s="9" t="s">
        <v>2429</v>
      </c>
      <c r="BK63" s="9" t="s">
        <v>2430</v>
      </c>
      <c r="BN63" s="9" t="s">
        <v>2431</v>
      </c>
      <c r="BO63" s="9" t="s">
        <v>1293</v>
      </c>
      <c r="BP63" s="9" t="s">
        <v>2432</v>
      </c>
      <c r="BR63" s="9" t="s">
        <v>483</v>
      </c>
      <c r="BV63" s="9" t="s">
        <v>483</v>
      </c>
      <c r="BZ63" s="9" t="s">
        <v>2433</v>
      </c>
      <c r="CA63" s="9" t="s">
        <v>2434</v>
      </c>
      <c r="CB63" s="9" t="s">
        <v>944</v>
      </c>
      <c r="CD63" s="9" t="s">
        <v>483</v>
      </c>
      <c r="CH63" s="9" t="s">
        <v>483</v>
      </c>
      <c r="CL63" s="9" t="s">
        <v>2435</v>
      </c>
      <c r="CM63" s="9" t="s">
        <v>2436</v>
      </c>
      <c r="CP63" s="9" t="s">
        <v>637</v>
      </c>
      <c r="CT63" s="9" t="s">
        <v>2437</v>
      </c>
      <c r="CW63" s="9">
        <v>2</v>
      </c>
      <c r="CX63" s="9" t="s">
        <v>483</v>
      </c>
      <c r="DC63" s="13">
        <v>83</v>
      </c>
      <c r="DD63" s="6">
        <v>1.6</v>
      </c>
      <c r="DE63" s="6">
        <v>174</v>
      </c>
      <c r="DF63" s="15">
        <v>170</v>
      </c>
      <c r="DG63" s="9">
        <f t="shared" si="0"/>
        <v>4.7773195224234302</v>
      </c>
      <c r="DH63" s="6"/>
      <c r="DI63" s="6">
        <v>5.3</v>
      </c>
      <c r="DJ63" s="6">
        <v>13</v>
      </c>
      <c r="DK63" s="6"/>
      <c r="DL63" s="6">
        <v>50</v>
      </c>
      <c r="DM63" s="6">
        <v>116</v>
      </c>
      <c r="DN63" s="6"/>
      <c r="DP63" s="18">
        <v>1</v>
      </c>
      <c r="DQ63" s="6" t="s">
        <v>111</v>
      </c>
      <c r="DR63" s="9">
        <v>3</v>
      </c>
      <c r="DT63" s="9">
        <v>7.5</v>
      </c>
      <c r="DU63" s="9">
        <v>6.8</v>
      </c>
    </row>
    <row r="64" spans="1:125" x14ac:dyDescent="0.2">
      <c r="A64" s="16">
        <v>169</v>
      </c>
      <c r="B64" s="8">
        <v>42908</v>
      </c>
      <c r="C64" s="6" t="s">
        <v>107</v>
      </c>
      <c r="D64" s="6">
        <v>60</v>
      </c>
      <c r="E64" s="86" t="s">
        <v>2488</v>
      </c>
      <c r="F64" s="17">
        <v>20776</v>
      </c>
      <c r="G64" s="6" t="s">
        <v>2489</v>
      </c>
      <c r="H64" s="6" t="s">
        <v>109</v>
      </c>
      <c r="L64" s="6"/>
      <c r="M64" s="15" t="s">
        <v>110</v>
      </c>
      <c r="N64" s="6" t="s">
        <v>99</v>
      </c>
      <c r="O64" s="15" t="s">
        <v>110</v>
      </c>
      <c r="P64" s="6" t="s">
        <v>99</v>
      </c>
      <c r="Q64" s="15" t="s">
        <v>110</v>
      </c>
      <c r="R64" s="6" t="s">
        <v>110</v>
      </c>
      <c r="S64" s="6" t="s">
        <v>110</v>
      </c>
      <c r="T64" s="6" t="s">
        <v>99</v>
      </c>
      <c r="U64" s="6" t="s">
        <v>2490</v>
      </c>
      <c r="W64" s="6"/>
      <c r="X64" s="6" t="s">
        <v>99</v>
      </c>
      <c r="Y64" s="6" t="s">
        <v>2491</v>
      </c>
      <c r="AA64" s="86" t="s">
        <v>1738</v>
      </c>
      <c r="AB64" s="85" t="s">
        <v>2492</v>
      </c>
      <c r="AC64" s="86" t="s">
        <v>2488</v>
      </c>
      <c r="AE64" s="15" t="s">
        <v>2493</v>
      </c>
      <c r="AF64" s="15" t="s">
        <v>126</v>
      </c>
      <c r="AG64" s="15" t="s">
        <v>2306</v>
      </c>
      <c r="AH64" s="15" t="s">
        <v>126</v>
      </c>
      <c r="AI64" s="6"/>
      <c r="AJ64" s="6"/>
      <c r="AK64" s="15" t="s">
        <v>2494</v>
      </c>
      <c r="AL64" s="6">
        <v>103.5</v>
      </c>
      <c r="AN64" s="16">
        <v>122</v>
      </c>
      <c r="AO64" s="6">
        <v>116</v>
      </c>
      <c r="AP64" s="6">
        <v>35.299999999999997</v>
      </c>
      <c r="AQ64" s="6">
        <v>24</v>
      </c>
      <c r="AR64" s="6">
        <v>28.9</v>
      </c>
      <c r="AS64" s="6">
        <v>75</v>
      </c>
      <c r="AT64" s="6">
        <v>37.6</v>
      </c>
      <c r="AU64" s="16">
        <v>145</v>
      </c>
      <c r="AV64" s="6">
        <v>89</v>
      </c>
      <c r="DC64" s="16">
        <v>141.69999999999999</v>
      </c>
      <c r="DD64" s="6">
        <v>0.62</v>
      </c>
      <c r="DE64" s="16">
        <v>317</v>
      </c>
      <c r="DF64" s="16">
        <v>1332</v>
      </c>
      <c r="DG64" s="9">
        <f t="shared" si="0"/>
        <v>6.0740744988984847</v>
      </c>
      <c r="DH64" s="6"/>
      <c r="DI64" s="15">
        <v>8.3000000000000007</v>
      </c>
      <c r="DJ64" s="6">
        <v>27.8</v>
      </c>
      <c r="DK64" s="6"/>
      <c r="DL64" s="6">
        <v>27.8</v>
      </c>
      <c r="DM64" s="6"/>
      <c r="DN64" s="6"/>
      <c r="DP64" s="11">
        <v>3</v>
      </c>
      <c r="DQ64" s="6" t="s">
        <v>111</v>
      </c>
      <c r="DR64" s="9">
        <v>2</v>
      </c>
      <c r="DU64" s="9">
        <v>9.73</v>
      </c>
    </row>
    <row r="65" spans="1:125" x14ac:dyDescent="0.2">
      <c r="A65" s="16">
        <v>177</v>
      </c>
      <c r="B65" s="8">
        <v>42909</v>
      </c>
      <c r="C65" s="6" t="s">
        <v>95</v>
      </c>
      <c r="D65" s="6">
        <v>52</v>
      </c>
      <c r="E65" s="6" t="s">
        <v>100</v>
      </c>
      <c r="F65" s="17">
        <v>23939</v>
      </c>
      <c r="G65" s="6"/>
      <c r="H65" s="6" t="s">
        <v>109</v>
      </c>
      <c r="I65" s="9">
        <v>15</v>
      </c>
      <c r="J65" s="10">
        <v>51</v>
      </c>
      <c r="K65" s="9">
        <v>43</v>
      </c>
      <c r="L65" s="6">
        <v>5</v>
      </c>
      <c r="M65" s="6" t="s">
        <v>99</v>
      </c>
      <c r="N65" s="15" t="s">
        <v>2523</v>
      </c>
      <c r="O65" s="15" t="s">
        <v>2524</v>
      </c>
      <c r="P65" s="6" t="s">
        <v>99</v>
      </c>
      <c r="Q65" s="15" t="s">
        <v>110</v>
      </c>
      <c r="R65" s="6" t="s">
        <v>110</v>
      </c>
      <c r="S65" s="6" t="s">
        <v>99</v>
      </c>
      <c r="T65" s="6" t="s">
        <v>110</v>
      </c>
      <c r="U65" s="6" t="s">
        <v>2525</v>
      </c>
      <c r="W65" s="16" t="s">
        <v>2526</v>
      </c>
      <c r="X65" s="6"/>
      <c r="Y65" s="6" t="s">
        <v>110</v>
      </c>
      <c r="Z65" s="9" t="s">
        <v>1903</v>
      </c>
      <c r="AA65" s="9" t="s">
        <v>100</v>
      </c>
      <c r="AB65" s="6" t="s">
        <v>100</v>
      </c>
      <c r="AC65" s="6" t="s">
        <v>100</v>
      </c>
      <c r="AD65" s="9" t="s">
        <v>100</v>
      </c>
      <c r="AE65" s="15" t="s">
        <v>2527</v>
      </c>
      <c r="AF65" s="15" t="s">
        <v>118</v>
      </c>
      <c r="AG65" s="6" t="s">
        <v>99</v>
      </c>
      <c r="AH65" s="15" t="s">
        <v>118</v>
      </c>
      <c r="AI65" s="15" t="s">
        <v>118</v>
      </c>
      <c r="AJ65" s="6" t="s">
        <v>99</v>
      </c>
      <c r="AK65" s="6"/>
      <c r="AL65" s="6">
        <v>64.3</v>
      </c>
      <c r="AM65" s="9">
        <v>160</v>
      </c>
      <c r="AN65" s="15">
        <v>88</v>
      </c>
      <c r="AO65" s="6">
        <v>103</v>
      </c>
      <c r="AP65" s="6">
        <v>35.1</v>
      </c>
      <c r="AQ65" s="6">
        <v>7</v>
      </c>
      <c r="AR65" s="6">
        <v>27.9</v>
      </c>
      <c r="AS65" s="6">
        <v>52</v>
      </c>
      <c r="AT65" s="6">
        <v>25.1</v>
      </c>
      <c r="AU65" s="15">
        <v>141</v>
      </c>
      <c r="AV65" s="15">
        <v>95</v>
      </c>
      <c r="AX65" s="9" t="s">
        <v>573</v>
      </c>
      <c r="AY65" s="9" t="s">
        <v>1128</v>
      </c>
      <c r="AZ65" s="9" t="s">
        <v>729</v>
      </c>
      <c r="BB65" s="9" t="s">
        <v>750</v>
      </c>
      <c r="BC65" s="9" t="s">
        <v>749</v>
      </c>
      <c r="BF65" s="9" t="s">
        <v>683</v>
      </c>
      <c r="BG65" s="9" t="s">
        <v>2528</v>
      </c>
      <c r="BH65" s="9" t="s">
        <v>683</v>
      </c>
      <c r="BI65" s="9" t="s">
        <v>683</v>
      </c>
      <c r="BJ65" s="9" t="s">
        <v>99</v>
      </c>
      <c r="BK65" s="9" t="s">
        <v>683</v>
      </c>
      <c r="BM65" s="9" t="s">
        <v>178</v>
      </c>
      <c r="BN65" s="14" t="s">
        <v>125</v>
      </c>
      <c r="BO65" s="14" t="s">
        <v>2529</v>
      </c>
      <c r="BQ65" s="9" t="s">
        <v>99</v>
      </c>
      <c r="BU65" s="9" t="s">
        <v>99</v>
      </c>
      <c r="BZ65" s="9" t="s">
        <v>182</v>
      </c>
      <c r="CA65" s="9" t="s">
        <v>183</v>
      </c>
      <c r="CB65" s="9" t="s">
        <v>357</v>
      </c>
      <c r="CC65" s="9" t="s">
        <v>99</v>
      </c>
      <c r="CG65" s="9" t="s">
        <v>99</v>
      </c>
      <c r="CL65" s="9" t="s">
        <v>2530</v>
      </c>
      <c r="CM65" s="9" t="s">
        <v>2531</v>
      </c>
      <c r="CN65" s="9" t="s">
        <v>2532</v>
      </c>
      <c r="CP65" s="9" t="s">
        <v>2533</v>
      </c>
      <c r="CQ65" s="9" t="s">
        <v>2534</v>
      </c>
      <c r="CR65" s="9" t="s">
        <v>362</v>
      </c>
      <c r="CT65" s="9" t="s">
        <v>985</v>
      </c>
      <c r="CW65" s="9">
        <v>5</v>
      </c>
      <c r="CX65" s="9" t="s">
        <v>110</v>
      </c>
      <c r="CY65" s="9" t="s">
        <v>110</v>
      </c>
      <c r="DC65" s="15">
        <v>103</v>
      </c>
      <c r="DD65" s="6">
        <v>0.8</v>
      </c>
      <c r="DE65" s="6">
        <v>192</v>
      </c>
      <c r="DF65" s="6">
        <v>141</v>
      </c>
      <c r="DG65" s="9">
        <f t="shared" si="0"/>
        <v>4.7917444393039021</v>
      </c>
      <c r="DH65" s="6">
        <v>28</v>
      </c>
      <c r="DI65" s="6">
        <v>5</v>
      </c>
      <c r="DJ65" s="6">
        <v>17.600000000000001</v>
      </c>
      <c r="DK65" s="6"/>
      <c r="DL65" s="6">
        <v>50</v>
      </c>
      <c r="DM65" s="6">
        <v>114</v>
      </c>
      <c r="DN65" s="6"/>
      <c r="DP65" s="11">
        <v>2</v>
      </c>
      <c r="DQ65" s="6" t="s">
        <v>105</v>
      </c>
      <c r="DR65" s="30">
        <v>1</v>
      </c>
      <c r="DT65" s="9">
        <v>5.84</v>
      </c>
      <c r="DU65" s="9">
        <v>3.57</v>
      </c>
    </row>
    <row r="66" spans="1:125" x14ac:dyDescent="0.2">
      <c r="A66" s="16">
        <v>178</v>
      </c>
      <c r="B66" s="8">
        <v>42909</v>
      </c>
      <c r="C66" s="6" t="s">
        <v>95</v>
      </c>
      <c r="D66" s="6">
        <v>56</v>
      </c>
      <c r="E66" s="16" t="s">
        <v>2267</v>
      </c>
      <c r="F66" s="17">
        <v>22217</v>
      </c>
      <c r="G66" s="6"/>
      <c r="H66" s="6" t="s">
        <v>2288</v>
      </c>
      <c r="J66" s="10" t="s">
        <v>110</v>
      </c>
      <c r="K66" s="9">
        <v>1990</v>
      </c>
      <c r="L66" s="6">
        <v>1</v>
      </c>
      <c r="M66" s="6" t="s">
        <v>99</v>
      </c>
      <c r="N66" s="6" t="s">
        <v>99</v>
      </c>
      <c r="O66" s="15" t="s">
        <v>2535</v>
      </c>
      <c r="P66" s="6" t="s">
        <v>99</v>
      </c>
      <c r="Q66" s="6" t="s">
        <v>99</v>
      </c>
      <c r="R66" s="6" t="s">
        <v>110</v>
      </c>
      <c r="S66" s="6"/>
      <c r="T66" s="6"/>
      <c r="U66" s="6" t="s">
        <v>2536</v>
      </c>
      <c r="W66" s="6" t="s">
        <v>2537</v>
      </c>
      <c r="X66" s="6"/>
      <c r="Y66" s="6" t="s">
        <v>2378</v>
      </c>
      <c r="Z66" s="9" t="s">
        <v>2538</v>
      </c>
      <c r="AA66" s="16" t="s">
        <v>2267</v>
      </c>
      <c r="AB66" s="16" t="s">
        <v>2267</v>
      </c>
      <c r="AC66" s="16" t="s">
        <v>2267</v>
      </c>
      <c r="AD66" s="16" t="s">
        <v>2267</v>
      </c>
      <c r="AE66" s="6" t="s">
        <v>99</v>
      </c>
      <c r="AF66" s="15" t="s">
        <v>2539</v>
      </c>
      <c r="AG66" s="15" t="s">
        <v>2268</v>
      </c>
      <c r="AH66" s="6" t="s">
        <v>99</v>
      </c>
      <c r="AI66" s="15" t="s">
        <v>570</v>
      </c>
      <c r="AJ66" s="6" t="s">
        <v>99</v>
      </c>
      <c r="AK66" s="6"/>
      <c r="AL66" s="6">
        <v>65.900000000000006</v>
      </c>
      <c r="AM66" s="9">
        <v>154</v>
      </c>
      <c r="AN66" s="15">
        <v>90</v>
      </c>
      <c r="AO66" s="6">
        <v>98</v>
      </c>
      <c r="AP66" s="6">
        <v>43.7</v>
      </c>
      <c r="AQ66" s="6">
        <v>8</v>
      </c>
      <c r="AR66" s="6">
        <v>23.4</v>
      </c>
      <c r="AS66" s="6">
        <v>54</v>
      </c>
      <c r="AT66" s="6">
        <v>27.8</v>
      </c>
      <c r="AU66" s="6">
        <v>120</v>
      </c>
      <c r="AV66" s="6">
        <v>82</v>
      </c>
      <c r="AX66" s="9" t="s">
        <v>1128</v>
      </c>
      <c r="AY66" s="9" t="s">
        <v>2540</v>
      </c>
      <c r="AZ66" s="9" t="s">
        <v>1800</v>
      </c>
      <c r="BB66" s="9" t="s">
        <v>750</v>
      </c>
      <c r="BC66" s="9" t="s">
        <v>749</v>
      </c>
      <c r="BD66" s="9" t="s">
        <v>2541</v>
      </c>
      <c r="BF66" s="9" t="s">
        <v>2542</v>
      </c>
      <c r="BG66" s="9" t="s">
        <v>683</v>
      </c>
      <c r="BH66" s="9" t="s">
        <v>683</v>
      </c>
      <c r="BI66" s="9" t="s">
        <v>2543</v>
      </c>
      <c r="BJ66" s="9" t="s">
        <v>176</v>
      </c>
      <c r="BK66" s="9" t="s">
        <v>1172</v>
      </c>
      <c r="BN66" s="9" t="s">
        <v>178</v>
      </c>
      <c r="BO66" s="14" t="s">
        <v>125</v>
      </c>
      <c r="BP66" s="9" t="s">
        <v>179</v>
      </c>
      <c r="BR66" s="9" t="s">
        <v>99</v>
      </c>
      <c r="BV66" s="9" t="s">
        <v>857</v>
      </c>
      <c r="BZ66" s="9" t="s">
        <v>2544</v>
      </c>
      <c r="CA66" s="9" t="s">
        <v>752</v>
      </c>
      <c r="CB66" s="9" t="s">
        <v>709</v>
      </c>
      <c r="CL66" s="9" t="s">
        <v>579</v>
      </c>
      <c r="CM66" s="9" t="s">
        <v>1180</v>
      </c>
      <c r="CP66" s="9" t="s">
        <v>2533</v>
      </c>
      <c r="CQ66" s="9" t="s">
        <v>2098</v>
      </c>
      <c r="CT66" s="9" t="s">
        <v>983</v>
      </c>
      <c r="CW66" s="9">
        <v>3</v>
      </c>
      <c r="CX66" s="9" t="s">
        <v>110</v>
      </c>
      <c r="CY66" s="9" t="s">
        <v>110</v>
      </c>
      <c r="DC66" s="84">
        <v>134.5</v>
      </c>
      <c r="DD66" s="13">
        <v>1.01</v>
      </c>
      <c r="DE66" s="13">
        <v>246</v>
      </c>
      <c r="DF66" s="84">
        <v>224</v>
      </c>
      <c r="DG66" s="9">
        <f t="shared" si="0"/>
        <v>5.1566051254484666</v>
      </c>
      <c r="DH66" s="13">
        <v>44.8</v>
      </c>
      <c r="DI66" s="13">
        <v>6.54</v>
      </c>
      <c r="DJ66" s="13">
        <v>37.9</v>
      </c>
      <c r="DK66" s="6"/>
      <c r="DL66" s="6">
        <v>43</v>
      </c>
      <c r="DM66" s="6">
        <v>109</v>
      </c>
      <c r="DN66" s="6"/>
      <c r="DP66" s="11">
        <v>2</v>
      </c>
      <c r="DQ66" s="6" t="s">
        <v>111</v>
      </c>
      <c r="DR66" s="9">
        <v>2</v>
      </c>
      <c r="DT66" s="9">
        <v>15.7</v>
      </c>
      <c r="DU66" s="9">
        <v>1.86</v>
      </c>
    </row>
    <row r="67" spans="1:125" x14ac:dyDescent="0.2">
      <c r="A67" s="16" t="s">
        <v>2563</v>
      </c>
      <c r="B67" s="8">
        <v>42535</v>
      </c>
      <c r="C67" s="6" t="s">
        <v>95</v>
      </c>
      <c r="D67" s="6">
        <v>52</v>
      </c>
      <c r="E67" s="16" t="s">
        <v>840</v>
      </c>
      <c r="F67" s="17">
        <v>22541</v>
      </c>
      <c r="G67" s="6"/>
      <c r="H67" s="6"/>
      <c r="J67" s="10" t="s">
        <v>588</v>
      </c>
      <c r="K67" s="9">
        <v>1987</v>
      </c>
      <c r="L67" s="6"/>
      <c r="M67" s="6" t="s">
        <v>99</v>
      </c>
      <c r="N67" s="6" t="s">
        <v>99</v>
      </c>
      <c r="O67" s="15" t="s">
        <v>110</v>
      </c>
      <c r="P67" s="6" t="s">
        <v>483</v>
      </c>
      <c r="Q67" s="15" t="s">
        <v>110</v>
      </c>
      <c r="R67" s="6" t="s">
        <v>110</v>
      </c>
      <c r="S67" s="6" t="s">
        <v>110</v>
      </c>
      <c r="T67" s="6" t="s">
        <v>110</v>
      </c>
      <c r="U67" s="6" t="s">
        <v>2381</v>
      </c>
      <c r="W67" s="6"/>
      <c r="X67" s="6"/>
      <c r="Y67" s="6"/>
      <c r="AA67" s="16" t="s">
        <v>840</v>
      </c>
      <c r="AB67" s="16" t="s">
        <v>840</v>
      </c>
      <c r="AC67" s="16" t="s">
        <v>840</v>
      </c>
      <c r="AD67" s="16" t="s">
        <v>840</v>
      </c>
      <c r="AE67" s="6" t="s">
        <v>483</v>
      </c>
      <c r="AF67" s="6" t="s">
        <v>483</v>
      </c>
      <c r="AG67" s="15" t="s">
        <v>2252</v>
      </c>
      <c r="AH67" s="15" t="s">
        <v>118</v>
      </c>
      <c r="AI67" s="6" t="s">
        <v>483</v>
      </c>
      <c r="AJ67" s="15" t="s">
        <v>570</v>
      </c>
      <c r="AK67" s="6"/>
      <c r="AL67" s="6">
        <v>79.2</v>
      </c>
      <c r="AN67" s="15">
        <v>107</v>
      </c>
      <c r="AO67" s="6">
        <v>109</v>
      </c>
      <c r="AP67" s="6">
        <v>46.2</v>
      </c>
      <c r="AQ67" s="6">
        <v>10</v>
      </c>
      <c r="AR67" s="6">
        <v>23</v>
      </c>
      <c r="AS67" s="6">
        <v>64</v>
      </c>
      <c r="AT67" s="6">
        <v>30.6</v>
      </c>
      <c r="AU67" s="6">
        <v>124</v>
      </c>
      <c r="AV67" s="6">
        <v>79</v>
      </c>
      <c r="DC67" s="15" t="s">
        <v>2564</v>
      </c>
      <c r="DD67" s="6">
        <v>0.35</v>
      </c>
      <c r="DE67" s="15">
        <v>250</v>
      </c>
      <c r="DF67" s="15">
        <v>298</v>
      </c>
      <c r="DG67" s="9" t="e">
        <f t="shared" ref="DG67:DG130" si="1">LN(DF67*DC67)/2</f>
        <v>#VALUE!</v>
      </c>
      <c r="DH67" s="6"/>
      <c r="DI67" s="6">
        <v>4.76</v>
      </c>
      <c r="DJ67" s="6"/>
      <c r="DK67" s="6"/>
      <c r="DL67" s="6"/>
      <c r="DM67" s="6"/>
      <c r="DN67" s="6"/>
      <c r="DP67" s="11">
        <v>2</v>
      </c>
      <c r="DQ67" s="6" t="s">
        <v>105</v>
      </c>
      <c r="DR67" s="9">
        <v>2</v>
      </c>
      <c r="DT67" s="9">
        <v>12.12</v>
      </c>
    </row>
    <row r="68" spans="1:125" x14ac:dyDescent="0.2">
      <c r="A68" s="16">
        <v>185</v>
      </c>
      <c r="B68" s="8">
        <v>42828</v>
      </c>
      <c r="C68" s="6" t="s">
        <v>95</v>
      </c>
      <c r="D68" s="6">
        <v>41</v>
      </c>
      <c r="E68" s="16" t="s">
        <v>840</v>
      </c>
      <c r="F68" s="17">
        <v>27669</v>
      </c>
      <c r="G68" s="6"/>
      <c r="H68" s="6"/>
      <c r="I68" s="9">
        <v>12</v>
      </c>
      <c r="J68" s="9" t="s">
        <v>99</v>
      </c>
      <c r="K68" s="9" t="s">
        <v>2597</v>
      </c>
      <c r="L68" s="16" t="s">
        <v>2598</v>
      </c>
      <c r="M68" s="9" t="s">
        <v>99</v>
      </c>
      <c r="N68" s="9" t="s">
        <v>99</v>
      </c>
      <c r="O68" s="9" t="s">
        <v>99</v>
      </c>
      <c r="P68" s="6" t="s">
        <v>99</v>
      </c>
      <c r="Q68" s="6" t="s">
        <v>99</v>
      </c>
      <c r="R68" s="6"/>
      <c r="S68" s="6" t="s">
        <v>110</v>
      </c>
      <c r="T68" s="6" t="s">
        <v>110</v>
      </c>
      <c r="U68" s="6" t="s">
        <v>99</v>
      </c>
      <c r="W68" s="6"/>
      <c r="X68" s="6"/>
      <c r="Y68" s="6" t="s">
        <v>2599</v>
      </c>
      <c r="AA68" s="16" t="s">
        <v>840</v>
      </c>
      <c r="AB68" s="16" t="s">
        <v>840</v>
      </c>
      <c r="AC68" s="16" t="s">
        <v>840</v>
      </c>
      <c r="AD68" s="16" t="s">
        <v>840</v>
      </c>
      <c r="AE68" s="15" t="s">
        <v>2600</v>
      </c>
      <c r="AF68" s="15" t="s">
        <v>118</v>
      </c>
      <c r="AG68" s="6" t="s">
        <v>99</v>
      </c>
      <c r="AH68" s="6" t="s">
        <v>99</v>
      </c>
      <c r="AI68" s="6" t="s">
        <v>99</v>
      </c>
      <c r="AJ68" s="6" t="s">
        <v>99</v>
      </c>
      <c r="AK68" s="15" t="s">
        <v>2601</v>
      </c>
      <c r="AL68" s="6">
        <v>67.8</v>
      </c>
      <c r="AM68" s="9">
        <v>154</v>
      </c>
      <c r="AN68" s="15">
        <v>91.5</v>
      </c>
      <c r="AO68" s="6">
        <v>102</v>
      </c>
      <c r="AP68" s="6">
        <v>42.1</v>
      </c>
      <c r="AQ68" s="6">
        <v>8</v>
      </c>
      <c r="AR68" s="6">
        <v>25</v>
      </c>
      <c r="AS68" s="6">
        <v>50</v>
      </c>
      <c r="AT68" s="6">
        <v>28.6</v>
      </c>
      <c r="AU68" s="15">
        <v>135</v>
      </c>
      <c r="AV68" s="15">
        <v>95</v>
      </c>
      <c r="AX68" s="9" t="s">
        <v>573</v>
      </c>
      <c r="AY68" s="9" t="s">
        <v>729</v>
      </c>
      <c r="AZ68" s="9" t="s">
        <v>2602</v>
      </c>
      <c r="BB68" s="9" t="s">
        <v>2603</v>
      </c>
      <c r="BC68" s="9" t="s">
        <v>2604</v>
      </c>
      <c r="BF68" s="9" t="s">
        <v>1173</v>
      </c>
      <c r="BG68" s="9" t="s">
        <v>2605</v>
      </c>
      <c r="BH68" s="9" t="s">
        <v>2606</v>
      </c>
      <c r="BI68" s="9" t="s">
        <v>2607</v>
      </c>
      <c r="BJ68" s="9" t="s">
        <v>1172</v>
      </c>
      <c r="BN68" s="9" t="s">
        <v>352</v>
      </c>
      <c r="BO68" s="9" t="s">
        <v>2608</v>
      </c>
      <c r="BP68" s="14" t="s">
        <v>1664</v>
      </c>
      <c r="BV68" s="9" t="s">
        <v>2609</v>
      </c>
      <c r="BW68" s="9" t="s">
        <v>2610</v>
      </c>
      <c r="BZ68" s="9" t="s">
        <v>182</v>
      </c>
      <c r="CA68" s="9" t="s">
        <v>709</v>
      </c>
      <c r="CB68" s="9" t="s">
        <v>2611</v>
      </c>
      <c r="CH68" s="9" t="s">
        <v>2612</v>
      </c>
      <c r="CL68" s="9" t="s">
        <v>579</v>
      </c>
      <c r="CM68" s="9" t="s">
        <v>2448</v>
      </c>
      <c r="CN68" s="9" t="s">
        <v>2613</v>
      </c>
      <c r="CP68" s="9" t="s">
        <v>715</v>
      </c>
      <c r="CQ68" s="9" t="s">
        <v>716</v>
      </c>
      <c r="CR68" s="9" t="s">
        <v>2614</v>
      </c>
      <c r="CT68" s="9" t="s">
        <v>2615</v>
      </c>
      <c r="CU68" s="9" t="s">
        <v>2616</v>
      </c>
      <c r="CV68" s="9" t="s">
        <v>2617</v>
      </c>
      <c r="CW68" s="9">
        <v>2</v>
      </c>
      <c r="CY68" s="9" t="s">
        <v>110</v>
      </c>
      <c r="DC68" s="15">
        <v>111.8</v>
      </c>
      <c r="DD68" s="6">
        <v>0.46</v>
      </c>
      <c r="DE68" s="6">
        <v>135</v>
      </c>
      <c r="DF68" s="15">
        <v>151</v>
      </c>
      <c r="DG68" s="9">
        <f t="shared" si="1"/>
        <v>4.8669956987679619</v>
      </c>
      <c r="DH68" s="6"/>
      <c r="DI68" s="6">
        <v>4.0999999999999996</v>
      </c>
      <c r="DJ68" s="6">
        <v>14</v>
      </c>
      <c r="DK68" s="6"/>
      <c r="DL68" s="6">
        <v>53</v>
      </c>
      <c r="DM68" s="6">
        <v>150</v>
      </c>
      <c r="DN68" s="6"/>
      <c r="DP68" s="11">
        <v>3</v>
      </c>
      <c r="DQ68" s="6" t="s">
        <v>111</v>
      </c>
      <c r="DR68" s="9">
        <v>2</v>
      </c>
      <c r="DU68" s="9">
        <v>12.82</v>
      </c>
    </row>
    <row r="69" spans="1:125" x14ac:dyDescent="0.2">
      <c r="A69" s="78">
        <v>200</v>
      </c>
      <c r="B69" s="8">
        <v>42909</v>
      </c>
      <c r="C69" s="6" t="s">
        <v>95</v>
      </c>
      <c r="D69" s="6">
        <v>50</v>
      </c>
      <c r="E69" s="6" t="s">
        <v>100</v>
      </c>
      <c r="F69" s="17">
        <v>24419</v>
      </c>
      <c r="G69" s="6"/>
      <c r="H69" s="6" t="s">
        <v>2509</v>
      </c>
      <c r="I69" s="9">
        <v>12</v>
      </c>
      <c r="J69" s="10" t="s">
        <v>2762</v>
      </c>
      <c r="K69" s="9">
        <v>1999</v>
      </c>
      <c r="L69" s="6">
        <v>4</v>
      </c>
      <c r="M69" s="6" t="s">
        <v>99</v>
      </c>
      <c r="N69" s="6" t="s">
        <v>99</v>
      </c>
      <c r="O69" s="15" t="s">
        <v>2763</v>
      </c>
      <c r="P69" s="6" t="s">
        <v>99</v>
      </c>
      <c r="Q69" s="6" t="s">
        <v>99</v>
      </c>
      <c r="R69" s="6" t="s">
        <v>110</v>
      </c>
      <c r="S69" s="6" t="s">
        <v>99</v>
      </c>
      <c r="T69" s="6" t="s">
        <v>99</v>
      </c>
      <c r="U69" s="6" t="s">
        <v>2764</v>
      </c>
      <c r="W69" s="6"/>
      <c r="X69" s="6"/>
      <c r="Y69" s="6" t="s">
        <v>2765</v>
      </c>
      <c r="AA69" s="6" t="s">
        <v>100</v>
      </c>
      <c r="AB69" s="16" t="s">
        <v>2267</v>
      </c>
      <c r="AC69" s="6" t="s">
        <v>1123</v>
      </c>
      <c r="AD69" s="6" t="s">
        <v>1123</v>
      </c>
      <c r="AE69" s="15" t="s">
        <v>2631</v>
      </c>
      <c r="AF69" s="15" t="s">
        <v>2766</v>
      </c>
      <c r="AG69" s="15" t="s">
        <v>2264</v>
      </c>
      <c r="AH69" s="6" t="s">
        <v>99</v>
      </c>
      <c r="AI69" s="6" t="s">
        <v>99</v>
      </c>
      <c r="AJ69" s="6" t="s">
        <v>99</v>
      </c>
      <c r="AK69" s="6" t="s">
        <v>99</v>
      </c>
      <c r="AL69" s="6">
        <v>67.3</v>
      </c>
      <c r="AM69" s="9">
        <v>155</v>
      </c>
      <c r="AN69" s="15">
        <v>90</v>
      </c>
      <c r="AO69" s="6">
        <v>104</v>
      </c>
      <c r="AP69" s="6">
        <v>40.4</v>
      </c>
      <c r="AQ69" s="6">
        <v>8</v>
      </c>
      <c r="AR69" s="6">
        <v>25.8</v>
      </c>
      <c r="AS69" s="6">
        <v>59</v>
      </c>
      <c r="AT69" s="6">
        <v>28</v>
      </c>
      <c r="AU69" s="6">
        <v>84</v>
      </c>
      <c r="AV69" s="6">
        <v>80</v>
      </c>
      <c r="AX69" s="9" t="s">
        <v>2633</v>
      </c>
      <c r="AY69" s="9" t="s">
        <v>666</v>
      </c>
      <c r="AZ69" s="9" t="s">
        <v>2767</v>
      </c>
      <c r="BB69" s="9" t="s">
        <v>750</v>
      </c>
      <c r="BC69" s="9" t="s">
        <v>2768</v>
      </c>
      <c r="BF69" s="9" t="s">
        <v>2444</v>
      </c>
      <c r="BG69" s="9" t="s">
        <v>175</v>
      </c>
      <c r="BH69" s="9" t="s">
        <v>99</v>
      </c>
      <c r="BI69" s="9" t="s">
        <v>1172</v>
      </c>
      <c r="BJ69" s="9" t="s">
        <v>176</v>
      </c>
      <c r="BK69" s="9" t="s">
        <v>2769</v>
      </c>
      <c r="BN69" s="9" t="s">
        <v>2770</v>
      </c>
      <c r="BO69" s="9" t="s">
        <v>219</v>
      </c>
      <c r="BP69" s="14" t="s">
        <v>125</v>
      </c>
      <c r="BR69" s="9" t="s">
        <v>99</v>
      </c>
      <c r="BV69" s="9" t="s">
        <v>2771</v>
      </c>
      <c r="BZ69" s="9" t="s">
        <v>355</v>
      </c>
      <c r="CA69" s="9" t="s">
        <v>2484</v>
      </c>
      <c r="CB69" s="9" t="s">
        <v>709</v>
      </c>
      <c r="CD69" s="9" t="s">
        <v>99</v>
      </c>
      <c r="CH69" s="9" t="s">
        <v>99</v>
      </c>
      <c r="CL69" s="9" t="s">
        <v>579</v>
      </c>
      <c r="CM69" s="9" t="s">
        <v>2772</v>
      </c>
      <c r="CN69" s="9" t="s">
        <v>2773</v>
      </c>
      <c r="CP69" s="9" t="s">
        <v>361</v>
      </c>
      <c r="CQ69" s="9" t="s">
        <v>716</v>
      </c>
      <c r="CR69" s="9" t="s">
        <v>2774</v>
      </c>
      <c r="CT69" s="9" t="s">
        <v>99</v>
      </c>
      <c r="CW69" s="9">
        <v>5</v>
      </c>
      <c r="CX69" s="9" t="s">
        <v>110</v>
      </c>
      <c r="CY69" s="9" t="s">
        <v>110</v>
      </c>
      <c r="DC69" s="82">
        <v>92</v>
      </c>
      <c r="DD69" s="82"/>
      <c r="DE69" s="82">
        <v>137</v>
      </c>
      <c r="DF69" s="91">
        <v>155</v>
      </c>
      <c r="DG69" s="9">
        <f t="shared" si="1"/>
        <v>4.7826068469841436</v>
      </c>
      <c r="DH69" s="82">
        <v>31</v>
      </c>
      <c r="DI69" s="82">
        <v>4.0999999999999996</v>
      </c>
      <c r="DJ69" s="82">
        <v>7</v>
      </c>
      <c r="DK69" s="6"/>
      <c r="DL69" s="6">
        <v>45</v>
      </c>
      <c r="DM69" s="6">
        <v>61</v>
      </c>
      <c r="DN69" s="6"/>
      <c r="DP69" s="11">
        <v>2</v>
      </c>
      <c r="DQ69" s="6" t="s">
        <v>111</v>
      </c>
      <c r="DR69" s="9">
        <v>3</v>
      </c>
      <c r="DU69" s="9">
        <v>6.2</v>
      </c>
    </row>
    <row r="70" spans="1:125" x14ac:dyDescent="0.2">
      <c r="A70" s="16">
        <v>202</v>
      </c>
      <c r="B70" s="8">
        <v>42909</v>
      </c>
      <c r="C70" s="6" t="s">
        <v>95</v>
      </c>
      <c r="D70" s="6">
        <v>43</v>
      </c>
      <c r="E70" s="6" t="s">
        <v>100</v>
      </c>
      <c r="F70" s="17">
        <v>26627</v>
      </c>
      <c r="G70" s="6" t="s">
        <v>197</v>
      </c>
      <c r="H70" s="6" t="s">
        <v>109</v>
      </c>
      <c r="I70" s="9" t="s">
        <v>2789</v>
      </c>
      <c r="J70" s="9" t="s">
        <v>99</v>
      </c>
      <c r="K70" s="9">
        <v>2012</v>
      </c>
      <c r="L70" s="16" t="s">
        <v>2790</v>
      </c>
      <c r="M70" s="15" t="s">
        <v>110</v>
      </c>
      <c r="N70" s="6" t="s">
        <v>99</v>
      </c>
      <c r="O70" s="6" t="s">
        <v>99</v>
      </c>
      <c r="P70" s="6" t="s">
        <v>99</v>
      </c>
      <c r="Q70" s="6" t="s">
        <v>110</v>
      </c>
      <c r="R70" s="6" t="s">
        <v>110</v>
      </c>
      <c r="S70" s="6" t="s">
        <v>110</v>
      </c>
      <c r="T70" s="6" t="s">
        <v>110</v>
      </c>
      <c r="U70" s="6" t="s">
        <v>2791</v>
      </c>
      <c r="W70" s="15" t="s">
        <v>1046</v>
      </c>
      <c r="X70" s="6"/>
      <c r="Y70" s="15" t="s">
        <v>2792</v>
      </c>
      <c r="AA70" s="6" t="s">
        <v>100</v>
      </c>
      <c r="AB70" s="6" t="s">
        <v>100</v>
      </c>
      <c r="AC70" s="6" t="s">
        <v>100</v>
      </c>
      <c r="AD70" s="6" t="s">
        <v>100</v>
      </c>
      <c r="AE70" s="15" t="s">
        <v>125</v>
      </c>
      <c r="AF70" s="15" t="s">
        <v>118</v>
      </c>
      <c r="AG70" s="15" t="s">
        <v>570</v>
      </c>
      <c r="AH70" s="6" t="s">
        <v>99</v>
      </c>
      <c r="AI70" s="6" t="s">
        <v>99</v>
      </c>
      <c r="AJ70" s="6" t="s">
        <v>99</v>
      </c>
      <c r="AK70" s="6" t="s">
        <v>99</v>
      </c>
      <c r="AL70" s="6">
        <v>77.7</v>
      </c>
      <c r="AM70" s="9">
        <v>164</v>
      </c>
      <c r="AN70" s="15">
        <v>88.5</v>
      </c>
      <c r="AO70" s="6">
        <v>108</v>
      </c>
      <c r="AP70" s="6">
        <v>47.7</v>
      </c>
      <c r="AQ70" s="6"/>
      <c r="AR70" s="6">
        <v>21</v>
      </c>
      <c r="AS70" s="6">
        <v>56</v>
      </c>
      <c r="AT70" s="6">
        <v>28.9</v>
      </c>
      <c r="AU70" s="6">
        <v>120</v>
      </c>
      <c r="AV70" s="6">
        <v>80</v>
      </c>
      <c r="AX70" s="9" t="s">
        <v>2793</v>
      </c>
      <c r="AY70" s="9" t="s">
        <v>2794</v>
      </c>
      <c r="AZ70" s="9" t="s">
        <v>729</v>
      </c>
      <c r="BB70" s="9" t="s">
        <v>2635</v>
      </c>
      <c r="BC70" s="9" t="s">
        <v>2746</v>
      </c>
      <c r="BD70" s="9" t="s">
        <v>2692</v>
      </c>
      <c r="BF70" s="9" t="s">
        <v>2795</v>
      </c>
      <c r="BG70" s="9" t="s">
        <v>177</v>
      </c>
      <c r="BH70" s="9" t="s">
        <v>2796</v>
      </c>
      <c r="BI70" s="9" t="s">
        <v>172</v>
      </c>
      <c r="BJ70" s="9" t="s">
        <v>176</v>
      </c>
      <c r="BK70" s="9" t="s">
        <v>175</v>
      </c>
      <c r="BN70" s="9" t="s">
        <v>180</v>
      </c>
      <c r="BO70" s="9" t="s">
        <v>179</v>
      </c>
      <c r="BP70" s="9" t="s">
        <v>178</v>
      </c>
      <c r="BZ70" s="9" t="s">
        <v>355</v>
      </c>
      <c r="CA70" s="9" t="s">
        <v>183</v>
      </c>
      <c r="CB70" s="9" t="s">
        <v>1100</v>
      </c>
      <c r="CL70" s="9" t="s">
        <v>2797</v>
      </c>
      <c r="CM70" s="9" t="s">
        <v>2798</v>
      </c>
      <c r="CN70" s="9" t="s">
        <v>2799</v>
      </c>
      <c r="CP70" s="9" t="s">
        <v>362</v>
      </c>
      <c r="CQ70" s="9" t="s">
        <v>716</v>
      </c>
      <c r="CS70" s="9" t="s">
        <v>172</v>
      </c>
      <c r="CT70" s="9" t="s">
        <v>2800</v>
      </c>
      <c r="CU70" s="9" t="s">
        <v>187</v>
      </c>
      <c r="CV70" s="9" t="s">
        <v>2662</v>
      </c>
      <c r="CW70" s="9">
        <v>3</v>
      </c>
      <c r="CX70" s="9" t="s">
        <v>110</v>
      </c>
      <c r="CY70" s="9" t="s">
        <v>110</v>
      </c>
      <c r="DC70" s="15">
        <v>105</v>
      </c>
      <c r="DD70" s="6">
        <v>0.75</v>
      </c>
      <c r="DE70" s="6">
        <v>180</v>
      </c>
      <c r="DF70" s="15">
        <v>601</v>
      </c>
      <c r="DG70" s="9">
        <f t="shared" si="1"/>
        <v>5.5262776423463658</v>
      </c>
      <c r="DH70" s="6"/>
      <c r="DI70" s="6">
        <v>5</v>
      </c>
      <c r="DJ70" s="6">
        <v>12.2</v>
      </c>
      <c r="DK70" s="6"/>
      <c r="DL70" s="6">
        <v>51</v>
      </c>
      <c r="DM70" s="6"/>
      <c r="DN70" s="6"/>
      <c r="DP70" s="11">
        <v>2</v>
      </c>
      <c r="DQ70" s="6" t="s">
        <v>114</v>
      </c>
      <c r="DR70" s="9">
        <v>2</v>
      </c>
      <c r="DT70" s="9">
        <v>4.8499999999999996</v>
      </c>
      <c r="DU70" s="9">
        <v>3.84</v>
      </c>
    </row>
    <row r="71" spans="1:125" x14ac:dyDescent="0.2">
      <c r="A71" s="16">
        <v>207</v>
      </c>
      <c r="B71" s="8">
        <v>42910</v>
      </c>
      <c r="C71" s="6" t="s">
        <v>95</v>
      </c>
      <c r="D71" s="6">
        <v>51</v>
      </c>
      <c r="E71" s="6" t="s">
        <v>100</v>
      </c>
      <c r="F71" s="17">
        <v>23972</v>
      </c>
      <c r="G71" s="6" t="s">
        <v>197</v>
      </c>
      <c r="H71" s="6" t="s">
        <v>2509</v>
      </c>
      <c r="I71" s="9">
        <v>12</v>
      </c>
      <c r="J71" s="9" t="s">
        <v>99</v>
      </c>
      <c r="L71" s="6"/>
      <c r="M71" s="6" t="s">
        <v>99</v>
      </c>
      <c r="N71" s="6" t="s">
        <v>99</v>
      </c>
      <c r="O71" s="6"/>
      <c r="P71" s="6" t="s">
        <v>99</v>
      </c>
      <c r="Q71" s="6" t="s">
        <v>99</v>
      </c>
      <c r="R71" s="6" t="s">
        <v>110</v>
      </c>
      <c r="S71" s="6"/>
      <c r="T71" s="6"/>
      <c r="U71" s="6" t="s">
        <v>2832</v>
      </c>
      <c r="W71" s="15" t="s">
        <v>2833</v>
      </c>
      <c r="X71" s="6"/>
      <c r="Y71" s="6" t="s">
        <v>99</v>
      </c>
      <c r="AA71" s="6" t="s">
        <v>100</v>
      </c>
      <c r="AB71" s="6" t="s">
        <v>100</v>
      </c>
      <c r="AC71" s="6" t="s">
        <v>100</v>
      </c>
      <c r="AD71" s="6" t="s">
        <v>100</v>
      </c>
      <c r="AE71" s="15" t="s">
        <v>664</v>
      </c>
      <c r="AF71" s="15" t="s">
        <v>118</v>
      </c>
      <c r="AG71" s="15" t="s">
        <v>2252</v>
      </c>
      <c r="AH71" s="15" t="s">
        <v>1079</v>
      </c>
      <c r="AI71" s="6" t="s">
        <v>99</v>
      </c>
      <c r="AJ71" s="6" t="s">
        <v>99</v>
      </c>
      <c r="AK71" s="6"/>
      <c r="AL71" s="6">
        <v>75.5</v>
      </c>
      <c r="AM71" s="9">
        <v>155</v>
      </c>
      <c r="AN71" s="15">
        <v>100</v>
      </c>
      <c r="AO71" s="6">
        <v>114</v>
      </c>
      <c r="AP71" s="6">
        <v>43.1</v>
      </c>
      <c r="AQ71" s="6">
        <v>10</v>
      </c>
      <c r="AR71" s="6">
        <v>25.3</v>
      </c>
      <c r="AS71" s="6">
        <v>65</v>
      </c>
      <c r="AT71" s="6">
        <v>31.4</v>
      </c>
      <c r="AU71" s="6">
        <v>122</v>
      </c>
      <c r="AV71" s="6">
        <v>88</v>
      </c>
      <c r="AX71" s="9" t="s">
        <v>666</v>
      </c>
      <c r="AY71" s="9" t="s">
        <v>2834</v>
      </c>
      <c r="AZ71" s="14" t="s">
        <v>2835</v>
      </c>
      <c r="BB71" s="9" t="s">
        <v>1130</v>
      </c>
      <c r="BC71" s="9" t="s">
        <v>750</v>
      </c>
      <c r="BD71" s="9" t="s">
        <v>2836</v>
      </c>
      <c r="BF71" s="9" t="s">
        <v>176</v>
      </c>
      <c r="BG71" s="9" t="s">
        <v>683</v>
      </c>
      <c r="BH71" s="9" t="s">
        <v>683</v>
      </c>
      <c r="BI71" s="9" t="s">
        <v>1099</v>
      </c>
      <c r="BJ71" s="9" t="s">
        <v>176</v>
      </c>
      <c r="BK71" s="9" t="s">
        <v>177</v>
      </c>
      <c r="BL71" s="9" t="s">
        <v>172</v>
      </c>
      <c r="BM71" s="9" t="s">
        <v>179</v>
      </c>
      <c r="BN71" s="9" t="s">
        <v>180</v>
      </c>
      <c r="BO71" s="9" t="s">
        <v>178</v>
      </c>
      <c r="BV71" s="9" t="s">
        <v>683</v>
      </c>
      <c r="BY71" s="9" t="s">
        <v>176</v>
      </c>
      <c r="BZ71" s="9" t="s">
        <v>2837</v>
      </c>
      <c r="CA71" s="9" t="s">
        <v>2838</v>
      </c>
      <c r="CB71" s="9" t="s">
        <v>182</v>
      </c>
      <c r="CH71" s="9" t="s">
        <v>2839</v>
      </c>
      <c r="CL71" s="9" t="s">
        <v>887</v>
      </c>
      <c r="CM71" s="9" t="s">
        <v>2840</v>
      </c>
      <c r="CP71" s="9" t="s">
        <v>361</v>
      </c>
      <c r="CQ71" s="9" t="s">
        <v>716</v>
      </c>
      <c r="CW71" s="9">
        <v>3</v>
      </c>
      <c r="CX71" s="9" t="s">
        <v>99</v>
      </c>
      <c r="CY71" s="9" t="s">
        <v>99</v>
      </c>
      <c r="DC71" s="84" t="s">
        <v>2841</v>
      </c>
      <c r="DD71" s="13">
        <v>0.85</v>
      </c>
      <c r="DE71" s="84">
        <v>215</v>
      </c>
      <c r="DF71" s="84">
        <v>245</v>
      </c>
      <c r="DG71" s="9" t="e">
        <f t="shared" si="1"/>
        <v>#VALUE!</v>
      </c>
      <c r="DH71" s="13">
        <v>40</v>
      </c>
      <c r="DI71" s="13">
        <v>6.33</v>
      </c>
      <c r="DJ71" s="13">
        <v>14</v>
      </c>
      <c r="DK71" s="6"/>
      <c r="DL71" s="15">
        <v>48</v>
      </c>
      <c r="DM71" s="6">
        <v>127</v>
      </c>
      <c r="DN71" s="6"/>
      <c r="DP71" s="18">
        <v>1</v>
      </c>
      <c r="DQ71" s="6" t="s">
        <v>99</v>
      </c>
      <c r="DR71" s="9">
        <v>2</v>
      </c>
      <c r="DT71" s="9">
        <v>15.9</v>
      </c>
      <c r="DU71" s="9">
        <v>13.2</v>
      </c>
    </row>
    <row r="72" spans="1:125" x14ac:dyDescent="0.2">
      <c r="A72" s="16">
        <v>211</v>
      </c>
      <c r="B72" s="8">
        <v>42909</v>
      </c>
      <c r="C72" s="6" t="s">
        <v>95</v>
      </c>
      <c r="D72" s="6">
        <v>61</v>
      </c>
      <c r="E72" s="6" t="s">
        <v>100</v>
      </c>
      <c r="F72" s="17">
        <v>20491</v>
      </c>
      <c r="G72" s="6"/>
      <c r="H72" s="6" t="s">
        <v>109</v>
      </c>
      <c r="I72" s="9">
        <v>13</v>
      </c>
      <c r="J72" s="9" t="s">
        <v>2857</v>
      </c>
      <c r="L72" s="16" t="s">
        <v>2858</v>
      </c>
      <c r="M72" s="6" t="s">
        <v>99</v>
      </c>
      <c r="N72" s="6" t="s">
        <v>99</v>
      </c>
      <c r="O72" s="6" t="s">
        <v>99</v>
      </c>
      <c r="P72" s="6" t="s">
        <v>99</v>
      </c>
      <c r="Q72" s="6" t="s">
        <v>99</v>
      </c>
      <c r="R72" s="6"/>
      <c r="S72" s="6" t="s">
        <v>99</v>
      </c>
      <c r="T72" s="6" t="s">
        <v>99</v>
      </c>
      <c r="U72" s="15" t="s">
        <v>2859</v>
      </c>
      <c r="V72" s="9" t="s">
        <v>99</v>
      </c>
      <c r="W72" s="6" t="s">
        <v>99</v>
      </c>
      <c r="X72" s="6" t="s">
        <v>99</v>
      </c>
      <c r="Y72" s="6" t="s">
        <v>99</v>
      </c>
      <c r="AA72" s="6" t="s">
        <v>2234</v>
      </c>
      <c r="AB72" s="6" t="s">
        <v>100</v>
      </c>
      <c r="AC72" s="6" t="s">
        <v>2234</v>
      </c>
      <c r="AD72" s="6" t="s">
        <v>100</v>
      </c>
      <c r="AE72" s="15" t="s">
        <v>2227</v>
      </c>
      <c r="AF72" s="6" t="s">
        <v>99</v>
      </c>
      <c r="AG72" s="15" t="s">
        <v>2860</v>
      </c>
      <c r="AH72" s="15" t="s">
        <v>126</v>
      </c>
      <c r="AI72" s="15" t="s">
        <v>118</v>
      </c>
      <c r="AJ72" s="6" t="s">
        <v>99</v>
      </c>
      <c r="AK72" s="6" t="s">
        <v>99</v>
      </c>
      <c r="AL72" s="6">
        <v>93.4</v>
      </c>
      <c r="AM72" s="9">
        <v>163</v>
      </c>
      <c r="AN72" s="15">
        <v>113</v>
      </c>
      <c r="AO72" s="6">
        <v>128</v>
      </c>
      <c r="AP72" s="6">
        <v>53</v>
      </c>
      <c r="AQ72" s="6"/>
      <c r="AR72" s="6">
        <v>19.8</v>
      </c>
      <c r="AS72" s="6">
        <v>76</v>
      </c>
      <c r="AT72" s="6">
        <v>35.200000000000003</v>
      </c>
      <c r="AU72" s="15">
        <v>140</v>
      </c>
      <c r="AV72" s="15">
        <v>92</v>
      </c>
      <c r="DC72" s="15">
        <v>123</v>
      </c>
      <c r="DD72" s="6">
        <v>0.9</v>
      </c>
      <c r="DE72" s="6">
        <v>174</v>
      </c>
      <c r="DF72" s="6">
        <v>146</v>
      </c>
      <c r="DG72" s="9">
        <f t="shared" si="1"/>
        <v>4.8978954885403772</v>
      </c>
      <c r="DH72" s="6">
        <v>29</v>
      </c>
      <c r="DI72" s="6">
        <v>5</v>
      </c>
      <c r="DJ72" s="6">
        <v>26.8</v>
      </c>
      <c r="DK72" s="6"/>
      <c r="DL72" s="6">
        <v>58.8</v>
      </c>
      <c r="DM72" s="6">
        <v>85</v>
      </c>
      <c r="DN72" s="6"/>
      <c r="DP72" s="11">
        <v>2</v>
      </c>
      <c r="DQ72" s="6" t="s">
        <v>111</v>
      </c>
      <c r="DR72" s="9">
        <v>2</v>
      </c>
      <c r="DT72" s="9">
        <v>10.52</v>
      </c>
      <c r="DU72" s="9">
        <v>4.63</v>
      </c>
    </row>
    <row r="73" spans="1:125" x14ac:dyDescent="0.2">
      <c r="A73" s="78">
        <v>213</v>
      </c>
      <c r="B73" s="8">
        <v>42909</v>
      </c>
      <c r="C73" s="6" t="s">
        <v>95</v>
      </c>
      <c r="D73" s="6">
        <v>62</v>
      </c>
      <c r="E73" s="6" t="s">
        <v>100</v>
      </c>
      <c r="F73" s="17">
        <v>20235</v>
      </c>
      <c r="G73" s="6"/>
      <c r="H73" s="6" t="s">
        <v>2509</v>
      </c>
      <c r="I73" s="9">
        <v>11</v>
      </c>
      <c r="J73" s="9" t="s">
        <v>2871</v>
      </c>
      <c r="K73" s="10">
        <v>1989</v>
      </c>
      <c r="L73" s="6">
        <v>4</v>
      </c>
      <c r="M73" s="6" t="s">
        <v>99</v>
      </c>
      <c r="N73" s="6" t="s">
        <v>99</v>
      </c>
      <c r="O73" s="15" t="s">
        <v>110</v>
      </c>
      <c r="P73" s="6" t="s">
        <v>99</v>
      </c>
      <c r="Q73" s="6" t="s">
        <v>99</v>
      </c>
      <c r="R73" s="6" t="s">
        <v>2872</v>
      </c>
      <c r="S73" s="6" t="s">
        <v>99</v>
      </c>
      <c r="T73" s="6" t="s">
        <v>99</v>
      </c>
      <c r="U73" s="6" t="s">
        <v>110</v>
      </c>
      <c r="V73" s="9" t="s">
        <v>2873</v>
      </c>
      <c r="W73" s="6"/>
      <c r="X73" s="6" t="s">
        <v>99</v>
      </c>
      <c r="Y73" s="6" t="s">
        <v>1903</v>
      </c>
      <c r="AA73" s="6" t="s">
        <v>100</v>
      </c>
      <c r="AB73" s="6" t="s">
        <v>100</v>
      </c>
      <c r="AC73" s="6" t="s">
        <v>100</v>
      </c>
      <c r="AD73" s="6" t="s">
        <v>100</v>
      </c>
      <c r="AE73" s="15" t="s">
        <v>2874</v>
      </c>
      <c r="AF73" s="6" t="s">
        <v>99</v>
      </c>
      <c r="AG73" s="15" t="s">
        <v>2875</v>
      </c>
      <c r="AH73" s="6" t="s">
        <v>99</v>
      </c>
      <c r="AI73" s="6" t="s">
        <v>99</v>
      </c>
      <c r="AJ73" s="6" t="s">
        <v>99</v>
      </c>
      <c r="AK73" s="15" t="s">
        <v>2876</v>
      </c>
      <c r="AL73" s="6">
        <v>68.099999999999994</v>
      </c>
      <c r="AN73" s="15">
        <v>82</v>
      </c>
      <c r="AO73" s="6">
        <v>91</v>
      </c>
      <c r="AP73" s="6"/>
      <c r="AQ73" s="6"/>
      <c r="AR73" s="6"/>
      <c r="AS73" s="6"/>
      <c r="AT73" s="6"/>
      <c r="AU73" s="6">
        <v>103</v>
      </c>
      <c r="AV73" s="6">
        <v>67</v>
      </c>
      <c r="AX73" s="9" t="s">
        <v>2877</v>
      </c>
      <c r="AY73" s="9" t="s">
        <v>2878</v>
      </c>
      <c r="AZ73" s="9" t="s">
        <v>2879</v>
      </c>
      <c r="BB73" s="9" t="s">
        <v>2880</v>
      </c>
      <c r="BC73" s="9" t="s">
        <v>2881</v>
      </c>
      <c r="BF73" s="9" t="s">
        <v>2882</v>
      </c>
      <c r="BG73" s="9" t="s">
        <v>2883</v>
      </c>
      <c r="BH73" s="9" t="s">
        <v>99</v>
      </c>
      <c r="BI73" s="9" t="s">
        <v>99</v>
      </c>
      <c r="BJ73" s="9" t="s">
        <v>215</v>
      </c>
      <c r="BK73" s="9" t="s">
        <v>1172</v>
      </c>
      <c r="BN73" s="14" t="s">
        <v>2884</v>
      </c>
      <c r="BR73" s="9" t="s">
        <v>2885</v>
      </c>
      <c r="BV73" s="9" t="s">
        <v>99</v>
      </c>
      <c r="BZ73" s="9" t="s">
        <v>2886</v>
      </c>
      <c r="CA73" s="9" t="s">
        <v>2887</v>
      </c>
      <c r="CB73" s="9" t="s">
        <v>2888</v>
      </c>
      <c r="CC73" s="9" t="s">
        <v>99</v>
      </c>
      <c r="CG73" s="9" t="s">
        <v>99</v>
      </c>
      <c r="CL73" s="9" t="s">
        <v>2889</v>
      </c>
      <c r="CM73" s="9" t="s">
        <v>2890</v>
      </c>
      <c r="CN73" s="9" t="s">
        <v>2891</v>
      </c>
      <c r="CP73" s="9" t="s">
        <v>890</v>
      </c>
      <c r="CQ73" s="9" t="s">
        <v>2892</v>
      </c>
      <c r="CR73" s="9" t="s">
        <v>2641</v>
      </c>
      <c r="CT73" s="9" t="s">
        <v>649</v>
      </c>
      <c r="CW73" s="9">
        <v>5</v>
      </c>
      <c r="CX73" s="9" t="s">
        <v>110</v>
      </c>
      <c r="CY73" s="9" t="s">
        <v>110</v>
      </c>
      <c r="DC73" s="6">
        <v>97</v>
      </c>
      <c r="DD73" s="6">
        <v>1</v>
      </c>
      <c r="DE73" s="15">
        <v>243</v>
      </c>
      <c r="DF73" s="15">
        <v>156</v>
      </c>
      <c r="DG73" s="9">
        <f t="shared" si="1"/>
        <v>4.8122834928764595</v>
      </c>
      <c r="DH73" s="6">
        <v>31</v>
      </c>
      <c r="DI73" s="6">
        <v>6</v>
      </c>
      <c r="DJ73" s="6">
        <v>8.1</v>
      </c>
      <c r="DK73" s="6"/>
      <c r="DL73" s="6">
        <v>48</v>
      </c>
      <c r="DM73" s="6">
        <v>164</v>
      </c>
      <c r="DN73" s="6"/>
      <c r="DQ73" s="6" t="s">
        <v>99</v>
      </c>
    </row>
    <row r="74" spans="1:125" x14ac:dyDescent="0.2">
      <c r="A74" s="16">
        <v>219</v>
      </c>
      <c r="B74" s="8">
        <v>42910</v>
      </c>
      <c r="C74" s="6" t="s">
        <v>95</v>
      </c>
      <c r="D74" s="6">
        <v>66</v>
      </c>
      <c r="E74" s="6" t="s">
        <v>100</v>
      </c>
      <c r="G74" s="6" t="s">
        <v>197</v>
      </c>
      <c r="H74" s="6" t="s">
        <v>109</v>
      </c>
      <c r="I74" s="9">
        <v>13</v>
      </c>
      <c r="J74" s="9">
        <v>40</v>
      </c>
      <c r="K74" s="10">
        <v>1982</v>
      </c>
      <c r="L74" s="6">
        <v>6</v>
      </c>
      <c r="M74" s="6" t="s">
        <v>99</v>
      </c>
      <c r="N74" s="15" t="s">
        <v>2928</v>
      </c>
      <c r="O74" s="6" t="s">
        <v>99</v>
      </c>
      <c r="P74" s="6" t="s">
        <v>99</v>
      </c>
      <c r="Q74" s="6" t="s">
        <v>99</v>
      </c>
      <c r="R74" s="6" t="s">
        <v>110</v>
      </c>
      <c r="S74" s="6" t="s">
        <v>483</v>
      </c>
      <c r="T74" s="6" t="s">
        <v>588</v>
      </c>
      <c r="U74" s="6" t="s">
        <v>2929</v>
      </c>
      <c r="V74" s="9" t="s">
        <v>99</v>
      </c>
      <c r="W74" s="6" t="s">
        <v>99</v>
      </c>
      <c r="X74" s="6" t="s">
        <v>99</v>
      </c>
      <c r="Y74" s="6" t="s">
        <v>110</v>
      </c>
      <c r="AA74" s="9" t="s">
        <v>100</v>
      </c>
      <c r="AB74" s="6" t="s">
        <v>2777</v>
      </c>
      <c r="AC74" s="6" t="s">
        <v>100</v>
      </c>
      <c r="AD74" s="9" t="s">
        <v>2777</v>
      </c>
      <c r="AE74" s="15" t="s">
        <v>118</v>
      </c>
      <c r="AF74" s="15" t="s">
        <v>2252</v>
      </c>
      <c r="AG74" s="6" t="s">
        <v>99</v>
      </c>
      <c r="AH74" s="15" t="s">
        <v>2930</v>
      </c>
      <c r="AI74" s="6" t="s">
        <v>99</v>
      </c>
      <c r="AJ74" s="6"/>
      <c r="AK74" s="6" t="s">
        <v>99</v>
      </c>
      <c r="AL74" s="6">
        <v>62.2</v>
      </c>
      <c r="AM74" s="9">
        <v>164</v>
      </c>
      <c r="AN74" s="15">
        <v>86</v>
      </c>
      <c r="AO74" s="6">
        <v>99</v>
      </c>
      <c r="AP74" s="6">
        <v>32.4</v>
      </c>
      <c r="AQ74" s="6">
        <v>9</v>
      </c>
      <c r="AR74" s="6">
        <v>29.9</v>
      </c>
      <c r="AS74" s="6">
        <v>62</v>
      </c>
      <c r="AT74" s="6">
        <v>26.2</v>
      </c>
      <c r="AU74" s="16">
        <v>171</v>
      </c>
      <c r="AV74" s="16">
        <v>91</v>
      </c>
      <c r="DC74" s="91">
        <v>115</v>
      </c>
      <c r="DD74" s="82"/>
      <c r="DE74" s="91">
        <v>211</v>
      </c>
      <c r="DF74" s="91">
        <v>186</v>
      </c>
      <c r="DG74" s="9">
        <f t="shared" si="1"/>
        <v>4.9853394010382255</v>
      </c>
      <c r="DH74" s="82">
        <v>37.200000000000003</v>
      </c>
      <c r="DI74" s="82">
        <v>37.200000000000003</v>
      </c>
      <c r="DJ74" s="82">
        <v>8</v>
      </c>
      <c r="DK74" s="6"/>
      <c r="DL74" s="6">
        <v>55.8</v>
      </c>
      <c r="DM74" s="6">
        <v>118</v>
      </c>
      <c r="DN74" s="6"/>
      <c r="DP74" s="11">
        <v>2</v>
      </c>
      <c r="DQ74" s="6" t="s">
        <v>111</v>
      </c>
      <c r="DR74" s="9">
        <v>2</v>
      </c>
      <c r="DU74" s="9">
        <v>7</v>
      </c>
    </row>
    <row r="75" spans="1:125" x14ac:dyDescent="0.2">
      <c r="A75" s="16">
        <v>220</v>
      </c>
      <c r="B75" s="8">
        <v>42910</v>
      </c>
      <c r="C75" s="6" t="s">
        <v>107</v>
      </c>
      <c r="D75" s="6">
        <v>34</v>
      </c>
      <c r="E75" s="6" t="s">
        <v>100</v>
      </c>
      <c r="F75" s="17">
        <v>30369</v>
      </c>
      <c r="G75" s="6" t="s">
        <v>2931</v>
      </c>
      <c r="H75" s="6" t="s">
        <v>109</v>
      </c>
      <c r="L75" s="6"/>
      <c r="M75" s="15" t="s">
        <v>110</v>
      </c>
      <c r="N75" s="6" t="s">
        <v>99</v>
      </c>
      <c r="O75" s="15" t="s">
        <v>110</v>
      </c>
      <c r="P75" s="15" t="s">
        <v>110</v>
      </c>
      <c r="Q75" s="15" t="s">
        <v>110</v>
      </c>
      <c r="R75" s="6" t="s">
        <v>110</v>
      </c>
      <c r="S75" s="6" t="s">
        <v>99</v>
      </c>
      <c r="T75" s="6" t="s">
        <v>99</v>
      </c>
      <c r="U75" s="6" t="s">
        <v>2932</v>
      </c>
      <c r="V75" s="9" t="s">
        <v>99</v>
      </c>
      <c r="W75" s="6" t="s">
        <v>2933</v>
      </c>
      <c r="X75" s="6" t="s">
        <v>99</v>
      </c>
      <c r="Y75" s="6" t="s">
        <v>99</v>
      </c>
      <c r="AA75" s="6" t="s">
        <v>100</v>
      </c>
      <c r="AB75" s="6" t="s">
        <v>100</v>
      </c>
      <c r="AC75" s="6" t="s">
        <v>100</v>
      </c>
      <c r="AD75" s="6" t="s">
        <v>100</v>
      </c>
      <c r="AE75" s="15" t="s">
        <v>2934</v>
      </c>
      <c r="AF75" s="15" t="s">
        <v>2703</v>
      </c>
      <c r="AG75" s="15" t="s">
        <v>2935</v>
      </c>
      <c r="AH75" s="15" t="s">
        <v>2936</v>
      </c>
      <c r="AI75" s="6" t="s">
        <v>99</v>
      </c>
      <c r="AJ75" s="6" t="s">
        <v>99</v>
      </c>
      <c r="AK75" s="6" t="s">
        <v>99</v>
      </c>
      <c r="AL75" s="6">
        <v>119.2</v>
      </c>
      <c r="AN75" s="15">
        <v>205</v>
      </c>
      <c r="AO75" s="6">
        <v>120.5</v>
      </c>
      <c r="AP75" s="6"/>
      <c r="AQ75" s="6"/>
      <c r="AR75" s="6"/>
      <c r="AS75" s="6"/>
      <c r="AT75" s="6"/>
      <c r="AU75" s="6">
        <v>125</v>
      </c>
      <c r="AV75" s="6">
        <v>85</v>
      </c>
      <c r="AX75" s="9" t="s">
        <v>2937</v>
      </c>
      <c r="AY75" s="9" t="s">
        <v>666</v>
      </c>
      <c r="AZ75" s="9" t="s">
        <v>2896</v>
      </c>
      <c r="BB75" s="9" t="s">
        <v>2938</v>
      </c>
      <c r="BC75" s="9" t="s">
        <v>2735</v>
      </c>
      <c r="BD75" s="9" t="s">
        <v>749</v>
      </c>
      <c r="BF75" s="9" t="s">
        <v>2939</v>
      </c>
      <c r="BG75" s="9" t="s">
        <v>172</v>
      </c>
      <c r="BH75" s="9" t="s">
        <v>683</v>
      </c>
      <c r="BI75" s="9" t="s">
        <v>2940</v>
      </c>
      <c r="BJ75" s="9" t="s">
        <v>172</v>
      </c>
      <c r="BK75" s="9" t="s">
        <v>683</v>
      </c>
      <c r="BN75" s="9" t="s">
        <v>219</v>
      </c>
      <c r="BO75" s="9" t="s">
        <v>180</v>
      </c>
      <c r="BP75" s="9" t="s">
        <v>2941</v>
      </c>
      <c r="BR75" s="9" t="s">
        <v>99</v>
      </c>
      <c r="BV75" s="9" t="s">
        <v>985</v>
      </c>
      <c r="BZ75" s="9" t="s">
        <v>2942</v>
      </c>
      <c r="CA75" s="9" t="s">
        <v>2911</v>
      </c>
      <c r="CB75" s="9" t="s">
        <v>2943</v>
      </c>
      <c r="CL75" s="9" t="s">
        <v>1180</v>
      </c>
      <c r="CM75" s="9" t="s">
        <v>2944</v>
      </c>
      <c r="CN75" s="9" t="s">
        <v>980</v>
      </c>
      <c r="CP75" s="9" t="s">
        <v>362</v>
      </c>
      <c r="CQ75" s="9" t="s">
        <v>361</v>
      </c>
      <c r="CR75" s="9" t="s">
        <v>716</v>
      </c>
      <c r="CS75" s="9" t="s">
        <v>2945</v>
      </c>
      <c r="CW75" s="9">
        <v>3</v>
      </c>
      <c r="CX75" s="9" t="s">
        <v>110</v>
      </c>
      <c r="CY75" s="9" t="s">
        <v>99</v>
      </c>
      <c r="DC75" s="84">
        <v>160</v>
      </c>
      <c r="DD75" s="13"/>
      <c r="DE75" s="84">
        <v>200</v>
      </c>
      <c r="DF75" s="84">
        <v>174</v>
      </c>
      <c r="DG75" s="9">
        <f t="shared" si="1"/>
        <v>5.1171145572241779</v>
      </c>
      <c r="DH75" s="13">
        <v>34</v>
      </c>
      <c r="DI75" s="13">
        <v>6.57</v>
      </c>
      <c r="DJ75" s="13">
        <v>20</v>
      </c>
      <c r="DK75" s="6"/>
      <c r="DL75" s="6">
        <v>53</v>
      </c>
      <c r="DM75" s="6">
        <v>113</v>
      </c>
      <c r="DN75" s="6"/>
      <c r="DP75" s="18">
        <v>1</v>
      </c>
      <c r="DQ75" s="6" t="s">
        <v>111</v>
      </c>
      <c r="DR75" s="9">
        <v>2</v>
      </c>
      <c r="DU75" s="9">
        <v>4.3</v>
      </c>
    </row>
    <row r="76" spans="1:125" x14ac:dyDescent="0.2">
      <c r="A76" s="16">
        <v>224</v>
      </c>
      <c r="B76" s="8">
        <v>42910</v>
      </c>
      <c r="C76" s="6" t="s">
        <v>95</v>
      </c>
      <c r="D76" s="6">
        <v>88</v>
      </c>
      <c r="E76" s="6" t="s">
        <v>100</v>
      </c>
      <c r="G76" s="6" t="s">
        <v>197</v>
      </c>
      <c r="H76" s="6" t="s">
        <v>2509</v>
      </c>
      <c r="K76" s="10" t="s">
        <v>2983</v>
      </c>
      <c r="L76" s="6">
        <v>4</v>
      </c>
      <c r="M76" s="15" t="s">
        <v>110</v>
      </c>
      <c r="N76" s="6" t="s">
        <v>99</v>
      </c>
      <c r="O76" s="6" t="s">
        <v>99</v>
      </c>
      <c r="P76" s="15" t="s">
        <v>110</v>
      </c>
      <c r="Q76" s="15" t="s">
        <v>110</v>
      </c>
      <c r="R76" s="6" t="s">
        <v>110</v>
      </c>
      <c r="S76" s="6" t="s">
        <v>99</v>
      </c>
      <c r="T76" s="6" t="s">
        <v>99</v>
      </c>
      <c r="U76" s="6" t="s">
        <v>2984</v>
      </c>
      <c r="W76" s="6" t="s">
        <v>99</v>
      </c>
      <c r="X76" s="6" t="s">
        <v>99</v>
      </c>
      <c r="Y76" s="6" t="s">
        <v>2985</v>
      </c>
      <c r="AA76" s="6" t="s">
        <v>100</v>
      </c>
      <c r="AB76" s="6" t="s">
        <v>100</v>
      </c>
      <c r="AC76" s="6" t="s">
        <v>100</v>
      </c>
      <c r="AD76" s="6" t="s">
        <v>100</v>
      </c>
      <c r="AE76" s="6" t="s">
        <v>99</v>
      </c>
      <c r="AF76" s="6" t="s">
        <v>99</v>
      </c>
      <c r="AG76" s="6" t="s">
        <v>99</v>
      </c>
      <c r="AH76" s="6" t="s">
        <v>99</v>
      </c>
      <c r="AI76" s="15" t="s">
        <v>570</v>
      </c>
      <c r="AJ76" s="6" t="s">
        <v>99</v>
      </c>
      <c r="AK76" s="15" t="s">
        <v>2986</v>
      </c>
      <c r="AL76" s="6">
        <v>59.4</v>
      </c>
      <c r="AM76" s="9">
        <v>150</v>
      </c>
      <c r="AN76" s="15">
        <v>110</v>
      </c>
      <c r="AO76" s="6">
        <v>103</v>
      </c>
      <c r="AP76" s="6">
        <v>37.200000000000003</v>
      </c>
      <c r="AQ76" s="6">
        <v>11</v>
      </c>
      <c r="AR76" s="6">
        <v>26.2</v>
      </c>
      <c r="AS76" s="6">
        <v>72</v>
      </c>
      <c r="AT76" s="6">
        <v>26.2</v>
      </c>
      <c r="AU76" s="15">
        <v>211</v>
      </c>
      <c r="AV76" s="15">
        <v>94</v>
      </c>
      <c r="DC76" s="91">
        <v>105</v>
      </c>
      <c r="DD76" s="82"/>
      <c r="DE76" s="82">
        <v>182</v>
      </c>
      <c r="DF76" s="82">
        <v>136</v>
      </c>
      <c r="DG76" s="9">
        <f t="shared" si="1"/>
        <v>4.7833076179467877</v>
      </c>
      <c r="DH76" s="82">
        <v>27</v>
      </c>
      <c r="DI76" s="82">
        <v>4.7</v>
      </c>
      <c r="DJ76" s="82">
        <v>25</v>
      </c>
      <c r="DK76" s="6"/>
      <c r="DL76" s="6">
        <v>49</v>
      </c>
      <c r="DM76" s="6">
        <v>106</v>
      </c>
      <c r="DN76" s="6"/>
      <c r="DP76" s="11">
        <v>2</v>
      </c>
      <c r="DQ76" s="6" t="s">
        <v>105</v>
      </c>
      <c r="DR76" s="9">
        <v>2</v>
      </c>
      <c r="DT76" s="9">
        <v>14.39</v>
      </c>
      <c r="DU76" s="9">
        <v>3.46</v>
      </c>
    </row>
    <row r="77" spans="1:125" x14ac:dyDescent="0.2">
      <c r="A77" s="16">
        <v>226</v>
      </c>
      <c r="B77" s="8">
        <v>42926</v>
      </c>
      <c r="C77" s="6" t="s">
        <v>95</v>
      </c>
      <c r="D77" s="6">
        <v>64</v>
      </c>
      <c r="E77" s="6" t="s">
        <v>100</v>
      </c>
      <c r="F77" s="17">
        <v>19430</v>
      </c>
      <c r="G77" s="6" t="s">
        <v>197</v>
      </c>
      <c r="H77" s="6" t="s">
        <v>3001</v>
      </c>
      <c r="I77" s="9">
        <v>12</v>
      </c>
      <c r="J77" s="9" t="s">
        <v>3002</v>
      </c>
      <c r="K77" s="10" t="s">
        <v>3003</v>
      </c>
      <c r="L77" s="6">
        <v>4</v>
      </c>
      <c r="M77" s="6" t="s">
        <v>99</v>
      </c>
      <c r="N77" s="15" t="s">
        <v>3004</v>
      </c>
      <c r="O77" s="15" t="s">
        <v>241</v>
      </c>
      <c r="P77" s="6" t="s">
        <v>99</v>
      </c>
      <c r="Q77" s="6" t="s">
        <v>99</v>
      </c>
      <c r="R77" s="6"/>
      <c r="S77" s="6" t="s">
        <v>99</v>
      </c>
      <c r="T77" s="6" t="s">
        <v>110</v>
      </c>
      <c r="U77" s="6" t="s">
        <v>99</v>
      </c>
      <c r="W77" s="16" t="s">
        <v>2226</v>
      </c>
      <c r="X77" s="6"/>
      <c r="Y77" s="6" t="s">
        <v>110</v>
      </c>
      <c r="Z77" s="9" t="s">
        <v>3005</v>
      </c>
      <c r="AA77" s="6" t="s">
        <v>100</v>
      </c>
      <c r="AB77" s="6" t="s">
        <v>100</v>
      </c>
      <c r="AC77" s="6"/>
      <c r="AE77" s="6" t="s">
        <v>99</v>
      </c>
      <c r="AF77" s="15" t="s">
        <v>3006</v>
      </c>
      <c r="AG77" s="15" t="s">
        <v>2252</v>
      </c>
      <c r="AH77" s="6" t="s">
        <v>99</v>
      </c>
      <c r="AI77" s="15" t="s">
        <v>118</v>
      </c>
      <c r="AJ77" s="6" t="s">
        <v>99</v>
      </c>
      <c r="AK77" s="6" t="s">
        <v>99</v>
      </c>
      <c r="AL77" s="6">
        <v>65.2</v>
      </c>
      <c r="AM77" s="9">
        <v>160</v>
      </c>
      <c r="AN77" s="6">
        <v>74.5</v>
      </c>
      <c r="AO77" s="6">
        <v>101</v>
      </c>
      <c r="AP77" s="6">
        <v>41</v>
      </c>
      <c r="AQ77" s="6">
        <v>8</v>
      </c>
      <c r="AR77" s="6">
        <v>23.5</v>
      </c>
      <c r="AS77" s="6">
        <v>60</v>
      </c>
      <c r="AT77" s="6">
        <v>25.5</v>
      </c>
      <c r="AU77" s="15">
        <v>143</v>
      </c>
      <c r="AV77" s="15">
        <v>98</v>
      </c>
      <c r="DC77" s="91">
        <v>100</v>
      </c>
      <c r="DD77" s="82">
        <v>0.66</v>
      </c>
      <c r="DE77" s="91">
        <v>226</v>
      </c>
      <c r="DF77" s="91">
        <v>171</v>
      </c>
      <c r="DG77" s="9">
        <f t="shared" si="1"/>
        <v>4.873416871245376</v>
      </c>
      <c r="DH77" s="82">
        <v>34</v>
      </c>
      <c r="DI77" s="82">
        <v>4.12</v>
      </c>
      <c r="DJ77" s="6"/>
      <c r="DK77" s="6"/>
      <c r="DL77" s="6">
        <v>52</v>
      </c>
      <c r="DM77" s="6">
        <v>140</v>
      </c>
      <c r="DN77" s="6"/>
      <c r="DP77" s="11">
        <v>2</v>
      </c>
      <c r="DQ77" s="6" t="s">
        <v>105</v>
      </c>
      <c r="DR77" s="9">
        <v>2</v>
      </c>
      <c r="DU77" s="9">
        <v>6</v>
      </c>
    </row>
    <row r="78" spans="1:125" x14ac:dyDescent="0.2">
      <c r="A78" s="99">
        <v>228</v>
      </c>
      <c r="B78" s="8">
        <v>42923</v>
      </c>
      <c r="C78" s="6" t="s">
        <v>95</v>
      </c>
      <c r="D78" s="6">
        <v>67</v>
      </c>
      <c r="E78" s="6"/>
      <c r="G78" s="6" t="s">
        <v>3009</v>
      </c>
      <c r="H78" s="6" t="s">
        <v>3010</v>
      </c>
      <c r="I78" s="9">
        <v>14</v>
      </c>
      <c r="J78" s="10" t="s">
        <v>1543</v>
      </c>
      <c r="K78" s="9">
        <v>1980</v>
      </c>
      <c r="L78" s="6">
        <v>2</v>
      </c>
      <c r="M78" s="6" t="s">
        <v>99</v>
      </c>
      <c r="N78" s="6" t="s">
        <v>99</v>
      </c>
      <c r="O78" s="15" t="s">
        <v>110</v>
      </c>
      <c r="P78" s="6" t="s">
        <v>110</v>
      </c>
      <c r="Q78" s="6" t="s">
        <v>99</v>
      </c>
      <c r="R78" s="6" t="s">
        <v>99</v>
      </c>
      <c r="S78" s="6" t="s">
        <v>110</v>
      </c>
      <c r="T78" s="6" t="s">
        <v>110</v>
      </c>
      <c r="U78" s="6" t="s">
        <v>3011</v>
      </c>
      <c r="W78" s="6"/>
      <c r="X78" s="6"/>
      <c r="Y78" s="6" t="s">
        <v>2309</v>
      </c>
      <c r="AA78" s="9" t="s">
        <v>100</v>
      </c>
      <c r="AB78" s="6" t="s">
        <v>100</v>
      </c>
      <c r="AC78" s="6" t="s">
        <v>100</v>
      </c>
      <c r="AD78" s="9" t="s">
        <v>100</v>
      </c>
      <c r="AE78" s="9" t="s">
        <v>483</v>
      </c>
      <c r="AF78" s="15" t="s">
        <v>3012</v>
      </c>
      <c r="AG78" s="6" t="s">
        <v>99</v>
      </c>
      <c r="AH78" s="6" t="s">
        <v>99</v>
      </c>
      <c r="AI78" s="6" t="s">
        <v>99</v>
      </c>
      <c r="AJ78" s="6" t="s">
        <v>99</v>
      </c>
      <c r="AK78" s="6" t="s">
        <v>99</v>
      </c>
      <c r="AL78" s="6">
        <v>63.7</v>
      </c>
      <c r="AN78" s="15">
        <v>83.5</v>
      </c>
      <c r="AO78" s="6">
        <v>93.5</v>
      </c>
      <c r="AP78" s="6">
        <v>32.700000000000003</v>
      </c>
      <c r="AQ78" s="6">
        <v>6</v>
      </c>
      <c r="AR78" s="6">
        <v>26.5</v>
      </c>
      <c r="AS78" s="6">
        <v>41</v>
      </c>
      <c r="AT78" s="79">
        <v>21.2</v>
      </c>
      <c r="AU78" s="15">
        <v>138</v>
      </c>
      <c r="AV78" s="15">
        <v>88</v>
      </c>
      <c r="DC78" s="91">
        <v>117</v>
      </c>
      <c r="DD78" s="82">
        <v>0.43</v>
      </c>
      <c r="DE78" s="91">
        <v>219</v>
      </c>
      <c r="DF78" s="91">
        <v>178</v>
      </c>
      <c r="DG78" s="9">
        <f t="shared" si="1"/>
        <v>4.9719787425449207</v>
      </c>
      <c r="DH78" s="82">
        <v>35</v>
      </c>
      <c r="DI78" s="82">
        <v>3.23</v>
      </c>
      <c r="DJ78" s="6"/>
      <c r="DK78" s="6"/>
      <c r="DL78" s="6">
        <v>43</v>
      </c>
      <c r="DM78" s="6">
        <v>141</v>
      </c>
      <c r="DN78" s="6"/>
      <c r="DP78" s="11">
        <v>3</v>
      </c>
      <c r="DQ78" s="6" t="s">
        <v>105</v>
      </c>
      <c r="DR78" s="9">
        <v>2</v>
      </c>
    </row>
    <row r="79" spans="1:125" x14ac:dyDescent="0.2">
      <c r="A79" s="16">
        <v>232</v>
      </c>
      <c r="B79" s="8">
        <v>42926</v>
      </c>
      <c r="C79" s="6" t="s">
        <v>107</v>
      </c>
      <c r="D79" s="6">
        <v>62</v>
      </c>
      <c r="E79" s="6" t="s">
        <v>100</v>
      </c>
      <c r="F79" s="17">
        <v>20362</v>
      </c>
      <c r="G79" s="6" t="s">
        <v>3042</v>
      </c>
      <c r="H79" s="6" t="s">
        <v>3001</v>
      </c>
      <c r="L79" s="6"/>
      <c r="M79" s="6" t="s">
        <v>99</v>
      </c>
      <c r="N79" s="6" t="s">
        <v>99</v>
      </c>
      <c r="O79" s="15" t="s">
        <v>110</v>
      </c>
      <c r="P79" s="6" t="s">
        <v>99</v>
      </c>
      <c r="Q79" s="6" t="s">
        <v>110</v>
      </c>
      <c r="R79" s="6"/>
      <c r="S79" s="6" t="s">
        <v>110</v>
      </c>
      <c r="T79" s="6" t="s">
        <v>110</v>
      </c>
      <c r="U79" s="6" t="s">
        <v>3043</v>
      </c>
      <c r="W79" s="6" t="s">
        <v>3044</v>
      </c>
      <c r="X79" s="6" t="s">
        <v>483</v>
      </c>
      <c r="Y79" s="6" t="s">
        <v>99</v>
      </c>
      <c r="AA79" s="6" t="s">
        <v>100</v>
      </c>
      <c r="AB79" s="6" t="s">
        <v>100</v>
      </c>
      <c r="AC79" s="6" t="s">
        <v>100</v>
      </c>
      <c r="AD79" s="6" t="s">
        <v>100</v>
      </c>
      <c r="AE79" s="15" t="s">
        <v>3045</v>
      </c>
      <c r="AF79" s="15" t="s">
        <v>118</v>
      </c>
      <c r="AG79" s="15" t="s">
        <v>125</v>
      </c>
      <c r="AH79" s="15" t="s">
        <v>126</v>
      </c>
      <c r="AI79" s="6" t="s">
        <v>483</v>
      </c>
      <c r="AJ79" s="6" t="s">
        <v>483</v>
      </c>
      <c r="AK79" s="6" t="s">
        <v>99</v>
      </c>
      <c r="AL79" s="19">
        <v>56</v>
      </c>
      <c r="AM79" s="30">
        <v>174</v>
      </c>
      <c r="AN79" s="15">
        <v>100</v>
      </c>
      <c r="AO79" s="6">
        <v>98.5</v>
      </c>
      <c r="AP79" s="6">
        <v>16</v>
      </c>
      <c r="AQ79" s="6">
        <v>8</v>
      </c>
      <c r="AR79" s="6">
        <v>38.299999999999997</v>
      </c>
      <c r="AS79" s="6">
        <v>56</v>
      </c>
      <c r="AT79" s="19">
        <v>26</v>
      </c>
      <c r="AU79" s="15">
        <v>163</v>
      </c>
      <c r="AV79" s="15">
        <v>107</v>
      </c>
      <c r="DC79" s="91">
        <v>103</v>
      </c>
      <c r="DD79" s="82">
        <v>0.9</v>
      </c>
      <c r="DE79" s="91">
        <v>209</v>
      </c>
      <c r="DF79" s="91">
        <v>319</v>
      </c>
      <c r="DG79" s="9">
        <f t="shared" si="1"/>
        <v>5.1999600455072406</v>
      </c>
      <c r="DH79" s="82">
        <v>60</v>
      </c>
      <c r="DI79" s="82">
        <v>7.19</v>
      </c>
      <c r="DJ79" s="6"/>
      <c r="DK79" s="6"/>
      <c r="DL79" s="6">
        <v>47</v>
      </c>
      <c r="DM79" s="6">
        <v>102</v>
      </c>
      <c r="DN79" s="6"/>
      <c r="DP79" s="18">
        <v>1</v>
      </c>
      <c r="DQ79" s="6" t="s">
        <v>111</v>
      </c>
      <c r="DR79" s="9">
        <v>2</v>
      </c>
      <c r="DT79" s="9">
        <v>3.4</v>
      </c>
      <c r="DU79" s="9">
        <v>5.6</v>
      </c>
    </row>
    <row r="80" spans="1:125" x14ac:dyDescent="0.2">
      <c r="A80" s="100">
        <v>233</v>
      </c>
      <c r="B80" s="8">
        <v>42923</v>
      </c>
      <c r="C80" s="6" t="s">
        <v>95</v>
      </c>
      <c r="D80" s="6">
        <v>75</v>
      </c>
      <c r="E80" s="6" t="s">
        <v>100</v>
      </c>
      <c r="F80" s="17">
        <v>18872</v>
      </c>
      <c r="G80" s="6" t="s">
        <v>197</v>
      </c>
      <c r="H80" s="6" t="s">
        <v>3001</v>
      </c>
      <c r="I80" s="9">
        <v>13</v>
      </c>
      <c r="J80" s="10">
        <v>42</v>
      </c>
      <c r="K80" s="9">
        <v>31</v>
      </c>
      <c r="L80" s="6">
        <v>3</v>
      </c>
      <c r="M80" s="6" t="s">
        <v>99</v>
      </c>
      <c r="N80" s="6" t="s">
        <v>99</v>
      </c>
      <c r="O80" s="15" t="s">
        <v>3046</v>
      </c>
      <c r="P80" s="6" t="s">
        <v>110</v>
      </c>
      <c r="Q80" s="6" t="s">
        <v>110</v>
      </c>
      <c r="R80" s="6"/>
      <c r="S80" s="6" t="s">
        <v>110</v>
      </c>
      <c r="T80" s="6" t="s">
        <v>110</v>
      </c>
      <c r="U80" s="88" t="s">
        <v>3047</v>
      </c>
      <c r="W80" s="6" t="s">
        <v>3048</v>
      </c>
      <c r="X80" s="6" t="s">
        <v>99</v>
      </c>
      <c r="Y80" s="6" t="s">
        <v>1903</v>
      </c>
      <c r="AA80" s="85" t="s">
        <v>2395</v>
      </c>
      <c r="AB80" s="6" t="s">
        <v>100</v>
      </c>
      <c r="AC80" s="85" t="s">
        <v>2709</v>
      </c>
      <c r="AD80" s="6" t="s">
        <v>100</v>
      </c>
      <c r="AE80" s="15" t="s">
        <v>3049</v>
      </c>
      <c r="AF80" s="6" t="s">
        <v>99</v>
      </c>
      <c r="AG80" s="15" t="s">
        <v>3050</v>
      </c>
      <c r="AH80" s="6"/>
      <c r="AI80" s="15" t="s">
        <v>110</v>
      </c>
      <c r="AJ80" s="15" t="s">
        <v>110</v>
      </c>
      <c r="AK80" s="15" t="s">
        <v>3051</v>
      </c>
      <c r="AL80" s="6">
        <v>75.7</v>
      </c>
      <c r="AN80" s="15">
        <v>90</v>
      </c>
      <c r="AO80" s="6">
        <v>104</v>
      </c>
      <c r="AP80" s="6">
        <v>39.5</v>
      </c>
      <c r="AQ80" s="6">
        <v>9</v>
      </c>
      <c r="AR80" s="6">
        <v>26.1</v>
      </c>
      <c r="AS80" s="6">
        <v>62</v>
      </c>
      <c r="AT80" s="6">
        <v>27.1</v>
      </c>
      <c r="AU80" s="6">
        <v>111</v>
      </c>
      <c r="AV80" s="6">
        <v>78</v>
      </c>
      <c r="DC80" s="91">
        <v>101</v>
      </c>
      <c r="DD80" s="82">
        <v>0.85</v>
      </c>
      <c r="DE80" s="91">
        <v>209</v>
      </c>
      <c r="DF80" s="91">
        <v>160</v>
      </c>
      <c r="DG80" s="9">
        <f t="shared" si="1"/>
        <v>4.8451471660375436</v>
      </c>
      <c r="DH80" s="82">
        <v>32</v>
      </c>
      <c r="DI80" s="82">
        <v>5.9</v>
      </c>
      <c r="DJ80" s="6"/>
      <c r="DK80" s="6"/>
      <c r="DL80" s="6">
        <v>46</v>
      </c>
      <c r="DM80" s="6">
        <v>131</v>
      </c>
      <c r="DN80" s="6"/>
      <c r="DQ80" s="6" t="s">
        <v>111</v>
      </c>
      <c r="DR80" s="9">
        <v>2</v>
      </c>
      <c r="DT80" s="9">
        <v>13.1</v>
      </c>
      <c r="DU80" s="9">
        <v>4.5999999999999996</v>
      </c>
    </row>
    <row r="81" spans="1:125" x14ac:dyDescent="0.2">
      <c r="A81" s="16">
        <v>235</v>
      </c>
      <c r="B81" s="8">
        <v>42924</v>
      </c>
      <c r="C81" s="6" t="s">
        <v>95</v>
      </c>
      <c r="D81" s="6">
        <v>63</v>
      </c>
      <c r="E81" s="6" t="s">
        <v>100</v>
      </c>
      <c r="G81" s="6" t="s">
        <v>197</v>
      </c>
      <c r="H81" s="6"/>
      <c r="I81" s="9">
        <v>13</v>
      </c>
      <c r="J81" s="10">
        <v>48</v>
      </c>
      <c r="K81" s="9">
        <v>50</v>
      </c>
      <c r="L81" s="6">
        <v>10</v>
      </c>
      <c r="M81" s="6" t="s">
        <v>99</v>
      </c>
      <c r="N81" s="15" t="s">
        <v>110</v>
      </c>
      <c r="O81" s="6" t="s">
        <v>99</v>
      </c>
      <c r="P81" s="6" t="s">
        <v>99</v>
      </c>
      <c r="Q81" s="6" t="s">
        <v>99</v>
      </c>
      <c r="R81" s="6" t="s">
        <v>110</v>
      </c>
      <c r="S81" s="6" t="s">
        <v>110</v>
      </c>
      <c r="T81" s="6" t="s">
        <v>110</v>
      </c>
      <c r="U81" s="6" t="s">
        <v>99</v>
      </c>
      <c r="W81" s="16" t="s">
        <v>3062</v>
      </c>
      <c r="X81" s="6" t="s">
        <v>99</v>
      </c>
      <c r="Y81" s="6" t="s">
        <v>99</v>
      </c>
      <c r="AA81" s="6" t="s">
        <v>100</v>
      </c>
      <c r="AB81" s="6" t="s">
        <v>100</v>
      </c>
      <c r="AC81" s="6"/>
      <c r="AD81" s="6"/>
      <c r="AE81" s="6" t="s">
        <v>99</v>
      </c>
      <c r="AF81" s="15" t="s">
        <v>3063</v>
      </c>
      <c r="AG81" s="6" t="s">
        <v>99</v>
      </c>
      <c r="AH81" s="6" t="s">
        <v>99</v>
      </c>
      <c r="AI81" s="6" t="s">
        <v>99</v>
      </c>
      <c r="AJ81" s="6" t="s">
        <v>99</v>
      </c>
      <c r="AK81" s="15" t="s">
        <v>3064</v>
      </c>
      <c r="AL81" s="6">
        <v>63.4</v>
      </c>
      <c r="AN81" s="15">
        <v>97</v>
      </c>
      <c r="AO81" s="6">
        <v>97</v>
      </c>
      <c r="AP81" s="6">
        <v>48.2</v>
      </c>
      <c r="AQ81" s="6">
        <v>14</v>
      </c>
      <c r="AR81" s="6">
        <v>1.5</v>
      </c>
      <c r="AS81" s="6">
        <v>80</v>
      </c>
      <c r="AT81" s="6">
        <v>30.3</v>
      </c>
      <c r="AU81" s="15">
        <v>156</v>
      </c>
      <c r="AV81" s="15">
        <v>92</v>
      </c>
      <c r="DC81" s="91">
        <v>103.5</v>
      </c>
      <c r="DD81" s="82">
        <v>0.59</v>
      </c>
      <c r="DE81" s="82">
        <v>158</v>
      </c>
      <c r="DF81" s="82">
        <v>147</v>
      </c>
      <c r="DG81" s="9">
        <f t="shared" si="1"/>
        <v>4.8150020997420802</v>
      </c>
      <c r="DH81" s="82">
        <v>29</v>
      </c>
      <c r="DI81" s="82">
        <v>5.39</v>
      </c>
      <c r="DJ81" s="6"/>
      <c r="DK81" s="6"/>
      <c r="DL81" s="6">
        <v>68</v>
      </c>
      <c r="DM81" s="6">
        <v>61</v>
      </c>
      <c r="DN81" s="6"/>
      <c r="DP81" s="11">
        <v>2</v>
      </c>
      <c r="DQ81" s="19" t="s">
        <v>112</v>
      </c>
      <c r="DR81" s="9">
        <v>2</v>
      </c>
      <c r="DU81" s="9">
        <v>7.3</v>
      </c>
    </row>
    <row r="82" spans="1:125" x14ac:dyDescent="0.2">
      <c r="A82" s="16">
        <v>237</v>
      </c>
      <c r="B82" s="8">
        <v>42924</v>
      </c>
      <c r="C82" s="6" t="s">
        <v>95</v>
      </c>
      <c r="D82" s="6">
        <v>60</v>
      </c>
      <c r="E82" s="6" t="s">
        <v>100</v>
      </c>
      <c r="F82" s="17">
        <v>20776</v>
      </c>
      <c r="G82" s="6"/>
      <c r="H82" s="6" t="s">
        <v>3069</v>
      </c>
      <c r="I82" s="9">
        <v>15</v>
      </c>
      <c r="J82" s="10">
        <v>50</v>
      </c>
      <c r="K82" s="9">
        <v>1995</v>
      </c>
      <c r="L82" s="6">
        <v>5</v>
      </c>
      <c r="M82" s="6" t="s">
        <v>99</v>
      </c>
      <c r="N82" s="6" t="s">
        <v>99</v>
      </c>
      <c r="O82" s="6" t="s">
        <v>99</v>
      </c>
      <c r="P82" s="6" t="s">
        <v>99</v>
      </c>
      <c r="Q82" s="6" t="s">
        <v>99</v>
      </c>
      <c r="R82" s="6"/>
      <c r="S82" s="6" t="s">
        <v>99</v>
      </c>
      <c r="T82" s="6" t="s">
        <v>99</v>
      </c>
      <c r="U82" s="6" t="s">
        <v>2439</v>
      </c>
      <c r="W82" s="6"/>
      <c r="X82" s="6"/>
      <c r="Y82" s="6" t="s">
        <v>3070</v>
      </c>
      <c r="AA82" s="6" t="s">
        <v>100</v>
      </c>
      <c r="AB82" s="6" t="s">
        <v>100</v>
      </c>
      <c r="AC82" s="6" t="s">
        <v>100</v>
      </c>
      <c r="AD82" s="6" t="s">
        <v>100</v>
      </c>
      <c r="AE82" s="6" t="s">
        <v>99</v>
      </c>
      <c r="AF82" s="15" t="s">
        <v>3071</v>
      </c>
      <c r="AG82" s="6" t="s">
        <v>99</v>
      </c>
      <c r="AH82" s="6" t="s">
        <v>99</v>
      </c>
      <c r="AI82" s="6" t="s">
        <v>99</v>
      </c>
      <c r="AJ82" s="6" t="s">
        <v>99</v>
      </c>
      <c r="AK82" s="6"/>
      <c r="AL82" s="6">
        <v>79.7</v>
      </c>
      <c r="AN82" s="15">
        <v>95</v>
      </c>
      <c r="AO82" s="6">
        <v>106</v>
      </c>
      <c r="AP82" s="6">
        <v>43.7</v>
      </c>
      <c r="AQ82" s="6">
        <v>12</v>
      </c>
      <c r="AR82" s="6">
        <v>25</v>
      </c>
      <c r="AS82" s="6">
        <v>71</v>
      </c>
      <c r="AT82" s="6">
        <v>33</v>
      </c>
      <c r="AU82" s="6">
        <v>113</v>
      </c>
      <c r="AV82" s="6">
        <v>85</v>
      </c>
      <c r="DC82" s="91">
        <v>120</v>
      </c>
      <c r="DD82" s="82">
        <v>0.89</v>
      </c>
      <c r="DE82" s="91">
        <v>280</v>
      </c>
      <c r="DF82" s="91">
        <v>370</v>
      </c>
      <c r="DG82" s="9">
        <f t="shared" si="1"/>
        <v>5.3504973742101578</v>
      </c>
      <c r="DH82" s="82">
        <v>60</v>
      </c>
      <c r="DI82" s="82">
        <v>6.94</v>
      </c>
      <c r="DJ82" s="6"/>
      <c r="DK82" s="6"/>
      <c r="DL82" s="6">
        <v>57</v>
      </c>
      <c r="DM82" s="6">
        <v>163</v>
      </c>
      <c r="DN82" s="6"/>
      <c r="DP82" s="11">
        <v>3</v>
      </c>
      <c r="DQ82" s="6" t="s">
        <v>105</v>
      </c>
      <c r="DR82" s="9">
        <v>2</v>
      </c>
      <c r="DT82" s="9">
        <v>14.8</v>
      </c>
      <c r="DU82" s="9">
        <v>3.24</v>
      </c>
    </row>
    <row r="83" spans="1:125" x14ac:dyDescent="0.2">
      <c r="A83" s="78">
        <v>239</v>
      </c>
      <c r="B83" s="8">
        <v>42926</v>
      </c>
      <c r="C83" s="6" t="s">
        <v>95</v>
      </c>
      <c r="D83" s="6">
        <v>59</v>
      </c>
      <c r="E83" s="6" t="s">
        <v>100</v>
      </c>
      <c r="F83" s="17">
        <v>21232</v>
      </c>
      <c r="G83" s="6" t="s">
        <v>197</v>
      </c>
      <c r="H83" s="6" t="s">
        <v>3001</v>
      </c>
      <c r="I83" s="9">
        <v>16</v>
      </c>
      <c r="J83" s="10">
        <v>48</v>
      </c>
      <c r="K83" s="9">
        <v>31</v>
      </c>
      <c r="L83" s="6">
        <v>2</v>
      </c>
      <c r="M83" s="6" t="s">
        <v>99</v>
      </c>
      <c r="N83" s="6" t="s">
        <v>99</v>
      </c>
      <c r="O83" s="15" t="s">
        <v>3073</v>
      </c>
      <c r="P83" s="6" t="s">
        <v>99</v>
      </c>
      <c r="Q83" s="6" t="s">
        <v>99</v>
      </c>
      <c r="R83" s="6" t="s">
        <v>99</v>
      </c>
      <c r="S83" s="6" t="s">
        <v>99</v>
      </c>
      <c r="T83" s="6" t="s">
        <v>99</v>
      </c>
      <c r="U83" s="6" t="s">
        <v>99</v>
      </c>
      <c r="W83" s="6" t="s">
        <v>99</v>
      </c>
      <c r="X83" s="6" t="s">
        <v>99</v>
      </c>
      <c r="Y83" s="6" t="s">
        <v>99</v>
      </c>
      <c r="AA83" s="6" t="s">
        <v>100</v>
      </c>
      <c r="AB83" s="6" t="s">
        <v>100</v>
      </c>
      <c r="AC83" s="6" t="s">
        <v>100</v>
      </c>
      <c r="AD83" s="6" t="s">
        <v>100</v>
      </c>
      <c r="AE83" s="15" t="s">
        <v>118</v>
      </c>
      <c r="AF83" s="6" t="s">
        <v>99</v>
      </c>
      <c r="AG83" s="15" t="s">
        <v>3074</v>
      </c>
      <c r="AH83" s="6" t="s">
        <v>99</v>
      </c>
      <c r="AI83" s="15" t="s">
        <v>125</v>
      </c>
      <c r="AJ83" s="6" t="s">
        <v>99</v>
      </c>
      <c r="AK83" s="6"/>
      <c r="AL83" s="6">
        <v>58.1</v>
      </c>
      <c r="AM83" s="9">
        <v>158</v>
      </c>
      <c r="AN83" s="6">
        <v>75.5</v>
      </c>
      <c r="AO83" s="6">
        <v>95</v>
      </c>
      <c r="AP83" s="6">
        <v>33.299999999999997</v>
      </c>
      <c r="AQ83" s="6">
        <v>7</v>
      </c>
      <c r="AR83" s="6">
        <v>27.8</v>
      </c>
      <c r="AS83" s="6">
        <v>51</v>
      </c>
      <c r="AT83" s="79">
        <v>23.3</v>
      </c>
      <c r="AU83" s="6">
        <v>102</v>
      </c>
      <c r="AV83" s="6">
        <v>78</v>
      </c>
      <c r="DC83" s="91">
        <v>101</v>
      </c>
      <c r="DD83" s="82">
        <v>0.94</v>
      </c>
      <c r="DE83" s="91">
        <v>201</v>
      </c>
      <c r="DF83" s="91">
        <v>159</v>
      </c>
      <c r="DG83" s="9">
        <f t="shared" si="1"/>
        <v>4.8420123595307452</v>
      </c>
      <c r="DH83" s="82">
        <v>31</v>
      </c>
      <c r="DI83" s="82">
        <v>4.13</v>
      </c>
      <c r="DJ83" s="6"/>
      <c r="DK83" s="6"/>
      <c r="DL83" s="6">
        <v>57</v>
      </c>
      <c r="DM83" s="6">
        <v>113</v>
      </c>
      <c r="DN83" s="6"/>
      <c r="DP83" s="11">
        <v>2</v>
      </c>
      <c r="DQ83" s="6" t="s">
        <v>111</v>
      </c>
      <c r="DR83" s="9">
        <v>3</v>
      </c>
      <c r="DU83" s="9">
        <v>4.5</v>
      </c>
    </row>
    <row r="84" spans="1:125" x14ac:dyDescent="0.2">
      <c r="A84" s="78">
        <v>240</v>
      </c>
      <c r="B84" s="8">
        <v>42926</v>
      </c>
      <c r="C84" s="6" t="s">
        <v>95</v>
      </c>
      <c r="D84" s="6">
        <v>46</v>
      </c>
      <c r="E84" s="16" t="s">
        <v>840</v>
      </c>
      <c r="F84" s="17">
        <v>25796</v>
      </c>
      <c r="G84" s="6" t="s">
        <v>197</v>
      </c>
      <c r="H84" s="6" t="s">
        <v>3001</v>
      </c>
      <c r="I84" s="9">
        <v>12</v>
      </c>
      <c r="J84" s="9" t="s">
        <v>99</v>
      </c>
      <c r="K84" s="9">
        <v>2007</v>
      </c>
      <c r="L84" s="16" t="s">
        <v>2626</v>
      </c>
      <c r="M84" s="6" t="s">
        <v>99</v>
      </c>
      <c r="N84" s="6" t="s">
        <v>99</v>
      </c>
      <c r="O84" s="6" t="s">
        <v>99</v>
      </c>
      <c r="P84" s="6" t="s">
        <v>99</v>
      </c>
      <c r="Q84" s="6" t="s">
        <v>99</v>
      </c>
      <c r="R84" s="6"/>
      <c r="S84" s="6" t="s">
        <v>99</v>
      </c>
      <c r="T84" s="6" t="s">
        <v>110</v>
      </c>
      <c r="U84" s="6" t="s">
        <v>3075</v>
      </c>
      <c r="W84" s="6" t="s">
        <v>2810</v>
      </c>
      <c r="X84" s="6" t="s">
        <v>99</v>
      </c>
      <c r="Y84" s="6" t="s">
        <v>3076</v>
      </c>
      <c r="AA84" s="16" t="s">
        <v>840</v>
      </c>
      <c r="AB84" s="16" t="s">
        <v>840</v>
      </c>
      <c r="AC84" s="16" t="s">
        <v>840</v>
      </c>
      <c r="AD84" s="9" t="s">
        <v>2234</v>
      </c>
      <c r="AE84" s="15" t="s">
        <v>3077</v>
      </c>
      <c r="AF84" s="6" t="s">
        <v>99</v>
      </c>
      <c r="AG84" s="15" t="s">
        <v>3078</v>
      </c>
      <c r="AH84" s="15" t="s">
        <v>125</v>
      </c>
      <c r="AI84" s="6" t="s">
        <v>99</v>
      </c>
      <c r="AJ84" s="6" t="s">
        <v>99</v>
      </c>
      <c r="AK84" s="6" t="s">
        <v>99</v>
      </c>
      <c r="AL84" s="6">
        <v>68.2</v>
      </c>
      <c r="AM84" s="9">
        <v>167</v>
      </c>
      <c r="AN84" s="6">
        <v>77</v>
      </c>
      <c r="AO84" s="6">
        <v>100</v>
      </c>
      <c r="AP84" s="6">
        <v>39.9</v>
      </c>
      <c r="AQ84" s="6">
        <v>7</v>
      </c>
      <c r="AR84" s="6">
        <v>24.1</v>
      </c>
      <c r="AS84" s="6">
        <v>47</v>
      </c>
      <c r="AT84" s="79">
        <v>24.5</v>
      </c>
      <c r="AU84" s="6">
        <v>99</v>
      </c>
      <c r="AV84" s="6">
        <v>74</v>
      </c>
      <c r="DC84" s="91">
        <v>110</v>
      </c>
      <c r="DD84" s="82">
        <v>0.65</v>
      </c>
      <c r="DE84" s="91">
        <v>209</v>
      </c>
      <c r="DF84" s="91">
        <v>184</v>
      </c>
      <c r="DG84" s="9">
        <f t="shared" si="1"/>
        <v>4.9577080617007008</v>
      </c>
      <c r="DH84" s="82">
        <v>36</v>
      </c>
      <c r="DI84" s="82">
        <v>4.6500000000000004</v>
      </c>
      <c r="DJ84" s="6"/>
      <c r="DK84" s="6"/>
      <c r="DL84" s="6">
        <v>47</v>
      </c>
      <c r="DM84" s="6">
        <v>126</v>
      </c>
      <c r="DN84" s="6"/>
      <c r="DP84" s="11">
        <v>2</v>
      </c>
      <c r="DQ84" s="6" t="s">
        <v>111</v>
      </c>
      <c r="DR84" s="9">
        <v>3</v>
      </c>
      <c r="DU84" s="9">
        <v>6.1</v>
      </c>
    </row>
    <row r="85" spans="1:125" x14ac:dyDescent="0.2">
      <c r="A85" s="16">
        <v>243</v>
      </c>
      <c r="B85" s="8">
        <v>42926</v>
      </c>
      <c r="C85" s="6" t="s">
        <v>95</v>
      </c>
      <c r="D85" s="6">
        <v>68</v>
      </c>
      <c r="E85" s="6" t="s">
        <v>100</v>
      </c>
      <c r="F85" s="17">
        <v>18185</v>
      </c>
      <c r="G85" s="6" t="s">
        <v>197</v>
      </c>
      <c r="H85" s="6" t="s">
        <v>3001</v>
      </c>
      <c r="I85" s="9">
        <v>13</v>
      </c>
      <c r="J85" s="10">
        <v>50</v>
      </c>
      <c r="K85" s="9">
        <v>1977</v>
      </c>
      <c r="L85" s="6">
        <v>5</v>
      </c>
      <c r="M85" s="15" t="s">
        <v>3109</v>
      </c>
      <c r="N85" s="15" t="s">
        <v>3110</v>
      </c>
      <c r="O85" s="15" t="s">
        <v>3111</v>
      </c>
      <c r="P85" s="6" t="s">
        <v>99</v>
      </c>
      <c r="Q85" s="6" t="s">
        <v>110</v>
      </c>
      <c r="R85" s="6" t="s">
        <v>110</v>
      </c>
      <c r="S85" s="6" t="s">
        <v>99</v>
      </c>
      <c r="T85" s="6" t="s">
        <v>110</v>
      </c>
      <c r="U85" s="6" t="s">
        <v>3054</v>
      </c>
      <c r="W85" s="6" t="s">
        <v>3054</v>
      </c>
      <c r="X85" s="6" t="s">
        <v>99</v>
      </c>
      <c r="Y85" s="6" t="s">
        <v>1903</v>
      </c>
      <c r="AA85" s="6" t="s">
        <v>100</v>
      </c>
      <c r="AB85" s="6" t="s">
        <v>100</v>
      </c>
      <c r="AC85" s="6" t="s">
        <v>100</v>
      </c>
      <c r="AD85" s="6" t="s">
        <v>100</v>
      </c>
      <c r="AE85" s="15" t="s">
        <v>3112</v>
      </c>
      <c r="AF85" s="15" t="s">
        <v>118</v>
      </c>
      <c r="AG85" s="15" t="s">
        <v>3063</v>
      </c>
      <c r="AH85" s="6" t="s">
        <v>99</v>
      </c>
      <c r="AI85" s="6" t="s">
        <v>99</v>
      </c>
      <c r="AJ85" s="6" t="s">
        <v>99</v>
      </c>
      <c r="AK85" s="6" t="s">
        <v>99</v>
      </c>
      <c r="AL85" s="6">
        <v>62.1</v>
      </c>
      <c r="AM85" s="9">
        <v>150</v>
      </c>
      <c r="AN85" s="15">
        <v>89</v>
      </c>
      <c r="AO85" s="6">
        <v>93</v>
      </c>
      <c r="AP85" s="6">
        <v>41.5</v>
      </c>
      <c r="AQ85" s="6">
        <v>10</v>
      </c>
      <c r="AR85" s="6">
        <v>24.5</v>
      </c>
      <c r="AS85" s="6">
        <v>68</v>
      </c>
      <c r="AT85" s="6">
        <v>27.6</v>
      </c>
      <c r="AU85" s="15">
        <v>168</v>
      </c>
      <c r="AV85" s="15">
        <v>91</v>
      </c>
      <c r="DC85" s="15">
        <v>196.3</v>
      </c>
      <c r="DD85" s="6">
        <v>0.81</v>
      </c>
      <c r="DE85" s="15">
        <v>240</v>
      </c>
      <c r="DF85" s="15">
        <v>444</v>
      </c>
      <c r="DG85" s="9">
        <f t="shared" si="1"/>
        <v>5.6877343318573201</v>
      </c>
      <c r="DH85" s="6"/>
      <c r="DI85" s="6">
        <v>8.83</v>
      </c>
      <c r="DJ85" s="6"/>
      <c r="DK85" s="6"/>
      <c r="DL85" s="6">
        <v>53.7</v>
      </c>
      <c r="DM85" s="6"/>
      <c r="DN85" s="6"/>
      <c r="DQ85" s="6" t="s">
        <v>111</v>
      </c>
      <c r="DR85" s="9">
        <v>3</v>
      </c>
      <c r="DT85" s="9">
        <v>5.19</v>
      </c>
      <c r="DU85" s="9">
        <v>9.2100000000000009</v>
      </c>
    </row>
    <row r="86" spans="1:125" x14ac:dyDescent="0.2">
      <c r="A86" s="16">
        <v>245</v>
      </c>
      <c r="B86" s="8">
        <v>42926</v>
      </c>
      <c r="C86" s="6" t="s">
        <v>95</v>
      </c>
      <c r="D86" s="6">
        <v>54</v>
      </c>
      <c r="E86" s="88" t="s">
        <v>1203</v>
      </c>
      <c r="F86" s="17">
        <v>22925</v>
      </c>
      <c r="G86" s="6" t="s">
        <v>197</v>
      </c>
      <c r="H86" s="6" t="s">
        <v>3001</v>
      </c>
      <c r="I86" s="9">
        <v>12</v>
      </c>
      <c r="J86" s="10">
        <v>47</v>
      </c>
      <c r="K86" s="9">
        <v>1991</v>
      </c>
      <c r="L86" s="6">
        <v>2</v>
      </c>
      <c r="M86" s="6" t="s">
        <v>99</v>
      </c>
      <c r="N86" s="15" t="s">
        <v>3129</v>
      </c>
      <c r="O86" s="6" t="s">
        <v>99</v>
      </c>
      <c r="P86" s="6" t="s">
        <v>99</v>
      </c>
      <c r="Q86" s="6" t="s">
        <v>99</v>
      </c>
      <c r="R86" s="6" t="s">
        <v>110</v>
      </c>
      <c r="S86" s="6" t="s">
        <v>99</v>
      </c>
      <c r="T86" s="6" t="s">
        <v>110</v>
      </c>
      <c r="U86" s="6" t="s">
        <v>3130</v>
      </c>
      <c r="W86" s="6" t="s">
        <v>3131</v>
      </c>
      <c r="X86" s="6" t="s">
        <v>99</v>
      </c>
      <c r="Y86" s="6" t="s">
        <v>2949</v>
      </c>
      <c r="AA86" s="88" t="s">
        <v>1203</v>
      </c>
      <c r="AB86" s="88" t="s">
        <v>1203</v>
      </c>
      <c r="AC86" s="88" t="s">
        <v>1203</v>
      </c>
      <c r="AD86" s="88" t="s">
        <v>1203</v>
      </c>
      <c r="AE86" s="15" t="s">
        <v>118</v>
      </c>
      <c r="AF86" s="15" t="s">
        <v>118</v>
      </c>
      <c r="AG86" s="15" t="s">
        <v>125</v>
      </c>
      <c r="AH86" s="6"/>
      <c r="AI86" s="6"/>
      <c r="AJ86" s="6"/>
      <c r="AK86" s="15" t="s">
        <v>3132</v>
      </c>
      <c r="AL86" s="6">
        <v>70.099999999999994</v>
      </c>
      <c r="AM86" s="9">
        <v>157</v>
      </c>
      <c r="AN86" s="6">
        <v>80</v>
      </c>
      <c r="AO86" s="6">
        <v>105</v>
      </c>
      <c r="AP86" s="6">
        <v>45.6</v>
      </c>
      <c r="AQ86" s="6">
        <v>10</v>
      </c>
      <c r="AR86" s="6">
        <v>22.2</v>
      </c>
      <c r="AS86" s="6">
        <v>62</v>
      </c>
      <c r="AT86" s="6">
        <v>28.4</v>
      </c>
      <c r="AU86" s="16">
        <v>160</v>
      </c>
      <c r="AV86" s="16">
        <v>107</v>
      </c>
      <c r="DC86" s="91">
        <v>109.9</v>
      </c>
      <c r="DD86" s="82">
        <v>0.56000000000000005</v>
      </c>
      <c r="DE86" s="91">
        <v>228</v>
      </c>
      <c r="DF86" s="91">
        <v>152</v>
      </c>
      <c r="DG86" s="9">
        <f t="shared" si="1"/>
        <v>4.8617256911279263</v>
      </c>
      <c r="DH86" s="82">
        <v>30</v>
      </c>
      <c r="DI86" s="82">
        <v>5.88</v>
      </c>
      <c r="DJ86" s="6"/>
      <c r="DK86" s="6"/>
      <c r="DL86" s="6">
        <v>81</v>
      </c>
      <c r="DM86" s="6">
        <v>117</v>
      </c>
      <c r="DN86" s="6"/>
      <c r="DP86" s="11">
        <v>3</v>
      </c>
      <c r="DQ86" s="6" t="s">
        <v>111</v>
      </c>
      <c r="DR86" s="9">
        <v>3</v>
      </c>
      <c r="DU86" s="9">
        <v>9.5</v>
      </c>
    </row>
    <row r="87" spans="1:125" x14ac:dyDescent="0.2">
      <c r="A87" s="16">
        <v>250</v>
      </c>
      <c r="B87" s="8">
        <v>42924</v>
      </c>
      <c r="C87" s="6" t="s">
        <v>95</v>
      </c>
      <c r="D87" s="6">
        <v>45</v>
      </c>
      <c r="E87" s="6" t="s">
        <v>100</v>
      </c>
      <c r="F87" s="17">
        <v>26458</v>
      </c>
      <c r="G87" s="6"/>
      <c r="H87" s="6" t="s">
        <v>3173</v>
      </c>
      <c r="I87" s="9">
        <v>12</v>
      </c>
      <c r="J87" s="9" t="s">
        <v>483</v>
      </c>
      <c r="K87" s="9">
        <v>2010</v>
      </c>
      <c r="L87" s="6">
        <v>3</v>
      </c>
      <c r="M87" s="15" t="s">
        <v>3109</v>
      </c>
      <c r="N87" s="6" t="s">
        <v>99</v>
      </c>
      <c r="O87" s="6"/>
      <c r="P87" s="6" t="s">
        <v>110</v>
      </c>
      <c r="Q87" s="6" t="s">
        <v>99</v>
      </c>
      <c r="R87" s="6" t="s">
        <v>588</v>
      </c>
      <c r="S87" s="6"/>
      <c r="T87" s="6"/>
      <c r="U87" s="6"/>
      <c r="W87" s="6"/>
      <c r="X87" s="6"/>
      <c r="Y87" s="6" t="s">
        <v>1903</v>
      </c>
      <c r="AA87" s="9" t="s">
        <v>100</v>
      </c>
      <c r="AB87" s="6" t="s">
        <v>100</v>
      </c>
      <c r="AC87" s="6" t="s">
        <v>100</v>
      </c>
      <c r="AD87" s="35" t="s">
        <v>155</v>
      </c>
      <c r="AE87" s="15" t="s">
        <v>3174</v>
      </c>
      <c r="AF87" s="15" t="s">
        <v>3175</v>
      </c>
      <c r="AG87" s="15" t="s">
        <v>3175</v>
      </c>
      <c r="AH87" s="6" t="s">
        <v>99</v>
      </c>
      <c r="AI87" s="15" t="s">
        <v>664</v>
      </c>
      <c r="AJ87" s="6"/>
      <c r="AK87" s="6"/>
      <c r="AL87" s="6">
        <v>67.400000000000006</v>
      </c>
      <c r="AN87" s="15">
        <v>90</v>
      </c>
      <c r="AO87" s="6">
        <v>105</v>
      </c>
      <c r="AP87" s="6">
        <v>45.1</v>
      </c>
      <c r="AQ87" s="6">
        <v>8</v>
      </c>
      <c r="AR87" s="6">
        <v>22.41</v>
      </c>
      <c r="AS87" s="6">
        <v>56</v>
      </c>
      <c r="AT87" s="6">
        <v>28.1</v>
      </c>
      <c r="AU87" s="6">
        <v>95</v>
      </c>
      <c r="AV87" s="6">
        <v>68</v>
      </c>
      <c r="DC87" s="91">
        <v>109.5</v>
      </c>
      <c r="DD87" s="82">
        <v>0.57999999999999996</v>
      </c>
      <c r="DE87" s="82">
        <v>188</v>
      </c>
      <c r="DF87" s="91">
        <v>168</v>
      </c>
      <c r="DG87" s="9">
        <f t="shared" si="1"/>
        <v>4.9099442643299076</v>
      </c>
      <c r="DH87" s="82">
        <v>34</v>
      </c>
      <c r="DI87" s="82">
        <v>4.67</v>
      </c>
      <c r="DJ87" s="6"/>
      <c r="DK87" s="6"/>
      <c r="DL87" s="6">
        <v>65</v>
      </c>
      <c r="DM87" s="6">
        <v>89</v>
      </c>
      <c r="DN87" s="6"/>
      <c r="DP87" s="11">
        <v>3</v>
      </c>
      <c r="DQ87" s="6" t="s">
        <v>111</v>
      </c>
      <c r="DR87" s="9">
        <v>2</v>
      </c>
      <c r="DU87" s="9">
        <v>12</v>
      </c>
    </row>
    <row r="88" spans="1:125" x14ac:dyDescent="0.2">
      <c r="A88" s="16">
        <v>251</v>
      </c>
      <c r="B88" s="8">
        <v>42924</v>
      </c>
      <c r="C88" s="6" t="s">
        <v>95</v>
      </c>
      <c r="D88" s="6">
        <v>50</v>
      </c>
      <c r="E88" s="6" t="s">
        <v>100</v>
      </c>
      <c r="F88" s="17">
        <v>24446</v>
      </c>
      <c r="G88" s="6" t="s">
        <v>3176</v>
      </c>
      <c r="H88" s="6" t="s">
        <v>3177</v>
      </c>
      <c r="I88" s="9">
        <v>14</v>
      </c>
      <c r="J88" s="10">
        <v>42</v>
      </c>
      <c r="K88" s="9">
        <v>2004</v>
      </c>
      <c r="L88" s="6">
        <v>2</v>
      </c>
      <c r="M88" s="6" t="s">
        <v>99</v>
      </c>
      <c r="N88" s="6" t="s">
        <v>99</v>
      </c>
      <c r="O88" s="6" t="s">
        <v>99</v>
      </c>
      <c r="P88" s="6" t="s">
        <v>110</v>
      </c>
      <c r="Q88" s="6" t="s">
        <v>99</v>
      </c>
      <c r="R88" s="6"/>
      <c r="S88" s="6" t="s">
        <v>99</v>
      </c>
      <c r="T88" s="6" t="s">
        <v>110</v>
      </c>
      <c r="U88" s="6" t="s">
        <v>3178</v>
      </c>
      <c r="W88" s="6" t="s">
        <v>99</v>
      </c>
      <c r="X88" s="6"/>
      <c r="Y88" s="6" t="s">
        <v>2596</v>
      </c>
      <c r="AA88" s="9" t="s">
        <v>100</v>
      </c>
      <c r="AB88" s="6" t="s">
        <v>100</v>
      </c>
      <c r="AC88" s="6" t="s">
        <v>100</v>
      </c>
      <c r="AD88" s="9" t="s">
        <v>100</v>
      </c>
      <c r="AE88" s="9" t="s">
        <v>99</v>
      </c>
      <c r="AF88" s="15" t="s">
        <v>118</v>
      </c>
      <c r="AG88" s="15" t="s">
        <v>3179</v>
      </c>
      <c r="AH88" s="15" t="s">
        <v>3180</v>
      </c>
      <c r="AI88" s="6" t="s">
        <v>99</v>
      </c>
      <c r="AJ88" s="6" t="s">
        <v>99</v>
      </c>
      <c r="AK88" s="6" t="s">
        <v>99</v>
      </c>
      <c r="AL88" s="6">
        <v>73.8</v>
      </c>
      <c r="AM88" s="9">
        <v>162</v>
      </c>
      <c r="AN88" s="15">
        <v>87</v>
      </c>
      <c r="AO88" s="6">
        <v>107</v>
      </c>
      <c r="AP88" s="6">
        <v>41.1</v>
      </c>
      <c r="AQ88" s="6">
        <v>9</v>
      </c>
      <c r="AR88" s="6">
        <v>25.5</v>
      </c>
      <c r="AS88" s="6">
        <v>57</v>
      </c>
      <c r="AT88" s="6">
        <v>28.1</v>
      </c>
      <c r="AU88" s="15">
        <v>135</v>
      </c>
      <c r="AV88" s="15">
        <v>104</v>
      </c>
      <c r="DC88" s="91">
        <v>111</v>
      </c>
      <c r="DD88" s="82">
        <v>0.69</v>
      </c>
      <c r="DE88" s="91">
        <v>278</v>
      </c>
      <c r="DF88" s="91">
        <v>230</v>
      </c>
      <c r="DG88" s="9">
        <f t="shared" si="1"/>
        <v>5.0738047551177647</v>
      </c>
      <c r="DH88" s="82">
        <v>46</v>
      </c>
      <c r="DI88" s="82">
        <v>6.25</v>
      </c>
      <c r="DJ88" s="6"/>
      <c r="DK88" s="6"/>
      <c r="DL88" s="6">
        <v>48</v>
      </c>
      <c r="DM88" s="6">
        <v>184</v>
      </c>
      <c r="DN88" s="6"/>
      <c r="DQ88" s="6" t="s">
        <v>105</v>
      </c>
      <c r="DR88" s="9">
        <v>2</v>
      </c>
      <c r="DT88" s="9">
        <v>5.17</v>
      </c>
      <c r="DU88" s="9">
        <v>6.4</v>
      </c>
    </row>
    <row r="89" spans="1:125" x14ac:dyDescent="0.2">
      <c r="A89" s="16">
        <v>252</v>
      </c>
      <c r="B89" s="8">
        <v>42924</v>
      </c>
      <c r="C89" s="6" t="s">
        <v>95</v>
      </c>
      <c r="D89" s="6">
        <v>51</v>
      </c>
      <c r="E89" s="6" t="s">
        <v>100</v>
      </c>
      <c r="F89" s="17">
        <v>24035</v>
      </c>
      <c r="G89" s="6" t="s">
        <v>3079</v>
      </c>
      <c r="H89" s="6" t="s">
        <v>3181</v>
      </c>
      <c r="I89" s="9">
        <v>13</v>
      </c>
      <c r="J89" s="10">
        <v>2016</v>
      </c>
      <c r="K89" s="9">
        <v>2008</v>
      </c>
      <c r="L89" s="16" t="s">
        <v>2438</v>
      </c>
      <c r="M89" s="6" t="s">
        <v>99</v>
      </c>
      <c r="N89" s="6" t="s">
        <v>99</v>
      </c>
      <c r="O89" s="6" t="s">
        <v>99</v>
      </c>
      <c r="P89" s="6" t="s">
        <v>99</v>
      </c>
      <c r="Q89" s="6" t="s">
        <v>110</v>
      </c>
      <c r="R89" s="6" t="s">
        <v>110</v>
      </c>
      <c r="S89" s="6" t="s">
        <v>99</v>
      </c>
      <c r="T89" s="6" t="s">
        <v>110</v>
      </c>
      <c r="U89" s="6" t="s">
        <v>3182</v>
      </c>
      <c r="W89" s="6" t="s">
        <v>3183</v>
      </c>
      <c r="X89" s="6" t="s">
        <v>99</v>
      </c>
      <c r="Y89" s="6" t="s">
        <v>3184</v>
      </c>
      <c r="AA89" s="9" t="s">
        <v>100</v>
      </c>
      <c r="AB89" s="6" t="s">
        <v>100</v>
      </c>
      <c r="AC89" s="6" t="s">
        <v>100</v>
      </c>
      <c r="AD89" s="9" t="s">
        <v>100</v>
      </c>
      <c r="AE89" s="15" t="s">
        <v>3185</v>
      </c>
      <c r="AF89" s="15" t="s">
        <v>118</v>
      </c>
      <c r="AG89" s="6" t="s">
        <v>99</v>
      </c>
      <c r="AH89" s="15" t="s">
        <v>125</v>
      </c>
      <c r="AI89" s="6" t="s">
        <v>99</v>
      </c>
      <c r="AJ89" s="6" t="s">
        <v>99</v>
      </c>
      <c r="AK89" s="6" t="s">
        <v>99</v>
      </c>
      <c r="AL89" s="6">
        <v>87.1</v>
      </c>
      <c r="AM89" s="9">
        <v>158</v>
      </c>
      <c r="AN89" s="15">
        <v>96</v>
      </c>
      <c r="AO89" s="6">
        <v>114</v>
      </c>
      <c r="AP89" s="6">
        <v>53.3</v>
      </c>
      <c r="AQ89" s="6">
        <v>12</v>
      </c>
      <c r="AR89" s="6">
        <v>19.5</v>
      </c>
      <c r="AS89" s="6">
        <v>72</v>
      </c>
      <c r="AT89" s="6">
        <v>34.9</v>
      </c>
      <c r="AU89" s="15">
        <v>130</v>
      </c>
      <c r="AV89" s="15">
        <v>88</v>
      </c>
      <c r="AX89" s="9" t="s">
        <v>3186</v>
      </c>
      <c r="AY89" s="9" t="s">
        <v>3187</v>
      </c>
      <c r="AZ89" s="9" t="s">
        <v>2896</v>
      </c>
      <c r="BB89" s="9" t="s">
        <v>346</v>
      </c>
      <c r="BF89" s="9" t="s">
        <v>176</v>
      </c>
      <c r="BG89" s="9" t="s">
        <v>683</v>
      </c>
      <c r="BH89" s="9" t="s">
        <v>175</v>
      </c>
      <c r="BI89" s="9" t="s">
        <v>1173</v>
      </c>
      <c r="BJ89" s="9" t="s">
        <v>215</v>
      </c>
      <c r="BK89" s="9" t="s">
        <v>1172</v>
      </c>
      <c r="BM89" s="9" t="s">
        <v>2607</v>
      </c>
      <c r="BN89" s="9" t="s">
        <v>180</v>
      </c>
      <c r="BO89" s="9" t="s">
        <v>219</v>
      </c>
      <c r="BP89" s="9" t="s">
        <v>179</v>
      </c>
      <c r="BQ89" s="9" t="s">
        <v>1172</v>
      </c>
      <c r="BR89" s="9" t="s">
        <v>2573</v>
      </c>
      <c r="BS89" s="9" t="s">
        <v>178</v>
      </c>
      <c r="BT89" s="9" t="s">
        <v>179</v>
      </c>
      <c r="BU89" s="9" t="s">
        <v>1172</v>
      </c>
      <c r="BV89" s="9" t="s">
        <v>734</v>
      </c>
      <c r="BY89" s="9" t="s">
        <v>3188</v>
      </c>
      <c r="BZ89" s="9" t="s">
        <v>822</v>
      </c>
      <c r="CA89" s="9" t="s">
        <v>183</v>
      </c>
      <c r="CB89" s="9" t="s">
        <v>577</v>
      </c>
      <c r="CL89" s="9" t="s">
        <v>685</v>
      </c>
      <c r="CP89" s="9" t="s">
        <v>2641</v>
      </c>
      <c r="CQ89" s="9" t="s">
        <v>981</v>
      </c>
      <c r="CR89" s="9" t="s">
        <v>362</v>
      </c>
      <c r="CT89" s="9" t="s">
        <v>3189</v>
      </c>
      <c r="CU89" s="9" t="s">
        <v>363</v>
      </c>
      <c r="CV89" s="9" t="s">
        <v>187</v>
      </c>
      <c r="CW89" s="9">
        <v>2</v>
      </c>
      <c r="CX89" s="9" t="s">
        <v>99</v>
      </c>
      <c r="CY89" s="9" t="s">
        <v>99</v>
      </c>
      <c r="DC89" s="91">
        <v>102</v>
      </c>
      <c r="DD89" s="82">
        <v>0.5</v>
      </c>
      <c r="DE89" s="91">
        <v>215</v>
      </c>
      <c r="DF89" s="91">
        <v>165</v>
      </c>
      <c r="DG89" s="9">
        <f t="shared" si="1"/>
        <v>4.8654591435924255</v>
      </c>
      <c r="DH89" s="82">
        <v>33</v>
      </c>
      <c r="DI89" s="82">
        <v>3.66</v>
      </c>
      <c r="DJ89" s="6"/>
      <c r="DK89" s="6"/>
      <c r="DL89" s="6">
        <v>59</v>
      </c>
      <c r="DM89" s="6">
        <v>123</v>
      </c>
      <c r="DN89" s="6"/>
      <c r="DP89" s="11">
        <v>2</v>
      </c>
      <c r="DQ89" s="6" t="s">
        <v>111</v>
      </c>
      <c r="DR89" s="9">
        <v>2</v>
      </c>
      <c r="DU89" s="9">
        <v>8.4</v>
      </c>
    </row>
    <row r="90" spans="1:125" x14ac:dyDescent="0.2">
      <c r="A90" s="78">
        <v>256</v>
      </c>
      <c r="B90" s="8">
        <v>42927</v>
      </c>
      <c r="C90" s="6" t="s">
        <v>675</v>
      </c>
      <c r="D90" s="6">
        <v>32</v>
      </c>
      <c r="E90" s="6" t="s">
        <v>100</v>
      </c>
      <c r="F90" s="17">
        <v>30914</v>
      </c>
      <c r="G90" s="6" t="s">
        <v>481</v>
      </c>
      <c r="H90" s="6" t="s">
        <v>3191</v>
      </c>
      <c r="L90" s="6"/>
      <c r="M90" s="6" t="s">
        <v>99</v>
      </c>
      <c r="N90" s="6" t="s">
        <v>99</v>
      </c>
      <c r="O90" s="6" t="s">
        <v>99</v>
      </c>
      <c r="P90" s="6" t="s">
        <v>99</v>
      </c>
      <c r="Q90" s="6" t="s">
        <v>110</v>
      </c>
      <c r="R90" s="6" t="s">
        <v>110</v>
      </c>
      <c r="S90" s="6"/>
      <c r="T90" s="6"/>
      <c r="U90" s="6"/>
      <c r="W90" s="6"/>
      <c r="X90" s="6"/>
      <c r="Y90" s="6" t="s">
        <v>99</v>
      </c>
      <c r="AA90" s="9" t="s">
        <v>100</v>
      </c>
      <c r="AB90" s="6" t="s">
        <v>100</v>
      </c>
      <c r="AC90" s="6" t="s">
        <v>100</v>
      </c>
      <c r="AD90" s="9" t="s">
        <v>100</v>
      </c>
      <c r="AE90" s="15" t="s">
        <v>135</v>
      </c>
      <c r="AF90" s="15" t="s">
        <v>135</v>
      </c>
      <c r="AG90" s="6"/>
      <c r="AH90" s="6"/>
      <c r="AI90" s="6"/>
      <c r="AJ90" s="6"/>
      <c r="AK90" s="6"/>
      <c r="AL90" s="6">
        <v>105.3</v>
      </c>
      <c r="AN90" s="15">
        <v>111</v>
      </c>
      <c r="AO90" s="6">
        <v>106</v>
      </c>
      <c r="AP90" s="6">
        <v>36.299999999999997</v>
      </c>
      <c r="AQ90" s="6">
        <v>17</v>
      </c>
      <c r="AR90" s="6">
        <v>30.1</v>
      </c>
      <c r="AS90" s="6">
        <v>68</v>
      </c>
      <c r="AT90" s="6">
        <v>35.6</v>
      </c>
      <c r="AU90" s="15">
        <v>134</v>
      </c>
      <c r="AV90" s="15">
        <v>102</v>
      </c>
      <c r="AW90" s="9" t="s">
        <v>176</v>
      </c>
      <c r="AX90" s="9" t="s">
        <v>1729</v>
      </c>
      <c r="AY90" s="9" t="s">
        <v>3216</v>
      </c>
      <c r="AZ90" s="9" t="s">
        <v>3217</v>
      </c>
      <c r="BA90" s="9" t="s">
        <v>176</v>
      </c>
      <c r="BE90" s="9" t="s">
        <v>176</v>
      </c>
      <c r="BF90" s="9" t="s">
        <v>110</v>
      </c>
      <c r="BG90" s="9" t="s">
        <v>110</v>
      </c>
      <c r="BH90" s="9" t="s">
        <v>110</v>
      </c>
      <c r="BI90" s="9" t="s">
        <v>110</v>
      </c>
      <c r="BJ90" s="9" t="s">
        <v>3218</v>
      </c>
      <c r="BK90" s="9" t="s">
        <v>110</v>
      </c>
      <c r="BM90" s="9" t="s">
        <v>176</v>
      </c>
      <c r="BN90" s="14" t="s">
        <v>1664</v>
      </c>
      <c r="BO90" s="14" t="s">
        <v>857</v>
      </c>
      <c r="BP90" s="9" t="s">
        <v>2534</v>
      </c>
      <c r="BY90" s="9" t="s">
        <v>176</v>
      </c>
      <c r="BZ90" s="9" t="s">
        <v>1730</v>
      </c>
      <c r="CA90" s="14" t="s">
        <v>859</v>
      </c>
      <c r="CB90" s="9" t="s">
        <v>1137</v>
      </c>
      <c r="CK90" s="9" t="s">
        <v>176</v>
      </c>
      <c r="CL90" s="9" t="s">
        <v>579</v>
      </c>
      <c r="CM90" s="9" t="s">
        <v>980</v>
      </c>
      <c r="CP90" s="9" t="s">
        <v>362</v>
      </c>
      <c r="CQ90" s="9" t="s">
        <v>3219</v>
      </c>
      <c r="CS90" s="9" t="s">
        <v>176</v>
      </c>
      <c r="CT90" s="9" t="s">
        <v>3209</v>
      </c>
      <c r="CU90" s="9" t="s">
        <v>980</v>
      </c>
      <c r="CV90" s="9" t="s">
        <v>3220</v>
      </c>
      <c r="CW90" s="9">
        <v>3</v>
      </c>
      <c r="CX90" s="9" t="s">
        <v>99</v>
      </c>
      <c r="CY90" s="9" t="s">
        <v>99</v>
      </c>
      <c r="CZ90" s="9">
        <v>20</v>
      </c>
      <c r="DA90" s="9">
        <v>30</v>
      </c>
      <c r="DB90" s="9">
        <v>50</v>
      </c>
      <c r="DC90" s="82">
        <v>91.7</v>
      </c>
      <c r="DD90" s="6">
        <v>1.08</v>
      </c>
      <c r="DE90" s="6">
        <v>196</v>
      </c>
      <c r="DF90" s="15">
        <v>200</v>
      </c>
      <c r="DG90" s="9">
        <f t="shared" si="1"/>
        <v>4.9084198729052275</v>
      </c>
      <c r="DH90" s="6"/>
      <c r="DI90" s="15">
        <v>9.58</v>
      </c>
      <c r="DJ90" s="6"/>
      <c r="DK90" s="6"/>
      <c r="DL90" s="6">
        <v>63</v>
      </c>
      <c r="DM90" s="6"/>
      <c r="DN90" s="6"/>
      <c r="DP90" s="11">
        <v>2</v>
      </c>
      <c r="DQ90" s="6" t="s">
        <v>105</v>
      </c>
      <c r="DR90" s="9">
        <v>2</v>
      </c>
      <c r="DU90" s="9">
        <v>7</v>
      </c>
    </row>
    <row r="91" spans="1:125" x14ac:dyDescent="0.2">
      <c r="A91" s="16">
        <v>259</v>
      </c>
      <c r="B91" s="8">
        <v>42927</v>
      </c>
      <c r="C91" s="6" t="s">
        <v>196</v>
      </c>
      <c r="D91" s="6">
        <v>55</v>
      </c>
      <c r="E91" s="6" t="s">
        <v>100</v>
      </c>
      <c r="F91" s="17">
        <v>22677</v>
      </c>
      <c r="G91" s="6" t="s">
        <v>3227</v>
      </c>
      <c r="H91" s="6" t="s">
        <v>3010</v>
      </c>
      <c r="I91" s="9">
        <v>1974</v>
      </c>
      <c r="J91" s="10">
        <v>2012</v>
      </c>
      <c r="K91" s="9">
        <v>1997</v>
      </c>
      <c r="L91" s="6">
        <v>1</v>
      </c>
      <c r="M91" s="6" t="s">
        <v>99</v>
      </c>
      <c r="N91" s="6" t="s">
        <v>99</v>
      </c>
      <c r="O91" s="6" t="s">
        <v>99</v>
      </c>
      <c r="P91" s="6" t="s">
        <v>99</v>
      </c>
      <c r="Q91" s="6" t="s">
        <v>110</v>
      </c>
      <c r="R91" s="6"/>
      <c r="S91" s="6" t="s">
        <v>99</v>
      </c>
      <c r="T91" s="6" t="s">
        <v>110</v>
      </c>
      <c r="U91" s="6">
        <v>1</v>
      </c>
      <c r="W91" s="6"/>
      <c r="X91" s="6"/>
      <c r="Y91" s="6" t="s">
        <v>99</v>
      </c>
      <c r="AA91" s="9" t="s">
        <v>100</v>
      </c>
      <c r="AB91" s="6" t="s">
        <v>100</v>
      </c>
      <c r="AC91" s="6" t="s">
        <v>100</v>
      </c>
      <c r="AD91" s="9" t="s">
        <v>100</v>
      </c>
      <c r="AE91" s="15" t="s">
        <v>118</v>
      </c>
      <c r="AF91" s="15" t="s">
        <v>2268</v>
      </c>
      <c r="AG91" s="15" t="s">
        <v>3228</v>
      </c>
      <c r="AH91" s="15" t="s">
        <v>118</v>
      </c>
      <c r="AI91" s="6" t="s">
        <v>99</v>
      </c>
      <c r="AJ91" s="6" t="s">
        <v>99</v>
      </c>
      <c r="AK91" s="16" t="s">
        <v>3229</v>
      </c>
      <c r="AL91" s="6">
        <v>66.099999999999994</v>
      </c>
      <c r="AN91" s="15">
        <v>85</v>
      </c>
      <c r="AO91" s="6">
        <v>101</v>
      </c>
      <c r="AP91" s="6">
        <v>40.6</v>
      </c>
      <c r="AQ91" s="6">
        <v>8</v>
      </c>
      <c r="AR91" s="6">
        <v>23.9</v>
      </c>
      <c r="AS91" s="6">
        <v>54</v>
      </c>
      <c r="AT91" s="6">
        <v>25.2</v>
      </c>
      <c r="AU91" s="6">
        <v>108</v>
      </c>
      <c r="AV91" s="6">
        <v>84</v>
      </c>
      <c r="AX91" s="9" t="s">
        <v>1977</v>
      </c>
      <c r="AY91" s="9" t="s">
        <v>666</v>
      </c>
      <c r="AZ91" s="9" t="s">
        <v>679</v>
      </c>
      <c r="BB91" s="9" t="s">
        <v>346</v>
      </c>
      <c r="BC91" s="9" t="s">
        <v>3230</v>
      </c>
      <c r="BD91" s="9" t="s">
        <v>3231</v>
      </c>
      <c r="BF91" s="9" t="s">
        <v>3232</v>
      </c>
      <c r="BG91" s="9" t="s">
        <v>3233</v>
      </c>
      <c r="BH91" s="9" t="s">
        <v>700</v>
      </c>
      <c r="BI91" s="9" t="s">
        <v>176</v>
      </c>
      <c r="BJ91" s="9" t="s">
        <v>176</v>
      </c>
      <c r="BK91" s="9" t="s">
        <v>3234</v>
      </c>
      <c r="BM91" s="14" t="s">
        <v>363</v>
      </c>
      <c r="BN91" s="9" t="s">
        <v>3235</v>
      </c>
      <c r="BO91" s="9" t="s">
        <v>3236</v>
      </c>
      <c r="BP91" s="9" t="s">
        <v>3237</v>
      </c>
      <c r="BU91" s="9" t="s">
        <v>3238</v>
      </c>
      <c r="BV91" s="14" t="s">
        <v>125</v>
      </c>
      <c r="BW91" s="9" t="s">
        <v>3239</v>
      </c>
      <c r="BX91" s="9" t="s">
        <v>3240</v>
      </c>
      <c r="BZ91" s="9" t="s">
        <v>3241</v>
      </c>
      <c r="CL91" s="9" t="s">
        <v>685</v>
      </c>
      <c r="CM91" s="9" t="s">
        <v>3242</v>
      </c>
      <c r="CO91" s="9" t="s">
        <v>362</v>
      </c>
      <c r="CP91" s="9" t="s">
        <v>716</v>
      </c>
      <c r="CQ91" s="9" t="s">
        <v>361</v>
      </c>
      <c r="CR91" s="9" t="s">
        <v>3243</v>
      </c>
      <c r="CT91" s="9" t="s">
        <v>363</v>
      </c>
      <c r="CU91" s="9" t="s">
        <v>1661</v>
      </c>
      <c r="CW91" s="9">
        <v>3</v>
      </c>
      <c r="CX91" s="9" t="s">
        <v>110</v>
      </c>
      <c r="CY91" s="9" t="s">
        <v>110</v>
      </c>
      <c r="CZ91" s="9">
        <v>10</v>
      </c>
      <c r="DA91" s="9">
        <v>20</v>
      </c>
      <c r="DB91" s="9">
        <v>70</v>
      </c>
      <c r="DC91" s="15">
        <v>102</v>
      </c>
      <c r="DD91" s="6">
        <v>0.77</v>
      </c>
      <c r="DE91" s="15">
        <v>280</v>
      </c>
      <c r="DF91" s="15">
        <v>170</v>
      </c>
      <c r="DG91" s="9">
        <f t="shared" si="1"/>
        <v>4.8803856251672668</v>
      </c>
      <c r="DH91" s="6">
        <v>34</v>
      </c>
      <c r="DI91" s="6">
        <v>5.29</v>
      </c>
      <c r="DJ91" s="6"/>
      <c r="DK91" s="6"/>
      <c r="DL91" s="6">
        <v>44</v>
      </c>
      <c r="DM91" s="6">
        <v>202</v>
      </c>
      <c r="DN91" s="6"/>
      <c r="DP91" s="11">
        <v>2</v>
      </c>
      <c r="DQ91" s="6" t="s">
        <v>105</v>
      </c>
      <c r="DR91" s="9">
        <v>3</v>
      </c>
      <c r="DU91" s="9">
        <v>10.199999999999999</v>
      </c>
    </row>
    <row r="92" spans="1:125" x14ac:dyDescent="0.2">
      <c r="A92" s="16">
        <v>261</v>
      </c>
      <c r="B92" s="8">
        <v>42927</v>
      </c>
      <c r="C92" s="6" t="s">
        <v>196</v>
      </c>
      <c r="D92" s="6">
        <v>50</v>
      </c>
      <c r="E92" s="6" t="s">
        <v>100</v>
      </c>
      <c r="G92" s="6" t="s">
        <v>3256</v>
      </c>
      <c r="H92" s="6" t="s">
        <v>3191</v>
      </c>
      <c r="I92" s="9">
        <v>10</v>
      </c>
      <c r="J92" s="10">
        <v>36</v>
      </c>
      <c r="K92" s="9" t="s">
        <v>2511</v>
      </c>
      <c r="L92" s="6">
        <v>1</v>
      </c>
      <c r="M92" s="15" t="s">
        <v>3257</v>
      </c>
      <c r="N92" s="6" t="s">
        <v>99</v>
      </c>
      <c r="O92" s="15" t="s">
        <v>110</v>
      </c>
      <c r="P92" s="6" t="s">
        <v>99</v>
      </c>
      <c r="Q92" s="6" t="s">
        <v>99</v>
      </c>
      <c r="R92" s="6"/>
      <c r="S92" s="6" t="s">
        <v>99</v>
      </c>
      <c r="T92" s="6" t="s">
        <v>110</v>
      </c>
      <c r="U92" s="6" t="s">
        <v>2418</v>
      </c>
      <c r="W92" s="16" t="s">
        <v>3258</v>
      </c>
      <c r="X92" s="6" t="s">
        <v>99</v>
      </c>
      <c r="Y92" s="6" t="s">
        <v>110</v>
      </c>
      <c r="AA92" s="9" t="s">
        <v>100</v>
      </c>
      <c r="AB92" s="6" t="s">
        <v>100</v>
      </c>
      <c r="AC92" s="16" t="s">
        <v>3259</v>
      </c>
      <c r="AD92" s="9" t="s">
        <v>100</v>
      </c>
      <c r="AE92" s="15" t="s">
        <v>363</v>
      </c>
      <c r="AF92" s="15" t="s">
        <v>3260</v>
      </c>
      <c r="AG92" s="6" t="s">
        <v>99</v>
      </c>
      <c r="AH92" s="6" t="s">
        <v>99</v>
      </c>
      <c r="AI92" s="6" t="s">
        <v>99</v>
      </c>
      <c r="AJ92" s="6" t="s">
        <v>99</v>
      </c>
      <c r="AK92" s="6" t="s">
        <v>99</v>
      </c>
      <c r="AL92" s="6">
        <v>72.599999999999994</v>
      </c>
      <c r="AM92" s="9">
        <v>156</v>
      </c>
      <c r="AN92" s="15">
        <v>90</v>
      </c>
      <c r="AO92" s="6">
        <v>100</v>
      </c>
      <c r="AP92" s="6">
        <v>46.3</v>
      </c>
      <c r="AQ92" s="6">
        <v>10</v>
      </c>
      <c r="AR92" s="6">
        <v>22.5</v>
      </c>
      <c r="AS92" s="6">
        <v>63</v>
      </c>
      <c r="AT92" s="6">
        <v>29.8</v>
      </c>
      <c r="AU92" s="15">
        <v>141</v>
      </c>
      <c r="AV92" s="15">
        <v>87</v>
      </c>
      <c r="AX92" s="9" t="s">
        <v>3261</v>
      </c>
      <c r="AY92" s="9" t="s">
        <v>2050</v>
      </c>
      <c r="AZ92" s="9" t="s">
        <v>3262</v>
      </c>
      <c r="BB92" s="9" t="s">
        <v>3263</v>
      </c>
      <c r="BC92" s="9" t="s">
        <v>3264</v>
      </c>
      <c r="BF92" s="9" t="s">
        <v>176</v>
      </c>
      <c r="BG92" s="9" t="s">
        <v>3265</v>
      </c>
      <c r="BH92" s="9" t="s">
        <v>1979</v>
      </c>
      <c r="BI92" s="9" t="s">
        <v>2654</v>
      </c>
      <c r="BJ92" s="9" t="s">
        <v>3266</v>
      </c>
      <c r="BK92" s="9" t="s">
        <v>3267</v>
      </c>
      <c r="BN92" s="9" t="s">
        <v>3268</v>
      </c>
      <c r="BO92" s="9" t="s">
        <v>3269</v>
      </c>
      <c r="BP92" s="9" t="s">
        <v>3270</v>
      </c>
      <c r="BZ92" s="9" t="s">
        <v>182</v>
      </c>
      <c r="CA92" s="14" t="s">
        <v>859</v>
      </c>
      <c r="CB92" s="9" t="s">
        <v>752</v>
      </c>
      <c r="CD92" s="9" t="s">
        <v>99</v>
      </c>
      <c r="CH92" s="9" t="s">
        <v>99</v>
      </c>
      <c r="CL92" s="9" t="s">
        <v>1181</v>
      </c>
      <c r="CM92" s="9" t="s">
        <v>3271</v>
      </c>
      <c r="CP92" s="9" t="s">
        <v>3272</v>
      </c>
      <c r="CQ92" s="9" t="s">
        <v>757</v>
      </c>
      <c r="CR92" s="9" t="s">
        <v>3273</v>
      </c>
      <c r="CT92" s="9" t="s">
        <v>350</v>
      </c>
      <c r="CW92" s="9">
        <v>3</v>
      </c>
      <c r="CX92" s="9" t="s">
        <v>110</v>
      </c>
      <c r="CY92" s="9" t="s">
        <v>110</v>
      </c>
      <c r="DC92" s="15">
        <v>165.2</v>
      </c>
      <c r="DD92" s="6">
        <v>0.59</v>
      </c>
      <c r="DE92" s="15">
        <v>215</v>
      </c>
      <c r="DF92" s="15">
        <v>156</v>
      </c>
      <c r="DG92" s="9">
        <f t="shared" si="1"/>
        <v>5.0785064341682071</v>
      </c>
      <c r="DH92" s="6">
        <v>31</v>
      </c>
      <c r="DI92" s="15">
        <v>6.81</v>
      </c>
      <c r="DJ92" s="6"/>
      <c r="DK92" s="6"/>
      <c r="DL92" s="6">
        <v>50</v>
      </c>
      <c r="DM92" s="6">
        <v>134</v>
      </c>
      <c r="DN92" s="6"/>
      <c r="DP92" s="11">
        <v>3</v>
      </c>
      <c r="DQ92" s="6" t="s">
        <v>105</v>
      </c>
      <c r="DR92" s="9">
        <v>3</v>
      </c>
      <c r="DT92" s="9">
        <v>14.3</v>
      </c>
      <c r="DU92" s="9">
        <v>13.87</v>
      </c>
    </row>
    <row r="93" spans="1:125" x14ac:dyDescent="0.2">
      <c r="A93" s="100">
        <v>266</v>
      </c>
      <c r="B93" s="8">
        <v>42928</v>
      </c>
      <c r="C93" s="6" t="s">
        <v>196</v>
      </c>
      <c r="D93" s="6">
        <v>52</v>
      </c>
      <c r="E93" s="6" t="s">
        <v>100</v>
      </c>
      <c r="F93" s="17">
        <v>23736</v>
      </c>
      <c r="G93" s="6" t="s">
        <v>197</v>
      </c>
      <c r="H93" s="6" t="s">
        <v>3001</v>
      </c>
      <c r="I93" s="9">
        <v>10</v>
      </c>
      <c r="J93" s="10">
        <v>50</v>
      </c>
      <c r="K93" s="9">
        <v>94</v>
      </c>
      <c r="L93" s="6">
        <v>3</v>
      </c>
      <c r="M93" s="6" t="s">
        <v>99</v>
      </c>
      <c r="N93" s="6" t="s">
        <v>99</v>
      </c>
      <c r="O93" s="6" t="s">
        <v>99</v>
      </c>
      <c r="P93" s="6" t="s">
        <v>99</v>
      </c>
      <c r="Q93" s="6" t="s">
        <v>99</v>
      </c>
      <c r="R93" s="6" t="s">
        <v>110</v>
      </c>
      <c r="S93" s="6" t="s">
        <v>99</v>
      </c>
      <c r="T93" s="6" t="s">
        <v>110</v>
      </c>
      <c r="U93" s="6" t="s">
        <v>3313</v>
      </c>
      <c r="V93" s="9" t="s">
        <v>99</v>
      </c>
      <c r="W93" s="16" t="s">
        <v>3314</v>
      </c>
      <c r="X93" s="6" t="s">
        <v>99</v>
      </c>
      <c r="Y93" s="6" t="s">
        <v>3315</v>
      </c>
      <c r="AA93" s="9" t="s">
        <v>100</v>
      </c>
      <c r="AB93" s="6" t="s">
        <v>100</v>
      </c>
      <c r="AC93" s="6" t="s">
        <v>100</v>
      </c>
      <c r="AD93" s="9" t="s">
        <v>100</v>
      </c>
      <c r="AE93" s="15" t="s">
        <v>3049</v>
      </c>
      <c r="AF93" s="6" t="s">
        <v>99</v>
      </c>
      <c r="AG93" s="15" t="s">
        <v>3316</v>
      </c>
      <c r="AH93" s="6" t="s">
        <v>99</v>
      </c>
      <c r="AI93" s="6" t="s">
        <v>99</v>
      </c>
      <c r="AJ93" s="6" t="s">
        <v>99</v>
      </c>
      <c r="AK93" s="6" t="s">
        <v>99</v>
      </c>
      <c r="AL93" s="6">
        <v>59.9</v>
      </c>
      <c r="AM93" s="9">
        <v>151</v>
      </c>
      <c r="AN93" s="15">
        <v>83</v>
      </c>
      <c r="AO93" s="6">
        <v>102</v>
      </c>
      <c r="AP93" s="6">
        <v>43</v>
      </c>
      <c r="AQ93" s="6">
        <v>8</v>
      </c>
      <c r="AR93" s="6">
        <v>22.3</v>
      </c>
      <c r="AS93" s="6">
        <v>57</v>
      </c>
      <c r="AT93" s="6">
        <v>26.3</v>
      </c>
      <c r="AU93" s="6">
        <v>88</v>
      </c>
      <c r="AV93" s="6">
        <v>67</v>
      </c>
      <c r="AX93" s="9" t="s">
        <v>1977</v>
      </c>
      <c r="AY93" s="9" t="s">
        <v>592</v>
      </c>
      <c r="AZ93" s="9" t="s">
        <v>729</v>
      </c>
      <c r="BB93" s="9" t="s">
        <v>1080</v>
      </c>
      <c r="BC93" s="9" t="s">
        <v>3317</v>
      </c>
      <c r="BF93" s="9" t="s">
        <v>3318</v>
      </c>
      <c r="BG93" s="9" t="s">
        <v>683</v>
      </c>
      <c r="BH93" s="9" t="s">
        <v>3215</v>
      </c>
      <c r="BI93" s="9" t="s">
        <v>683</v>
      </c>
      <c r="BJ93" s="9" t="s">
        <v>99</v>
      </c>
      <c r="BK93" s="9" t="s">
        <v>683</v>
      </c>
      <c r="BN93" s="9" t="s">
        <v>219</v>
      </c>
      <c r="BO93" s="9" t="s">
        <v>180</v>
      </c>
      <c r="BP93" s="9" t="s">
        <v>353</v>
      </c>
      <c r="BZ93" s="9" t="s">
        <v>709</v>
      </c>
      <c r="CA93" s="9" t="s">
        <v>3319</v>
      </c>
      <c r="CB93" s="9" t="s">
        <v>1137</v>
      </c>
      <c r="CL93" s="9" t="s">
        <v>1180</v>
      </c>
      <c r="CM93" s="9" t="s">
        <v>980</v>
      </c>
      <c r="CN93" s="9" t="s">
        <v>1181</v>
      </c>
      <c r="CP93" s="9" t="s">
        <v>716</v>
      </c>
      <c r="CQ93" s="9" t="s">
        <v>362</v>
      </c>
      <c r="CT93" s="9" t="s">
        <v>99</v>
      </c>
      <c r="CW93" s="9">
        <v>5</v>
      </c>
      <c r="CX93" s="9" t="s">
        <v>110</v>
      </c>
      <c r="CY93" s="9" t="s">
        <v>110</v>
      </c>
      <c r="CZ93" s="9">
        <v>50</v>
      </c>
      <c r="DA93" s="9">
        <v>25</v>
      </c>
      <c r="DB93" s="9">
        <v>25</v>
      </c>
      <c r="DC93" s="6">
        <v>84.2</v>
      </c>
      <c r="DD93" s="6">
        <v>0.76</v>
      </c>
      <c r="DE93" s="15">
        <v>203</v>
      </c>
      <c r="DF93" s="6" t="s">
        <v>3320</v>
      </c>
      <c r="DG93" s="9" t="e">
        <f t="shared" si="1"/>
        <v>#VALUE!</v>
      </c>
      <c r="DH93" s="6"/>
      <c r="DI93" s="6">
        <v>4.74</v>
      </c>
      <c r="DJ93" s="6"/>
      <c r="DK93" s="6"/>
      <c r="DL93" s="6"/>
      <c r="DM93" s="6"/>
      <c r="DN93" s="6"/>
      <c r="DP93" s="11">
        <v>2</v>
      </c>
      <c r="DQ93" s="6" t="s">
        <v>3321</v>
      </c>
      <c r="DR93" s="9">
        <v>3</v>
      </c>
      <c r="DT93" s="9">
        <v>5.56</v>
      </c>
    </row>
    <row r="94" spans="1:125" x14ac:dyDescent="0.2">
      <c r="A94" s="78">
        <v>267</v>
      </c>
      <c r="B94" s="8">
        <v>42928</v>
      </c>
      <c r="C94" s="6" t="s">
        <v>675</v>
      </c>
      <c r="D94" s="6">
        <v>55</v>
      </c>
      <c r="E94" s="6" t="s">
        <v>100</v>
      </c>
      <c r="F94" s="17">
        <v>22842</v>
      </c>
      <c r="G94" s="6" t="s">
        <v>234</v>
      </c>
      <c r="H94" s="6" t="s">
        <v>3001</v>
      </c>
      <c r="L94" s="6"/>
      <c r="M94" s="6" t="s">
        <v>99</v>
      </c>
      <c r="N94" s="6" t="s">
        <v>99</v>
      </c>
      <c r="O94" s="15" t="s">
        <v>110</v>
      </c>
      <c r="P94" s="6" t="s">
        <v>99</v>
      </c>
      <c r="Q94" s="6" t="s">
        <v>110</v>
      </c>
      <c r="R94" s="6" t="s">
        <v>110</v>
      </c>
      <c r="S94" s="6" t="s">
        <v>99</v>
      </c>
      <c r="T94" s="6" t="s">
        <v>99</v>
      </c>
      <c r="U94" s="6" t="s">
        <v>3322</v>
      </c>
      <c r="W94" s="16" t="s">
        <v>3323</v>
      </c>
      <c r="X94" s="6" t="s">
        <v>99</v>
      </c>
      <c r="Y94" s="6" t="s">
        <v>1903</v>
      </c>
      <c r="AA94" s="9" t="s">
        <v>100</v>
      </c>
      <c r="AB94" s="6" t="s">
        <v>100</v>
      </c>
      <c r="AC94" s="16" t="s">
        <v>840</v>
      </c>
      <c r="AD94" s="9" t="s">
        <v>100</v>
      </c>
      <c r="AE94" s="15" t="s">
        <v>2811</v>
      </c>
      <c r="AF94" s="15" t="s">
        <v>3324</v>
      </c>
      <c r="AG94" s="6" t="s">
        <v>99</v>
      </c>
      <c r="AH94" s="15" t="s">
        <v>125</v>
      </c>
      <c r="AI94" s="6" t="s">
        <v>99</v>
      </c>
      <c r="AJ94" s="6" t="s">
        <v>99</v>
      </c>
      <c r="AK94" s="15" t="s">
        <v>3325</v>
      </c>
      <c r="AL94" s="6">
        <v>122.7</v>
      </c>
      <c r="AM94" s="9">
        <v>172</v>
      </c>
      <c r="AN94" s="15">
        <v>120</v>
      </c>
      <c r="AO94" s="6">
        <v>117</v>
      </c>
      <c r="AP94" s="6">
        <v>42.5</v>
      </c>
      <c r="AQ94" s="6">
        <v>27</v>
      </c>
      <c r="AR94" s="6">
        <v>25.1</v>
      </c>
      <c r="AS94" s="6">
        <v>80</v>
      </c>
      <c r="AT94" s="16">
        <v>41.5</v>
      </c>
      <c r="AU94" s="15">
        <v>130</v>
      </c>
      <c r="AV94" s="15">
        <v>92</v>
      </c>
      <c r="AX94" s="9" t="s">
        <v>729</v>
      </c>
      <c r="AY94" s="9" t="s">
        <v>3326</v>
      </c>
      <c r="AZ94" s="9" t="s">
        <v>125</v>
      </c>
      <c r="BB94" s="9" t="s">
        <v>1080</v>
      </c>
      <c r="BC94" s="9" t="s">
        <v>2938</v>
      </c>
      <c r="BF94" s="9" t="s">
        <v>176</v>
      </c>
      <c r="BG94" s="9" t="s">
        <v>683</v>
      </c>
      <c r="BH94" s="9" t="s">
        <v>3215</v>
      </c>
      <c r="BI94" s="9" t="s">
        <v>3234</v>
      </c>
      <c r="BJ94" s="9" t="s">
        <v>99</v>
      </c>
      <c r="BK94" s="9" t="s">
        <v>683</v>
      </c>
      <c r="BN94" s="9" t="s">
        <v>2534</v>
      </c>
      <c r="BO94" s="9" t="s">
        <v>3155</v>
      </c>
      <c r="BP94" s="9" t="s">
        <v>180</v>
      </c>
      <c r="BR94" s="9" t="s">
        <v>99</v>
      </c>
      <c r="BV94" s="9" t="s">
        <v>3327</v>
      </c>
      <c r="BZ94" s="9" t="s">
        <v>3328</v>
      </c>
      <c r="CA94" s="9" t="s">
        <v>3329</v>
      </c>
      <c r="CB94" s="9" t="s">
        <v>2194</v>
      </c>
      <c r="CD94" s="9" t="s">
        <v>99</v>
      </c>
      <c r="CH94" s="9" t="s">
        <v>99</v>
      </c>
      <c r="CL94" s="9" t="s">
        <v>980</v>
      </c>
      <c r="CM94" s="9" t="s">
        <v>579</v>
      </c>
      <c r="CN94" s="9" t="s">
        <v>1659</v>
      </c>
      <c r="CP94" s="9" t="s">
        <v>3286</v>
      </c>
      <c r="CQ94" s="9" t="s">
        <v>2892</v>
      </c>
      <c r="CR94" s="9" t="s">
        <v>362</v>
      </c>
      <c r="CT94" s="9" t="s">
        <v>3330</v>
      </c>
      <c r="CU94" s="9" t="s">
        <v>984</v>
      </c>
      <c r="CV94" s="9" t="s">
        <v>3331</v>
      </c>
      <c r="CW94" s="9">
        <v>3</v>
      </c>
      <c r="CX94" s="9" t="s">
        <v>110</v>
      </c>
      <c r="CY94" s="9" t="s">
        <v>2756</v>
      </c>
      <c r="CZ94" s="9">
        <v>25</v>
      </c>
      <c r="DA94" s="9">
        <v>25</v>
      </c>
      <c r="DB94" s="9">
        <v>50</v>
      </c>
      <c r="DC94" s="82">
        <v>79.2</v>
      </c>
      <c r="DD94" s="6">
        <v>0.69</v>
      </c>
      <c r="DE94" s="6">
        <v>191</v>
      </c>
      <c r="DF94" s="15">
        <v>163</v>
      </c>
      <c r="DG94" s="9">
        <f t="shared" si="1"/>
        <v>4.7328632498135716</v>
      </c>
      <c r="DH94" s="6"/>
      <c r="DI94" s="6">
        <v>10.01</v>
      </c>
      <c r="DJ94" s="6"/>
      <c r="DK94" s="6"/>
      <c r="DL94" s="6"/>
      <c r="DM94" s="6"/>
      <c r="DN94" s="6"/>
      <c r="DP94" s="11">
        <v>3</v>
      </c>
      <c r="DQ94" s="6" t="s">
        <v>111</v>
      </c>
      <c r="DR94" s="9">
        <v>3</v>
      </c>
    </row>
    <row r="95" spans="1:125" x14ac:dyDescent="0.2">
      <c r="A95" s="78">
        <v>268</v>
      </c>
      <c r="B95" s="8">
        <v>42928</v>
      </c>
      <c r="C95" s="6" t="s">
        <v>196</v>
      </c>
      <c r="D95" s="6">
        <v>68</v>
      </c>
      <c r="E95" s="6" t="s">
        <v>100</v>
      </c>
      <c r="F95" s="17">
        <v>17967</v>
      </c>
      <c r="G95" s="6" t="s">
        <v>3332</v>
      </c>
      <c r="H95" s="6" t="s">
        <v>3333</v>
      </c>
      <c r="I95" s="9">
        <v>13</v>
      </c>
      <c r="J95" s="10">
        <v>48</v>
      </c>
      <c r="L95" s="6">
        <v>1</v>
      </c>
      <c r="M95" s="6" t="s">
        <v>99</v>
      </c>
      <c r="N95" s="6" t="s">
        <v>99</v>
      </c>
      <c r="O95" s="6" t="s">
        <v>99</v>
      </c>
      <c r="P95" s="6" t="s">
        <v>99</v>
      </c>
      <c r="Q95" s="6" t="s">
        <v>99</v>
      </c>
      <c r="R95" s="6" t="s">
        <v>110</v>
      </c>
      <c r="S95" s="6" t="s">
        <v>110</v>
      </c>
      <c r="T95" s="6" t="s">
        <v>110</v>
      </c>
      <c r="U95" s="6" t="s">
        <v>99</v>
      </c>
      <c r="W95" s="16" t="s">
        <v>3334</v>
      </c>
      <c r="X95" s="6" t="s">
        <v>99</v>
      </c>
      <c r="Y95" s="6" t="s">
        <v>3335</v>
      </c>
      <c r="Z95" s="9" t="s">
        <v>1903</v>
      </c>
      <c r="AA95" s="9" t="s">
        <v>100</v>
      </c>
      <c r="AB95" s="6" t="s">
        <v>100</v>
      </c>
      <c r="AC95" s="6" t="s">
        <v>100</v>
      </c>
      <c r="AD95" s="9" t="s">
        <v>100</v>
      </c>
      <c r="AE95" s="10" t="s">
        <v>118</v>
      </c>
      <c r="AF95" s="9" t="s">
        <v>99</v>
      </c>
      <c r="AG95" s="10" t="s">
        <v>126</v>
      </c>
      <c r="AH95" s="9" t="s">
        <v>99</v>
      </c>
      <c r="AI95" s="9" t="s">
        <v>99</v>
      </c>
      <c r="AJ95" s="9" t="s">
        <v>99</v>
      </c>
      <c r="AK95" s="9" t="s">
        <v>99</v>
      </c>
      <c r="AL95" s="6">
        <v>69.5</v>
      </c>
      <c r="AM95" s="9">
        <v>150</v>
      </c>
      <c r="AN95" s="15">
        <v>90</v>
      </c>
      <c r="AO95" s="6">
        <v>95</v>
      </c>
      <c r="AP95" s="6">
        <v>48.4</v>
      </c>
      <c r="AQ95" s="6">
        <v>13</v>
      </c>
      <c r="AR95" s="6">
        <v>21.1</v>
      </c>
      <c r="AS95" s="6">
        <v>76</v>
      </c>
      <c r="AT95" s="6">
        <v>30.9</v>
      </c>
      <c r="AU95" s="16">
        <v>155</v>
      </c>
      <c r="AV95" s="16">
        <v>110</v>
      </c>
      <c r="AX95" s="9" t="s">
        <v>1977</v>
      </c>
      <c r="AY95" s="9" t="s">
        <v>345</v>
      </c>
      <c r="AZ95" s="9" t="s">
        <v>574</v>
      </c>
      <c r="BB95" s="9" t="s">
        <v>1080</v>
      </c>
      <c r="BC95" s="9" t="s">
        <v>3336</v>
      </c>
      <c r="BF95" s="9" t="s">
        <v>3337</v>
      </c>
      <c r="BG95" s="9" t="s">
        <v>177</v>
      </c>
      <c r="BH95" s="9" t="s">
        <v>99</v>
      </c>
      <c r="DC95" s="82">
        <v>83.5</v>
      </c>
      <c r="DD95" s="6">
        <v>0.67</v>
      </c>
      <c r="DE95" s="15">
        <v>264</v>
      </c>
      <c r="DF95" s="15">
        <v>233</v>
      </c>
      <c r="DG95" s="9">
        <f t="shared" si="1"/>
        <v>4.9379425427112551</v>
      </c>
      <c r="DH95" s="6"/>
      <c r="DI95" s="6">
        <v>4.84</v>
      </c>
      <c r="DJ95" s="6"/>
      <c r="DK95" s="6"/>
      <c r="DL95" s="6"/>
      <c r="DM95" s="6"/>
      <c r="DN95" s="6"/>
      <c r="DQ95" s="6" t="s">
        <v>99</v>
      </c>
      <c r="DU95" s="9">
        <v>5</v>
      </c>
    </row>
    <row r="96" spans="1:125" x14ac:dyDescent="0.2">
      <c r="A96" s="16">
        <v>276</v>
      </c>
      <c r="B96" s="8">
        <v>42929</v>
      </c>
      <c r="C96" s="6" t="s">
        <v>95</v>
      </c>
      <c r="D96" s="6">
        <v>68</v>
      </c>
      <c r="E96" s="6" t="s">
        <v>100</v>
      </c>
      <c r="F96" s="17">
        <v>17978</v>
      </c>
      <c r="G96" s="6" t="s">
        <v>197</v>
      </c>
      <c r="H96" s="6" t="s">
        <v>723</v>
      </c>
      <c r="I96" s="9">
        <v>13</v>
      </c>
      <c r="J96" s="10">
        <v>48</v>
      </c>
      <c r="K96" s="9">
        <v>1981</v>
      </c>
      <c r="L96" s="6">
        <v>3</v>
      </c>
      <c r="M96" s="6" t="s">
        <v>99</v>
      </c>
      <c r="N96" s="6" t="s">
        <v>99</v>
      </c>
      <c r="O96" s="15" t="s">
        <v>110</v>
      </c>
      <c r="P96" s="6" t="s">
        <v>99</v>
      </c>
      <c r="Q96" s="6" t="s">
        <v>110</v>
      </c>
      <c r="R96" s="6" t="s">
        <v>110</v>
      </c>
      <c r="S96" s="6" t="s">
        <v>110</v>
      </c>
      <c r="T96" s="6" t="s">
        <v>110</v>
      </c>
      <c r="U96" s="6" t="s">
        <v>2418</v>
      </c>
      <c r="W96" s="6" t="s">
        <v>99</v>
      </c>
      <c r="X96" s="6" t="s">
        <v>99</v>
      </c>
      <c r="Y96" s="6" t="s">
        <v>99</v>
      </c>
      <c r="AA96" s="9" t="s">
        <v>100</v>
      </c>
      <c r="AB96" s="6" t="s">
        <v>100</v>
      </c>
      <c r="AC96" s="6" t="s">
        <v>100</v>
      </c>
      <c r="AD96" s="9" t="s">
        <v>100</v>
      </c>
      <c r="AE96" s="9" t="s">
        <v>99</v>
      </c>
      <c r="AF96" s="15" t="s">
        <v>363</v>
      </c>
      <c r="AG96" s="15" t="s">
        <v>126</v>
      </c>
      <c r="AH96" s="6" t="s">
        <v>99</v>
      </c>
      <c r="AI96" s="6" t="s">
        <v>99</v>
      </c>
      <c r="AJ96" s="6" t="s">
        <v>99</v>
      </c>
      <c r="AK96" s="15" t="s">
        <v>3400</v>
      </c>
      <c r="AL96" s="6">
        <v>64.099999999999994</v>
      </c>
      <c r="AM96" s="9">
        <v>154</v>
      </c>
      <c r="AN96" s="6">
        <v>80</v>
      </c>
      <c r="AO96" s="6">
        <v>109</v>
      </c>
      <c r="AP96" s="6">
        <v>39.700000000000003</v>
      </c>
      <c r="AQ96" s="6">
        <v>10</v>
      </c>
      <c r="AR96" s="6">
        <v>25.9</v>
      </c>
      <c r="AS96" s="6">
        <v>67</v>
      </c>
      <c r="AT96" s="6">
        <v>27</v>
      </c>
      <c r="AU96" s="15">
        <v>143</v>
      </c>
      <c r="AV96" s="15">
        <v>87</v>
      </c>
      <c r="AX96" s="9" t="s">
        <v>573</v>
      </c>
      <c r="AY96" s="9" t="s">
        <v>592</v>
      </c>
      <c r="AZ96" s="9" t="s">
        <v>3401</v>
      </c>
      <c r="BB96" s="9" t="s">
        <v>1080</v>
      </c>
      <c r="BC96" s="9" t="s">
        <v>2746</v>
      </c>
      <c r="BD96" s="9" t="s">
        <v>750</v>
      </c>
      <c r="BF96" s="9" t="s">
        <v>1099</v>
      </c>
      <c r="BG96" s="9" t="s">
        <v>2570</v>
      </c>
      <c r="BH96" s="9" t="s">
        <v>3402</v>
      </c>
      <c r="BI96" s="9" t="s">
        <v>172</v>
      </c>
      <c r="BJ96" s="9" t="s">
        <v>176</v>
      </c>
      <c r="BK96" s="9" t="s">
        <v>683</v>
      </c>
      <c r="BN96" s="9" t="s">
        <v>352</v>
      </c>
      <c r="BO96" s="9" t="s">
        <v>859</v>
      </c>
      <c r="BP96" s="9" t="s">
        <v>178</v>
      </c>
      <c r="BR96" s="9" t="s">
        <v>99</v>
      </c>
      <c r="BV96" s="9" t="s">
        <v>99</v>
      </c>
      <c r="BZ96" s="9" t="s">
        <v>182</v>
      </c>
      <c r="CA96" s="9" t="s">
        <v>184</v>
      </c>
      <c r="CB96" s="9" t="s">
        <v>183</v>
      </c>
      <c r="CD96" s="9" t="s">
        <v>99</v>
      </c>
      <c r="CH96" s="9" t="s">
        <v>99</v>
      </c>
      <c r="CL96" s="9" t="s">
        <v>1181</v>
      </c>
      <c r="CM96" s="9" t="s">
        <v>1180</v>
      </c>
      <c r="CN96" s="9" t="s">
        <v>825</v>
      </c>
      <c r="CP96" s="9" t="s">
        <v>716</v>
      </c>
      <c r="CQ96" s="9" t="s">
        <v>362</v>
      </c>
      <c r="CT96" s="9" t="s">
        <v>99</v>
      </c>
      <c r="CW96" s="9">
        <v>3</v>
      </c>
      <c r="CX96" s="9" t="s">
        <v>3403</v>
      </c>
      <c r="CY96" s="9" t="s">
        <v>110</v>
      </c>
      <c r="CZ96" s="9">
        <v>40</v>
      </c>
      <c r="DA96" s="9">
        <v>20</v>
      </c>
      <c r="DB96" s="9">
        <v>40</v>
      </c>
      <c r="DC96" s="15">
        <v>113.4</v>
      </c>
      <c r="DD96" s="6">
        <v>0.55000000000000004</v>
      </c>
      <c r="DE96" s="6">
        <v>145</v>
      </c>
      <c r="DF96" s="6">
        <v>109</v>
      </c>
      <c r="DG96" s="9">
        <f t="shared" si="1"/>
        <v>4.7111346367613978</v>
      </c>
      <c r="DH96" s="6"/>
      <c r="DI96" s="6">
        <v>4.6900000000000004</v>
      </c>
      <c r="DJ96" s="6"/>
      <c r="DK96" s="6"/>
      <c r="DL96" s="6"/>
      <c r="DM96" s="6"/>
      <c r="DN96" s="6"/>
      <c r="DQ96" s="6" t="s">
        <v>111</v>
      </c>
      <c r="DR96" s="9">
        <v>3</v>
      </c>
      <c r="DU96" s="9">
        <v>6</v>
      </c>
    </row>
    <row r="97" spans="1:125" x14ac:dyDescent="0.2">
      <c r="A97" s="6">
        <v>277</v>
      </c>
      <c r="B97" s="8">
        <v>42929</v>
      </c>
      <c r="C97" s="6" t="s">
        <v>95</v>
      </c>
      <c r="D97" s="6">
        <v>48</v>
      </c>
      <c r="E97" s="6" t="s">
        <v>100</v>
      </c>
      <c r="F97" s="17">
        <v>25046</v>
      </c>
      <c r="G97" s="6" t="s">
        <v>197</v>
      </c>
      <c r="H97" s="6" t="s">
        <v>3404</v>
      </c>
      <c r="I97" s="9">
        <v>10</v>
      </c>
      <c r="J97" s="10">
        <v>45</v>
      </c>
      <c r="K97" s="9">
        <v>30</v>
      </c>
      <c r="L97" s="6">
        <v>4</v>
      </c>
      <c r="M97" s="15" t="s">
        <v>3405</v>
      </c>
      <c r="N97" s="6" t="s">
        <v>99</v>
      </c>
      <c r="O97" s="15" t="s">
        <v>3406</v>
      </c>
      <c r="P97" s="6" t="s">
        <v>110</v>
      </c>
      <c r="Q97" s="6" t="s">
        <v>99</v>
      </c>
      <c r="R97" s="6" t="s">
        <v>110</v>
      </c>
      <c r="S97" s="6" t="s">
        <v>99</v>
      </c>
      <c r="T97" s="6" t="s">
        <v>110</v>
      </c>
      <c r="U97" s="6" t="s">
        <v>99</v>
      </c>
      <c r="W97" s="6"/>
      <c r="X97" s="6" t="s">
        <v>99</v>
      </c>
      <c r="Y97" s="6" t="s">
        <v>99</v>
      </c>
      <c r="AA97" s="14" t="s">
        <v>840</v>
      </c>
      <c r="AB97" s="86" t="s">
        <v>3407</v>
      </c>
      <c r="AC97" s="16" t="s">
        <v>840</v>
      </c>
      <c r="AD97" s="35" t="s">
        <v>3407</v>
      </c>
      <c r="AE97" s="15" t="s">
        <v>3408</v>
      </c>
      <c r="AF97" s="6" t="s">
        <v>99</v>
      </c>
      <c r="AG97" s="6" t="s">
        <v>99</v>
      </c>
      <c r="AH97" s="6" t="s">
        <v>99</v>
      </c>
      <c r="AI97" s="6" t="s">
        <v>99</v>
      </c>
      <c r="AJ97" s="6" t="s">
        <v>99</v>
      </c>
      <c r="AK97" s="6" t="s">
        <v>99</v>
      </c>
      <c r="AL97" s="6">
        <v>80.400000000000006</v>
      </c>
      <c r="AM97" s="9">
        <v>153</v>
      </c>
      <c r="AN97" s="15">
        <v>107</v>
      </c>
      <c r="AO97" s="6">
        <v>113</v>
      </c>
      <c r="AP97" s="6">
        <v>51.3</v>
      </c>
      <c r="AQ97" s="6">
        <v>11</v>
      </c>
      <c r="AR97" s="6">
        <v>20.8</v>
      </c>
      <c r="AS97" s="6">
        <v>70</v>
      </c>
      <c r="AT97" s="6">
        <v>34.4</v>
      </c>
      <c r="AU97" s="6">
        <v>109</v>
      </c>
      <c r="AV97" s="6">
        <v>92</v>
      </c>
      <c r="AX97" s="9" t="s">
        <v>1977</v>
      </c>
      <c r="AY97" s="9" t="s">
        <v>2877</v>
      </c>
      <c r="AZ97" s="9" t="s">
        <v>3409</v>
      </c>
      <c r="BB97" s="9" t="s">
        <v>3410</v>
      </c>
      <c r="BC97" s="9" t="s">
        <v>3411</v>
      </c>
      <c r="BD97" s="9" t="s">
        <v>346</v>
      </c>
      <c r="BF97" s="9" t="s">
        <v>3412</v>
      </c>
      <c r="BG97" s="9" t="s">
        <v>2570</v>
      </c>
      <c r="BH97" s="9" t="s">
        <v>99</v>
      </c>
      <c r="BI97" s="9" t="s">
        <v>2445</v>
      </c>
      <c r="BJ97" s="9" t="s">
        <v>350</v>
      </c>
      <c r="BK97" s="9" t="s">
        <v>3413</v>
      </c>
      <c r="BN97" s="9" t="s">
        <v>3414</v>
      </c>
      <c r="BO97" s="9" t="s">
        <v>3415</v>
      </c>
      <c r="BP97" s="9" t="s">
        <v>3416</v>
      </c>
      <c r="BR97" s="9" t="s">
        <v>99</v>
      </c>
      <c r="BU97" s="9" t="s">
        <v>99</v>
      </c>
      <c r="BY97" s="9" t="s">
        <v>818</v>
      </c>
      <c r="BZ97" s="9" t="s">
        <v>182</v>
      </c>
      <c r="CA97" s="9" t="s">
        <v>577</v>
      </c>
      <c r="CB97" s="9" t="s">
        <v>183</v>
      </c>
      <c r="CD97" s="9" t="s">
        <v>99</v>
      </c>
      <c r="CH97" s="9" t="s">
        <v>99</v>
      </c>
      <c r="CL97" s="9" t="s">
        <v>823</v>
      </c>
      <c r="CM97" s="9" t="s">
        <v>3417</v>
      </c>
      <c r="CN97" s="9" t="s">
        <v>3418</v>
      </c>
      <c r="CP97" s="9" t="s">
        <v>890</v>
      </c>
      <c r="CQ97" s="9" t="s">
        <v>2641</v>
      </c>
      <c r="CT97" s="9" t="s">
        <v>3419</v>
      </c>
      <c r="CU97" s="9" t="s">
        <v>3420</v>
      </c>
      <c r="CW97" s="9">
        <v>3</v>
      </c>
      <c r="CX97" s="9" t="s">
        <v>110</v>
      </c>
      <c r="CY97" s="9" t="s">
        <v>110</v>
      </c>
      <c r="CZ97" s="9">
        <v>25</v>
      </c>
      <c r="DA97" s="9">
        <v>25</v>
      </c>
      <c r="DB97" s="9">
        <v>33</v>
      </c>
      <c r="DC97" s="15">
        <v>124.1</v>
      </c>
      <c r="DD97" s="6">
        <v>0.55000000000000004</v>
      </c>
      <c r="DE97" s="15">
        <v>211</v>
      </c>
      <c r="DF97" s="6">
        <v>140</v>
      </c>
      <c r="DG97" s="9">
        <f t="shared" si="1"/>
        <v>4.8813650574099325</v>
      </c>
      <c r="DH97" s="6"/>
      <c r="DI97" s="6">
        <v>5.27</v>
      </c>
      <c r="DJ97" s="6"/>
      <c r="DK97" s="6"/>
      <c r="DL97" s="6"/>
      <c r="DM97" s="6"/>
      <c r="DN97" s="6"/>
      <c r="DP97" s="11">
        <v>2</v>
      </c>
      <c r="DQ97" s="6" t="s">
        <v>111</v>
      </c>
      <c r="DR97" s="9">
        <v>2</v>
      </c>
      <c r="DU97" s="9">
        <v>5.6</v>
      </c>
    </row>
    <row r="98" spans="1:125" x14ac:dyDescent="0.2">
      <c r="A98" s="16">
        <v>283</v>
      </c>
      <c r="B98" s="8">
        <v>42929</v>
      </c>
      <c r="C98" s="6" t="s">
        <v>95</v>
      </c>
      <c r="D98" s="6">
        <v>45</v>
      </c>
      <c r="E98" s="6" t="s">
        <v>100</v>
      </c>
      <c r="F98" s="17">
        <v>26213</v>
      </c>
      <c r="G98" s="6" t="s">
        <v>2088</v>
      </c>
      <c r="H98" s="6" t="s">
        <v>3422</v>
      </c>
      <c r="I98" s="9">
        <v>12</v>
      </c>
      <c r="J98" s="9" t="s">
        <v>99</v>
      </c>
      <c r="L98" s="6">
        <v>4</v>
      </c>
      <c r="M98" s="6" t="s">
        <v>99</v>
      </c>
      <c r="N98" s="6" t="s">
        <v>99</v>
      </c>
      <c r="O98" s="15" t="s">
        <v>3485</v>
      </c>
      <c r="P98" s="6" t="s">
        <v>99</v>
      </c>
      <c r="Q98" s="6" t="s">
        <v>110</v>
      </c>
      <c r="R98" s="6" t="s">
        <v>110</v>
      </c>
      <c r="S98" s="6" t="s">
        <v>110</v>
      </c>
      <c r="T98" s="6" t="s">
        <v>110</v>
      </c>
      <c r="U98" s="6" t="s">
        <v>2439</v>
      </c>
      <c r="W98" s="15" t="s">
        <v>3486</v>
      </c>
      <c r="X98" s="6" t="s">
        <v>99</v>
      </c>
      <c r="Y98" s="6" t="s">
        <v>3487</v>
      </c>
      <c r="AA98" s="85" t="s">
        <v>3488</v>
      </c>
      <c r="AB98" s="80" t="s">
        <v>797</v>
      </c>
      <c r="AC98" s="85" t="s">
        <v>3488</v>
      </c>
      <c r="AD98" s="80" t="s">
        <v>797</v>
      </c>
      <c r="AE98" s="15" t="s">
        <v>571</v>
      </c>
      <c r="AF98" s="15" t="s">
        <v>123</v>
      </c>
      <c r="AG98" s="6"/>
      <c r="AH98" s="15" t="s">
        <v>2627</v>
      </c>
      <c r="AI98" s="15" t="s">
        <v>118</v>
      </c>
      <c r="AJ98" s="6"/>
      <c r="AK98" s="6"/>
      <c r="AL98" s="6">
        <v>104.6</v>
      </c>
      <c r="AM98" s="9">
        <v>162</v>
      </c>
      <c r="AN98" s="15">
        <v>102</v>
      </c>
      <c r="AO98" s="6">
        <v>123</v>
      </c>
      <c r="AP98" s="6">
        <v>50.6</v>
      </c>
      <c r="AQ98" s="6">
        <v>12</v>
      </c>
      <c r="AR98" s="6">
        <v>22.3</v>
      </c>
      <c r="AS98" s="6">
        <v>71</v>
      </c>
      <c r="AT98" s="6">
        <v>39.9</v>
      </c>
      <c r="AU98" s="6">
        <v>107</v>
      </c>
      <c r="AV98" s="6">
        <v>79</v>
      </c>
      <c r="AX98" s="9" t="s">
        <v>573</v>
      </c>
      <c r="AY98" s="9" t="s">
        <v>592</v>
      </c>
      <c r="AZ98" s="9" t="s">
        <v>729</v>
      </c>
      <c r="BB98" s="9" t="s">
        <v>750</v>
      </c>
      <c r="BC98" s="9" t="s">
        <v>749</v>
      </c>
      <c r="BD98" s="9" t="s">
        <v>3489</v>
      </c>
      <c r="BF98" s="9" t="s">
        <v>175</v>
      </c>
      <c r="BG98" s="9" t="s">
        <v>175</v>
      </c>
      <c r="BH98" s="9" t="s">
        <v>2570</v>
      </c>
      <c r="BI98" s="9" t="s">
        <v>2570</v>
      </c>
      <c r="BJ98" s="9" t="s">
        <v>176</v>
      </c>
      <c r="BK98" s="9" t="s">
        <v>175</v>
      </c>
      <c r="BN98" s="9" t="s">
        <v>180</v>
      </c>
      <c r="BO98" s="9" t="s">
        <v>179</v>
      </c>
      <c r="BP98" s="9" t="s">
        <v>352</v>
      </c>
      <c r="BR98" s="9" t="s">
        <v>99</v>
      </c>
      <c r="BV98" s="9" t="s">
        <v>99</v>
      </c>
      <c r="BZ98" s="9" t="s">
        <v>182</v>
      </c>
      <c r="CA98" s="9" t="s">
        <v>183</v>
      </c>
      <c r="CB98" s="9" t="s">
        <v>709</v>
      </c>
      <c r="CD98" s="9" t="s">
        <v>99</v>
      </c>
      <c r="CH98" s="9" t="s">
        <v>99</v>
      </c>
      <c r="CL98" s="9" t="s">
        <v>3490</v>
      </c>
      <c r="CM98" s="9" t="s">
        <v>1181</v>
      </c>
      <c r="CN98" s="9" t="s">
        <v>980</v>
      </c>
      <c r="CP98" s="9" t="s">
        <v>362</v>
      </c>
      <c r="CQ98" s="9" t="s">
        <v>716</v>
      </c>
      <c r="CR98" s="9" t="s">
        <v>361</v>
      </c>
      <c r="CT98" s="9" t="s">
        <v>3491</v>
      </c>
      <c r="CU98" s="9" t="s">
        <v>3492</v>
      </c>
      <c r="CV98" s="9" t="s">
        <v>187</v>
      </c>
      <c r="CW98" s="45" t="s">
        <v>3016</v>
      </c>
      <c r="CX98" s="9" t="s">
        <v>99</v>
      </c>
      <c r="CY98" s="9" t="s">
        <v>110</v>
      </c>
      <c r="CZ98" s="9">
        <v>25</v>
      </c>
      <c r="DA98" s="9">
        <v>50</v>
      </c>
      <c r="DB98" s="9">
        <v>25</v>
      </c>
      <c r="DC98" s="15">
        <v>107.4</v>
      </c>
      <c r="DD98" s="6">
        <v>0.6</v>
      </c>
      <c r="DE98" s="15">
        <v>202</v>
      </c>
      <c r="DF98" s="15">
        <v>150</v>
      </c>
      <c r="DG98" s="9">
        <f t="shared" si="1"/>
        <v>4.84359773808551</v>
      </c>
      <c r="DH98" s="6"/>
      <c r="DI98" s="6">
        <v>5.73</v>
      </c>
      <c r="DJ98" s="6"/>
      <c r="DK98" s="6"/>
      <c r="DL98" s="6"/>
      <c r="DM98" s="6"/>
      <c r="DN98" s="6"/>
      <c r="DP98" s="11">
        <v>3</v>
      </c>
      <c r="DQ98" s="6" t="s">
        <v>111</v>
      </c>
      <c r="DR98" s="9">
        <v>2</v>
      </c>
      <c r="DU98" s="9">
        <v>5</v>
      </c>
    </row>
    <row r="99" spans="1:125" ht="19" x14ac:dyDescent="0.25">
      <c r="A99" s="79">
        <v>287</v>
      </c>
      <c r="B99" s="8">
        <v>42930</v>
      </c>
      <c r="C99" s="6" t="s">
        <v>675</v>
      </c>
      <c r="D99" s="6">
        <v>73</v>
      </c>
      <c r="E99" s="105" t="s">
        <v>100</v>
      </c>
      <c r="F99" s="17">
        <v>16207</v>
      </c>
      <c r="G99" s="6" t="s">
        <v>3009</v>
      </c>
      <c r="H99" s="6" t="s">
        <v>723</v>
      </c>
      <c r="L99" s="6"/>
      <c r="M99" s="6" t="s">
        <v>588</v>
      </c>
      <c r="N99" s="6" t="s">
        <v>588</v>
      </c>
      <c r="O99" s="6" t="s">
        <v>588</v>
      </c>
      <c r="P99" s="6" t="s">
        <v>99</v>
      </c>
      <c r="Q99" s="6" t="s">
        <v>110</v>
      </c>
      <c r="R99" s="6" t="s">
        <v>588</v>
      </c>
      <c r="S99" s="6" t="s">
        <v>483</v>
      </c>
      <c r="T99" s="6" t="s">
        <v>483</v>
      </c>
      <c r="U99" s="6" t="s">
        <v>99</v>
      </c>
      <c r="W99" s="15" t="s">
        <v>3532</v>
      </c>
      <c r="X99" s="6"/>
      <c r="Y99" s="6" t="s">
        <v>3533</v>
      </c>
      <c r="Z99" s="9" t="s">
        <v>3534</v>
      </c>
      <c r="AA99" s="9" t="s">
        <v>100</v>
      </c>
      <c r="AB99" s="6" t="s">
        <v>3535</v>
      </c>
      <c r="AC99" s="6" t="s">
        <v>100</v>
      </c>
      <c r="AD99" s="9" t="s">
        <v>2234</v>
      </c>
      <c r="AE99" s="15" t="s">
        <v>118</v>
      </c>
      <c r="AF99" s="15" t="s">
        <v>125</v>
      </c>
      <c r="AG99" s="6" t="s">
        <v>99</v>
      </c>
      <c r="AH99" s="6" t="s">
        <v>99</v>
      </c>
      <c r="AI99" s="6" t="s">
        <v>99</v>
      </c>
      <c r="AJ99" s="6" t="s">
        <v>99</v>
      </c>
      <c r="AK99" s="6"/>
      <c r="AL99" s="6">
        <v>61.1</v>
      </c>
      <c r="AM99" s="9">
        <v>1.6</v>
      </c>
      <c r="AN99" s="6">
        <v>81</v>
      </c>
      <c r="AO99" s="6">
        <v>96</v>
      </c>
      <c r="AP99" s="6">
        <v>18</v>
      </c>
      <c r="AQ99" s="6">
        <v>9</v>
      </c>
      <c r="AR99" s="6">
        <v>35</v>
      </c>
      <c r="AS99" s="6">
        <v>41</v>
      </c>
      <c r="AT99" s="79">
        <v>24</v>
      </c>
      <c r="AU99" s="6">
        <v>119</v>
      </c>
      <c r="AV99" s="6">
        <v>75</v>
      </c>
      <c r="DC99" s="6">
        <v>88.8</v>
      </c>
      <c r="DD99" s="6">
        <v>0.97</v>
      </c>
      <c r="DE99" s="6">
        <v>137</v>
      </c>
      <c r="DF99" s="6" t="s">
        <v>3536</v>
      </c>
      <c r="DG99" s="9" t="e">
        <f t="shared" si="1"/>
        <v>#VALUE!</v>
      </c>
      <c r="DH99" s="6"/>
      <c r="DI99" s="6">
        <v>5.23</v>
      </c>
      <c r="DJ99" s="6"/>
      <c r="DK99" s="6"/>
      <c r="DL99" s="6"/>
      <c r="DM99" s="6"/>
      <c r="DN99" s="6"/>
      <c r="DP99" s="11">
        <v>3</v>
      </c>
      <c r="DQ99" s="6" t="s">
        <v>111</v>
      </c>
      <c r="DR99" s="9">
        <v>2</v>
      </c>
      <c r="DT99" s="9">
        <v>9.27</v>
      </c>
      <c r="DU99" s="9">
        <v>3</v>
      </c>
    </row>
    <row r="100" spans="1:125" x14ac:dyDescent="0.2">
      <c r="A100" s="16">
        <v>288</v>
      </c>
      <c r="B100" s="8">
        <v>42930</v>
      </c>
      <c r="C100" s="6" t="s">
        <v>675</v>
      </c>
      <c r="D100" s="6">
        <v>67</v>
      </c>
      <c r="E100" s="6" t="s">
        <v>100</v>
      </c>
      <c r="F100" s="17">
        <v>18253</v>
      </c>
      <c r="G100" s="6" t="s">
        <v>234</v>
      </c>
      <c r="H100" s="6" t="s">
        <v>3422</v>
      </c>
      <c r="L100" s="6"/>
      <c r="M100" s="15" t="s">
        <v>3537</v>
      </c>
      <c r="N100" s="15" t="s">
        <v>110</v>
      </c>
      <c r="O100" s="15" t="s">
        <v>110</v>
      </c>
      <c r="P100" s="6" t="s">
        <v>99</v>
      </c>
      <c r="Q100" s="6" t="s">
        <v>99</v>
      </c>
      <c r="R100" s="6" t="s">
        <v>110</v>
      </c>
      <c r="S100" s="6" t="s">
        <v>99</v>
      </c>
      <c r="T100" s="6"/>
      <c r="U100" s="6"/>
      <c r="W100" s="6"/>
      <c r="X100" s="6"/>
      <c r="Y100" s="6" t="s">
        <v>3538</v>
      </c>
      <c r="AA100" s="6" t="s">
        <v>1123</v>
      </c>
      <c r="AB100" s="6" t="s">
        <v>1123</v>
      </c>
      <c r="AC100" s="6" t="s">
        <v>1123</v>
      </c>
      <c r="AD100" s="6" t="s">
        <v>1123</v>
      </c>
      <c r="AE100" s="15" t="s">
        <v>118</v>
      </c>
      <c r="AF100" s="15" t="s">
        <v>125</v>
      </c>
      <c r="AG100" s="6"/>
      <c r="AH100" s="15" t="s">
        <v>125</v>
      </c>
      <c r="AI100" s="6"/>
      <c r="AJ100" s="6"/>
      <c r="AK100" s="6"/>
      <c r="AL100" s="6">
        <v>91.2</v>
      </c>
      <c r="AN100" s="15">
        <v>105.5</v>
      </c>
      <c r="AO100" s="6">
        <v>102</v>
      </c>
      <c r="AP100" s="6">
        <v>26.8</v>
      </c>
      <c r="AQ100" s="6">
        <v>16</v>
      </c>
      <c r="AR100" s="6">
        <v>32.200000000000003</v>
      </c>
      <c r="AS100" s="6">
        <v>70</v>
      </c>
      <c r="AT100" s="6">
        <v>29.8</v>
      </c>
      <c r="AU100" s="15">
        <v>140</v>
      </c>
      <c r="AV100" s="15">
        <v>94</v>
      </c>
      <c r="AX100" s="9" t="s">
        <v>679</v>
      </c>
      <c r="AY100" s="9" t="s">
        <v>2877</v>
      </c>
      <c r="AZ100" s="9" t="s">
        <v>3539</v>
      </c>
      <c r="BB100" s="9" t="s">
        <v>3540</v>
      </c>
      <c r="BC100" s="9" t="s">
        <v>3541</v>
      </c>
      <c r="BD100" s="9" t="s">
        <v>3231</v>
      </c>
      <c r="BF100" s="9" t="s">
        <v>3542</v>
      </c>
      <c r="BG100" s="9" t="s">
        <v>3543</v>
      </c>
      <c r="BH100" s="9" t="s">
        <v>3544</v>
      </c>
      <c r="BI100" s="9" t="s">
        <v>805</v>
      </c>
      <c r="BJ100" s="9" t="s">
        <v>175</v>
      </c>
      <c r="BK100" s="9" t="s">
        <v>3545</v>
      </c>
      <c r="BM100" s="9" t="s">
        <v>853</v>
      </c>
      <c r="BN100" s="9" t="s">
        <v>179</v>
      </c>
      <c r="BO100" s="9" t="s">
        <v>352</v>
      </c>
      <c r="BP100" s="9" t="s">
        <v>3546</v>
      </c>
      <c r="BR100" s="9" t="s">
        <v>99</v>
      </c>
      <c r="BU100" s="9" t="s">
        <v>1172</v>
      </c>
      <c r="BV100" s="9" t="s">
        <v>734</v>
      </c>
      <c r="BW100" s="9" t="s">
        <v>2446</v>
      </c>
      <c r="BY100" s="9" t="s">
        <v>805</v>
      </c>
      <c r="BZ100" s="9" t="s">
        <v>182</v>
      </c>
      <c r="CA100" s="9" t="s">
        <v>752</v>
      </c>
      <c r="CB100" s="9" t="s">
        <v>709</v>
      </c>
      <c r="CD100" s="9" t="s">
        <v>99</v>
      </c>
      <c r="CH100" s="9" t="s">
        <v>99</v>
      </c>
      <c r="CL100" s="9" t="s">
        <v>3547</v>
      </c>
      <c r="CM100" s="9" t="s">
        <v>3034</v>
      </c>
      <c r="CN100" s="9" t="s">
        <v>823</v>
      </c>
      <c r="CO100" s="9" t="s">
        <v>1099</v>
      </c>
      <c r="CP100" s="9" t="s">
        <v>3548</v>
      </c>
      <c r="CQ100" s="9" t="s">
        <v>2614</v>
      </c>
      <c r="CR100" s="9" t="s">
        <v>3549</v>
      </c>
      <c r="CT100" s="9" t="s">
        <v>99</v>
      </c>
      <c r="CW100" s="9">
        <v>3</v>
      </c>
      <c r="CX100" s="9" t="s">
        <v>110</v>
      </c>
      <c r="CY100" s="9" t="s">
        <v>2407</v>
      </c>
      <c r="CZ100" s="9">
        <v>33</v>
      </c>
      <c r="DA100" s="9">
        <v>33</v>
      </c>
      <c r="DB100" s="9">
        <v>33</v>
      </c>
      <c r="DC100" s="15" t="s">
        <v>3550</v>
      </c>
      <c r="DD100" s="6">
        <v>1</v>
      </c>
      <c r="DE100" s="15">
        <v>211</v>
      </c>
      <c r="DF100" s="6" t="s">
        <v>3551</v>
      </c>
      <c r="DG100" s="9" t="e">
        <f t="shared" si="1"/>
        <v>#VALUE!</v>
      </c>
      <c r="DH100" s="6"/>
      <c r="DI100" s="15">
        <v>10.83</v>
      </c>
      <c r="DJ100" s="6"/>
      <c r="DK100" s="6"/>
      <c r="DL100" s="6"/>
      <c r="DM100" s="6"/>
      <c r="DN100" s="6"/>
      <c r="DP100" s="11">
        <v>2</v>
      </c>
      <c r="DQ100" s="6" t="s">
        <v>111</v>
      </c>
      <c r="DR100" s="9">
        <v>2</v>
      </c>
      <c r="DT100" s="9">
        <v>7.5</v>
      </c>
      <c r="DU100" s="9">
        <v>3</v>
      </c>
    </row>
    <row r="101" spans="1:125" x14ac:dyDescent="0.2">
      <c r="A101" s="78">
        <v>289</v>
      </c>
      <c r="B101" s="8">
        <v>42564</v>
      </c>
      <c r="C101" s="6" t="s">
        <v>95</v>
      </c>
      <c r="D101" s="6">
        <v>61</v>
      </c>
      <c r="E101" s="6" t="s">
        <v>100</v>
      </c>
      <c r="F101" s="17">
        <v>20092</v>
      </c>
      <c r="G101" s="77" t="s">
        <v>197</v>
      </c>
      <c r="H101" s="6" t="s">
        <v>3422</v>
      </c>
      <c r="I101" s="9">
        <v>14</v>
      </c>
      <c r="J101" s="9">
        <v>44</v>
      </c>
      <c r="K101" s="9">
        <v>1996</v>
      </c>
      <c r="L101" s="6">
        <v>7</v>
      </c>
      <c r="M101" s="6" t="s">
        <v>99</v>
      </c>
      <c r="N101" s="6" t="s">
        <v>99</v>
      </c>
      <c r="O101" s="15" t="s">
        <v>110</v>
      </c>
      <c r="P101" s="6" t="s">
        <v>99</v>
      </c>
      <c r="Q101" s="6" t="s">
        <v>99</v>
      </c>
      <c r="R101" s="6" t="s">
        <v>110</v>
      </c>
      <c r="S101" s="6" t="s">
        <v>99</v>
      </c>
      <c r="T101" s="6" t="s">
        <v>110</v>
      </c>
      <c r="U101" s="6" t="s">
        <v>3552</v>
      </c>
      <c r="W101" s="77" t="s">
        <v>3054</v>
      </c>
      <c r="X101" s="6" t="s">
        <v>99</v>
      </c>
      <c r="Y101" s="6" t="s">
        <v>3553</v>
      </c>
      <c r="AA101" s="9" t="s">
        <v>100</v>
      </c>
      <c r="AB101" s="6" t="s">
        <v>100</v>
      </c>
      <c r="AC101" s="6" t="s">
        <v>100</v>
      </c>
      <c r="AD101" s="9" t="s">
        <v>100</v>
      </c>
      <c r="AE101" s="6" t="s">
        <v>110</v>
      </c>
      <c r="AF101" s="6" t="s">
        <v>99</v>
      </c>
      <c r="AG101" s="6" t="s">
        <v>99</v>
      </c>
      <c r="AH101" s="6" t="s">
        <v>99</v>
      </c>
      <c r="AI101" s="6" t="s">
        <v>99</v>
      </c>
      <c r="AJ101" s="6" t="s">
        <v>99</v>
      </c>
      <c r="AK101" s="6" t="s">
        <v>3554</v>
      </c>
      <c r="AL101" s="6">
        <v>88.9</v>
      </c>
      <c r="AM101" s="9">
        <v>174</v>
      </c>
      <c r="AN101" s="6">
        <v>109</v>
      </c>
      <c r="AO101" s="6">
        <v>108</v>
      </c>
      <c r="AP101" s="6">
        <v>44</v>
      </c>
      <c r="AQ101" s="6">
        <v>12</v>
      </c>
      <c r="AR101" s="6">
        <v>11</v>
      </c>
      <c r="AS101" s="6">
        <v>32</v>
      </c>
      <c r="AT101" s="6">
        <v>29.4</v>
      </c>
      <c r="AU101" s="15">
        <v>135</v>
      </c>
      <c r="AV101" s="15">
        <v>85</v>
      </c>
      <c r="AX101" s="9" t="s">
        <v>1128</v>
      </c>
      <c r="AY101" s="9" t="s">
        <v>2877</v>
      </c>
      <c r="AZ101" s="9" t="s">
        <v>3555</v>
      </c>
      <c r="BB101" s="9" t="s">
        <v>3556</v>
      </c>
      <c r="BC101" s="9" t="s">
        <v>3557</v>
      </c>
      <c r="BD101" s="9" t="s">
        <v>3558</v>
      </c>
      <c r="BG101" s="9" t="s">
        <v>1099</v>
      </c>
      <c r="BI101" s="9" t="s">
        <v>3559</v>
      </c>
      <c r="BJ101" s="9" t="s">
        <v>3560</v>
      </c>
      <c r="BN101" s="9" t="s">
        <v>2909</v>
      </c>
      <c r="BO101" s="9" t="s">
        <v>179</v>
      </c>
      <c r="BP101" s="9" t="s">
        <v>3561</v>
      </c>
      <c r="BZ101" s="9" t="s">
        <v>2887</v>
      </c>
      <c r="CA101" s="9" t="s">
        <v>822</v>
      </c>
      <c r="CB101" s="9" t="s">
        <v>183</v>
      </c>
      <c r="CL101" s="9" t="s">
        <v>3562</v>
      </c>
      <c r="CM101" s="9" t="s">
        <v>3158</v>
      </c>
      <c r="CP101" s="9" t="s">
        <v>2641</v>
      </c>
      <c r="CQ101" s="9" t="s">
        <v>716</v>
      </c>
      <c r="CR101" s="9" t="s">
        <v>3563</v>
      </c>
      <c r="CT101" s="9" t="s">
        <v>2918</v>
      </c>
      <c r="CU101" s="9" t="s">
        <v>3564</v>
      </c>
      <c r="CW101" s="9">
        <v>3</v>
      </c>
      <c r="CX101" s="9" t="s">
        <v>99</v>
      </c>
      <c r="CY101" s="9" t="s">
        <v>110</v>
      </c>
      <c r="CZ101" s="9">
        <v>80</v>
      </c>
      <c r="DA101" s="9">
        <v>20</v>
      </c>
      <c r="DC101" s="6">
        <v>82</v>
      </c>
      <c r="DD101" s="6">
        <v>0.76</v>
      </c>
      <c r="DE101" s="15">
        <v>230</v>
      </c>
      <c r="DF101" s="15">
        <v>214</v>
      </c>
      <c r="DG101" s="9">
        <f t="shared" si="1"/>
        <v>4.8863476311430523</v>
      </c>
      <c r="DH101" s="6"/>
      <c r="DI101" s="15">
        <v>6.52</v>
      </c>
      <c r="DJ101" s="6"/>
      <c r="DK101" s="6"/>
      <c r="DL101" s="6"/>
      <c r="DM101" s="6"/>
      <c r="DN101" s="6"/>
      <c r="DP101" s="18">
        <v>1</v>
      </c>
      <c r="DQ101" s="77" t="s">
        <v>111</v>
      </c>
      <c r="DR101" s="9">
        <v>2</v>
      </c>
      <c r="DT101" s="9">
        <v>16.7</v>
      </c>
      <c r="DU101" s="9">
        <v>6</v>
      </c>
    </row>
    <row r="102" spans="1:125" x14ac:dyDescent="0.2">
      <c r="A102" s="14" t="s">
        <v>3607</v>
      </c>
      <c r="B102" s="8">
        <v>42931</v>
      </c>
      <c r="C102" s="9" t="s">
        <v>95</v>
      </c>
      <c r="D102" s="9">
        <v>49</v>
      </c>
      <c r="E102" s="9" t="s">
        <v>100</v>
      </c>
      <c r="F102" s="17">
        <v>24686</v>
      </c>
      <c r="G102" s="9" t="s">
        <v>197</v>
      </c>
      <c r="H102" s="9" t="s">
        <v>3422</v>
      </c>
      <c r="I102" s="9">
        <v>13</v>
      </c>
      <c r="J102" s="9">
        <v>2003</v>
      </c>
      <c r="K102" s="9">
        <v>1999</v>
      </c>
      <c r="L102" s="9">
        <v>3</v>
      </c>
      <c r="M102" s="9" t="s">
        <v>3608</v>
      </c>
      <c r="N102" s="9" t="s">
        <v>3609</v>
      </c>
      <c r="O102" s="9" t="s">
        <v>3610</v>
      </c>
      <c r="P102" s="9" t="s">
        <v>99</v>
      </c>
      <c r="Q102" s="9" t="s">
        <v>99</v>
      </c>
      <c r="R102" s="9" t="s">
        <v>110</v>
      </c>
      <c r="S102" s="9" t="s">
        <v>110</v>
      </c>
      <c r="T102" s="9" t="s">
        <v>110</v>
      </c>
      <c r="W102" s="9" t="s">
        <v>3611</v>
      </c>
      <c r="X102" s="9" t="s">
        <v>99</v>
      </c>
      <c r="Y102" s="9" t="s">
        <v>110</v>
      </c>
      <c r="Z102" s="9" t="s">
        <v>3612</v>
      </c>
      <c r="AA102" s="9" t="s">
        <v>100</v>
      </c>
      <c r="AB102" s="9" t="s">
        <v>100</v>
      </c>
      <c r="AC102" s="9" t="s">
        <v>100</v>
      </c>
      <c r="AD102" s="9" t="s">
        <v>840</v>
      </c>
      <c r="AE102" s="9" t="s">
        <v>3613</v>
      </c>
      <c r="AF102" s="9" t="s">
        <v>125</v>
      </c>
      <c r="AG102" s="9" t="s">
        <v>125</v>
      </c>
      <c r="AH102" s="9" t="s">
        <v>99</v>
      </c>
      <c r="AI102" s="9" t="s">
        <v>118</v>
      </c>
      <c r="AJ102" s="9" t="s">
        <v>99</v>
      </c>
      <c r="AK102" s="9" t="s">
        <v>99</v>
      </c>
      <c r="AL102" s="9">
        <v>65.599999999999994</v>
      </c>
      <c r="AM102" s="9">
        <v>1556</v>
      </c>
      <c r="AN102" s="6">
        <v>93</v>
      </c>
      <c r="AO102" s="6">
        <v>98</v>
      </c>
      <c r="AP102" s="6">
        <v>41.7</v>
      </c>
      <c r="AQ102" s="6">
        <v>8</v>
      </c>
      <c r="AR102" s="6">
        <v>24.3</v>
      </c>
      <c r="AS102" s="6">
        <v>56</v>
      </c>
      <c r="AT102" s="6">
        <v>27</v>
      </c>
      <c r="AU102" s="6">
        <v>106</v>
      </c>
      <c r="AV102" s="6">
        <v>85</v>
      </c>
      <c r="AX102" s="9" t="s">
        <v>592</v>
      </c>
      <c r="AY102" s="9" t="s">
        <v>1128</v>
      </c>
      <c r="AZ102" s="9" t="s">
        <v>345</v>
      </c>
      <c r="BB102" s="9" t="s">
        <v>3351</v>
      </c>
      <c r="BC102" s="9" t="s">
        <v>849</v>
      </c>
      <c r="BD102" s="9" t="s">
        <v>750</v>
      </c>
      <c r="BF102" s="9" t="s">
        <v>683</v>
      </c>
      <c r="BG102" s="9" t="s">
        <v>1172</v>
      </c>
      <c r="BH102" s="9" t="s">
        <v>1172</v>
      </c>
      <c r="BI102" s="9" t="s">
        <v>3614</v>
      </c>
      <c r="BJ102" s="9" t="s">
        <v>3615</v>
      </c>
      <c r="BK102" s="9" t="s">
        <v>2786</v>
      </c>
      <c r="BN102" s="9" t="s">
        <v>179</v>
      </c>
      <c r="BO102" s="9" t="s">
        <v>219</v>
      </c>
      <c r="BP102" s="9" t="s">
        <v>180</v>
      </c>
      <c r="BR102" s="9" t="s">
        <v>99</v>
      </c>
      <c r="BV102" s="9" t="s">
        <v>99</v>
      </c>
      <c r="BZ102" s="9" t="s">
        <v>182</v>
      </c>
      <c r="CA102" s="9" t="s">
        <v>183</v>
      </c>
      <c r="CB102" s="9" t="s">
        <v>822</v>
      </c>
      <c r="CD102" s="9" t="s">
        <v>99</v>
      </c>
      <c r="CH102" s="9" t="s">
        <v>99</v>
      </c>
      <c r="CL102" s="9" t="s">
        <v>825</v>
      </c>
      <c r="CM102" s="9" t="s">
        <v>1181</v>
      </c>
      <c r="CN102" s="9" t="s">
        <v>2447</v>
      </c>
      <c r="CP102" s="9" t="s">
        <v>362</v>
      </c>
      <c r="CQ102" s="9" t="s">
        <v>716</v>
      </c>
      <c r="CR102" s="9" t="s">
        <v>2098</v>
      </c>
      <c r="CT102" s="9" t="s">
        <v>1660</v>
      </c>
      <c r="CU102" s="9" t="s">
        <v>3616</v>
      </c>
      <c r="CW102" s="45">
        <v>43588</v>
      </c>
      <c r="CX102" s="9" t="s">
        <v>99</v>
      </c>
      <c r="CY102" s="9" t="s">
        <v>3617</v>
      </c>
      <c r="CZ102" s="9">
        <v>50</v>
      </c>
      <c r="DA102" s="9">
        <v>25</v>
      </c>
      <c r="DB102" s="9">
        <v>25</v>
      </c>
      <c r="DC102" s="10">
        <v>104.2</v>
      </c>
      <c r="DD102" s="9">
        <v>0.39</v>
      </c>
      <c r="DE102" s="10">
        <v>232</v>
      </c>
      <c r="DF102" s="10">
        <v>165</v>
      </c>
      <c r="DG102" s="9">
        <f t="shared" si="1"/>
        <v>4.8761288016099238</v>
      </c>
      <c r="DI102" s="10">
        <v>6.76</v>
      </c>
      <c r="DP102" s="11">
        <v>3</v>
      </c>
      <c r="DQ102" s="6" t="s">
        <v>105</v>
      </c>
      <c r="DR102" s="9">
        <v>2</v>
      </c>
      <c r="DU102" s="9">
        <v>5.7</v>
      </c>
    </row>
    <row r="103" spans="1:125" x14ac:dyDescent="0.2">
      <c r="A103" s="14">
        <v>296</v>
      </c>
      <c r="B103" s="8">
        <v>42931</v>
      </c>
      <c r="C103" s="9" t="s">
        <v>107</v>
      </c>
      <c r="D103" s="9">
        <v>64</v>
      </c>
      <c r="E103" s="52" t="s">
        <v>1697</v>
      </c>
      <c r="F103" s="17">
        <v>19637</v>
      </c>
      <c r="G103" s="9" t="s">
        <v>261</v>
      </c>
      <c r="H103" s="9" t="s">
        <v>2068</v>
      </c>
      <c r="M103" s="10" t="s">
        <v>3618</v>
      </c>
      <c r="N103" s="10" t="s">
        <v>588</v>
      </c>
      <c r="O103" s="10" t="s">
        <v>588</v>
      </c>
      <c r="P103" s="9" t="s">
        <v>483</v>
      </c>
      <c r="Q103" s="9" t="s">
        <v>483</v>
      </c>
      <c r="R103" s="9" t="s">
        <v>588</v>
      </c>
      <c r="S103" s="9" t="s">
        <v>483</v>
      </c>
      <c r="T103" s="9" t="s">
        <v>588</v>
      </c>
      <c r="U103" s="9" t="s">
        <v>3619</v>
      </c>
      <c r="V103" s="9" t="s">
        <v>483</v>
      </c>
      <c r="W103" s="37" t="s">
        <v>3620</v>
      </c>
      <c r="X103" s="9" t="s">
        <v>483</v>
      </c>
      <c r="Y103" s="9" t="s">
        <v>3621</v>
      </c>
      <c r="Z103" s="9" t="s">
        <v>483</v>
      </c>
      <c r="AA103" s="9" t="s">
        <v>3535</v>
      </c>
      <c r="AB103" s="9" t="s">
        <v>3535</v>
      </c>
      <c r="AC103" s="9" t="s">
        <v>3535</v>
      </c>
      <c r="AD103" s="9" t="s">
        <v>3535</v>
      </c>
      <c r="AE103" s="10" t="s">
        <v>35</v>
      </c>
      <c r="AF103" s="10" t="s">
        <v>35</v>
      </c>
      <c r="AG103" s="10" t="s">
        <v>3622</v>
      </c>
      <c r="AH103" s="10" t="s">
        <v>35</v>
      </c>
      <c r="AI103" s="10" t="s">
        <v>36</v>
      </c>
      <c r="AJ103" s="9" t="s">
        <v>483</v>
      </c>
      <c r="AK103" s="9" t="s">
        <v>483</v>
      </c>
      <c r="AL103" s="9">
        <v>87.9</v>
      </c>
      <c r="AM103" s="9">
        <v>1.72</v>
      </c>
      <c r="AN103" s="10">
        <v>108</v>
      </c>
      <c r="AO103" s="9">
        <v>107</v>
      </c>
      <c r="AP103" s="9">
        <v>34.1</v>
      </c>
      <c r="AQ103" s="9">
        <v>17</v>
      </c>
      <c r="AR103" s="9">
        <v>28.1</v>
      </c>
      <c r="AS103" s="9">
        <v>69</v>
      </c>
      <c r="AT103" s="9">
        <v>29.7</v>
      </c>
      <c r="AU103" s="9">
        <v>116</v>
      </c>
      <c r="AV103" s="9">
        <v>80</v>
      </c>
      <c r="AX103" s="9" t="s">
        <v>1107</v>
      </c>
      <c r="AY103" s="9" t="s">
        <v>917</v>
      </c>
      <c r="AZ103" s="9" t="s">
        <v>389</v>
      </c>
      <c r="BF103" s="9" t="s">
        <v>322</v>
      </c>
      <c r="BG103" s="9" t="s">
        <v>3577</v>
      </c>
      <c r="BJ103" s="9" t="s">
        <v>322</v>
      </c>
      <c r="BL103" s="9" t="s">
        <v>3623</v>
      </c>
      <c r="BM103" s="9" t="s">
        <v>3624</v>
      </c>
      <c r="BN103" s="9" t="s">
        <v>918</v>
      </c>
      <c r="BO103" s="9" t="s">
        <v>1886</v>
      </c>
      <c r="BQ103" s="9" t="s">
        <v>483</v>
      </c>
      <c r="BU103" s="9" t="s">
        <v>483</v>
      </c>
      <c r="BZ103" s="9" t="s">
        <v>1283</v>
      </c>
      <c r="CA103" s="9" t="s">
        <v>1246</v>
      </c>
      <c r="CB103" s="9" t="s">
        <v>332</v>
      </c>
      <c r="CC103" s="9" t="s">
        <v>483</v>
      </c>
      <c r="CG103" s="9" t="s">
        <v>483</v>
      </c>
      <c r="CL103" s="9" t="s">
        <v>3625</v>
      </c>
      <c r="CT103" s="9" t="s">
        <v>3626</v>
      </c>
      <c r="CU103" s="9" t="s">
        <v>3627</v>
      </c>
      <c r="CW103" s="9" t="s">
        <v>2006</v>
      </c>
      <c r="CX103" s="9" t="s">
        <v>483</v>
      </c>
      <c r="CY103" s="9" t="s">
        <v>99</v>
      </c>
      <c r="DC103" s="15">
        <v>106</v>
      </c>
      <c r="DD103" s="15">
        <v>1.57</v>
      </c>
      <c r="DE103" s="15">
        <v>213</v>
      </c>
      <c r="DF103" s="6">
        <v>85</v>
      </c>
      <c r="DG103" s="9">
        <f t="shared" si="1"/>
        <v>4.5530451753011922</v>
      </c>
      <c r="DH103" s="6"/>
      <c r="DI103" s="15">
        <v>7.71</v>
      </c>
      <c r="DL103" s="6"/>
      <c r="DM103" s="6"/>
      <c r="DN103" s="6"/>
      <c r="DP103" s="11">
        <v>3</v>
      </c>
      <c r="DQ103" s="6" t="s">
        <v>111</v>
      </c>
      <c r="DR103" s="9">
        <v>3</v>
      </c>
      <c r="DU103" s="9">
        <v>5.5</v>
      </c>
    </row>
    <row r="104" spans="1:125" x14ac:dyDescent="0.2">
      <c r="A104" s="37">
        <v>307</v>
      </c>
      <c r="B104" s="8">
        <v>42976</v>
      </c>
      <c r="C104" s="9" t="s">
        <v>675</v>
      </c>
      <c r="D104" s="9">
        <v>73</v>
      </c>
      <c r="E104" s="9" t="s">
        <v>100</v>
      </c>
      <c r="G104" s="9" t="s">
        <v>3009</v>
      </c>
      <c r="H104" s="9" t="s">
        <v>2628</v>
      </c>
      <c r="M104" s="9" t="s">
        <v>99</v>
      </c>
      <c r="N104" s="9" t="s">
        <v>99</v>
      </c>
      <c r="O104" s="9" t="s">
        <v>3073</v>
      </c>
      <c r="P104" s="9" t="s">
        <v>99</v>
      </c>
      <c r="Q104" s="9" t="s">
        <v>99</v>
      </c>
      <c r="S104" s="9" t="s">
        <v>99</v>
      </c>
      <c r="T104" s="9" t="s">
        <v>110</v>
      </c>
      <c r="U104" s="9" t="s">
        <v>99</v>
      </c>
      <c r="W104" s="37" t="s">
        <v>3690</v>
      </c>
      <c r="Y104" s="9" t="s">
        <v>3691</v>
      </c>
      <c r="Z104" s="9" t="s">
        <v>3692</v>
      </c>
      <c r="AA104" s="9" t="s">
        <v>100</v>
      </c>
      <c r="AB104" s="9" t="s">
        <v>100</v>
      </c>
      <c r="AE104" s="9" t="s">
        <v>118</v>
      </c>
      <c r="AF104" s="9" t="s">
        <v>99</v>
      </c>
      <c r="AG104" s="9" t="s">
        <v>126</v>
      </c>
      <c r="AH104" s="9" t="s">
        <v>99</v>
      </c>
      <c r="AI104" s="9" t="s">
        <v>99</v>
      </c>
      <c r="AJ104" s="9" t="s">
        <v>99</v>
      </c>
      <c r="AK104" s="9" t="s">
        <v>99</v>
      </c>
      <c r="AL104" s="9">
        <v>71.099999999999994</v>
      </c>
      <c r="AM104" s="9">
        <v>168</v>
      </c>
      <c r="AN104" s="10">
        <v>103</v>
      </c>
      <c r="AO104" s="9">
        <v>102</v>
      </c>
      <c r="AP104" s="9">
        <v>27.1</v>
      </c>
      <c r="AQ104" s="9">
        <v>12</v>
      </c>
      <c r="AR104" s="9">
        <v>30</v>
      </c>
      <c r="AS104" s="9">
        <v>58</v>
      </c>
      <c r="AT104" s="9">
        <v>25.2</v>
      </c>
      <c r="AU104" s="10">
        <v>137</v>
      </c>
      <c r="AV104" s="10">
        <v>80</v>
      </c>
      <c r="DC104" s="9">
        <v>96.9</v>
      </c>
      <c r="DE104" s="9">
        <v>194</v>
      </c>
      <c r="DF104" s="9">
        <v>128</v>
      </c>
      <c r="DG104" s="9">
        <f t="shared" si="1"/>
        <v>4.7128548914081687</v>
      </c>
      <c r="DH104" s="9">
        <v>25</v>
      </c>
      <c r="DI104" s="9">
        <v>3.45</v>
      </c>
      <c r="DL104" s="9">
        <v>54.3</v>
      </c>
      <c r="DM104" s="9">
        <v>114.1</v>
      </c>
      <c r="DQ104" s="6" t="s">
        <v>111</v>
      </c>
      <c r="DT104" s="9">
        <v>4.7</v>
      </c>
      <c r="DU104" s="9">
        <v>6.2</v>
      </c>
    </row>
    <row r="105" spans="1:125" x14ac:dyDescent="0.2">
      <c r="A105" s="14">
        <v>309</v>
      </c>
      <c r="B105" s="17">
        <v>42976</v>
      </c>
      <c r="C105" s="9" t="s">
        <v>107</v>
      </c>
      <c r="D105" s="9">
        <v>64</v>
      </c>
      <c r="E105" s="9" t="s">
        <v>3702</v>
      </c>
      <c r="F105" s="17">
        <v>19318</v>
      </c>
      <c r="G105" s="9" t="s">
        <v>3703</v>
      </c>
      <c r="H105" s="9" t="s">
        <v>3693</v>
      </c>
      <c r="M105" s="9" t="s">
        <v>3618</v>
      </c>
      <c r="N105" s="10" t="s">
        <v>588</v>
      </c>
      <c r="O105" s="10" t="s">
        <v>588</v>
      </c>
      <c r="P105" s="10" t="s">
        <v>588</v>
      </c>
      <c r="Q105" s="10" t="s">
        <v>3568</v>
      </c>
      <c r="R105" s="9" t="s">
        <v>483</v>
      </c>
      <c r="S105" s="9" t="s">
        <v>588</v>
      </c>
      <c r="T105" s="9" t="s">
        <v>588</v>
      </c>
      <c r="U105" s="9" t="s">
        <v>3704</v>
      </c>
      <c r="V105" s="9" t="s">
        <v>483</v>
      </c>
      <c r="W105" s="9" t="s">
        <v>3705</v>
      </c>
      <c r="X105" s="9" t="s">
        <v>483</v>
      </c>
      <c r="Y105" s="9" t="s">
        <v>3706</v>
      </c>
      <c r="Z105" s="9" t="s">
        <v>483</v>
      </c>
      <c r="AA105" s="9" t="s">
        <v>96</v>
      </c>
      <c r="AB105" s="9" t="s">
        <v>100</v>
      </c>
      <c r="AC105" s="9" t="s">
        <v>3707</v>
      </c>
      <c r="AD105" s="9" t="s">
        <v>96</v>
      </c>
      <c r="AE105" s="9" t="s">
        <v>483</v>
      </c>
      <c r="AF105" s="10" t="s">
        <v>3572</v>
      </c>
      <c r="AG105" s="9" t="s">
        <v>483</v>
      </c>
      <c r="AH105" s="9" t="s">
        <v>483</v>
      </c>
      <c r="AI105" s="10" t="s">
        <v>3572</v>
      </c>
      <c r="AJ105" s="9" t="s">
        <v>483</v>
      </c>
      <c r="AK105" s="10" t="s">
        <v>3708</v>
      </c>
      <c r="AL105" s="9">
        <v>117.7</v>
      </c>
      <c r="AM105" s="9">
        <v>1.79</v>
      </c>
      <c r="AN105" s="10">
        <v>123</v>
      </c>
      <c r="AO105" s="9">
        <v>115</v>
      </c>
      <c r="AP105" s="9">
        <v>38.200000000000003</v>
      </c>
      <c r="AQ105" s="9">
        <v>23</v>
      </c>
      <c r="AR105" s="9">
        <v>26.4</v>
      </c>
      <c r="AS105" s="9">
        <v>80</v>
      </c>
      <c r="AT105" s="9">
        <v>36.700000000000003</v>
      </c>
      <c r="AU105" s="10" t="s">
        <v>3709</v>
      </c>
      <c r="AV105" s="10">
        <v>97</v>
      </c>
      <c r="DC105" s="15">
        <v>111</v>
      </c>
      <c r="DD105" s="6">
        <v>0.85</v>
      </c>
      <c r="DE105" s="15">
        <v>209</v>
      </c>
      <c r="DF105" s="15">
        <v>182</v>
      </c>
      <c r="DG105" s="9">
        <f t="shared" si="1"/>
        <v>4.956768444194565</v>
      </c>
      <c r="DH105" s="6">
        <v>36.4</v>
      </c>
      <c r="DI105" s="6">
        <v>6</v>
      </c>
      <c r="DL105" s="6">
        <v>47</v>
      </c>
      <c r="DM105" s="6">
        <v>125.6</v>
      </c>
      <c r="DN105" s="6"/>
      <c r="DP105" s="11">
        <v>2</v>
      </c>
      <c r="DQ105" s="6" t="s">
        <v>105</v>
      </c>
      <c r="DR105" s="9">
        <v>3</v>
      </c>
    </row>
    <row r="106" spans="1:125" x14ac:dyDescent="0.2">
      <c r="A106" s="14">
        <v>310</v>
      </c>
      <c r="B106" s="17">
        <v>42976</v>
      </c>
      <c r="C106" s="9" t="s">
        <v>107</v>
      </c>
      <c r="D106" s="9">
        <v>67</v>
      </c>
      <c r="E106" s="9" t="s">
        <v>96</v>
      </c>
      <c r="F106" s="17">
        <v>18471</v>
      </c>
      <c r="H106" s="9" t="s">
        <v>3710</v>
      </c>
      <c r="M106" s="9" t="s">
        <v>483</v>
      </c>
      <c r="N106" s="9" t="s">
        <v>483</v>
      </c>
      <c r="O106" s="9" t="s">
        <v>483</v>
      </c>
      <c r="P106" s="9" t="s">
        <v>483</v>
      </c>
      <c r="Q106" s="10" t="s">
        <v>588</v>
      </c>
      <c r="R106" s="9" t="s">
        <v>588</v>
      </c>
      <c r="S106" s="9" t="s">
        <v>483</v>
      </c>
      <c r="T106" s="9" t="s">
        <v>588</v>
      </c>
      <c r="U106" s="9" t="s">
        <v>483</v>
      </c>
      <c r="V106" s="9" t="s">
        <v>483</v>
      </c>
      <c r="W106" s="10" t="s">
        <v>3711</v>
      </c>
      <c r="X106" s="9" t="s">
        <v>263</v>
      </c>
      <c r="Y106" s="9" t="s">
        <v>263</v>
      </c>
      <c r="Z106" s="9" t="s">
        <v>3712</v>
      </c>
      <c r="AA106" s="9" t="s">
        <v>3713</v>
      </c>
      <c r="AB106" s="9" t="s">
        <v>3713</v>
      </c>
      <c r="AC106" s="9" t="s">
        <v>3713</v>
      </c>
      <c r="AD106" s="9" t="s">
        <v>3713</v>
      </c>
      <c r="AE106" s="9" t="s">
        <v>263</v>
      </c>
      <c r="AF106" s="9" t="s">
        <v>483</v>
      </c>
      <c r="AG106" s="9" t="s">
        <v>483</v>
      </c>
      <c r="AH106" s="9" t="s">
        <v>483</v>
      </c>
      <c r="AI106" s="9" t="s">
        <v>483</v>
      </c>
      <c r="AJ106" s="9" t="s">
        <v>483</v>
      </c>
      <c r="AK106" s="9" t="s">
        <v>483</v>
      </c>
      <c r="AL106" s="9">
        <v>88.8</v>
      </c>
      <c r="AM106" s="9">
        <v>1.75</v>
      </c>
      <c r="AN106" s="10">
        <v>112</v>
      </c>
      <c r="AO106" s="9">
        <v>109</v>
      </c>
      <c r="AP106" s="9">
        <v>25.1</v>
      </c>
      <c r="AQ106" s="9">
        <v>14</v>
      </c>
      <c r="AR106" s="9">
        <v>33</v>
      </c>
      <c r="AS106" s="9">
        <v>68</v>
      </c>
      <c r="AT106" s="9">
        <v>29</v>
      </c>
      <c r="AU106" s="9">
        <v>121</v>
      </c>
      <c r="AV106" s="9">
        <v>79</v>
      </c>
      <c r="DC106" s="15">
        <v>103</v>
      </c>
      <c r="DD106" s="6">
        <v>0.9</v>
      </c>
      <c r="DE106" s="15">
        <v>209</v>
      </c>
      <c r="DF106" s="15">
        <v>156</v>
      </c>
      <c r="DG106" s="9">
        <f t="shared" si="1"/>
        <v>4.842292497739586</v>
      </c>
      <c r="DH106" s="6">
        <v>30</v>
      </c>
      <c r="DI106" s="6">
        <v>6.25</v>
      </c>
      <c r="DL106" s="6">
        <v>47</v>
      </c>
      <c r="DM106" s="6">
        <v>132</v>
      </c>
      <c r="DN106" s="6"/>
      <c r="DP106" s="11">
        <v>2</v>
      </c>
      <c r="DQ106" s="6" t="s">
        <v>105</v>
      </c>
      <c r="DR106" s="30">
        <v>1</v>
      </c>
      <c r="DU106" s="9">
        <v>4.7</v>
      </c>
    </row>
    <row r="107" spans="1:125" x14ac:dyDescent="0.2">
      <c r="A107" s="10">
        <v>313</v>
      </c>
      <c r="B107" s="8">
        <v>42938</v>
      </c>
      <c r="C107" s="9" t="s">
        <v>675</v>
      </c>
      <c r="D107" s="9">
        <v>67</v>
      </c>
      <c r="E107" s="9" t="s">
        <v>100</v>
      </c>
      <c r="F107" s="17">
        <v>18154</v>
      </c>
      <c r="G107" s="9" t="s">
        <v>3745</v>
      </c>
      <c r="H107" s="9" t="s">
        <v>3746</v>
      </c>
      <c r="M107" s="9" t="s">
        <v>99</v>
      </c>
      <c r="N107" s="9" t="s">
        <v>99</v>
      </c>
      <c r="O107" s="9" t="s">
        <v>99</v>
      </c>
      <c r="P107" s="9" t="s">
        <v>99</v>
      </c>
      <c r="Q107" s="9" t="s">
        <v>110</v>
      </c>
      <c r="U107" s="9" t="s">
        <v>3747</v>
      </c>
      <c r="W107" s="9" t="s">
        <v>3748</v>
      </c>
      <c r="Y107" s="9" t="s">
        <v>3749</v>
      </c>
      <c r="AA107" s="9" t="s">
        <v>100</v>
      </c>
      <c r="AB107" s="9" t="s">
        <v>100</v>
      </c>
      <c r="AC107" s="9" t="s">
        <v>100</v>
      </c>
      <c r="AD107" s="9" t="s">
        <v>100</v>
      </c>
      <c r="AE107" s="9" t="s">
        <v>99</v>
      </c>
      <c r="AF107" s="9" t="s">
        <v>99</v>
      </c>
      <c r="AG107" s="9" t="s">
        <v>99</v>
      </c>
      <c r="AH107" s="9" t="s">
        <v>99</v>
      </c>
      <c r="AI107" s="9" t="s">
        <v>99</v>
      </c>
      <c r="AJ107" s="9" t="s">
        <v>99</v>
      </c>
      <c r="AL107" s="9">
        <v>60.6</v>
      </c>
      <c r="AM107" s="9">
        <v>168</v>
      </c>
      <c r="AN107" s="9">
        <v>90</v>
      </c>
      <c r="AO107" s="9">
        <v>97</v>
      </c>
      <c r="AP107" s="9">
        <v>19.399999999999999</v>
      </c>
      <c r="AQ107" s="9">
        <v>6</v>
      </c>
      <c r="AR107" s="9">
        <v>33.5</v>
      </c>
      <c r="AS107" s="9">
        <v>43</v>
      </c>
      <c r="AT107" s="7">
        <v>21.5</v>
      </c>
      <c r="AU107" s="10">
        <v>145</v>
      </c>
      <c r="AV107" s="10">
        <v>98</v>
      </c>
      <c r="AW107" s="9" t="s">
        <v>3750</v>
      </c>
      <c r="AX107" s="9" t="s">
        <v>2878</v>
      </c>
      <c r="AY107" s="9" t="s">
        <v>3751</v>
      </c>
      <c r="AZ107" s="9" t="s">
        <v>666</v>
      </c>
      <c r="BB107" s="9" t="s">
        <v>3389</v>
      </c>
      <c r="BC107" s="9" t="s">
        <v>346</v>
      </c>
      <c r="BD107" s="9" t="s">
        <v>2554</v>
      </c>
      <c r="BF107" s="9" t="s">
        <v>176</v>
      </c>
      <c r="BG107" s="9" t="s">
        <v>1173</v>
      </c>
      <c r="BH107" s="9" t="s">
        <v>175</v>
      </c>
      <c r="BI107" s="9" t="s">
        <v>1099</v>
      </c>
      <c r="BJ107" s="9" t="s">
        <v>3752</v>
      </c>
      <c r="BK107" s="9" t="s">
        <v>2656</v>
      </c>
      <c r="BN107" s="9" t="s">
        <v>179</v>
      </c>
      <c r="BO107" s="9" t="s">
        <v>219</v>
      </c>
      <c r="BP107" s="9" t="s">
        <v>352</v>
      </c>
      <c r="BR107" s="9" t="s">
        <v>99</v>
      </c>
      <c r="BV107" s="9" t="s">
        <v>99</v>
      </c>
      <c r="BZ107" s="9" t="s">
        <v>709</v>
      </c>
      <c r="CA107" s="9" t="s">
        <v>1100</v>
      </c>
      <c r="CB107" s="9" t="s">
        <v>3753</v>
      </c>
      <c r="CD107" s="9" t="s">
        <v>99</v>
      </c>
      <c r="CH107" s="9" t="s">
        <v>99</v>
      </c>
      <c r="CL107" s="9" t="s">
        <v>1181</v>
      </c>
      <c r="CM107" s="9" t="s">
        <v>3754</v>
      </c>
      <c r="CN107" s="9" t="s">
        <v>3755</v>
      </c>
      <c r="CP107" s="9" t="s">
        <v>362</v>
      </c>
      <c r="CQ107" s="9" t="s">
        <v>791</v>
      </c>
      <c r="CR107" s="9" t="s">
        <v>3756</v>
      </c>
      <c r="CT107" s="9" t="s">
        <v>3757</v>
      </c>
      <c r="CU107" s="9" t="s">
        <v>364</v>
      </c>
      <c r="CW107" s="45">
        <v>43558</v>
      </c>
      <c r="CX107" s="9" t="s">
        <v>110</v>
      </c>
      <c r="CY107" s="9" t="s">
        <v>2756</v>
      </c>
      <c r="DC107" s="10">
        <v>99.1</v>
      </c>
      <c r="DD107" s="9">
        <v>0.9</v>
      </c>
      <c r="DE107" s="9">
        <v>199</v>
      </c>
      <c r="DF107" s="9" t="s">
        <v>3758</v>
      </c>
      <c r="DG107" s="9" t="e">
        <f t="shared" si="1"/>
        <v>#VALUE!</v>
      </c>
      <c r="DH107" s="9">
        <v>12.6</v>
      </c>
      <c r="DI107" s="9">
        <v>6.93</v>
      </c>
      <c r="DP107" s="11">
        <v>2</v>
      </c>
      <c r="DQ107" s="6" t="s">
        <v>111</v>
      </c>
      <c r="DR107" s="9">
        <v>3</v>
      </c>
    </row>
    <row r="108" spans="1:125" x14ac:dyDescent="0.2">
      <c r="A108" s="9">
        <v>315</v>
      </c>
      <c r="B108" s="107">
        <v>43005</v>
      </c>
      <c r="C108" s="9" t="s">
        <v>196</v>
      </c>
      <c r="D108" s="9">
        <v>50</v>
      </c>
      <c r="E108" s="9" t="s">
        <v>100</v>
      </c>
      <c r="G108" s="9" t="s">
        <v>197</v>
      </c>
      <c r="H108" s="9" t="s">
        <v>3764</v>
      </c>
      <c r="I108" s="9">
        <v>9</v>
      </c>
      <c r="J108" s="10">
        <v>40</v>
      </c>
      <c r="L108" s="9" t="s">
        <v>99</v>
      </c>
      <c r="M108" s="10" t="s">
        <v>3618</v>
      </c>
      <c r="N108" s="10" t="s">
        <v>110</v>
      </c>
      <c r="O108" s="10" t="s">
        <v>110</v>
      </c>
      <c r="P108" s="9" t="s">
        <v>99</v>
      </c>
      <c r="Q108" s="9" t="s">
        <v>99</v>
      </c>
      <c r="S108" s="9" t="s">
        <v>3765</v>
      </c>
      <c r="T108" s="9" t="s">
        <v>110</v>
      </c>
      <c r="U108" s="9" t="s">
        <v>99</v>
      </c>
      <c r="W108" s="9" t="s">
        <v>2630</v>
      </c>
      <c r="Y108" s="9" t="s">
        <v>3766</v>
      </c>
      <c r="Z108" s="9" t="s">
        <v>3767</v>
      </c>
      <c r="AA108" s="9" t="s">
        <v>2777</v>
      </c>
      <c r="AB108" s="30" t="s">
        <v>3768</v>
      </c>
      <c r="AC108" s="9" t="s">
        <v>3769</v>
      </c>
      <c r="AE108" s="9" t="s">
        <v>3770</v>
      </c>
      <c r="AF108" s="9" t="s">
        <v>99</v>
      </c>
      <c r="AG108" s="9" t="s">
        <v>99</v>
      </c>
      <c r="AH108" s="9" t="s">
        <v>99</v>
      </c>
      <c r="AI108" s="9" t="s">
        <v>99</v>
      </c>
      <c r="AJ108" s="9" t="s">
        <v>99</v>
      </c>
      <c r="AK108" s="9" t="s">
        <v>99</v>
      </c>
      <c r="AL108" s="9">
        <v>97.9</v>
      </c>
      <c r="AM108" s="9">
        <v>165</v>
      </c>
      <c r="AN108" s="9">
        <v>123</v>
      </c>
      <c r="AO108" s="9">
        <v>135</v>
      </c>
      <c r="AP108" s="9">
        <v>50.4</v>
      </c>
      <c r="AQ108" s="9">
        <v>13</v>
      </c>
      <c r="AR108" s="9">
        <v>22.6</v>
      </c>
      <c r="AS108" s="9">
        <v>76</v>
      </c>
      <c r="AT108" s="14">
        <v>41.3</v>
      </c>
      <c r="AU108" s="9">
        <v>105</v>
      </c>
      <c r="AV108" s="9">
        <v>75</v>
      </c>
      <c r="AW108" s="9" t="s">
        <v>3771</v>
      </c>
      <c r="DC108" s="73">
        <v>163.30000000000001</v>
      </c>
      <c r="DD108">
        <v>0.59</v>
      </c>
      <c r="DE108" s="108">
        <v>213</v>
      </c>
      <c r="DF108" s="108">
        <v>166</v>
      </c>
      <c r="DG108" s="9">
        <f t="shared" si="1"/>
        <v>5.1037883941664814</v>
      </c>
      <c r="DH108">
        <v>33.200000000000003</v>
      </c>
      <c r="DI108">
        <v>6.49</v>
      </c>
      <c r="DJ108"/>
      <c r="DK108"/>
      <c r="DL108"/>
      <c r="DM108"/>
      <c r="DP108" s="11">
        <v>2</v>
      </c>
      <c r="DQ108" s="6"/>
      <c r="DR108" s="9">
        <v>2</v>
      </c>
      <c r="DU108" s="9">
        <v>8.8000000000000007</v>
      </c>
    </row>
    <row r="109" spans="1:125" x14ac:dyDescent="0.2">
      <c r="A109" s="14" t="s">
        <v>3783</v>
      </c>
      <c r="B109" s="8">
        <v>42938</v>
      </c>
      <c r="C109" s="9" t="s">
        <v>675</v>
      </c>
      <c r="D109" s="9">
        <v>58</v>
      </c>
      <c r="E109" s="9" t="s">
        <v>100</v>
      </c>
      <c r="F109" s="17">
        <v>21525</v>
      </c>
      <c r="G109" s="9" t="s">
        <v>234</v>
      </c>
      <c r="H109" s="9" t="s">
        <v>3784</v>
      </c>
      <c r="M109" s="9" t="s">
        <v>99</v>
      </c>
      <c r="N109" s="9" t="s">
        <v>3785</v>
      </c>
      <c r="O109" s="9" t="s">
        <v>99</v>
      </c>
      <c r="P109" s="9" t="s">
        <v>99</v>
      </c>
      <c r="Q109" s="9" t="s">
        <v>110</v>
      </c>
      <c r="R109" s="9" t="s">
        <v>110</v>
      </c>
      <c r="S109" s="9" t="s">
        <v>99</v>
      </c>
      <c r="T109" s="9" t="s">
        <v>110</v>
      </c>
      <c r="U109" s="9" t="s">
        <v>99</v>
      </c>
      <c r="V109" s="9" t="s">
        <v>99</v>
      </c>
      <c r="W109" s="9" t="s">
        <v>99</v>
      </c>
      <c r="Y109" s="9" t="s">
        <v>99</v>
      </c>
      <c r="AA109" s="9" t="s">
        <v>100</v>
      </c>
      <c r="AB109" s="9" t="s">
        <v>100</v>
      </c>
      <c r="AC109" s="9" t="s">
        <v>100</v>
      </c>
      <c r="AD109" s="9" t="s">
        <v>100</v>
      </c>
      <c r="AE109" s="9" t="s">
        <v>126</v>
      </c>
      <c r="AF109" s="9" t="s">
        <v>2681</v>
      </c>
      <c r="AG109" s="9" t="s">
        <v>99</v>
      </c>
      <c r="AH109" s="9" t="s">
        <v>99</v>
      </c>
      <c r="AI109" s="9" t="s">
        <v>99</v>
      </c>
      <c r="AJ109" s="9" t="s">
        <v>99</v>
      </c>
      <c r="AK109" s="9" t="s">
        <v>99</v>
      </c>
      <c r="AL109" s="9">
        <v>109.3</v>
      </c>
      <c r="AM109" s="9">
        <v>178</v>
      </c>
      <c r="AN109" s="9">
        <v>106</v>
      </c>
      <c r="AO109" s="9">
        <v>117</v>
      </c>
      <c r="AP109" s="9">
        <v>35</v>
      </c>
      <c r="AQ109" s="9">
        <v>20</v>
      </c>
      <c r="AR109" s="9">
        <v>28.6</v>
      </c>
      <c r="AS109" s="9">
        <v>80</v>
      </c>
      <c r="AT109" s="9">
        <v>34.5</v>
      </c>
      <c r="AU109" s="9">
        <v>118</v>
      </c>
      <c r="AV109" s="9">
        <v>85</v>
      </c>
      <c r="AX109" s="9" t="s">
        <v>3786</v>
      </c>
      <c r="AY109" s="9" t="s">
        <v>729</v>
      </c>
      <c r="AZ109" s="9" t="s">
        <v>573</v>
      </c>
      <c r="BB109" s="9" t="s">
        <v>346</v>
      </c>
      <c r="BC109" s="9" t="s">
        <v>2652</v>
      </c>
      <c r="BF109" s="9" t="s">
        <v>176</v>
      </c>
      <c r="BG109" s="9" t="s">
        <v>172</v>
      </c>
      <c r="BH109" s="9" t="s">
        <v>99</v>
      </c>
      <c r="BI109" s="9" t="s">
        <v>175</v>
      </c>
      <c r="BJ109" s="9" t="s">
        <v>99</v>
      </c>
      <c r="BK109" s="9" t="s">
        <v>3787</v>
      </c>
      <c r="BN109" s="9" t="s">
        <v>3378</v>
      </c>
      <c r="BO109" s="9" t="s">
        <v>3788</v>
      </c>
      <c r="BR109" s="9" t="s">
        <v>99</v>
      </c>
      <c r="BV109" s="9" t="s">
        <v>99</v>
      </c>
      <c r="BY109" s="9" t="s">
        <v>177</v>
      </c>
      <c r="BZ109" s="9" t="s">
        <v>182</v>
      </c>
      <c r="CA109" s="9" t="s">
        <v>183</v>
      </c>
      <c r="CB109" s="9" t="s">
        <v>1137</v>
      </c>
      <c r="CD109" s="9" t="s">
        <v>99</v>
      </c>
      <c r="CH109" s="9" t="s">
        <v>99</v>
      </c>
      <c r="CL109" s="9" t="s">
        <v>3789</v>
      </c>
      <c r="CM109" s="9" t="s">
        <v>3790</v>
      </c>
      <c r="CN109" s="9" t="s">
        <v>2558</v>
      </c>
      <c r="CO109" s="9" t="s">
        <v>176</v>
      </c>
      <c r="CP109" s="9" t="s">
        <v>361</v>
      </c>
      <c r="CQ109" s="9" t="s">
        <v>716</v>
      </c>
      <c r="CR109" s="9" t="s">
        <v>362</v>
      </c>
      <c r="CS109" s="9" t="s">
        <v>683</v>
      </c>
      <c r="CT109" s="9" t="s">
        <v>3791</v>
      </c>
      <c r="CU109" s="9" t="s">
        <v>3792</v>
      </c>
      <c r="CV109" s="9" t="s">
        <v>364</v>
      </c>
      <c r="CW109" s="45" t="s">
        <v>2708</v>
      </c>
      <c r="CX109" s="9" t="s">
        <v>99</v>
      </c>
      <c r="CY109" s="9" t="s">
        <v>110</v>
      </c>
      <c r="CZ109" s="9">
        <v>25</v>
      </c>
      <c r="DA109" s="9">
        <v>25</v>
      </c>
      <c r="DB109" s="9">
        <v>50</v>
      </c>
      <c r="DC109" s="10">
        <v>104</v>
      </c>
      <c r="DD109" s="9">
        <v>0.8</v>
      </c>
      <c r="DE109" s="9">
        <v>174</v>
      </c>
      <c r="DF109" s="10">
        <v>170</v>
      </c>
      <c r="DG109" s="9">
        <f t="shared" si="1"/>
        <v>4.8900946680958173</v>
      </c>
      <c r="DH109" s="9">
        <v>34</v>
      </c>
      <c r="DI109" s="9">
        <v>6.26</v>
      </c>
      <c r="DP109" s="18">
        <v>1</v>
      </c>
      <c r="DQ109" s="6" t="s">
        <v>111</v>
      </c>
      <c r="DR109" s="9">
        <v>2</v>
      </c>
    </row>
    <row r="110" spans="1:125" x14ac:dyDescent="0.2">
      <c r="A110" s="14" t="s">
        <v>3793</v>
      </c>
      <c r="B110" s="8">
        <v>42942</v>
      </c>
      <c r="C110" s="9" t="s">
        <v>196</v>
      </c>
      <c r="D110" s="9">
        <v>60</v>
      </c>
      <c r="E110" s="9" t="s">
        <v>100</v>
      </c>
      <c r="F110" s="17">
        <v>18391</v>
      </c>
      <c r="G110" s="9" t="s">
        <v>197</v>
      </c>
      <c r="H110" s="9" t="s">
        <v>3794</v>
      </c>
      <c r="J110" s="9">
        <v>2005</v>
      </c>
      <c r="K110" s="9">
        <v>1980</v>
      </c>
      <c r="L110" s="9">
        <v>2</v>
      </c>
      <c r="M110" s="9" t="s">
        <v>3795</v>
      </c>
      <c r="N110" s="9" t="s">
        <v>99</v>
      </c>
      <c r="O110" s="9" t="s">
        <v>3796</v>
      </c>
      <c r="P110" s="9" t="s">
        <v>99</v>
      </c>
      <c r="Q110" s="9" t="s">
        <v>99</v>
      </c>
      <c r="S110" s="9" t="s">
        <v>99</v>
      </c>
      <c r="T110" s="9" t="s">
        <v>99</v>
      </c>
      <c r="AA110" s="9" t="s">
        <v>3535</v>
      </c>
      <c r="AB110" s="9" t="s">
        <v>3535</v>
      </c>
      <c r="AC110" s="9" t="s">
        <v>3535</v>
      </c>
      <c r="AD110" s="9" t="s">
        <v>2234</v>
      </c>
      <c r="AE110" s="9" t="s">
        <v>363</v>
      </c>
      <c r="AF110" s="9" t="s">
        <v>363</v>
      </c>
      <c r="AG110" s="9" t="s">
        <v>3797</v>
      </c>
      <c r="AH110" s="9" t="s">
        <v>118</v>
      </c>
      <c r="AI110" s="9" t="s">
        <v>99</v>
      </c>
      <c r="AJ110" s="9" t="s">
        <v>99</v>
      </c>
      <c r="AL110" s="9">
        <v>64.099999999999994</v>
      </c>
      <c r="AM110" s="9">
        <v>163</v>
      </c>
      <c r="AN110" s="7">
        <v>76</v>
      </c>
      <c r="AO110" s="9">
        <v>96</v>
      </c>
      <c r="AP110" s="9">
        <v>34.700000000000003</v>
      </c>
      <c r="AQ110" s="9">
        <v>8</v>
      </c>
      <c r="AR110" s="9">
        <v>27.5</v>
      </c>
      <c r="AS110" s="9">
        <v>55</v>
      </c>
      <c r="AT110" s="7">
        <v>24.1</v>
      </c>
      <c r="AU110" s="9">
        <v>138</v>
      </c>
      <c r="AV110" s="9">
        <v>89</v>
      </c>
      <c r="AX110" s="9" t="s">
        <v>3798</v>
      </c>
      <c r="AY110" s="9" t="s">
        <v>2834</v>
      </c>
      <c r="AZ110" s="9" t="s">
        <v>3799</v>
      </c>
      <c r="BB110" s="9" t="s">
        <v>346</v>
      </c>
      <c r="BC110" s="9" t="s">
        <v>3800</v>
      </c>
      <c r="BD110" s="9" t="s">
        <v>2604</v>
      </c>
      <c r="BF110" s="9" t="s">
        <v>3801</v>
      </c>
      <c r="BG110" s="9" t="s">
        <v>3614</v>
      </c>
      <c r="BH110" s="9" t="s">
        <v>99</v>
      </c>
      <c r="BI110" s="9" t="s">
        <v>1099</v>
      </c>
      <c r="BJ110" s="9" t="s">
        <v>215</v>
      </c>
      <c r="BK110" s="9" t="s">
        <v>175</v>
      </c>
      <c r="BN110" s="9" t="s">
        <v>3802</v>
      </c>
      <c r="BO110" s="9" t="s">
        <v>2446</v>
      </c>
      <c r="BP110" s="14" t="s">
        <v>125</v>
      </c>
      <c r="BZ110" s="9" t="s">
        <v>3803</v>
      </c>
      <c r="CA110" s="9" t="s">
        <v>822</v>
      </c>
      <c r="CB110" s="9" t="s">
        <v>1100</v>
      </c>
      <c r="CL110" s="9" t="s">
        <v>3158</v>
      </c>
      <c r="CM110" s="9" t="s">
        <v>3804</v>
      </c>
      <c r="CN110" s="9" t="s">
        <v>3805</v>
      </c>
      <c r="CP110" s="9" t="s">
        <v>890</v>
      </c>
      <c r="CQ110" s="9" t="s">
        <v>2594</v>
      </c>
      <c r="CR110" s="9" t="s">
        <v>716</v>
      </c>
      <c r="CT110" s="9" t="s">
        <v>3806</v>
      </c>
      <c r="CW110" s="9">
        <v>3</v>
      </c>
      <c r="CX110" s="9" t="s">
        <v>99</v>
      </c>
      <c r="CY110" s="9" t="s">
        <v>110</v>
      </c>
      <c r="CZ110" s="9">
        <v>33</v>
      </c>
      <c r="DA110" s="9">
        <v>33</v>
      </c>
      <c r="DB110" s="9">
        <v>33</v>
      </c>
      <c r="DC110" s="10">
        <v>106.3</v>
      </c>
      <c r="DD110" s="9">
        <v>0.92</v>
      </c>
      <c r="DE110" s="10">
        <v>240</v>
      </c>
      <c r="DF110" s="9">
        <v>141</v>
      </c>
      <c r="DG110" s="9">
        <f t="shared" si="1"/>
        <v>4.8075125878630356</v>
      </c>
      <c r="DH110" s="9">
        <v>26.6</v>
      </c>
      <c r="DI110" s="10">
        <v>6.35</v>
      </c>
      <c r="DP110" s="11">
        <v>3</v>
      </c>
      <c r="DQ110" s="6" t="s">
        <v>111</v>
      </c>
      <c r="DR110" s="30">
        <v>1</v>
      </c>
      <c r="DT110" s="9">
        <v>16</v>
      </c>
      <c r="DU110" s="9">
        <v>4.79</v>
      </c>
    </row>
    <row r="111" spans="1:125" x14ac:dyDescent="0.2">
      <c r="A111" s="112" t="s">
        <v>3867</v>
      </c>
      <c r="C111" t="s">
        <v>107</v>
      </c>
      <c r="D111" s="73">
        <v>38</v>
      </c>
      <c r="H111" s="9" t="s">
        <v>3072</v>
      </c>
      <c r="AM111" s="6"/>
      <c r="AN111" s="6"/>
      <c r="AO111" s="6"/>
      <c r="AP111" s="6"/>
      <c r="AQ111" s="6"/>
      <c r="AR111" s="6"/>
      <c r="AS111" s="6"/>
      <c r="AT111" s="6"/>
      <c r="AU111" s="15">
        <v>137</v>
      </c>
      <c r="AV111" s="15">
        <v>95</v>
      </c>
      <c r="DC111" s="108">
        <v>106.8</v>
      </c>
      <c r="DD111">
        <v>0.38</v>
      </c>
      <c r="DE111">
        <v>182</v>
      </c>
      <c r="DF111" s="73">
        <v>498</v>
      </c>
      <c r="DG111" s="9">
        <f t="shared" si="1"/>
        <v>5.4407790017753737</v>
      </c>
      <c r="DH111"/>
      <c r="DI111">
        <v>11.31</v>
      </c>
      <c r="DJ111"/>
      <c r="DK111"/>
      <c r="DL111">
        <v>59.1</v>
      </c>
      <c r="DM111"/>
      <c r="DP111" s="11">
        <v>2</v>
      </c>
      <c r="DQ111" s="6" t="s">
        <v>111</v>
      </c>
      <c r="DR111" s="9">
        <v>3</v>
      </c>
      <c r="DU111" s="9">
        <v>5</v>
      </c>
    </row>
    <row r="112" spans="1:125" x14ac:dyDescent="0.2">
      <c r="A112" s="112" t="s">
        <v>3868</v>
      </c>
      <c r="C112" t="s">
        <v>95</v>
      </c>
      <c r="D112" s="73">
        <v>66</v>
      </c>
      <c r="H112" s="9" t="s">
        <v>3072</v>
      </c>
      <c r="AL112" s="6">
        <v>81.2</v>
      </c>
      <c r="AM112" s="6"/>
      <c r="AN112" s="6">
        <v>102</v>
      </c>
      <c r="AO112" s="6"/>
      <c r="AP112" s="6">
        <v>50</v>
      </c>
      <c r="AQ112" s="6">
        <v>13</v>
      </c>
      <c r="AR112" s="6">
        <v>20</v>
      </c>
      <c r="AS112" s="6">
        <v>76</v>
      </c>
      <c r="AT112" s="15">
        <v>32.5</v>
      </c>
      <c r="AU112" s="15">
        <v>135</v>
      </c>
      <c r="AV112" s="15">
        <v>85</v>
      </c>
      <c r="DC112" s="10">
        <v>124.5</v>
      </c>
      <c r="DE112" s="9">
        <v>176</v>
      </c>
      <c r="DF112" s="9">
        <v>117</v>
      </c>
      <c r="DG112" s="9">
        <f t="shared" si="1"/>
        <v>4.7932398253512591</v>
      </c>
      <c r="DH112" s="9">
        <v>23</v>
      </c>
      <c r="DI112" s="9">
        <v>5.48</v>
      </c>
      <c r="DL112" s="9">
        <v>54.3</v>
      </c>
      <c r="DM112" s="9">
        <v>98.3</v>
      </c>
      <c r="DP112" s="11">
        <v>3</v>
      </c>
      <c r="DQ112" s="6" t="s">
        <v>105</v>
      </c>
      <c r="DR112" s="9">
        <v>3</v>
      </c>
      <c r="DU112" s="9">
        <v>3</v>
      </c>
    </row>
    <row r="113" spans="1:156" x14ac:dyDescent="0.2">
      <c r="A113" s="14" t="s">
        <v>3869</v>
      </c>
      <c r="B113" s="8">
        <v>42943</v>
      </c>
      <c r="C113" s="9" t="s">
        <v>95</v>
      </c>
      <c r="D113" s="9">
        <v>61</v>
      </c>
      <c r="E113" s="9" t="s">
        <v>100</v>
      </c>
      <c r="F113" s="17">
        <v>20474</v>
      </c>
      <c r="G113" s="9" t="s">
        <v>3870</v>
      </c>
      <c r="H113" s="9" t="s">
        <v>3871</v>
      </c>
      <c r="J113" s="9">
        <v>42</v>
      </c>
      <c r="K113" s="9" t="s">
        <v>3872</v>
      </c>
      <c r="L113" s="9">
        <v>11</v>
      </c>
      <c r="M113" s="9" t="s">
        <v>3109</v>
      </c>
      <c r="N113" s="9" t="s">
        <v>3873</v>
      </c>
      <c r="P113" s="9" t="s">
        <v>99</v>
      </c>
      <c r="R113" s="9" t="s">
        <v>110</v>
      </c>
      <c r="U113" s="9" t="s">
        <v>3874</v>
      </c>
      <c r="W113" s="9" t="s">
        <v>3875</v>
      </c>
      <c r="Y113" s="9" t="s">
        <v>3876</v>
      </c>
      <c r="AA113" s="9" t="s">
        <v>100</v>
      </c>
      <c r="AB113" s="9" t="s">
        <v>100</v>
      </c>
      <c r="AC113" s="9" t="s">
        <v>100</v>
      </c>
      <c r="AD113" s="9" t="s">
        <v>100</v>
      </c>
      <c r="AF113" s="9" t="s">
        <v>118</v>
      </c>
      <c r="AL113" s="9">
        <v>78.8</v>
      </c>
      <c r="AM113" s="9">
        <v>156</v>
      </c>
      <c r="AN113" s="10">
        <v>110</v>
      </c>
      <c r="AO113" s="9">
        <v>106</v>
      </c>
      <c r="AP113" s="9">
        <v>43</v>
      </c>
      <c r="AQ113" s="9">
        <v>12</v>
      </c>
      <c r="AR113" s="9">
        <v>24.9</v>
      </c>
      <c r="AS113" s="9">
        <v>71</v>
      </c>
      <c r="AT113" s="9">
        <v>32</v>
      </c>
      <c r="AU113" s="10">
        <v>135</v>
      </c>
      <c r="AV113" s="10">
        <v>90</v>
      </c>
      <c r="DC113" s="10">
        <v>111.7</v>
      </c>
      <c r="DD113" s="9">
        <v>0.89</v>
      </c>
      <c r="DE113" s="9">
        <v>176</v>
      </c>
      <c r="DF113" s="10">
        <v>167</v>
      </c>
      <c r="DG113" s="9">
        <f t="shared" si="1"/>
        <v>4.9169052592459552</v>
      </c>
      <c r="DH113" s="9">
        <v>33.4</v>
      </c>
      <c r="DI113" s="10">
        <v>6.06</v>
      </c>
      <c r="DP113" s="11">
        <v>3</v>
      </c>
      <c r="DQ113" s="6" t="s">
        <v>111</v>
      </c>
      <c r="DR113" s="9">
        <v>3</v>
      </c>
      <c r="DT113" s="9">
        <v>14.54</v>
      </c>
      <c r="DU113" s="9">
        <v>7.75</v>
      </c>
    </row>
    <row r="114" spans="1:156" x14ac:dyDescent="0.2">
      <c r="A114" s="14" t="s">
        <v>3877</v>
      </c>
      <c r="B114" s="8">
        <v>42975</v>
      </c>
      <c r="C114" s="9" t="s">
        <v>95</v>
      </c>
      <c r="D114" s="9">
        <v>50</v>
      </c>
      <c r="E114" s="9" t="s">
        <v>100</v>
      </c>
      <c r="F114" s="17">
        <v>24545</v>
      </c>
      <c r="G114" s="9" t="s">
        <v>197</v>
      </c>
      <c r="H114" s="9" t="s">
        <v>2089</v>
      </c>
      <c r="I114" s="9">
        <v>13</v>
      </c>
      <c r="J114" s="9" t="s">
        <v>99</v>
      </c>
      <c r="K114" s="9">
        <v>13</v>
      </c>
      <c r="L114" s="14" t="s">
        <v>2598</v>
      </c>
      <c r="M114" s="9" t="s">
        <v>99</v>
      </c>
      <c r="N114" s="9" t="s">
        <v>99</v>
      </c>
      <c r="O114" s="9" t="s">
        <v>99</v>
      </c>
      <c r="P114" s="9" t="s">
        <v>110</v>
      </c>
      <c r="Q114" s="9" t="s">
        <v>110</v>
      </c>
      <c r="R114" s="9" t="s">
        <v>110</v>
      </c>
      <c r="S114" s="9" t="s">
        <v>197</v>
      </c>
      <c r="T114" s="9" t="s">
        <v>110</v>
      </c>
      <c r="U114" s="9" t="s">
        <v>2439</v>
      </c>
      <c r="W114" s="9" t="s">
        <v>99</v>
      </c>
      <c r="X114" s="9" t="s">
        <v>99</v>
      </c>
      <c r="Y114" s="9" t="s">
        <v>99</v>
      </c>
      <c r="AA114" s="9" t="s">
        <v>100</v>
      </c>
      <c r="AB114" s="9" t="s">
        <v>100</v>
      </c>
      <c r="AC114" s="9" t="s">
        <v>100</v>
      </c>
      <c r="AD114" s="9" t="s">
        <v>100</v>
      </c>
      <c r="AE114" s="9" t="s">
        <v>3878</v>
      </c>
      <c r="AF114" s="9" t="s">
        <v>3879</v>
      </c>
      <c r="AG114" s="9" t="s">
        <v>3880</v>
      </c>
      <c r="AH114" s="9" t="s">
        <v>125</v>
      </c>
      <c r="AI114" s="9" t="s">
        <v>99</v>
      </c>
      <c r="AJ114" s="9" t="s">
        <v>3881</v>
      </c>
      <c r="AK114" s="9" t="s">
        <v>99</v>
      </c>
      <c r="AL114" s="9">
        <v>88.6</v>
      </c>
      <c r="AN114" s="9">
        <v>12</v>
      </c>
      <c r="AP114" s="9">
        <v>56</v>
      </c>
      <c r="AQ114" s="9">
        <v>12</v>
      </c>
      <c r="AR114" s="9">
        <v>22.7</v>
      </c>
      <c r="AS114" s="9">
        <v>72</v>
      </c>
      <c r="AT114" s="9">
        <v>36.4</v>
      </c>
      <c r="AU114" s="9">
        <v>130</v>
      </c>
      <c r="AV114" s="9">
        <v>83</v>
      </c>
      <c r="AX114" s="9" t="s">
        <v>729</v>
      </c>
      <c r="AY114" s="9" t="s">
        <v>573</v>
      </c>
      <c r="AZ114" s="9" t="s">
        <v>1729</v>
      </c>
      <c r="BB114" s="9" t="s">
        <v>1641</v>
      </c>
      <c r="BC114" s="9" t="s">
        <v>3882</v>
      </c>
      <c r="BD114" s="9" t="s">
        <v>1080</v>
      </c>
      <c r="BF114" s="9" t="s">
        <v>1173</v>
      </c>
      <c r="BG114" s="9" t="s">
        <v>176</v>
      </c>
      <c r="BH114" s="9" t="s">
        <v>175</v>
      </c>
      <c r="BI114" s="9" t="s">
        <v>683</v>
      </c>
      <c r="BK114" s="9" t="s">
        <v>683</v>
      </c>
      <c r="BN114" s="9" t="s">
        <v>219</v>
      </c>
      <c r="BO114" s="9" t="s">
        <v>180</v>
      </c>
      <c r="BP114" s="9" t="s">
        <v>179</v>
      </c>
      <c r="BR114" s="9" t="s">
        <v>3883</v>
      </c>
      <c r="BV114" s="9" t="s">
        <v>99</v>
      </c>
      <c r="BZ114" s="9" t="s">
        <v>709</v>
      </c>
      <c r="CA114" s="9" t="s">
        <v>183</v>
      </c>
      <c r="CB114" s="9" t="s">
        <v>822</v>
      </c>
      <c r="CD114" s="9" t="s">
        <v>99</v>
      </c>
      <c r="CH114" s="9" t="s">
        <v>99</v>
      </c>
      <c r="CL114" s="9" t="s">
        <v>825</v>
      </c>
      <c r="CM114" s="9" t="s">
        <v>3884</v>
      </c>
      <c r="CN114" s="9" t="s">
        <v>980</v>
      </c>
      <c r="CP114" s="9" t="s">
        <v>361</v>
      </c>
      <c r="CQ114" s="9" t="s">
        <v>362</v>
      </c>
      <c r="CR114" s="9" t="s">
        <v>716</v>
      </c>
      <c r="CT114" s="9" t="s">
        <v>3885</v>
      </c>
      <c r="CW114" s="9">
        <v>3</v>
      </c>
      <c r="CX114" s="9" t="s">
        <v>99</v>
      </c>
      <c r="CY114" s="9" t="s">
        <v>99</v>
      </c>
      <c r="CZ114" s="9">
        <v>25</v>
      </c>
      <c r="DA114" s="9">
        <v>25</v>
      </c>
      <c r="DB114" s="9">
        <v>50</v>
      </c>
      <c r="DC114" s="113">
        <v>112.4</v>
      </c>
      <c r="DD114" s="111">
        <v>0.62</v>
      </c>
      <c r="DE114" s="111">
        <v>170</v>
      </c>
      <c r="DF114" s="113">
        <v>155</v>
      </c>
      <c r="DG114" s="9">
        <f t="shared" si="1"/>
        <v>4.882744527189419</v>
      </c>
      <c r="DH114" s="111">
        <v>31</v>
      </c>
      <c r="DI114" s="111">
        <v>5.88</v>
      </c>
      <c r="DL114" s="9">
        <v>57</v>
      </c>
      <c r="DM114" s="9">
        <v>82</v>
      </c>
      <c r="DP114" s="11">
        <v>3</v>
      </c>
      <c r="DQ114" s="6" t="s">
        <v>111</v>
      </c>
      <c r="DR114" s="9">
        <v>3</v>
      </c>
    </row>
    <row r="115" spans="1:156" x14ac:dyDescent="0.2">
      <c r="A115" s="14" t="s">
        <v>3930</v>
      </c>
      <c r="B115" s="38">
        <v>43277</v>
      </c>
      <c r="C115" s="9" t="s">
        <v>675</v>
      </c>
      <c r="D115" s="9">
        <v>59</v>
      </c>
      <c r="E115" s="52" t="s">
        <v>3488</v>
      </c>
      <c r="F115" s="17">
        <v>21420</v>
      </c>
      <c r="G115" s="9" t="s">
        <v>481</v>
      </c>
      <c r="H115" s="9" t="s">
        <v>3931</v>
      </c>
      <c r="M115" s="9" t="s">
        <v>99</v>
      </c>
      <c r="N115" s="9" t="s">
        <v>3932</v>
      </c>
      <c r="O115" s="9" t="s">
        <v>3933</v>
      </c>
      <c r="P115" s="9" t="s">
        <v>99</v>
      </c>
      <c r="Q115" s="9" t="s">
        <v>3934</v>
      </c>
      <c r="S115" s="9" t="s">
        <v>110</v>
      </c>
      <c r="T115" s="9" t="s">
        <v>99</v>
      </c>
      <c r="U115" s="9" t="s">
        <v>3935</v>
      </c>
      <c r="Y115" s="9" t="s">
        <v>3936</v>
      </c>
      <c r="Z115" s="9" t="s">
        <v>3937</v>
      </c>
      <c r="AA115" s="52" t="s">
        <v>3488</v>
      </c>
      <c r="AB115" s="52" t="s">
        <v>3488</v>
      </c>
      <c r="AC115" s="52" t="s">
        <v>3488</v>
      </c>
      <c r="AD115" s="52" t="s">
        <v>3488</v>
      </c>
      <c r="AE115" s="9" t="s">
        <v>99</v>
      </c>
      <c r="AF115" s="9" t="s">
        <v>135</v>
      </c>
      <c r="AG115" s="9" t="s">
        <v>99</v>
      </c>
      <c r="AH115" s="9" t="s">
        <v>135</v>
      </c>
      <c r="AI115" s="9" t="s">
        <v>664</v>
      </c>
      <c r="AJ115" s="9" t="s">
        <v>664</v>
      </c>
      <c r="AL115" s="9">
        <v>79.599999999999994</v>
      </c>
      <c r="AM115" s="9">
        <v>170</v>
      </c>
      <c r="AN115" s="9">
        <v>98.5</v>
      </c>
      <c r="AO115" s="9">
        <v>109</v>
      </c>
      <c r="AP115" s="9">
        <v>27</v>
      </c>
      <c r="AQ115" s="9">
        <v>2.9</v>
      </c>
      <c r="AR115" s="9">
        <v>55.5</v>
      </c>
      <c r="AS115" s="9">
        <v>50</v>
      </c>
      <c r="AT115" s="9">
        <v>27.54</v>
      </c>
      <c r="AU115" s="9">
        <v>120</v>
      </c>
      <c r="AV115" s="9">
        <v>66</v>
      </c>
      <c r="DC115" s="14">
        <v>132.5</v>
      </c>
      <c r="DD115" s="9">
        <v>0.99</v>
      </c>
      <c r="DE115" s="9">
        <v>86</v>
      </c>
      <c r="DF115" s="10">
        <v>167</v>
      </c>
      <c r="DG115" s="9">
        <f t="shared" si="1"/>
        <v>5.0022882289215156</v>
      </c>
      <c r="DH115" s="9">
        <v>33.4</v>
      </c>
      <c r="DI115" s="9">
        <v>4.8600000000000003</v>
      </c>
      <c r="DJ115" s="9">
        <v>34.700000000000003</v>
      </c>
      <c r="DK115" s="9">
        <v>27.7</v>
      </c>
      <c r="DL115" s="9">
        <v>32.1</v>
      </c>
      <c r="DM115" s="9">
        <v>20.5</v>
      </c>
      <c r="DP115" s="11">
        <v>2</v>
      </c>
      <c r="DR115" s="9">
        <v>2</v>
      </c>
      <c r="DT115" s="9">
        <v>12.7</v>
      </c>
      <c r="DU115" s="9">
        <v>2.77</v>
      </c>
    </row>
    <row r="116" spans="1:156" x14ac:dyDescent="0.2">
      <c r="A116" s="10">
        <v>339</v>
      </c>
      <c r="B116" s="106">
        <v>43277</v>
      </c>
      <c r="C116" s="9" t="s">
        <v>95</v>
      </c>
      <c r="D116" s="9">
        <v>64</v>
      </c>
      <c r="E116" s="9" t="s">
        <v>96</v>
      </c>
      <c r="F116" s="8">
        <v>20744</v>
      </c>
      <c r="G116" s="9" t="s">
        <v>162</v>
      </c>
      <c r="H116" s="9" t="s">
        <v>162</v>
      </c>
      <c r="I116" s="9" t="s">
        <v>162</v>
      </c>
      <c r="J116" s="10" t="s">
        <v>2138</v>
      </c>
      <c r="K116" s="9">
        <v>1995</v>
      </c>
      <c r="L116" s="9">
        <v>4</v>
      </c>
      <c r="M116" s="10" t="s">
        <v>368</v>
      </c>
      <c r="N116" s="10" t="s">
        <v>368</v>
      </c>
      <c r="O116" s="9" t="s">
        <v>263</v>
      </c>
      <c r="P116" s="9" t="s">
        <v>162</v>
      </c>
      <c r="Q116" s="9" t="s">
        <v>162</v>
      </c>
      <c r="R116" s="9" t="s">
        <v>263</v>
      </c>
      <c r="S116" s="9" t="s">
        <v>4006</v>
      </c>
      <c r="T116" s="10" t="s">
        <v>4007</v>
      </c>
      <c r="U116" s="9" t="s">
        <v>4008</v>
      </c>
      <c r="V116" s="9" t="s">
        <v>162</v>
      </c>
      <c r="W116" s="10" t="s">
        <v>4009</v>
      </c>
      <c r="X116" s="9" t="s">
        <v>263</v>
      </c>
      <c r="Y116" s="9" t="s">
        <v>162</v>
      </c>
      <c r="Z116" s="9" t="s">
        <v>545</v>
      </c>
      <c r="AA116" s="9" t="s">
        <v>96</v>
      </c>
      <c r="AB116" s="9" t="s">
        <v>96</v>
      </c>
      <c r="AC116" s="9" t="s">
        <v>96</v>
      </c>
      <c r="AD116" s="9" t="s">
        <v>96</v>
      </c>
      <c r="AE116" s="10" t="s">
        <v>35</v>
      </c>
      <c r="AF116" s="10" t="s">
        <v>35</v>
      </c>
      <c r="AG116" s="10" t="s">
        <v>35</v>
      </c>
      <c r="AH116" s="10" t="s">
        <v>35</v>
      </c>
      <c r="AI116" s="10" t="s">
        <v>35</v>
      </c>
      <c r="AJ116" s="9" t="s">
        <v>162</v>
      </c>
      <c r="AK116" s="9" t="s">
        <v>162</v>
      </c>
      <c r="AL116" s="9">
        <v>64.400000000000006</v>
      </c>
      <c r="AM116" s="9" t="s">
        <v>162</v>
      </c>
      <c r="AN116" s="46">
        <v>95</v>
      </c>
      <c r="AO116" s="9">
        <v>101</v>
      </c>
      <c r="AP116" s="9">
        <v>36.700000000000003</v>
      </c>
      <c r="AQ116" s="9">
        <v>7</v>
      </c>
      <c r="AR116" s="9">
        <v>25.7</v>
      </c>
      <c r="AS116" s="9">
        <v>53</v>
      </c>
      <c r="AT116" s="7">
        <v>23.7</v>
      </c>
      <c r="AU116" s="9">
        <v>119</v>
      </c>
      <c r="AV116" s="9">
        <v>80</v>
      </c>
      <c r="AX116" s="9" t="s">
        <v>162</v>
      </c>
      <c r="AY116" s="9" t="s">
        <v>162</v>
      </c>
      <c r="AZ116" s="9" t="s">
        <v>162</v>
      </c>
      <c r="BB116" s="9" t="s">
        <v>162</v>
      </c>
      <c r="BC116" s="9" t="s">
        <v>162</v>
      </c>
      <c r="BD116" s="9" t="s">
        <v>162</v>
      </c>
      <c r="BF116" s="9" t="s">
        <v>322</v>
      </c>
      <c r="BG116" s="9" t="s">
        <v>322</v>
      </c>
      <c r="BH116" s="9" t="s">
        <v>322</v>
      </c>
      <c r="BI116" s="9" t="s">
        <v>375</v>
      </c>
      <c r="BJ116" s="9" t="s">
        <v>322</v>
      </c>
      <c r="BN116" s="9" t="s">
        <v>162</v>
      </c>
      <c r="BO116" s="9" t="s">
        <v>162</v>
      </c>
      <c r="BP116" s="9" t="s">
        <v>162</v>
      </c>
      <c r="BR116" s="9" t="s">
        <v>162</v>
      </c>
      <c r="BS116" s="9" t="s">
        <v>162</v>
      </c>
      <c r="BT116" s="9" t="s">
        <v>162</v>
      </c>
      <c r="BV116" s="9" t="s">
        <v>162</v>
      </c>
      <c r="BW116" s="9" t="s">
        <v>162</v>
      </c>
      <c r="BX116" s="9" t="s">
        <v>162</v>
      </c>
      <c r="BZ116" s="9" t="s">
        <v>526</v>
      </c>
      <c r="CA116" s="9" t="s">
        <v>4010</v>
      </c>
      <c r="CB116" s="9" t="s">
        <v>557</v>
      </c>
      <c r="CD116" s="9" t="s">
        <v>162</v>
      </c>
      <c r="CE116" s="9" t="s">
        <v>162</v>
      </c>
      <c r="CF116" s="9" t="s">
        <v>162</v>
      </c>
      <c r="CH116" s="9" t="s">
        <v>162</v>
      </c>
      <c r="CI116" s="9" t="s">
        <v>162</v>
      </c>
      <c r="CJ116" s="9" t="s">
        <v>162</v>
      </c>
      <c r="CL116" s="9" t="s">
        <v>162</v>
      </c>
      <c r="CM116" s="9" t="s">
        <v>162</v>
      </c>
      <c r="CN116" s="9" t="s">
        <v>162</v>
      </c>
      <c r="CP116" s="9" t="s">
        <v>162</v>
      </c>
      <c r="CQ116" s="9" t="s">
        <v>162</v>
      </c>
      <c r="CR116" s="9" t="s">
        <v>162</v>
      </c>
      <c r="CT116" s="9" t="s">
        <v>162</v>
      </c>
      <c r="CU116" s="9" t="s">
        <v>162</v>
      </c>
      <c r="CV116" s="9" t="s">
        <v>162</v>
      </c>
      <c r="CW116" s="9" t="s">
        <v>162</v>
      </c>
      <c r="CX116" s="9" t="s">
        <v>162</v>
      </c>
      <c r="CY116" s="9" t="s">
        <v>162</v>
      </c>
      <c r="CZ116" s="9" t="s">
        <v>162</v>
      </c>
      <c r="DA116" s="9" t="s">
        <v>162</v>
      </c>
      <c r="DB116" s="9" t="s">
        <v>162</v>
      </c>
      <c r="DC116" s="9">
        <v>78.2</v>
      </c>
      <c r="DD116" s="9">
        <v>0.78</v>
      </c>
      <c r="DE116" s="10">
        <v>217</v>
      </c>
      <c r="DF116" s="10">
        <v>275</v>
      </c>
      <c r="DG116" s="9">
        <f t="shared" si="1"/>
        <v>4.9880203726089185</v>
      </c>
      <c r="DH116" s="9">
        <v>55</v>
      </c>
      <c r="DI116" s="9">
        <v>4.7</v>
      </c>
      <c r="DJ116" s="9">
        <v>5.7</v>
      </c>
      <c r="DK116" s="9">
        <v>14.3</v>
      </c>
      <c r="DL116" s="10">
        <v>36.6</v>
      </c>
      <c r="DM116" s="9">
        <v>125.4</v>
      </c>
      <c r="DP116" s="11">
        <v>2</v>
      </c>
      <c r="DQ116" s="6"/>
      <c r="DR116" s="9">
        <v>2</v>
      </c>
      <c r="DU116" s="9">
        <v>5.8</v>
      </c>
    </row>
    <row r="117" spans="1:156" x14ac:dyDescent="0.2">
      <c r="A117" s="14">
        <v>341</v>
      </c>
      <c r="B117" s="106">
        <v>43241</v>
      </c>
      <c r="C117" s="9" t="s">
        <v>3645</v>
      </c>
      <c r="D117" s="9">
        <v>30</v>
      </c>
      <c r="E117" s="35" t="s">
        <v>4017</v>
      </c>
      <c r="F117" s="17">
        <v>31958</v>
      </c>
      <c r="G117" s="9" t="s">
        <v>4018</v>
      </c>
      <c r="H117" s="9" t="s">
        <v>4019</v>
      </c>
      <c r="I117" s="9" t="s">
        <v>2020</v>
      </c>
      <c r="M117" s="10" t="s">
        <v>4020</v>
      </c>
      <c r="N117" s="9" t="s">
        <v>263</v>
      </c>
      <c r="O117" s="10" t="s">
        <v>1334</v>
      </c>
      <c r="P117" s="10" t="s">
        <v>368</v>
      </c>
      <c r="Q117" s="10" t="s">
        <v>369</v>
      </c>
      <c r="R117" s="9" t="s">
        <v>588</v>
      </c>
      <c r="S117" s="9" t="s">
        <v>263</v>
      </c>
      <c r="T117" s="9" t="s">
        <v>263</v>
      </c>
      <c r="U117" s="9" t="s">
        <v>263</v>
      </c>
      <c r="V117" s="9" t="s">
        <v>263</v>
      </c>
      <c r="W117" s="9" t="s">
        <v>263</v>
      </c>
      <c r="X117" s="9" t="s">
        <v>263</v>
      </c>
      <c r="Y117" s="9" t="s">
        <v>4021</v>
      </c>
      <c r="Z117" s="9" t="s">
        <v>4022</v>
      </c>
      <c r="AA117" s="35" t="s">
        <v>155</v>
      </c>
      <c r="AB117" s="35" t="s">
        <v>4023</v>
      </c>
      <c r="AC117" s="41" t="s">
        <v>1359</v>
      </c>
      <c r="AD117" s="35" t="s">
        <v>4023</v>
      </c>
      <c r="AE117" s="10" t="s">
        <v>4024</v>
      </c>
      <c r="AF117" s="10" t="s">
        <v>1232</v>
      </c>
      <c r="AG117" s="9" t="s">
        <v>263</v>
      </c>
      <c r="AH117" s="10" t="s">
        <v>4025</v>
      </c>
      <c r="AI117" s="9" t="s">
        <v>263</v>
      </c>
      <c r="AJ117" s="9" t="s">
        <v>263</v>
      </c>
      <c r="AK117" s="9" t="s">
        <v>263</v>
      </c>
      <c r="AL117" s="9">
        <v>84.8</v>
      </c>
      <c r="AM117" s="9">
        <v>1.64</v>
      </c>
      <c r="AN117" s="10">
        <v>104</v>
      </c>
      <c r="AO117" s="9">
        <v>117</v>
      </c>
      <c r="AP117" s="9">
        <v>46.7</v>
      </c>
      <c r="AQ117" s="9">
        <v>8</v>
      </c>
      <c r="AR117" s="9">
        <v>23.3</v>
      </c>
      <c r="AS117" s="9">
        <v>53</v>
      </c>
      <c r="AT117" s="9">
        <v>31.5</v>
      </c>
      <c r="AU117" s="9">
        <v>104</v>
      </c>
      <c r="AV117" s="9">
        <v>77</v>
      </c>
      <c r="AX117" s="9" t="s">
        <v>4026</v>
      </c>
      <c r="AY117" s="9" t="s">
        <v>389</v>
      </c>
      <c r="BF117" s="9" t="s">
        <v>323</v>
      </c>
      <c r="BG117" s="9" t="s">
        <v>375</v>
      </c>
      <c r="BH117" s="9" t="s">
        <v>375</v>
      </c>
      <c r="BI117" s="9" t="s">
        <v>375</v>
      </c>
      <c r="BJ117" s="9" t="s">
        <v>375</v>
      </c>
      <c r="BK117" s="9" t="s">
        <v>1778</v>
      </c>
      <c r="BN117" s="9" t="s">
        <v>4027</v>
      </c>
      <c r="BO117" s="9" t="s">
        <v>3728</v>
      </c>
      <c r="BP117" s="9" t="s">
        <v>498</v>
      </c>
      <c r="BR117" s="9" t="s">
        <v>1282</v>
      </c>
      <c r="BS117" s="9" t="s">
        <v>4028</v>
      </c>
      <c r="BV117" s="9" t="s">
        <v>4029</v>
      </c>
      <c r="BZ117" s="9" t="s">
        <v>4030</v>
      </c>
      <c r="CA117" s="9" t="s">
        <v>4031</v>
      </c>
      <c r="CC117" s="9" t="s">
        <v>263</v>
      </c>
      <c r="CG117" s="9" t="s">
        <v>263</v>
      </c>
      <c r="CL117" s="9" t="s">
        <v>1373</v>
      </c>
      <c r="CM117" s="9" t="s">
        <v>4032</v>
      </c>
      <c r="CP117" s="9" t="s">
        <v>1285</v>
      </c>
      <c r="CQ117" s="9" t="s">
        <v>4033</v>
      </c>
      <c r="CR117" s="9" t="s">
        <v>911</v>
      </c>
      <c r="CT117" s="9" t="s">
        <v>445</v>
      </c>
      <c r="CU117" s="9" t="s">
        <v>4034</v>
      </c>
      <c r="CV117" s="9" t="s">
        <v>539</v>
      </c>
      <c r="CW117" s="9" t="s">
        <v>4035</v>
      </c>
      <c r="CX117" s="9" t="s">
        <v>263</v>
      </c>
      <c r="CY117" s="9" t="s">
        <v>4036</v>
      </c>
      <c r="DC117" s="14">
        <v>246</v>
      </c>
      <c r="DD117" s="9">
        <v>0.48</v>
      </c>
      <c r="DE117" s="9">
        <v>146</v>
      </c>
      <c r="DF117" s="10">
        <v>328</v>
      </c>
      <c r="DG117" s="9">
        <f t="shared" si="1"/>
        <v>5.6491725721582533</v>
      </c>
      <c r="DI117" s="9">
        <v>3.32</v>
      </c>
      <c r="DJ117" s="10">
        <v>47</v>
      </c>
      <c r="DP117" s="18">
        <v>3</v>
      </c>
      <c r="DQ117" s="6" t="s">
        <v>111</v>
      </c>
      <c r="DR117" s="9">
        <v>1</v>
      </c>
      <c r="DU117" s="9">
        <v>6.4</v>
      </c>
    </row>
    <row r="118" spans="1:156" x14ac:dyDescent="0.2">
      <c r="A118" s="16">
        <v>343</v>
      </c>
      <c r="B118" s="8">
        <v>42938</v>
      </c>
      <c r="C118" s="6" t="s">
        <v>675</v>
      </c>
      <c r="D118" s="6">
        <v>53</v>
      </c>
      <c r="E118" s="6" t="s">
        <v>100</v>
      </c>
      <c r="F118" s="17">
        <v>23293</v>
      </c>
      <c r="G118" s="6" t="s">
        <v>915</v>
      </c>
      <c r="H118" s="6"/>
      <c r="L118" s="6"/>
      <c r="M118" s="6" t="s">
        <v>3146</v>
      </c>
      <c r="N118" s="6" t="s">
        <v>99</v>
      </c>
      <c r="O118" s="6" t="s">
        <v>99</v>
      </c>
      <c r="P118" s="6" t="s">
        <v>110</v>
      </c>
      <c r="Q118" s="6" t="s">
        <v>110</v>
      </c>
      <c r="R118" s="6" t="s">
        <v>110</v>
      </c>
      <c r="S118" s="6" t="s">
        <v>99</v>
      </c>
      <c r="T118" s="6" t="s">
        <v>99</v>
      </c>
      <c r="U118" s="6" t="s">
        <v>4049</v>
      </c>
      <c r="W118" s="6" t="s">
        <v>99</v>
      </c>
      <c r="X118" s="6" t="s">
        <v>99</v>
      </c>
      <c r="Y118" s="6" t="s">
        <v>4050</v>
      </c>
      <c r="Z118" s="9" t="s">
        <v>2501</v>
      </c>
      <c r="AA118" s="6" t="s">
        <v>100</v>
      </c>
      <c r="AB118" s="6" t="s">
        <v>100</v>
      </c>
      <c r="AC118" s="6" t="s">
        <v>100</v>
      </c>
      <c r="AD118" s="6" t="s">
        <v>100</v>
      </c>
      <c r="AE118" s="6" t="s">
        <v>118</v>
      </c>
      <c r="AF118" s="6" t="s">
        <v>118</v>
      </c>
      <c r="AG118" s="6" t="s">
        <v>99</v>
      </c>
      <c r="AH118" s="6" t="s">
        <v>99</v>
      </c>
      <c r="AI118" s="6" t="s">
        <v>99</v>
      </c>
      <c r="AJ118" s="6" t="s">
        <v>99</v>
      </c>
      <c r="AK118" s="6" t="s">
        <v>99</v>
      </c>
      <c r="AL118" s="6">
        <v>86.1</v>
      </c>
      <c r="AM118" s="9">
        <v>169</v>
      </c>
      <c r="AN118" s="15">
        <v>102</v>
      </c>
      <c r="AO118" s="6">
        <v>105</v>
      </c>
      <c r="AP118" s="6">
        <v>35.4</v>
      </c>
      <c r="AQ118" s="6">
        <v>16</v>
      </c>
      <c r="AR118" s="6">
        <v>28.4</v>
      </c>
      <c r="AS118" s="6">
        <v>63</v>
      </c>
      <c r="AT118" s="6">
        <v>30.1</v>
      </c>
      <c r="AU118" s="6">
        <v>111</v>
      </c>
      <c r="AV118" s="6">
        <v>91</v>
      </c>
      <c r="AX118" s="9" t="s">
        <v>4051</v>
      </c>
      <c r="AY118" s="9" t="s">
        <v>4052</v>
      </c>
      <c r="AZ118" s="9" t="s">
        <v>2050</v>
      </c>
      <c r="BB118" s="9" t="s">
        <v>4053</v>
      </c>
      <c r="BC118" s="9" t="s">
        <v>4054</v>
      </c>
      <c r="BF118" s="9" t="s">
        <v>176</v>
      </c>
      <c r="BG118" s="9" t="s">
        <v>176</v>
      </c>
      <c r="BH118" s="9" t="s">
        <v>3727</v>
      </c>
      <c r="BI118" s="9" t="s">
        <v>176</v>
      </c>
      <c r="BJ118" s="9" t="s">
        <v>4055</v>
      </c>
      <c r="BK118" s="9" t="s">
        <v>683</v>
      </c>
      <c r="BM118" s="9" t="s">
        <v>176</v>
      </c>
      <c r="BN118" s="9" t="s">
        <v>219</v>
      </c>
      <c r="BO118" s="9" t="s">
        <v>3728</v>
      </c>
      <c r="BP118" s="9" t="s">
        <v>4056</v>
      </c>
      <c r="BR118" s="9" t="s">
        <v>178</v>
      </c>
      <c r="BS118" s="9" t="s">
        <v>2573</v>
      </c>
      <c r="BT118" s="9" t="s">
        <v>4057</v>
      </c>
      <c r="BV118" s="9" t="s">
        <v>4058</v>
      </c>
      <c r="BW118" s="9" t="s">
        <v>4059</v>
      </c>
      <c r="BZ118" s="9" t="s">
        <v>808</v>
      </c>
      <c r="CA118" s="9" t="s">
        <v>1730</v>
      </c>
      <c r="CB118" s="9" t="s">
        <v>4060</v>
      </c>
      <c r="CD118" s="9" t="s">
        <v>821</v>
      </c>
      <c r="CH118" s="9" t="s">
        <v>99</v>
      </c>
      <c r="CL118" s="9" t="s">
        <v>4061</v>
      </c>
      <c r="CM118" s="9" t="s">
        <v>4062</v>
      </c>
      <c r="CN118" s="9" t="s">
        <v>4063</v>
      </c>
      <c r="CP118" s="9" t="s">
        <v>2534</v>
      </c>
      <c r="CQ118" s="9" t="s">
        <v>361</v>
      </c>
      <c r="CR118" s="9" t="s">
        <v>2579</v>
      </c>
      <c r="CT118" s="9" t="s">
        <v>2824</v>
      </c>
      <c r="CU118" s="9" t="s">
        <v>4064</v>
      </c>
      <c r="CV118" s="9" t="s">
        <v>364</v>
      </c>
      <c r="CW118" s="9" t="s">
        <v>4065</v>
      </c>
      <c r="CX118" s="9" t="s">
        <v>110</v>
      </c>
      <c r="CY118" s="9" t="s">
        <v>4066</v>
      </c>
      <c r="CZ118" s="9">
        <v>20</v>
      </c>
      <c r="DA118" s="9">
        <v>5</v>
      </c>
      <c r="DB118" s="9">
        <v>50</v>
      </c>
      <c r="DC118" s="16">
        <v>287</v>
      </c>
      <c r="DD118" s="6">
        <v>1.1000000000000001</v>
      </c>
      <c r="DE118" s="15">
        <v>214</v>
      </c>
      <c r="DF118" s="15">
        <v>321</v>
      </c>
      <c r="DG118" s="9">
        <f t="shared" si="1"/>
        <v>5.7154616694448181</v>
      </c>
      <c r="DH118" s="6">
        <v>64.2</v>
      </c>
      <c r="DI118" s="15">
        <v>8.0500000000000007</v>
      </c>
      <c r="DJ118" s="6"/>
      <c r="DK118" s="6"/>
      <c r="DL118" s="6"/>
      <c r="DM118" s="6"/>
      <c r="DN118" s="6"/>
      <c r="DP118" s="11">
        <v>2</v>
      </c>
      <c r="DQ118" s="9" t="s">
        <v>111</v>
      </c>
      <c r="DR118" s="9">
        <v>3</v>
      </c>
      <c r="DT118" s="9">
        <v>5</v>
      </c>
      <c r="DU118" s="9">
        <v>3</v>
      </c>
    </row>
    <row r="119" spans="1:156" x14ac:dyDescent="0.2">
      <c r="A119" s="14" t="s">
        <v>4071</v>
      </c>
      <c r="B119" s="38">
        <v>43277</v>
      </c>
      <c r="C119" s="9" t="s">
        <v>107</v>
      </c>
      <c r="D119" s="9">
        <v>24</v>
      </c>
      <c r="E119" s="9" t="s">
        <v>96</v>
      </c>
      <c r="F119" s="17">
        <v>34340</v>
      </c>
      <c r="G119" s="9" t="s">
        <v>481</v>
      </c>
      <c r="M119" s="9" t="s">
        <v>99</v>
      </c>
      <c r="N119" s="9" t="s">
        <v>99</v>
      </c>
      <c r="O119" s="9" t="s">
        <v>99</v>
      </c>
      <c r="P119" s="9" t="s">
        <v>99</v>
      </c>
      <c r="AA119" s="9" t="s">
        <v>96</v>
      </c>
      <c r="AB119" s="9" t="s">
        <v>96</v>
      </c>
      <c r="AC119" s="9" t="s">
        <v>96</v>
      </c>
      <c r="AD119" s="9" t="s">
        <v>96</v>
      </c>
      <c r="AE119" s="9" t="s">
        <v>2935</v>
      </c>
      <c r="AF119" s="9" t="s">
        <v>1079</v>
      </c>
      <c r="AG119" s="9" t="s">
        <v>2252</v>
      </c>
      <c r="AL119" s="9">
        <v>89.1</v>
      </c>
      <c r="AM119" s="9">
        <v>181</v>
      </c>
      <c r="AN119" s="10">
        <v>98.6</v>
      </c>
      <c r="AO119" s="9">
        <v>105.5</v>
      </c>
      <c r="AP119" s="9">
        <v>34.5</v>
      </c>
      <c r="AQ119" s="9">
        <v>2.9</v>
      </c>
      <c r="AR119" s="9">
        <v>55.4</v>
      </c>
      <c r="AS119" s="9">
        <v>50</v>
      </c>
      <c r="AT119" s="9">
        <v>27</v>
      </c>
      <c r="AU119" s="9">
        <v>125</v>
      </c>
      <c r="AV119" s="9">
        <v>78</v>
      </c>
      <c r="DC119" s="10">
        <v>99.7</v>
      </c>
      <c r="DD119" s="9">
        <v>0.71</v>
      </c>
      <c r="DE119" s="9">
        <v>191</v>
      </c>
      <c r="DF119" s="10">
        <v>286</v>
      </c>
      <c r="DG119" s="9">
        <f t="shared" si="1"/>
        <v>5.1290787438938228</v>
      </c>
      <c r="DH119" s="9">
        <v>57.2</v>
      </c>
      <c r="DI119" s="10">
        <v>7.5</v>
      </c>
      <c r="DJ119" s="9">
        <v>16.7</v>
      </c>
      <c r="DK119" s="9">
        <v>26.7</v>
      </c>
      <c r="DL119" s="9">
        <v>37.1</v>
      </c>
      <c r="DM119" s="9">
        <v>96.7</v>
      </c>
      <c r="DP119" s="11">
        <v>2</v>
      </c>
      <c r="DR119" s="9">
        <v>3</v>
      </c>
      <c r="DU119" s="9">
        <v>9.5</v>
      </c>
    </row>
    <row r="120" spans="1:156" x14ac:dyDescent="0.2">
      <c r="A120" s="116" t="s">
        <v>4119</v>
      </c>
      <c r="B120" s="38">
        <v>43277</v>
      </c>
      <c r="C120" s="9" t="s">
        <v>675</v>
      </c>
      <c r="D120" s="9">
        <v>64</v>
      </c>
      <c r="E120" s="9" t="s">
        <v>100</v>
      </c>
      <c r="F120" s="17">
        <v>19761</v>
      </c>
      <c r="G120" s="9" t="s">
        <v>481</v>
      </c>
      <c r="H120" s="9" t="s">
        <v>1663</v>
      </c>
      <c r="M120" s="9" t="s">
        <v>99</v>
      </c>
      <c r="N120" s="9" t="s">
        <v>99</v>
      </c>
      <c r="O120" s="9" t="s">
        <v>99</v>
      </c>
      <c r="P120" s="9" t="s">
        <v>99</v>
      </c>
      <c r="Q120" s="9" t="s">
        <v>110</v>
      </c>
      <c r="R120" s="9" t="s">
        <v>110</v>
      </c>
      <c r="S120" s="9" t="s">
        <v>99</v>
      </c>
      <c r="T120" s="9" t="s">
        <v>99</v>
      </c>
      <c r="U120" s="9" t="s">
        <v>99</v>
      </c>
      <c r="V120" s="9" t="s">
        <v>99</v>
      </c>
      <c r="W120" s="9" t="s">
        <v>2715</v>
      </c>
      <c r="X120" s="9" t="s">
        <v>99</v>
      </c>
      <c r="Y120" s="9" t="s">
        <v>4120</v>
      </c>
      <c r="Z120" s="9" t="s">
        <v>1903</v>
      </c>
      <c r="AA120" s="9" t="s">
        <v>100</v>
      </c>
      <c r="AB120" s="9" t="s">
        <v>100</v>
      </c>
      <c r="AC120" s="9" t="s">
        <v>100</v>
      </c>
      <c r="AD120" s="9" t="s">
        <v>100</v>
      </c>
      <c r="AE120" s="9" t="s">
        <v>118</v>
      </c>
      <c r="AF120" s="9" t="s">
        <v>125</v>
      </c>
      <c r="AG120" s="9" t="s">
        <v>126</v>
      </c>
      <c r="AH120" s="9" t="s">
        <v>110</v>
      </c>
      <c r="AI120" s="9" t="s">
        <v>99</v>
      </c>
      <c r="AJ120" s="9" t="s">
        <v>99</v>
      </c>
      <c r="AK120" s="9" t="s">
        <v>99</v>
      </c>
      <c r="AL120" s="9">
        <v>117.8</v>
      </c>
      <c r="AM120" s="9">
        <v>180</v>
      </c>
      <c r="AN120" s="10">
        <v>134.19999999999999</v>
      </c>
      <c r="AO120" s="9">
        <v>129</v>
      </c>
      <c r="AP120" s="9">
        <v>53.1</v>
      </c>
      <c r="AQ120" s="9">
        <v>2.8</v>
      </c>
      <c r="AR120" s="9">
        <v>52.5</v>
      </c>
      <c r="AS120" s="9">
        <v>50</v>
      </c>
      <c r="AT120" s="9">
        <v>36</v>
      </c>
      <c r="AU120" s="10">
        <v>132</v>
      </c>
      <c r="AV120" s="10">
        <v>87</v>
      </c>
      <c r="DC120" s="9">
        <v>78.8</v>
      </c>
      <c r="DD120" s="9">
        <v>0.95</v>
      </c>
      <c r="DE120" s="10">
        <v>217</v>
      </c>
      <c r="DF120" s="10">
        <v>286</v>
      </c>
      <c r="DG120" s="9">
        <f t="shared" si="1"/>
        <v>5.0114524038418429</v>
      </c>
      <c r="DH120" s="9">
        <v>57.2</v>
      </c>
      <c r="DI120" s="9">
        <v>6.2</v>
      </c>
      <c r="DJ120" s="9">
        <v>17.3</v>
      </c>
      <c r="DK120" s="9">
        <v>31.3</v>
      </c>
      <c r="DL120" s="9">
        <v>45.7</v>
      </c>
      <c r="DM120" s="9">
        <v>114.1</v>
      </c>
      <c r="DP120" s="11">
        <v>2</v>
      </c>
      <c r="DR120" s="9">
        <v>3</v>
      </c>
      <c r="DT120" s="9">
        <v>14.7</v>
      </c>
      <c r="DU120" s="9">
        <v>4</v>
      </c>
    </row>
    <row r="121" spans="1:156" x14ac:dyDescent="0.2">
      <c r="A121" s="14" t="s">
        <v>4147</v>
      </c>
      <c r="B121" s="38">
        <v>43277</v>
      </c>
      <c r="C121" s="9" t="s">
        <v>196</v>
      </c>
      <c r="D121" s="9">
        <v>47</v>
      </c>
      <c r="E121" s="9" t="s">
        <v>100</v>
      </c>
      <c r="F121" s="17">
        <v>26069</v>
      </c>
      <c r="G121" s="9" t="s">
        <v>813</v>
      </c>
      <c r="J121" s="9" t="s">
        <v>4148</v>
      </c>
      <c r="K121" s="9">
        <v>15</v>
      </c>
      <c r="L121" s="9">
        <v>4</v>
      </c>
      <c r="M121" s="9" t="s">
        <v>4149</v>
      </c>
      <c r="N121" s="9" t="s">
        <v>99</v>
      </c>
      <c r="O121" s="9" t="s">
        <v>4150</v>
      </c>
      <c r="P121" s="9" t="s">
        <v>99</v>
      </c>
      <c r="Q121" s="9" t="s">
        <v>99</v>
      </c>
      <c r="R121" s="9" t="s">
        <v>110</v>
      </c>
      <c r="S121" s="9" t="s">
        <v>99</v>
      </c>
      <c r="T121" s="9" t="s">
        <v>99</v>
      </c>
      <c r="U121" s="9" t="s">
        <v>99</v>
      </c>
      <c r="V121" s="9" t="s">
        <v>99</v>
      </c>
      <c r="W121" s="9" t="s">
        <v>99</v>
      </c>
      <c r="X121" s="9" t="s">
        <v>99</v>
      </c>
      <c r="Y121" s="9" t="s">
        <v>99</v>
      </c>
      <c r="Z121" s="9" t="s">
        <v>4151</v>
      </c>
      <c r="AA121" s="9" t="s">
        <v>100</v>
      </c>
      <c r="AB121" s="9" t="s">
        <v>100</v>
      </c>
      <c r="AC121" s="9" t="s">
        <v>100</v>
      </c>
      <c r="AD121" s="14" t="s">
        <v>4152</v>
      </c>
      <c r="AE121" s="9" t="s">
        <v>4153</v>
      </c>
      <c r="AF121" s="9" t="s">
        <v>118</v>
      </c>
      <c r="AG121" s="9" t="s">
        <v>2627</v>
      </c>
      <c r="AH121" s="9" t="s">
        <v>99</v>
      </c>
      <c r="AI121" s="9" t="s">
        <v>99</v>
      </c>
      <c r="AJ121" s="9" t="s">
        <v>99</v>
      </c>
      <c r="AK121" s="9" t="s">
        <v>99</v>
      </c>
      <c r="AL121" s="9">
        <v>72.900000000000006</v>
      </c>
      <c r="AM121" s="9">
        <v>159</v>
      </c>
      <c r="AN121" s="9">
        <v>86.7</v>
      </c>
      <c r="AO121" s="9">
        <v>108.3</v>
      </c>
      <c r="AP121" s="9">
        <v>21.8</v>
      </c>
      <c r="AQ121" s="9">
        <v>2.9</v>
      </c>
      <c r="AR121" s="9">
        <v>54.1</v>
      </c>
      <c r="AS121" s="9">
        <v>38</v>
      </c>
      <c r="AT121" s="9">
        <v>28.9</v>
      </c>
      <c r="AU121" s="36">
        <v>141</v>
      </c>
      <c r="AV121" s="9">
        <v>47</v>
      </c>
      <c r="DC121" s="14">
        <v>326.60000000000002</v>
      </c>
      <c r="DD121" s="9">
        <v>0.27</v>
      </c>
      <c r="DE121" s="10">
        <v>289</v>
      </c>
      <c r="DF121" s="14">
        <v>399</v>
      </c>
      <c r="DG121" s="9">
        <f t="shared" si="1"/>
        <v>5.8888487987131137</v>
      </c>
      <c r="DH121" s="9">
        <v>79.8</v>
      </c>
      <c r="DI121" s="10">
        <v>6.13</v>
      </c>
      <c r="DJ121" s="9">
        <v>33.700000000000003</v>
      </c>
      <c r="DK121" s="10">
        <v>45.7</v>
      </c>
      <c r="DL121" s="10">
        <v>34.200000000000003</v>
      </c>
      <c r="DM121" s="9">
        <v>175</v>
      </c>
      <c r="DP121" s="11">
        <v>2</v>
      </c>
      <c r="DR121" s="9">
        <v>2</v>
      </c>
      <c r="DT121" s="9">
        <v>11.1</v>
      </c>
      <c r="DU121" s="9">
        <v>4.5999999999999996</v>
      </c>
    </row>
    <row r="122" spans="1:156" x14ac:dyDescent="0.2">
      <c r="A122" s="9" t="s">
        <v>4154</v>
      </c>
      <c r="B122" s="38">
        <v>43277</v>
      </c>
      <c r="C122" s="9" t="s">
        <v>107</v>
      </c>
      <c r="D122" s="9">
        <v>41</v>
      </c>
      <c r="G122" s="9" t="s">
        <v>481</v>
      </c>
      <c r="M122" s="9" t="s">
        <v>99</v>
      </c>
      <c r="N122" s="9" t="s">
        <v>99</v>
      </c>
      <c r="O122" s="9" t="s">
        <v>99</v>
      </c>
      <c r="P122" s="9" t="s">
        <v>110</v>
      </c>
      <c r="Q122" s="9" t="s">
        <v>99</v>
      </c>
      <c r="R122" s="9" t="s">
        <v>110</v>
      </c>
      <c r="S122" s="9" t="s">
        <v>99</v>
      </c>
      <c r="T122" s="9" t="s">
        <v>99</v>
      </c>
      <c r="U122" s="9" t="s">
        <v>99</v>
      </c>
      <c r="V122" s="9" t="s">
        <v>99</v>
      </c>
      <c r="W122" s="9" t="s">
        <v>99</v>
      </c>
      <c r="X122" s="9" t="s">
        <v>99</v>
      </c>
      <c r="Y122" s="9" t="s">
        <v>99</v>
      </c>
      <c r="AA122" s="9" t="s">
        <v>100</v>
      </c>
      <c r="AB122" s="9" t="s">
        <v>100</v>
      </c>
      <c r="AC122" s="9" t="s">
        <v>100</v>
      </c>
      <c r="AD122" s="9" t="s">
        <v>100</v>
      </c>
      <c r="AE122" s="9" t="s">
        <v>99</v>
      </c>
      <c r="AF122" s="9" t="s">
        <v>99</v>
      </c>
      <c r="AG122" s="9" t="s">
        <v>99</v>
      </c>
      <c r="AH122" s="9" t="s">
        <v>99</v>
      </c>
      <c r="AI122" s="9" t="s">
        <v>99</v>
      </c>
      <c r="AJ122" s="9" t="s">
        <v>263</v>
      </c>
      <c r="AK122" s="9" t="s">
        <v>99</v>
      </c>
      <c r="AL122" s="9">
        <v>87</v>
      </c>
      <c r="AM122" s="9">
        <v>159</v>
      </c>
      <c r="AN122" s="9">
        <v>117</v>
      </c>
      <c r="AO122" s="9">
        <v>107</v>
      </c>
      <c r="AP122" s="9">
        <v>26.5</v>
      </c>
      <c r="AQ122" s="9">
        <v>3.2</v>
      </c>
      <c r="AR122" s="9">
        <v>53.1</v>
      </c>
      <c r="AS122" s="9">
        <v>50</v>
      </c>
      <c r="AT122" s="9">
        <v>34</v>
      </c>
      <c r="AU122" s="9">
        <v>154</v>
      </c>
      <c r="AV122" s="9">
        <v>98</v>
      </c>
      <c r="DC122" s="9">
        <v>85.7</v>
      </c>
      <c r="DD122" s="9">
        <v>0.8</v>
      </c>
      <c r="DE122" s="10">
        <v>214</v>
      </c>
      <c r="DF122" s="10">
        <v>196</v>
      </c>
      <c r="DG122" s="9">
        <f t="shared" si="1"/>
        <v>4.8644837424171259</v>
      </c>
      <c r="DH122" s="9">
        <v>39.200000000000003</v>
      </c>
      <c r="DI122" s="10">
        <v>7.6</v>
      </c>
      <c r="DJ122" s="9">
        <v>17.3</v>
      </c>
      <c r="DK122" s="9">
        <v>26.3</v>
      </c>
      <c r="DL122" s="10">
        <v>34</v>
      </c>
      <c r="DM122" s="9">
        <v>140.80000000000001</v>
      </c>
      <c r="DP122" s="11">
        <v>2</v>
      </c>
      <c r="DR122" s="9">
        <v>1</v>
      </c>
      <c r="DU122" s="9">
        <v>6</v>
      </c>
    </row>
    <row r="123" spans="1:156" x14ac:dyDescent="0.2">
      <c r="A123" s="14" t="s">
        <v>4277</v>
      </c>
      <c r="B123" s="21">
        <v>43630</v>
      </c>
      <c r="C123" s="20" t="s">
        <v>95</v>
      </c>
      <c r="D123" s="20">
        <v>57</v>
      </c>
      <c r="E123" s="20" t="s">
        <v>162</v>
      </c>
      <c r="F123" s="51">
        <v>22107</v>
      </c>
      <c r="G123" s="20" t="s">
        <v>3950</v>
      </c>
      <c r="H123" s="20" t="s">
        <v>162</v>
      </c>
      <c r="I123" s="20" t="s">
        <v>3596</v>
      </c>
      <c r="J123" s="20" t="s">
        <v>4278</v>
      </c>
      <c r="K123" s="20" t="s">
        <v>4279</v>
      </c>
      <c r="L123" s="20">
        <v>3</v>
      </c>
      <c r="M123" s="20" t="s">
        <v>4280</v>
      </c>
      <c r="N123" s="20" t="s">
        <v>4281</v>
      </c>
      <c r="O123" s="20" t="s">
        <v>162</v>
      </c>
      <c r="P123" s="20" t="s">
        <v>4282</v>
      </c>
      <c r="Q123" s="20" t="s">
        <v>99</v>
      </c>
      <c r="R123" s="20" t="s">
        <v>110</v>
      </c>
      <c r="S123" s="20" t="s">
        <v>162</v>
      </c>
      <c r="T123" s="20" t="s">
        <v>162</v>
      </c>
      <c r="U123" s="20" t="s">
        <v>4283</v>
      </c>
      <c r="V123" s="20" t="s">
        <v>162</v>
      </c>
      <c r="W123" s="20" t="s">
        <v>162</v>
      </c>
      <c r="X123" s="20" t="s">
        <v>162</v>
      </c>
      <c r="Y123" s="20"/>
      <c r="Z123" s="20" t="s">
        <v>4284</v>
      </c>
      <c r="AA123" s="124" t="s">
        <v>840</v>
      </c>
      <c r="AB123" s="20" t="s">
        <v>100</v>
      </c>
      <c r="AC123" s="124" t="s">
        <v>840</v>
      </c>
      <c r="AD123" s="20" t="s">
        <v>96</v>
      </c>
      <c r="AE123" s="20" t="s">
        <v>1127</v>
      </c>
      <c r="AF123" s="20" t="s">
        <v>1127</v>
      </c>
      <c r="AG123" s="20" t="s">
        <v>162</v>
      </c>
      <c r="AH123" s="20" t="s">
        <v>162</v>
      </c>
      <c r="AI123" s="20" t="s">
        <v>162</v>
      </c>
      <c r="AJ123" s="20" t="s">
        <v>162</v>
      </c>
      <c r="AK123" s="20" t="s">
        <v>4285</v>
      </c>
      <c r="AL123" s="20" t="s">
        <v>4286</v>
      </c>
      <c r="AM123" s="20" t="s">
        <v>162</v>
      </c>
      <c r="AN123" s="20">
        <v>102</v>
      </c>
      <c r="AO123" s="20">
        <v>120</v>
      </c>
      <c r="AP123" s="20" t="s">
        <v>4287</v>
      </c>
      <c r="AQ123" s="20" t="s">
        <v>162</v>
      </c>
      <c r="AR123" s="20" t="s">
        <v>4288</v>
      </c>
      <c r="AS123" s="20">
        <v>65</v>
      </c>
      <c r="AT123" s="20"/>
      <c r="AU123" s="20">
        <v>105</v>
      </c>
      <c r="AV123" s="20">
        <v>71</v>
      </c>
      <c r="AW123" s="20"/>
      <c r="AX123" s="20" t="s">
        <v>4289</v>
      </c>
      <c r="AY123" s="20" t="s">
        <v>919</v>
      </c>
      <c r="AZ123" s="20"/>
      <c r="BA123" s="20"/>
      <c r="BB123" s="20"/>
      <c r="BC123" s="20"/>
      <c r="BD123" s="20"/>
      <c r="BE123" s="20"/>
      <c r="BF123" s="20" t="s">
        <v>4290</v>
      </c>
      <c r="BG123" s="20" t="s">
        <v>323</v>
      </c>
      <c r="BH123" s="20" t="s">
        <v>323</v>
      </c>
      <c r="BI123" s="20" t="s">
        <v>635</v>
      </c>
      <c r="BJ123" s="20" t="s">
        <v>162</v>
      </c>
      <c r="BK123" s="20" t="s">
        <v>323</v>
      </c>
      <c r="BL123" s="20"/>
      <c r="BM123" s="20"/>
      <c r="BN123" s="20" t="s">
        <v>1293</v>
      </c>
      <c r="BO123" s="20" t="s">
        <v>1021</v>
      </c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 t="s">
        <v>4291</v>
      </c>
      <c r="CA123" s="20" t="s">
        <v>4292</v>
      </c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 t="s">
        <v>435</v>
      </c>
      <c r="CU123" s="20"/>
      <c r="CV123" s="20"/>
      <c r="CW123" s="20">
        <v>3</v>
      </c>
      <c r="CX123" s="20"/>
      <c r="CY123" s="20" t="s">
        <v>99</v>
      </c>
      <c r="CZ123" s="20">
        <v>30</v>
      </c>
      <c r="DA123" s="20">
        <v>30</v>
      </c>
      <c r="DB123" s="20">
        <v>34</v>
      </c>
      <c r="DG123" s="9" t="e">
        <f t="shared" si="1"/>
        <v>#NUM!</v>
      </c>
      <c r="DP123" s="11">
        <v>3</v>
      </c>
      <c r="DQ123" s="9">
        <v>3</v>
      </c>
      <c r="DR123" s="9">
        <v>3</v>
      </c>
      <c r="DT123" s="9">
        <v>12.4</v>
      </c>
      <c r="DU123" s="9">
        <v>6</v>
      </c>
    </row>
    <row r="124" spans="1:156" x14ac:dyDescent="0.2">
      <c r="A124" s="14" t="s">
        <v>4944</v>
      </c>
      <c r="B124" s="8">
        <v>43647</v>
      </c>
      <c r="C124" s="9" t="s">
        <v>95</v>
      </c>
      <c r="D124" s="9">
        <v>51</v>
      </c>
      <c r="E124" s="125" t="s">
        <v>816</v>
      </c>
      <c r="F124" s="17">
        <v>24940</v>
      </c>
      <c r="G124" s="9" t="s">
        <v>2495</v>
      </c>
      <c r="H124" s="9" t="s">
        <v>4945</v>
      </c>
      <c r="I124" s="9">
        <v>12</v>
      </c>
      <c r="J124" s="9" t="s">
        <v>4946</v>
      </c>
      <c r="K124" s="9">
        <v>1992</v>
      </c>
      <c r="L124" s="9">
        <v>3</v>
      </c>
      <c r="M124" s="9" t="s">
        <v>4947</v>
      </c>
      <c r="N124" s="9" t="s">
        <v>4948</v>
      </c>
      <c r="O124" s="9" t="s">
        <v>99</v>
      </c>
      <c r="P124" s="9" t="s">
        <v>99</v>
      </c>
      <c r="Q124" s="9" t="s">
        <v>99</v>
      </c>
      <c r="R124" s="9" t="s">
        <v>110</v>
      </c>
      <c r="S124" s="9" t="s">
        <v>99</v>
      </c>
      <c r="T124" s="9" t="s">
        <v>99</v>
      </c>
      <c r="U124" s="9" t="s">
        <v>99</v>
      </c>
      <c r="V124" s="9" t="s">
        <v>99</v>
      </c>
      <c r="W124" s="9" t="s">
        <v>99</v>
      </c>
      <c r="X124" s="9" t="s">
        <v>99</v>
      </c>
      <c r="Y124" s="9" t="s">
        <v>99</v>
      </c>
      <c r="AA124" s="9" t="s">
        <v>816</v>
      </c>
      <c r="AB124" s="9" t="s">
        <v>816</v>
      </c>
      <c r="AC124" s="9" t="s">
        <v>816</v>
      </c>
      <c r="AD124" s="9" t="s">
        <v>816</v>
      </c>
      <c r="AE124" s="9" t="s">
        <v>4949</v>
      </c>
      <c r="AF124" s="9" t="s">
        <v>664</v>
      </c>
      <c r="AG124" s="9" t="s">
        <v>4950</v>
      </c>
      <c r="AH124" s="9" t="s">
        <v>135</v>
      </c>
      <c r="AI124" s="9" t="s">
        <v>99</v>
      </c>
      <c r="AJ124" s="9" t="s">
        <v>99</v>
      </c>
      <c r="AK124" s="9" t="s">
        <v>99</v>
      </c>
      <c r="AL124" s="9">
        <v>83</v>
      </c>
      <c r="AM124" s="9">
        <v>154</v>
      </c>
      <c r="AN124" s="9">
        <v>100</v>
      </c>
      <c r="AO124" s="9">
        <v>115</v>
      </c>
      <c r="AP124" s="9">
        <v>33</v>
      </c>
      <c r="AQ124" s="9">
        <v>9</v>
      </c>
      <c r="AR124" s="9">
        <v>26</v>
      </c>
      <c r="AS124" s="9">
        <v>49</v>
      </c>
      <c r="AT124" s="9">
        <v>35</v>
      </c>
      <c r="AU124" s="14">
        <v>148</v>
      </c>
      <c r="AV124" s="9">
        <v>78</v>
      </c>
      <c r="AX124" s="9" t="s">
        <v>4951</v>
      </c>
      <c r="AY124" s="9" t="s">
        <v>4952</v>
      </c>
      <c r="AZ124" s="9" t="s">
        <v>4953</v>
      </c>
      <c r="BB124" s="9" t="s">
        <v>4954</v>
      </c>
      <c r="BC124" s="9" t="s">
        <v>3342</v>
      </c>
      <c r="BF124" s="9" t="s">
        <v>3234</v>
      </c>
      <c r="BG124" s="9" t="s">
        <v>3234</v>
      </c>
      <c r="BH124" s="9" t="s">
        <v>3215</v>
      </c>
      <c r="BI124" s="9" t="s">
        <v>3215</v>
      </c>
      <c r="BJ124" s="9" t="s">
        <v>3234</v>
      </c>
      <c r="BK124" s="9" t="s">
        <v>1172</v>
      </c>
      <c r="BN124" s="9" t="s">
        <v>4955</v>
      </c>
      <c r="BO124" s="9" t="s">
        <v>4956</v>
      </c>
      <c r="BP124" s="9" t="s">
        <v>4957</v>
      </c>
      <c r="BZ124" s="9" t="s">
        <v>4958</v>
      </c>
      <c r="CA124" s="9" t="s">
        <v>4959</v>
      </c>
      <c r="CB124" s="9" t="s">
        <v>4960</v>
      </c>
      <c r="CL124" s="9" t="s">
        <v>4961</v>
      </c>
      <c r="CM124" s="9" t="s">
        <v>4962</v>
      </c>
      <c r="CP124" s="9" t="s">
        <v>4963</v>
      </c>
      <c r="CQ124" s="9" t="s">
        <v>4964</v>
      </c>
      <c r="CR124" s="9" t="s">
        <v>4965</v>
      </c>
      <c r="CT124" s="9" t="s">
        <v>4966</v>
      </c>
      <c r="CW124" s="9">
        <v>3</v>
      </c>
      <c r="CX124" s="9" t="s">
        <v>99</v>
      </c>
      <c r="CY124" s="9" t="s">
        <v>99</v>
      </c>
      <c r="DC124" s="14">
        <v>121</v>
      </c>
      <c r="DD124" s="9">
        <v>0.62</v>
      </c>
      <c r="DE124" s="14">
        <v>215</v>
      </c>
      <c r="DF124" s="9">
        <v>142</v>
      </c>
      <c r="DG124" s="9">
        <f t="shared" si="1"/>
        <v>4.8758088015990007</v>
      </c>
      <c r="DH124" s="9">
        <v>28.4</v>
      </c>
      <c r="DI124" s="9">
        <v>3.96</v>
      </c>
      <c r="DL124" s="14">
        <v>65.5</v>
      </c>
      <c r="DM124" s="9">
        <v>121.1</v>
      </c>
      <c r="DP124" s="11">
        <v>2</v>
      </c>
      <c r="DQ124" s="9">
        <v>2</v>
      </c>
      <c r="DR124" s="9">
        <v>3</v>
      </c>
      <c r="DT124" s="9">
        <v>16.8</v>
      </c>
    </row>
    <row r="125" spans="1:156" customFormat="1" x14ac:dyDescent="0.2">
      <c r="A125" s="74" t="s">
        <v>5032</v>
      </c>
      <c r="B125" s="29" t="s">
        <v>5033</v>
      </c>
      <c r="C125" s="29" t="s">
        <v>196</v>
      </c>
      <c r="D125" s="29">
        <v>35</v>
      </c>
      <c r="E125" s="29" t="s">
        <v>100</v>
      </c>
      <c r="F125" s="69">
        <v>30830</v>
      </c>
      <c r="G125" s="29" t="s">
        <v>2088</v>
      </c>
      <c r="H125" s="29" t="s">
        <v>340</v>
      </c>
      <c r="I125" s="29" t="s">
        <v>198</v>
      </c>
      <c r="J125" s="29"/>
      <c r="K125" s="29">
        <v>2016</v>
      </c>
      <c r="L125" s="29">
        <v>4</v>
      </c>
      <c r="M125" s="29" t="s">
        <v>5034</v>
      </c>
      <c r="N125" s="29" t="s">
        <v>5035</v>
      </c>
      <c r="O125" s="29"/>
      <c r="P125" s="29" t="s">
        <v>99</v>
      </c>
      <c r="Q125" s="29" t="s">
        <v>5036</v>
      </c>
      <c r="R125" s="29" t="s">
        <v>110</v>
      </c>
      <c r="S125" s="29"/>
      <c r="T125" s="29"/>
      <c r="U125" s="29"/>
      <c r="V125" s="29"/>
      <c r="W125" s="29" t="s">
        <v>5037</v>
      </c>
      <c r="X125" s="29"/>
      <c r="Y125" s="29"/>
      <c r="Z125" s="29"/>
      <c r="AA125" s="29" t="s">
        <v>100</v>
      </c>
      <c r="AB125" s="29" t="s">
        <v>100</v>
      </c>
      <c r="AC125" s="29" t="s">
        <v>100</v>
      </c>
      <c r="AD125" s="29" t="s">
        <v>100</v>
      </c>
      <c r="AE125" s="29" t="s">
        <v>1904</v>
      </c>
      <c r="AF125" s="29" t="s">
        <v>1125</v>
      </c>
      <c r="AG125" s="29"/>
      <c r="AH125" s="29"/>
      <c r="AI125" s="29" t="s">
        <v>2048</v>
      </c>
      <c r="AJ125" s="29" t="s">
        <v>2048</v>
      </c>
      <c r="AK125" s="29"/>
      <c r="AL125" s="29">
        <v>101.7</v>
      </c>
      <c r="AM125" s="29">
        <v>162</v>
      </c>
      <c r="AN125" s="29">
        <v>110</v>
      </c>
      <c r="AO125" s="29">
        <v>135</v>
      </c>
      <c r="AP125" s="29">
        <v>54.3</v>
      </c>
      <c r="AQ125" s="29">
        <v>10</v>
      </c>
      <c r="AR125" s="29"/>
      <c r="AS125" s="29">
        <v>67</v>
      </c>
      <c r="AT125" s="29">
        <v>38.799999999999997</v>
      </c>
      <c r="AU125" s="48">
        <v>137</v>
      </c>
      <c r="AV125" s="48">
        <v>95</v>
      </c>
      <c r="AW125" s="29"/>
      <c r="AX125" s="29" t="s">
        <v>1656</v>
      </c>
      <c r="AY125" s="29" t="s">
        <v>573</v>
      </c>
      <c r="AZ125" s="29" t="s">
        <v>1128</v>
      </c>
      <c r="BA125" s="29"/>
      <c r="BB125" s="29" t="s">
        <v>750</v>
      </c>
      <c r="BC125" s="29" t="s">
        <v>1130</v>
      </c>
      <c r="BD125" s="29"/>
      <c r="BE125" s="29"/>
      <c r="BF125" s="29" t="s">
        <v>350</v>
      </c>
      <c r="BG125" s="29" t="s">
        <v>1979</v>
      </c>
      <c r="BH125" s="29" t="s">
        <v>1979</v>
      </c>
      <c r="BI125" s="29" t="s">
        <v>1979</v>
      </c>
      <c r="BJ125" s="29" t="s">
        <v>350</v>
      </c>
      <c r="BK125" s="29" t="s">
        <v>1513</v>
      </c>
      <c r="BL125" s="29"/>
      <c r="BM125" s="29"/>
      <c r="BN125" s="29" t="s">
        <v>219</v>
      </c>
      <c r="BO125" s="29" t="s">
        <v>179</v>
      </c>
      <c r="BP125" s="29" t="s">
        <v>180</v>
      </c>
      <c r="BQ125" s="29"/>
      <c r="BR125" s="29"/>
      <c r="BS125" s="29"/>
      <c r="BT125" s="29"/>
      <c r="BU125" s="29"/>
      <c r="BV125" s="29"/>
      <c r="BW125" s="29"/>
      <c r="BX125" s="29"/>
      <c r="BY125" s="29"/>
      <c r="BZ125" s="29" t="s">
        <v>183</v>
      </c>
      <c r="CA125" s="29" t="s">
        <v>184</v>
      </c>
      <c r="CB125" s="29" t="s">
        <v>182</v>
      </c>
      <c r="CC125" s="29"/>
      <c r="CD125" s="29"/>
      <c r="CE125" s="29"/>
      <c r="CF125" s="29"/>
      <c r="CG125" s="29"/>
      <c r="CH125" s="29"/>
      <c r="CI125" s="29"/>
      <c r="CJ125" s="29"/>
      <c r="CK125" s="29" t="s">
        <v>351</v>
      </c>
      <c r="CL125" s="29" t="s">
        <v>980</v>
      </c>
      <c r="CM125" s="29" t="s">
        <v>579</v>
      </c>
      <c r="CN125" s="29" t="s">
        <v>825</v>
      </c>
      <c r="CO125" s="29"/>
      <c r="CP125" s="29" t="s">
        <v>362</v>
      </c>
      <c r="CQ125" s="29" t="s">
        <v>716</v>
      </c>
      <c r="CR125" s="29" t="s">
        <v>4741</v>
      </c>
      <c r="CS125" s="29"/>
      <c r="CT125" s="29" t="s">
        <v>1729</v>
      </c>
      <c r="CU125" s="29" t="s">
        <v>187</v>
      </c>
      <c r="CV125" s="29" t="s">
        <v>363</v>
      </c>
      <c r="CW125" s="29">
        <v>3</v>
      </c>
      <c r="CX125" s="29" t="s">
        <v>99</v>
      </c>
      <c r="CY125" s="29" t="s">
        <v>99</v>
      </c>
      <c r="CZ125" s="29">
        <v>25</v>
      </c>
      <c r="DA125" s="29">
        <v>25</v>
      </c>
      <c r="DB125" s="29">
        <v>50</v>
      </c>
      <c r="DC125" s="48">
        <v>105.4</v>
      </c>
      <c r="DD125" s="29">
        <v>0.65</v>
      </c>
      <c r="DE125" s="29">
        <v>197</v>
      </c>
      <c r="DF125" s="48">
        <v>165</v>
      </c>
      <c r="DG125" s="9">
        <f t="shared" si="1"/>
        <v>4.8818540550039211</v>
      </c>
      <c r="DH125" s="29">
        <v>33</v>
      </c>
      <c r="DI125" s="29">
        <v>5.89</v>
      </c>
      <c r="DJ125" s="29"/>
      <c r="DK125" s="29"/>
      <c r="DL125" s="29">
        <v>51.6</v>
      </c>
      <c r="DM125" s="29">
        <v>112.4</v>
      </c>
      <c r="DN125" s="29"/>
      <c r="DO125" s="29"/>
      <c r="DP125" s="29">
        <v>3</v>
      </c>
      <c r="DQ125" s="29"/>
      <c r="DR125" s="29">
        <v>2</v>
      </c>
      <c r="DS125" s="29"/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29"/>
      <c r="EZ125" s="29"/>
    </row>
    <row r="126" spans="1:156" customFormat="1" x14ac:dyDescent="0.2">
      <c r="A126" s="71" t="s">
        <v>5052</v>
      </c>
      <c r="B126" s="69">
        <v>43797</v>
      </c>
      <c r="C126" s="29" t="s">
        <v>675</v>
      </c>
      <c r="D126" s="29">
        <v>37</v>
      </c>
      <c r="E126" s="29" t="s">
        <v>100</v>
      </c>
      <c r="F126" s="69">
        <v>30054</v>
      </c>
      <c r="G126" s="29" t="s">
        <v>837</v>
      </c>
      <c r="H126" s="29" t="s">
        <v>5053</v>
      </c>
      <c r="I126" s="29"/>
      <c r="J126" s="29"/>
      <c r="K126" s="29"/>
      <c r="L126" s="29"/>
      <c r="M126" s="29" t="s">
        <v>99</v>
      </c>
      <c r="N126" s="29" t="s">
        <v>99</v>
      </c>
      <c r="O126" s="29" t="s">
        <v>110</v>
      </c>
      <c r="P126" s="29" t="s">
        <v>99</v>
      </c>
      <c r="Q126" s="29" t="s">
        <v>1639</v>
      </c>
      <c r="R126" s="29" t="s">
        <v>110</v>
      </c>
      <c r="S126" s="29" t="s">
        <v>110</v>
      </c>
      <c r="T126" s="29" t="s">
        <v>110</v>
      </c>
      <c r="U126" s="29" t="s">
        <v>99</v>
      </c>
      <c r="V126" s="29" t="s">
        <v>99</v>
      </c>
      <c r="W126" s="29" t="s">
        <v>5054</v>
      </c>
      <c r="X126" s="29" t="s">
        <v>99</v>
      </c>
      <c r="Y126" s="29" t="s">
        <v>99</v>
      </c>
      <c r="Z126" s="29" t="s">
        <v>2192</v>
      </c>
      <c r="AA126" s="29" t="s">
        <v>100</v>
      </c>
      <c r="AB126" s="29" t="s">
        <v>109</v>
      </c>
      <c r="AC126" s="29" t="s">
        <v>100</v>
      </c>
      <c r="AD126" s="29" t="s">
        <v>109</v>
      </c>
      <c r="AE126" s="29" t="s">
        <v>343</v>
      </c>
      <c r="AF126" s="29" t="s">
        <v>5055</v>
      </c>
      <c r="AG126" s="29" t="s">
        <v>99</v>
      </c>
      <c r="AH126" s="29" t="s">
        <v>99</v>
      </c>
      <c r="AI126" s="29" t="s">
        <v>99</v>
      </c>
      <c r="AJ126" s="29" t="s">
        <v>99</v>
      </c>
      <c r="AK126" s="29" t="s">
        <v>99</v>
      </c>
      <c r="AL126" s="29">
        <v>88.5</v>
      </c>
      <c r="AM126" s="29">
        <v>1.69</v>
      </c>
      <c r="AN126" s="29">
        <v>105</v>
      </c>
      <c r="AO126" s="29">
        <v>108</v>
      </c>
      <c r="AP126" s="29">
        <v>35.4</v>
      </c>
      <c r="AQ126" s="29">
        <v>15</v>
      </c>
      <c r="AR126" s="29">
        <v>30.3</v>
      </c>
      <c r="AS126" s="29">
        <v>58</v>
      </c>
      <c r="AT126" s="29">
        <v>31</v>
      </c>
      <c r="AU126" s="29">
        <v>118</v>
      </c>
      <c r="AV126" s="29">
        <v>67</v>
      </c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>
        <v>96.7</v>
      </c>
      <c r="DD126" s="29">
        <v>0.92</v>
      </c>
      <c r="DE126" s="48">
        <v>202</v>
      </c>
      <c r="DF126" s="48">
        <v>173</v>
      </c>
      <c r="DG126" s="9">
        <f t="shared" si="1"/>
        <v>4.8624524984785138</v>
      </c>
      <c r="DH126" s="29">
        <v>34.6</v>
      </c>
      <c r="DI126" s="29">
        <v>6.18</v>
      </c>
      <c r="DJ126" s="29"/>
      <c r="DK126" s="29"/>
      <c r="DL126" s="48">
        <v>35.200000000000003</v>
      </c>
      <c r="DM126" s="29">
        <v>132.19999999999999</v>
      </c>
      <c r="DN126" s="29"/>
      <c r="DO126" s="29"/>
      <c r="DP126" s="29">
        <v>3</v>
      </c>
      <c r="DQ126" s="29"/>
      <c r="DR126" s="29">
        <v>2</v>
      </c>
      <c r="DS126" s="29"/>
      <c r="DT126" s="29"/>
      <c r="DU126" s="29">
        <v>7.5</v>
      </c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29"/>
      <c r="EZ126" s="29"/>
    </row>
    <row r="127" spans="1:156" customFormat="1" x14ac:dyDescent="0.2">
      <c r="A127" s="71" t="s">
        <v>5067</v>
      </c>
      <c r="B127" s="69">
        <v>43797</v>
      </c>
      <c r="C127" s="29" t="s">
        <v>675</v>
      </c>
      <c r="D127" s="29">
        <v>34</v>
      </c>
      <c r="E127" s="29" t="s">
        <v>100</v>
      </c>
      <c r="F127" s="121">
        <v>30935</v>
      </c>
      <c r="G127" s="29" t="s">
        <v>837</v>
      </c>
      <c r="H127" s="29"/>
      <c r="I127" s="29"/>
      <c r="J127" s="29"/>
      <c r="K127" s="29"/>
      <c r="L127" s="29"/>
      <c r="M127" s="29" t="s">
        <v>99</v>
      </c>
      <c r="N127" s="29" t="s">
        <v>99</v>
      </c>
      <c r="O127" s="29" t="s">
        <v>99</v>
      </c>
      <c r="P127" s="29" t="s">
        <v>5068</v>
      </c>
      <c r="Q127" s="29" t="s">
        <v>4975</v>
      </c>
      <c r="R127" s="29" t="s">
        <v>99</v>
      </c>
      <c r="S127" s="29" t="s">
        <v>110</v>
      </c>
      <c r="T127" s="29" t="s">
        <v>99</v>
      </c>
      <c r="U127" s="29" t="s">
        <v>99</v>
      </c>
      <c r="V127" s="29" t="s">
        <v>99</v>
      </c>
      <c r="W127" s="29" t="s">
        <v>99</v>
      </c>
      <c r="X127" s="29" t="s">
        <v>99</v>
      </c>
      <c r="Y127" s="29"/>
      <c r="Z127" s="29"/>
      <c r="AA127" s="29" t="s">
        <v>100</v>
      </c>
      <c r="AB127" s="29" t="s">
        <v>100</v>
      </c>
      <c r="AC127" s="29" t="s">
        <v>100</v>
      </c>
      <c r="AD127" s="29" t="s">
        <v>2234</v>
      </c>
      <c r="AE127" s="29" t="s">
        <v>1904</v>
      </c>
      <c r="AF127" s="29" t="s">
        <v>110</v>
      </c>
      <c r="AG127" s="29" t="s">
        <v>99</v>
      </c>
      <c r="AH127" s="29" t="s">
        <v>99</v>
      </c>
      <c r="AI127" s="29" t="s">
        <v>99</v>
      </c>
      <c r="AJ127" s="29" t="s">
        <v>99</v>
      </c>
      <c r="AK127" s="29" t="s">
        <v>99</v>
      </c>
      <c r="AL127" s="29">
        <v>98.1</v>
      </c>
      <c r="AM127" s="29">
        <v>170</v>
      </c>
      <c r="AN127" s="29">
        <v>108</v>
      </c>
      <c r="AO127" s="29">
        <v>105</v>
      </c>
      <c r="AP127" s="29">
        <v>32.9</v>
      </c>
      <c r="AQ127" s="29">
        <v>16</v>
      </c>
      <c r="AR127" s="29">
        <v>32.299999999999997</v>
      </c>
      <c r="AS127" s="29">
        <v>63</v>
      </c>
      <c r="AT127" s="29">
        <v>33.9</v>
      </c>
      <c r="AU127" s="29">
        <v>125</v>
      </c>
      <c r="AV127" s="29">
        <v>84</v>
      </c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>
        <v>88.3</v>
      </c>
      <c r="DD127" s="29">
        <v>0.59</v>
      </c>
      <c r="DE127" s="29">
        <v>166</v>
      </c>
      <c r="DF127" s="74">
        <v>482</v>
      </c>
      <c r="DG127" s="9">
        <f t="shared" si="1"/>
        <v>5.3293421108302574</v>
      </c>
      <c r="DH127" s="29">
        <v>96.4</v>
      </c>
      <c r="DI127" s="29">
        <v>9.77</v>
      </c>
      <c r="DJ127" s="29"/>
      <c r="DK127" s="29"/>
      <c r="DL127" s="48">
        <v>23.1</v>
      </c>
      <c r="DM127" s="29">
        <v>46.5</v>
      </c>
      <c r="DN127" s="29"/>
      <c r="DO127" s="29"/>
      <c r="DP127" s="29"/>
      <c r="DQ127" s="29"/>
      <c r="DR127" s="29"/>
      <c r="DS127" s="29"/>
      <c r="DT127" s="29"/>
      <c r="DU127" s="29">
        <v>5.7</v>
      </c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29"/>
      <c r="EZ127" s="29"/>
    </row>
    <row r="128" spans="1:156" customFormat="1" x14ac:dyDescent="0.2">
      <c r="A128" s="74" t="s">
        <v>5097</v>
      </c>
      <c r="B128" s="69">
        <v>43797</v>
      </c>
      <c r="C128" s="29" t="s">
        <v>196</v>
      </c>
      <c r="D128" s="29">
        <v>55</v>
      </c>
      <c r="E128" s="29" t="s">
        <v>203</v>
      </c>
      <c r="F128" s="121">
        <v>23614</v>
      </c>
      <c r="G128" s="29" t="s">
        <v>5098</v>
      </c>
      <c r="H128" s="29"/>
      <c r="I128" s="29"/>
      <c r="J128" s="29"/>
      <c r="K128" s="29">
        <v>2000</v>
      </c>
      <c r="L128" s="29">
        <v>3</v>
      </c>
      <c r="M128" s="29" t="s">
        <v>99</v>
      </c>
      <c r="N128" s="29" t="s">
        <v>99</v>
      </c>
      <c r="O128" s="29" t="s">
        <v>99</v>
      </c>
      <c r="P128" s="29" t="s">
        <v>99</v>
      </c>
      <c r="Q128" s="29" t="s">
        <v>99</v>
      </c>
      <c r="R128" s="29" t="s">
        <v>5099</v>
      </c>
      <c r="S128" s="29" t="s">
        <v>99</v>
      </c>
      <c r="T128" s="29" t="s">
        <v>99</v>
      </c>
      <c r="U128" s="29" t="s">
        <v>99</v>
      </c>
      <c r="V128" s="29" t="s">
        <v>99</v>
      </c>
      <c r="W128" s="29"/>
      <c r="X128" s="29"/>
      <c r="Y128" s="29"/>
      <c r="Z128" s="29"/>
      <c r="AA128" s="29" t="s">
        <v>816</v>
      </c>
      <c r="AB128" s="29" t="s">
        <v>1123</v>
      </c>
      <c r="AC128" s="29" t="s">
        <v>816</v>
      </c>
      <c r="AD128" s="29" t="s">
        <v>1123</v>
      </c>
      <c r="AE128" s="29" t="s">
        <v>5100</v>
      </c>
      <c r="AF128" s="29" t="s">
        <v>5101</v>
      </c>
      <c r="AG128" s="29" t="s">
        <v>5102</v>
      </c>
      <c r="AH128" s="29" t="s">
        <v>5103</v>
      </c>
      <c r="AI128" s="29" t="s">
        <v>343</v>
      </c>
      <c r="AJ128" s="29" t="s">
        <v>5104</v>
      </c>
      <c r="AK128" s="29"/>
      <c r="AL128" s="29">
        <v>81.2</v>
      </c>
      <c r="AM128" s="29">
        <v>170</v>
      </c>
      <c r="AN128" s="29">
        <v>90</v>
      </c>
      <c r="AO128" s="29">
        <v>114</v>
      </c>
      <c r="AP128" s="29">
        <v>43.1</v>
      </c>
      <c r="AQ128" s="29">
        <v>9</v>
      </c>
      <c r="AR128" s="29">
        <v>24.2</v>
      </c>
      <c r="AS128" s="29">
        <v>58</v>
      </c>
      <c r="AT128" s="29">
        <v>28.1</v>
      </c>
      <c r="AU128" s="29">
        <v>109</v>
      </c>
      <c r="AV128" s="29">
        <v>77</v>
      </c>
      <c r="AW128" s="29"/>
      <c r="AX128" s="29" t="s">
        <v>573</v>
      </c>
      <c r="AY128" s="29" t="s">
        <v>4983</v>
      </c>
      <c r="AZ128" s="29" t="s">
        <v>1128</v>
      </c>
      <c r="BA128" s="29"/>
      <c r="BB128" s="29" t="s">
        <v>750</v>
      </c>
      <c r="BC128" s="29" t="s">
        <v>2735</v>
      </c>
      <c r="BD128" s="29"/>
      <c r="BE128" s="29"/>
      <c r="BF128" s="29" t="s">
        <v>351</v>
      </c>
      <c r="BG128" s="29" t="s">
        <v>351</v>
      </c>
      <c r="BH128" s="29"/>
      <c r="BI128" s="29" t="s">
        <v>351</v>
      </c>
      <c r="BJ128" s="29" t="s">
        <v>351</v>
      </c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 t="s">
        <v>182</v>
      </c>
      <c r="CA128" s="29" t="s">
        <v>708</v>
      </c>
      <c r="CB128" s="29" t="s">
        <v>822</v>
      </c>
      <c r="CC128" s="29"/>
      <c r="CD128" s="29"/>
      <c r="CE128" s="29"/>
      <c r="CF128" s="29"/>
      <c r="CG128" s="29"/>
      <c r="CH128" s="29"/>
      <c r="CI128" s="29"/>
      <c r="CJ128" s="29"/>
      <c r="CK128" s="29"/>
      <c r="CL128" s="29" t="s">
        <v>1181</v>
      </c>
      <c r="CM128" s="29" t="s">
        <v>5105</v>
      </c>
      <c r="CN128" s="29"/>
      <c r="CO128" s="29"/>
      <c r="CP128" s="29"/>
      <c r="CQ128" s="29"/>
      <c r="CR128" s="29"/>
      <c r="CS128" s="29"/>
      <c r="CT128" s="29"/>
      <c r="CU128" s="29"/>
      <c r="CV128" s="29"/>
      <c r="CW128" s="29">
        <v>3</v>
      </c>
      <c r="CX128" s="29" t="s">
        <v>110</v>
      </c>
      <c r="CY128" s="29" t="s">
        <v>110</v>
      </c>
      <c r="CZ128" s="29">
        <v>30</v>
      </c>
      <c r="DA128" s="29">
        <v>30</v>
      </c>
      <c r="DB128" s="29">
        <v>40</v>
      </c>
      <c r="DC128" s="48">
        <v>102.8</v>
      </c>
      <c r="DD128" s="29">
        <v>0.43</v>
      </c>
      <c r="DE128" s="48">
        <v>244</v>
      </c>
      <c r="DF128" s="48">
        <v>169</v>
      </c>
      <c r="DG128" s="9">
        <f t="shared" si="1"/>
        <v>4.8813420339720688</v>
      </c>
      <c r="DH128" s="29">
        <v>33.799999999999997</v>
      </c>
      <c r="DI128" s="29">
        <v>4.8899999999999997</v>
      </c>
      <c r="DJ128" s="29"/>
      <c r="DK128" s="29"/>
      <c r="DL128" s="48">
        <v>37.299999999999997</v>
      </c>
      <c r="DM128" s="29">
        <v>172.9</v>
      </c>
      <c r="DN128" s="29"/>
      <c r="DO128" s="29"/>
      <c r="DP128" s="29">
        <v>3</v>
      </c>
      <c r="DQ128" s="29"/>
      <c r="DR128" s="29">
        <v>3</v>
      </c>
      <c r="DS128" s="29"/>
      <c r="DT128" s="29"/>
      <c r="DU128" s="29">
        <v>6.7</v>
      </c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29"/>
      <c r="EZ128" s="29"/>
    </row>
    <row r="129" spans="1:156" customFormat="1" x14ac:dyDescent="0.2">
      <c r="A129" s="73">
        <v>435</v>
      </c>
      <c r="B129" s="26">
        <v>43798</v>
      </c>
      <c r="M129" t="s">
        <v>99</v>
      </c>
      <c r="N129" t="s">
        <v>5151</v>
      </c>
      <c r="P129" t="s">
        <v>99</v>
      </c>
      <c r="Q129" t="s">
        <v>1699</v>
      </c>
      <c r="R129" t="s">
        <v>99</v>
      </c>
      <c r="U129" t="s">
        <v>99</v>
      </c>
      <c r="V129" t="s">
        <v>99</v>
      </c>
      <c r="W129" t="s">
        <v>99</v>
      </c>
      <c r="X129" t="s">
        <v>99</v>
      </c>
      <c r="AA129" t="s">
        <v>96</v>
      </c>
      <c r="AB129" t="s">
        <v>96</v>
      </c>
      <c r="AC129" t="s">
        <v>96</v>
      </c>
      <c r="AD129" t="s">
        <v>96</v>
      </c>
      <c r="AE129" t="s">
        <v>110</v>
      </c>
      <c r="AF129" t="s">
        <v>110</v>
      </c>
      <c r="AG129" t="s">
        <v>99</v>
      </c>
      <c r="AH129" t="s">
        <v>99</v>
      </c>
      <c r="AI129" t="s">
        <v>99</v>
      </c>
      <c r="AJ129" t="s">
        <v>99</v>
      </c>
      <c r="DC129">
        <v>138.4</v>
      </c>
      <c r="DD129">
        <v>1.2</v>
      </c>
      <c r="DE129">
        <v>166</v>
      </c>
      <c r="DF129">
        <v>366</v>
      </c>
      <c r="DG129" s="9">
        <f t="shared" si="1"/>
        <v>5.4163906882924682</v>
      </c>
      <c r="DH129">
        <v>73.2</v>
      </c>
      <c r="DI129">
        <v>6.44</v>
      </c>
      <c r="DL129">
        <v>46</v>
      </c>
      <c r="DM129">
        <v>46.8</v>
      </c>
      <c r="DP129">
        <v>3</v>
      </c>
      <c r="DR129">
        <v>3</v>
      </c>
    </row>
    <row r="130" spans="1:156" customFormat="1" x14ac:dyDescent="0.2">
      <c r="A130" s="71" t="s">
        <v>5224</v>
      </c>
      <c r="B130" s="69">
        <v>43798</v>
      </c>
      <c r="C130" s="29" t="s">
        <v>675</v>
      </c>
      <c r="D130" s="29">
        <v>41</v>
      </c>
      <c r="E130" s="29" t="s">
        <v>1123</v>
      </c>
      <c r="F130" s="69">
        <v>28797</v>
      </c>
      <c r="G130" s="29" t="s">
        <v>481</v>
      </c>
      <c r="H130" s="29"/>
      <c r="I130" s="29"/>
      <c r="J130" s="29"/>
      <c r="K130" s="29"/>
      <c r="L130" s="29"/>
      <c r="M130" s="29" t="s">
        <v>99</v>
      </c>
      <c r="N130" s="29" t="s">
        <v>99</v>
      </c>
      <c r="O130" s="29" t="s">
        <v>99</v>
      </c>
      <c r="P130" s="29" t="s">
        <v>99</v>
      </c>
      <c r="Q130" s="29" t="s">
        <v>99</v>
      </c>
      <c r="R130" s="29" t="s">
        <v>99</v>
      </c>
      <c r="S130" s="29" t="s">
        <v>99</v>
      </c>
      <c r="T130" s="29" t="s">
        <v>99</v>
      </c>
      <c r="U130" s="29" t="s">
        <v>99</v>
      </c>
      <c r="V130" s="29" t="s">
        <v>99</v>
      </c>
      <c r="W130" s="29" t="s">
        <v>99</v>
      </c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>
        <v>84.5</v>
      </c>
      <c r="AM130" s="29">
        <v>165</v>
      </c>
      <c r="AN130" s="48">
        <v>103</v>
      </c>
      <c r="AO130" s="29">
        <v>108</v>
      </c>
      <c r="AP130" s="29">
        <v>29.9</v>
      </c>
      <c r="AQ130" s="29">
        <v>15</v>
      </c>
      <c r="AR130" s="29">
        <v>33.700000000000003</v>
      </c>
      <c r="AS130" s="29">
        <v>53</v>
      </c>
      <c r="AT130" s="29">
        <v>31</v>
      </c>
      <c r="AU130" s="29">
        <v>112</v>
      </c>
      <c r="AV130" s="29">
        <v>60</v>
      </c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>
        <v>86.6</v>
      </c>
      <c r="DD130" s="29">
        <v>0.77</v>
      </c>
      <c r="DE130" s="29">
        <v>187</v>
      </c>
      <c r="DF130" s="48">
        <v>352</v>
      </c>
      <c r="DG130" s="9">
        <f t="shared" si="1"/>
        <v>5.162465495583243</v>
      </c>
      <c r="DH130" s="29">
        <v>70.400000000000006</v>
      </c>
      <c r="DI130" s="48">
        <v>7.27</v>
      </c>
      <c r="DJ130" s="29"/>
      <c r="DK130" s="29"/>
      <c r="DL130" s="48">
        <v>36.200000000000003</v>
      </c>
      <c r="DM130" s="29">
        <v>80.400000000000006</v>
      </c>
      <c r="DN130" s="29"/>
      <c r="DO130" s="29"/>
      <c r="DP130" s="29">
        <v>3</v>
      </c>
      <c r="DQ130" s="29"/>
      <c r="DR130" s="29">
        <v>3</v>
      </c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  <c r="EP130" s="29"/>
      <c r="EQ130" s="29"/>
      <c r="ER130" s="29"/>
      <c r="ES130" s="29"/>
      <c r="ET130" s="29"/>
      <c r="EU130" s="29"/>
      <c r="EV130" s="29"/>
      <c r="EW130" s="29"/>
      <c r="EX130" s="29"/>
      <c r="EY130" s="29"/>
      <c r="EZ130" s="29"/>
    </row>
    <row r="131" spans="1:156" s="33" customFormat="1" x14ac:dyDescent="0.2">
      <c r="A131" s="74" t="s">
        <v>5279</v>
      </c>
      <c r="B131" s="32">
        <v>43798</v>
      </c>
      <c r="C131" s="31" t="s">
        <v>675</v>
      </c>
      <c r="D131" s="31">
        <v>35</v>
      </c>
      <c r="E131" s="31" t="s">
        <v>100</v>
      </c>
      <c r="F131" s="32">
        <v>30984</v>
      </c>
      <c r="G131" s="31" t="s">
        <v>5280</v>
      </c>
      <c r="H131" s="31" t="s">
        <v>1663</v>
      </c>
      <c r="I131" s="31"/>
      <c r="J131" s="31"/>
      <c r="K131" s="31"/>
      <c r="L131" s="31"/>
      <c r="M131" s="31" t="s">
        <v>99</v>
      </c>
      <c r="N131" s="31" t="s">
        <v>99</v>
      </c>
      <c r="O131" s="31" t="s">
        <v>5281</v>
      </c>
      <c r="P131" s="31" t="s">
        <v>99</v>
      </c>
      <c r="Q131" s="31" t="s">
        <v>4975</v>
      </c>
      <c r="R131" s="31" t="s">
        <v>99</v>
      </c>
      <c r="S131" s="31" t="s">
        <v>99</v>
      </c>
      <c r="T131" s="31" t="s">
        <v>5282</v>
      </c>
      <c r="U131" s="31"/>
      <c r="V131" s="31"/>
      <c r="W131" s="31" t="s">
        <v>5283</v>
      </c>
      <c r="X131" s="31"/>
      <c r="Y131" s="31"/>
      <c r="Z131" s="31"/>
      <c r="AA131" s="31" t="s">
        <v>2777</v>
      </c>
      <c r="AB131" s="31" t="s">
        <v>100</v>
      </c>
      <c r="AC131" s="31" t="s">
        <v>2777</v>
      </c>
      <c r="AD131" s="31" t="s">
        <v>100</v>
      </c>
      <c r="AE131" s="31" t="s">
        <v>5284</v>
      </c>
      <c r="AF131" s="31" t="s">
        <v>99</v>
      </c>
      <c r="AG131" s="31" t="s">
        <v>99</v>
      </c>
      <c r="AH131" s="31" t="s">
        <v>99</v>
      </c>
      <c r="AI131" s="31" t="s">
        <v>343</v>
      </c>
      <c r="AJ131" s="31"/>
      <c r="AK131" s="31" t="s">
        <v>99</v>
      </c>
      <c r="AL131" s="31">
        <v>68.7</v>
      </c>
      <c r="AM131" s="31">
        <v>170</v>
      </c>
      <c r="AN131" s="31">
        <v>86</v>
      </c>
      <c r="AO131" s="31">
        <v>98</v>
      </c>
      <c r="AP131" s="31">
        <v>21.3</v>
      </c>
      <c r="AQ131" s="31">
        <v>7</v>
      </c>
      <c r="AR131" s="31">
        <v>38.299999999999997</v>
      </c>
      <c r="AS131" s="31">
        <v>34</v>
      </c>
      <c r="AT131" s="31">
        <v>23.8</v>
      </c>
      <c r="AU131" s="31">
        <v>89</v>
      </c>
      <c r="AV131" s="31">
        <v>62</v>
      </c>
      <c r="AW131" s="31"/>
      <c r="AX131" s="31" t="s">
        <v>1128</v>
      </c>
      <c r="AY131" s="31" t="s">
        <v>3216</v>
      </c>
      <c r="AZ131" s="31" t="s">
        <v>2680</v>
      </c>
      <c r="BA131" s="31"/>
      <c r="BB131" s="31" t="s">
        <v>346</v>
      </c>
      <c r="BC131" s="31" t="s">
        <v>5285</v>
      </c>
      <c r="BD131" s="31" t="s">
        <v>2735</v>
      </c>
      <c r="BE131" s="31"/>
      <c r="BF131" s="31" t="s">
        <v>176</v>
      </c>
      <c r="BG131" s="31" t="s">
        <v>1643</v>
      </c>
      <c r="BH131" s="31" t="s">
        <v>4984</v>
      </c>
      <c r="BI131" s="31" t="s">
        <v>682</v>
      </c>
      <c r="BJ131" s="31" t="s">
        <v>682</v>
      </c>
      <c r="BK131" s="31" t="s">
        <v>213</v>
      </c>
      <c r="BL131" s="31"/>
      <c r="BM131" s="31"/>
      <c r="BN131" s="31" t="s">
        <v>5286</v>
      </c>
      <c r="BO131" s="31" t="s">
        <v>219</v>
      </c>
      <c r="BP131" s="31" t="s">
        <v>179</v>
      </c>
      <c r="BQ131" s="31"/>
      <c r="BR131" s="31"/>
      <c r="BS131" s="31"/>
      <c r="BT131" s="31"/>
      <c r="BU131" s="31"/>
      <c r="BV131" s="31"/>
      <c r="BW131" s="31"/>
      <c r="BX131" s="31"/>
      <c r="BY131" s="31"/>
      <c r="BZ131" s="31" t="s">
        <v>183</v>
      </c>
      <c r="CA131" s="31" t="s">
        <v>709</v>
      </c>
      <c r="CB131" s="31" t="s">
        <v>822</v>
      </c>
      <c r="CC131" s="31"/>
      <c r="CD131" s="31"/>
      <c r="CE131" s="31"/>
      <c r="CF131" s="31"/>
      <c r="CG131" s="31"/>
      <c r="CH131" s="31" t="s">
        <v>5287</v>
      </c>
      <c r="CI131" s="31" t="s">
        <v>1137</v>
      </c>
      <c r="CJ131" s="31"/>
      <c r="CK131" s="31"/>
      <c r="CL131" s="31" t="s">
        <v>5288</v>
      </c>
      <c r="CM131" s="31" t="s">
        <v>1138</v>
      </c>
      <c r="CN131" s="31" t="s">
        <v>5289</v>
      </c>
      <c r="CO131" s="31"/>
      <c r="CP131" s="31" t="s">
        <v>362</v>
      </c>
      <c r="CQ131" s="31" t="s">
        <v>716</v>
      </c>
      <c r="CR131" s="31" t="s">
        <v>361</v>
      </c>
      <c r="CS131" s="31"/>
      <c r="CT131" s="31" t="s">
        <v>5290</v>
      </c>
      <c r="CU131" s="31" t="s">
        <v>5291</v>
      </c>
      <c r="CV131" s="31" t="s">
        <v>5292</v>
      </c>
      <c r="CW131" s="31">
        <v>3</v>
      </c>
      <c r="CX131" s="31" t="s">
        <v>99</v>
      </c>
      <c r="CY131" s="31" t="s">
        <v>110</v>
      </c>
      <c r="CZ131" s="31">
        <v>20</v>
      </c>
      <c r="DA131" s="31">
        <v>30</v>
      </c>
      <c r="DB131" s="31">
        <v>50</v>
      </c>
      <c r="DC131" s="74">
        <v>184.9</v>
      </c>
      <c r="DD131" s="31">
        <v>1.05</v>
      </c>
      <c r="DE131" s="31">
        <v>322</v>
      </c>
      <c r="DF131" s="74">
        <v>980</v>
      </c>
      <c r="DG131" s="9">
        <f t="shared" ref="DG131:DG194" si="2">LN(DF131*DC131)/2</f>
        <v>6.0536838550288481</v>
      </c>
      <c r="DH131" s="31"/>
      <c r="DI131" s="74">
        <v>23.28</v>
      </c>
      <c r="DJ131" s="31"/>
      <c r="DK131" s="31"/>
      <c r="DL131" s="48">
        <v>39</v>
      </c>
      <c r="DM131" s="31"/>
      <c r="DN131" s="31"/>
      <c r="DO131" s="31"/>
      <c r="DP131" s="31">
        <v>2</v>
      </c>
      <c r="DQ131" s="31"/>
      <c r="DR131" s="31">
        <v>1</v>
      </c>
      <c r="DS131" s="31"/>
      <c r="DT131" s="31"/>
      <c r="DU131" s="31">
        <v>5</v>
      </c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</row>
    <row r="132" spans="1:156" x14ac:dyDescent="0.2">
      <c r="A132" s="16">
        <v>456</v>
      </c>
      <c r="B132" s="38">
        <v>42942</v>
      </c>
      <c r="C132" s="9" t="s">
        <v>196</v>
      </c>
      <c r="D132" s="9">
        <v>66</v>
      </c>
      <c r="E132" s="9" t="s">
        <v>1123</v>
      </c>
      <c r="F132" s="17">
        <v>18611</v>
      </c>
      <c r="G132" s="9" t="s">
        <v>197</v>
      </c>
      <c r="H132" s="9" t="s">
        <v>3794</v>
      </c>
      <c r="I132" s="9">
        <v>11</v>
      </c>
      <c r="J132" s="9">
        <v>40</v>
      </c>
      <c r="K132" s="9">
        <v>36</v>
      </c>
      <c r="L132" s="9">
        <v>4</v>
      </c>
      <c r="M132" s="9" t="s">
        <v>5345</v>
      </c>
      <c r="N132" s="9" t="s">
        <v>99</v>
      </c>
      <c r="O132" s="9" t="s">
        <v>5346</v>
      </c>
      <c r="P132" s="9" t="s">
        <v>5347</v>
      </c>
      <c r="Q132" s="9" t="s">
        <v>110</v>
      </c>
      <c r="R132" s="9" t="s">
        <v>110</v>
      </c>
      <c r="S132" s="9" t="s">
        <v>99</v>
      </c>
      <c r="T132" s="9" t="s">
        <v>110</v>
      </c>
      <c r="U132" s="9" t="s">
        <v>5348</v>
      </c>
      <c r="V132" s="9" t="s">
        <v>3194</v>
      </c>
      <c r="W132" s="14" t="s">
        <v>5349</v>
      </c>
      <c r="X132" s="9" t="s">
        <v>99</v>
      </c>
      <c r="Y132" s="9" t="s">
        <v>5350</v>
      </c>
      <c r="Z132" s="9" t="s">
        <v>1903</v>
      </c>
      <c r="AA132" s="9" t="s">
        <v>1123</v>
      </c>
      <c r="AB132" s="9" t="s">
        <v>1123</v>
      </c>
      <c r="AC132" s="9" t="s">
        <v>1123</v>
      </c>
      <c r="AD132" s="9" t="s">
        <v>1123</v>
      </c>
      <c r="AE132" s="9" t="s">
        <v>5351</v>
      </c>
      <c r="AF132" s="9" t="s">
        <v>5352</v>
      </c>
      <c r="AG132" s="9" t="s">
        <v>5353</v>
      </c>
      <c r="AH132" s="9" t="s">
        <v>570</v>
      </c>
      <c r="AI132" s="9" t="s">
        <v>5354</v>
      </c>
      <c r="AL132" s="9">
        <v>73.8</v>
      </c>
      <c r="AM132" s="9">
        <v>156</v>
      </c>
      <c r="AN132" s="9">
        <v>106</v>
      </c>
      <c r="AO132" s="9">
        <v>100</v>
      </c>
      <c r="AP132" s="9">
        <v>47.3</v>
      </c>
      <c r="AQ132" s="9">
        <v>12</v>
      </c>
      <c r="AR132" s="9">
        <v>21.4</v>
      </c>
      <c r="AS132" s="9">
        <v>72</v>
      </c>
      <c r="AT132" s="9">
        <v>30</v>
      </c>
      <c r="DC132" s="10">
        <v>119.3</v>
      </c>
      <c r="DD132" s="9">
        <v>0.77</v>
      </c>
      <c r="DE132" s="10">
        <v>243</v>
      </c>
      <c r="DF132" s="10">
        <v>203</v>
      </c>
      <c r="DG132" s="9">
        <f t="shared" si="2"/>
        <v>5.047423654072829</v>
      </c>
      <c r="DH132" s="9">
        <v>40.6</v>
      </c>
      <c r="DI132" s="10">
        <v>7.79</v>
      </c>
      <c r="DP132" s="11">
        <v>2</v>
      </c>
      <c r="DQ132" s="6" t="s">
        <v>111</v>
      </c>
      <c r="DR132" s="9">
        <v>2</v>
      </c>
    </row>
    <row r="133" spans="1:156" x14ac:dyDescent="0.2">
      <c r="A133" s="16">
        <v>470</v>
      </c>
      <c r="B133" s="38">
        <v>42943</v>
      </c>
      <c r="C133" s="9" t="s">
        <v>196</v>
      </c>
      <c r="D133" s="9">
        <v>69</v>
      </c>
      <c r="E133" s="14" t="s">
        <v>2267</v>
      </c>
      <c r="F133" s="17">
        <v>17387</v>
      </c>
      <c r="G133" s="9" t="s">
        <v>234</v>
      </c>
      <c r="H133" s="9" t="s">
        <v>5396</v>
      </c>
      <c r="J133" s="9">
        <v>20</v>
      </c>
      <c r="K133" s="9">
        <v>40</v>
      </c>
      <c r="L133" s="9">
        <v>3</v>
      </c>
      <c r="M133" s="9" t="s">
        <v>5397</v>
      </c>
      <c r="N133" s="9" t="s">
        <v>5398</v>
      </c>
      <c r="P133" s="9" t="s">
        <v>99</v>
      </c>
      <c r="Q133" s="9" t="s">
        <v>99</v>
      </c>
      <c r="V133" s="9" t="s">
        <v>5399</v>
      </c>
      <c r="Y133" s="9" t="s">
        <v>5400</v>
      </c>
      <c r="AE133" s="9" t="s">
        <v>110</v>
      </c>
      <c r="AL133" s="9">
        <v>81.5</v>
      </c>
      <c r="AM133" s="9">
        <v>152</v>
      </c>
      <c r="AN133" s="9">
        <v>123</v>
      </c>
      <c r="AO133" s="9">
        <v>120</v>
      </c>
      <c r="AU133" s="9">
        <v>143</v>
      </c>
      <c r="AV133" s="9">
        <v>94</v>
      </c>
      <c r="AX133" s="9">
        <v>0</v>
      </c>
      <c r="BB133" s="9" t="s">
        <v>176</v>
      </c>
      <c r="BF133" s="9" t="s">
        <v>176</v>
      </c>
      <c r="BN133" s="9" t="s">
        <v>176</v>
      </c>
      <c r="BV133" s="9" t="s">
        <v>177</v>
      </c>
      <c r="BZ133" s="9" t="s">
        <v>350</v>
      </c>
      <c r="CL133" s="9" t="s">
        <v>5401</v>
      </c>
      <c r="CP133" s="9" t="s">
        <v>350</v>
      </c>
      <c r="DC133" s="9">
        <v>95.6</v>
      </c>
      <c r="DD133" s="9">
        <v>0.69</v>
      </c>
      <c r="DE133" s="10">
        <v>236</v>
      </c>
      <c r="DF133" s="10">
        <v>405</v>
      </c>
      <c r="DG133" s="9">
        <f t="shared" si="2"/>
        <v>5.2820299435819473</v>
      </c>
      <c r="DH133" s="9">
        <v>81</v>
      </c>
      <c r="DI133" s="9">
        <v>5.16</v>
      </c>
      <c r="DP133" s="11">
        <v>2</v>
      </c>
      <c r="DQ133" s="9" t="s">
        <v>111</v>
      </c>
      <c r="DR133" s="9">
        <v>2</v>
      </c>
      <c r="DT133" s="9">
        <v>5</v>
      </c>
      <c r="DU133" s="9">
        <v>4.7</v>
      </c>
    </row>
    <row r="134" spans="1:156" customFormat="1" x14ac:dyDescent="0.2">
      <c r="A134" s="135" t="s">
        <v>5403</v>
      </c>
      <c r="B134" s="69">
        <v>43802</v>
      </c>
      <c r="C134" s="136" t="s">
        <v>675</v>
      </c>
      <c r="D134" s="136">
        <v>40</v>
      </c>
      <c r="E134" s="136" t="s">
        <v>100</v>
      </c>
      <c r="F134" s="69">
        <v>29108</v>
      </c>
      <c r="G134" s="136" t="s">
        <v>5301</v>
      </c>
      <c r="H134" s="136" t="s">
        <v>5404</v>
      </c>
      <c r="I134" s="136" t="s">
        <v>500</v>
      </c>
      <c r="J134" s="136" t="s">
        <v>500</v>
      </c>
      <c r="K134" s="137" t="s">
        <v>500</v>
      </c>
      <c r="L134" s="138" t="s">
        <v>500</v>
      </c>
      <c r="M134" s="136" t="s">
        <v>99</v>
      </c>
      <c r="N134" s="136" t="s">
        <v>99</v>
      </c>
      <c r="O134" s="136" t="s">
        <v>99</v>
      </c>
      <c r="P134" s="136" t="s">
        <v>5405</v>
      </c>
      <c r="Q134" s="136" t="s">
        <v>1571</v>
      </c>
      <c r="R134" s="136" t="s">
        <v>5406</v>
      </c>
      <c r="S134" s="136" t="s">
        <v>99</v>
      </c>
      <c r="T134" s="136" t="s">
        <v>99</v>
      </c>
      <c r="U134" s="136" t="s">
        <v>5407</v>
      </c>
      <c r="V134" s="136" t="s">
        <v>99</v>
      </c>
      <c r="W134" s="136" t="s">
        <v>99</v>
      </c>
      <c r="X134" s="136" t="s">
        <v>99</v>
      </c>
      <c r="Y134" s="136" t="s">
        <v>5408</v>
      </c>
      <c r="Z134" s="136" t="s">
        <v>99</v>
      </c>
      <c r="AA134" s="136" t="s">
        <v>100</v>
      </c>
      <c r="AB134" s="136" t="s">
        <v>100</v>
      </c>
      <c r="AC134" s="136" t="s">
        <v>5409</v>
      </c>
      <c r="AD134" s="136" t="s">
        <v>5409</v>
      </c>
      <c r="AE134" s="136" t="s">
        <v>1127</v>
      </c>
      <c r="AF134" s="136" t="s">
        <v>99</v>
      </c>
      <c r="AG134" s="136" t="s">
        <v>99</v>
      </c>
      <c r="AH134" s="137" t="s">
        <v>99</v>
      </c>
      <c r="AI134" s="136" t="s">
        <v>99</v>
      </c>
      <c r="AJ134" s="53" t="s">
        <v>99</v>
      </c>
      <c r="AK134" s="53" t="s">
        <v>99</v>
      </c>
      <c r="AL134" s="61">
        <v>83.2</v>
      </c>
      <c r="AM134" s="53">
        <v>172</v>
      </c>
      <c r="AN134" s="139">
        <v>97</v>
      </c>
      <c r="AO134" s="53">
        <v>106</v>
      </c>
      <c r="AP134" s="53">
        <v>27.7</v>
      </c>
      <c r="AQ134" s="53">
        <v>12</v>
      </c>
      <c r="AR134" s="53">
        <v>34.4</v>
      </c>
      <c r="AS134" s="53">
        <v>52</v>
      </c>
      <c r="AT134" s="53">
        <v>28.1</v>
      </c>
      <c r="AU134" s="53">
        <v>123</v>
      </c>
      <c r="AV134" s="53">
        <v>82</v>
      </c>
      <c r="AW134" s="53" t="s">
        <v>176</v>
      </c>
      <c r="AX134" s="53" t="s">
        <v>592</v>
      </c>
      <c r="AY134" s="53" t="s">
        <v>848</v>
      </c>
      <c r="AZ134" s="53" t="s">
        <v>573</v>
      </c>
      <c r="BA134" s="53" t="s">
        <v>351</v>
      </c>
      <c r="BB134" s="53" t="s">
        <v>750</v>
      </c>
      <c r="BC134" s="53" t="s">
        <v>5410</v>
      </c>
      <c r="BD134" s="53" t="s">
        <v>500</v>
      </c>
      <c r="BE134" s="53" t="s">
        <v>110</v>
      </c>
      <c r="BF134" s="53" t="s">
        <v>176</v>
      </c>
      <c r="BG134" s="53" t="s">
        <v>350</v>
      </c>
      <c r="BH134" s="53" t="s">
        <v>350</v>
      </c>
      <c r="BI134" s="53" t="s">
        <v>5411</v>
      </c>
      <c r="BJ134" s="53" t="s">
        <v>176</v>
      </c>
      <c r="BK134" s="53" t="s">
        <v>5412</v>
      </c>
      <c r="BL134" s="53" t="s">
        <v>110</v>
      </c>
      <c r="BM134" s="53" t="s">
        <v>350</v>
      </c>
      <c r="BN134" s="53" t="s">
        <v>179</v>
      </c>
      <c r="BO134" s="53" t="s">
        <v>180</v>
      </c>
      <c r="BP134" s="53" t="s">
        <v>219</v>
      </c>
      <c r="BQ134" s="53" t="s">
        <v>99</v>
      </c>
      <c r="BR134" s="53" t="s">
        <v>500</v>
      </c>
      <c r="BS134" s="53" t="s">
        <v>500</v>
      </c>
      <c r="BT134" s="53" t="s">
        <v>500</v>
      </c>
      <c r="BU134" s="53" t="s">
        <v>99</v>
      </c>
      <c r="BV134" s="53" t="s">
        <v>500</v>
      </c>
      <c r="BW134" s="53" t="s">
        <v>500</v>
      </c>
      <c r="BX134" s="53" t="s">
        <v>500</v>
      </c>
      <c r="BY134" s="53" t="s">
        <v>351</v>
      </c>
      <c r="BZ134" s="53" t="s">
        <v>182</v>
      </c>
      <c r="CA134" s="53" t="s">
        <v>183</v>
      </c>
      <c r="CB134" s="53" t="s">
        <v>709</v>
      </c>
      <c r="CC134" s="53" t="s">
        <v>99</v>
      </c>
      <c r="CD134" s="53" t="s">
        <v>500</v>
      </c>
      <c r="CE134" s="53" t="s">
        <v>500</v>
      </c>
      <c r="CF134" s="53" t="s">
        <v>500</v>
      </c>
      <c r="CG134" s="53" t="s">
        <v>99</v>
      </c>
      <c r="CH134" s="53" t="s">
        <v>500</v>
      </c>
      <c r="CI134" s="53" t="s">
        <v>500</v>
      </c>
      <c r="CJ134" s="53" t="s">
        <v>500</v>
      </c>
      <c r="CK134" s="53" t="s">
        <v>176</v>
      </c>
      <c r="CL134" s="53" t="s">
        <v>5413</v>
      </c>
      <c r="CM134" s="53" t="s">
        <v>1180</v>
      </c>
      <c r="CN134" s="53" t="s">
        <v>1181</v>
      </c>
      <c r="CO134" s="53" t="s">
        <v>176</v>
      </c>
      <c r="CP134" s="53" t="s">
        <v>362</v>
      </c>
      <c r="CQ134" s="53" t="s">
        <v>500</v>
      </c>
      <c r="CR134" s="53" t="s">
        <v>500</v>
      </c>
      <c r="CS134" s="53" t="s">
        <v>350</v>
      </c>
      <c r="CT134" s="53" t="s">
        <v>2615</v>
      </c>
      <c r="CU134" s="53" t="s">
        <v>5414</v>
      </c>
      <c r="CV134" s="53" t="s">
        <v>500</v>
      </c>
      <c r="CW134" s="53">
        <v>3</v>
      </c>
      <c r="CX134" s="53" t="s">
        <v>110</v>
      </c>
      <c r="CY134" s="53" t="s">
        <v>99</v>
      </c>
      <c r="CZ134" s="53" t="s">
        <v>500</v>
      </c>
      <c r="DA134" s="53" t="s">
        <v>500</v>
      </c>
      <c r="DB134" s="53" t="s">
        <v>500</v>
      </c>
      <c r="DC134" s="108">
        <v>108.9</v>
      </c>
      <c r="DD134">
        <v>0.97</v>
      </c>
      <c r="DE134" s="108">
        <v>259</v>
      </c>
      <c r="DF134" s="73">
        <v>552</v>
      </c>
      <c r="DG134" s="9">
        <f t="shared" si="2"/>
        <v>5.5019890381080048</v>
      </c>
      <c r="DH134" s="108">
        <v>110.4</v>
      </c>
      <c r="DI134" s="108">
        <v>14.97</v>
      </c>
      <c r="DL134" s="108">
        <v>37.299999999999997</v>
      </c>
      <c r="DM134" s="108">
        <v>111.3</v>
      </c>
    </row>
    <row r="135" spans="1:156" customFormat="1" x14ac:dyDescent="0.2">
      <c r="A135" s="144" t="s">
        <v>5548</v>
      </c>
      <c r="B135" s="128">
        <v>43802</v>
      </c>
      <c r="C135" s="127" t="s">
        <v>675</v>
      </c>
      <c r="D135" s="127">
        <v>42</v>
      </c>
      <c r="E135" s="127" t="s">
        <v>100</v>
      </c>
      <c r="F135" s="128">
        <v>28101</v>
      </c>
      <c r="G135" s="127" t="s">
        <v>5428</v>
      </c>
      <c r="H135" s="127" t="s">
        <v>1727</v>
      </c>
      <c r="I135" s="127" t="s">
        <v>99</v>
      </c>
      <c r="J135" s="127" t="s">
        <v>99</v>
      </c>
      <c r="K135" s="127" t="s">
        <v>99</v>
      </c>
      <c r="L135" s="127" t="s">
        <v>99</v>
      </c>
      <c r="M135" s="127" t="s">
        <v>99</v>
      </c>
      <c r="N135" s="127" t="s">
        <v>99</v>
      </c>
      <c r="O135" s="127" t="s">
        <v>5549</v>
      </c>
      <c r="P135" s="127" t="s">
        <v>99</v>
      </c>
      <c r="Q135" s="127" t="s">
        <v>99</v>
      </c>
      <c r="R135" s="127" t="s">
        <v>110</v>
      </c>
      <c r="S135" s="127" t="s">
        <v>99</v>
      </c>
      <c r="T135" s="127" t="s">
        <v>110</v>
      </c>
      <c r="U135" s="127" t="s">
        <v>99</v>
      </c>
      <c r="V135" s="127" t="s">
        <v>99</v>
      </c>
      <c r="W135" s="127" t="s">
        <v>99</v>
      </c>
      <c r="X135" s="127" t="s">
        <v>99</v>
      </c>
      <c r="Y135" s="127" t="s">
        <v>99</v>
      </c>
      <c r="Z135" s="127" t="s">
        <v>99</v>
      </c>
      <c r="AA135" s="127" t="s">
        <v>500</v>
      </c>
      <c r="AB135" s="127" t="s">
        <v>500</v>
      </c>
      <c r="AC135" s="127" t="s">
        <v>500</v>
      </c>
      <c r="AD135" s="127" t="s">
        <v>500</v>
      </c>
      <c r="AE135" s="127" t="s">
        <v>99</v>
      </c>
      <c r="AF135" s="127" t="s">
        <v>1127</v>
      </c>
      <c r="AG135" s="127" t="s">
        <v>246</v>
      </c>
      <c r="AH135" s="129" t="s">
        <v>99</v>
      </c>
      <c r="AI135" s="127" t="s">
        <v>99</v>
      </c>
      <c r="AJ135" s="9" t="s">
        <v>99</v>
      </c>
      <c r="AK135" s="9" t="s">
        <v>99</v>
      </c>
      <c r="AL135" s="9">
        <v>94.2</v>
      </c>
      <c r="AM135" s="9">
        <v>175</v>
      </c>
      <c r="AN135" s="9">
        <v>100</v>
      </c>
      <c r="AO135" s="9">
        <v>110</v>
      </c>
      <c r="AP135" s="9">
        <v>41</v>
      </c>
      <c r="AQ135" s="9">
        <v>17</v>
      </c>
      <c r="AR135" s="9">
        <v>24.1</v>
      </c>
      <c r="AS135" s="9">
        <v>75</v>
      </c>
      <c r="AT135" s="9">
        <v>30.8</v>
      </c>
      <c r="AU135" s="9">
        <v>120</v>
      </c>
      <c r="AV135" s="9">
        <v>74</v>
      </c>
      <c r="AW135" s="9" t="s">
        <v>110</v>
      </c>
      <c r="AX135" s="9" t="s">
        <v>3514</v>
      </c>
      <c r="AY135" s="9" t="s">
        <v>5550</v>
      </c>
      <c r="AZ135" s="9" t="s">
        <v>500</v>
      </c>
      <c r="BA135" s="9" t="s">
        <v>110</v>
      </c>
      <c r="BB135" s="9" t="s">
        <v>5551</v>
      </c>
      <c r="BC135" s="9" t="s">
        <v>346</v>
      </c>
      <c r="BD135" s="9" t="s">
        <v>500</v>
      </c>
      <c r="BE135" s="9" t="s">
        <v>110</v>
      </c>
      <c r="BF135" s="9" t="s">
        <v>707</v>
      </c>
      <c r="BG135" s="9" t="s">
        <v>707</v>
      </c>
      <c r="BH135" s="9" t="s">
        <v>1469</v>
      </c>
      <c r="BI135" s="9" t="s">
        <v>707</v>
      </c>
      <c r="BJ135" s="9" t="s">
        <v>5552</v>
      </c>
      <c r="BK135" s="9" t="s">
        <v>5445</v>
      </c>
      <c r="BL135" s="9" t="s">
        <v>110</v>
      </c>
      <c r="BM135" s="9" t="s">
        <v>5553</v>
      </c>
      <c r="BN135" s="9" t="s">
        <v>178</v>
      </c>
      <c r="BO135" s="9" t="s">
        <v>2573</v>
      </c>
      <c r="BP135" s="9" t="s">
        <v>125</v>
      </c>
      <c r="BQ135" s="9" t="s">
        <v>99</v>
      </c>
      <c r="BR135" s="9" t="s">
        <v>500</v>
      </c>
      <c r="BS135" s="9" t="s">
        <v>500</v>
      </c>
      <c r="BT135" s="9" t="s">
        <v>500</v>
      </c>
      <c r="BU135" s="9" t="s">
        <v>99</v>
      </c>
      <c r="BV135" s="9" t="s">
        <v>500</v>
      </c>
      <c r="BW135" s="9" t="s">
        <v>500</v>
      </c>
      <c r="BX135" s="9" t="s">
        <v>500</v>
      </c>
      <c r="BY135" s="9" t="s">
        <v>350</v>
      </c>
      <c r="BZ135" s="9" t="s">
        <v>5554</v>
      </c>
      <c r="CA135" s="9" t="s">
        <v>5555</v>
      </c>
      <c r="CB135" s="9" t="s">
        <v>5556</v>
      </c>
      <c r="CC135" s="9" t="s">
        <v>99</v>
      </c>
      <c r="CD135" s="9" t="s">
        <v>500</v>
      </c>
      <c r="CE135" s="9" t="s">
        <v>500</v>
      </c>
      <c r="CF135" s="9" t="s">
        <v>500</v>
      </c>
      <c r="CG135" s="9" t="s">
        <v>99</v>
      </c>
      <c r="CH135" s="9" t="s">
        <v>500</v>
      </c>
      <c r="CI135" s="9" t="s">
        <v>500</v>
      </c>
      <c r="CJ135" s="9" t="s">
        <v>500</v>
      </c>
      <c r="CK135" s="9" t="s">
        <v>176</v>
      </c>
      <c r="CL135" s="9" t="s">
        <v>579</v>
      </c>
      <c r="CM135" s="9" t="s">
        <v>5557</v>
      </c>
      <c r="CN135" s="9" t="s">
        <v>5558</v>
      </c>
      <c r="CO135" s="9" t="s">
        <v>99</v>
      </c>
      <c r="CP135" s="9" t="s">
        <v>500</v>
      </c>
      <c r="CQ135" s="9" t="s">
        <v>500</v>
      </c>
      <c r="CR135" s="9" t="s">
        <v>500</v>
      </c>
      <c r="CS135" s="9" t="s">
        <v>110</v>
      </c>
      <c r="CT135" s="9" t="s">
        <v>5559</v>
      </c>
      <c r="CU135" s="9" t="s">
        <v>5560</v>
      </c>
      <c r="CV135" s="9" t="s">
        <v>500</v>
      </c>
      <c r="CW135" s="9">
        <v>3</v>
      </c>
      <c r="CX135" s="9" t="s">
        <v>110</v>
      </c>
      <c r="CY135" s="9" t="s">
        <v>110</v>
      </c>
      <c r="CZ135" s="9">
        <v>10</v>
      </c>
      <c r="DA135" s="9">
        <v>70</v>
      </c>
      <c r="DB135" s="9">
        <v>20</v>
      </c>
      <c r="DC135" s="10">
        <v>112.8</v>
      </c>
      <c r="DD135" s="9">
        <v>0.91</v>
      </c>
      <c r="DE135" s="10">
        <v>209</v>
      </c>
      <c r="DF135" s="10">
        <v>385</v>
      </c>
      <c r="DG135" s="9">
        <f t="shared" si="2"/>
        <v>5.3394298366758717</v>
      </c>
      <c r="DH135" s="9">
        <v>77</v>
      </c>
      <c r="DI135" s="10">
        <v>8.49</v>
      </c>
      <c r="DJ135" s="9"/>
      <c r="DK135" s="9"/>
      <c r="DL135" s="10">
        <v>36.6</v>
      </c>
      <c r="DM135" s="9">
        <v>95.4</v>
      </c>
      <c r="DN135" s="9"/>
      <c r="DO135" s="9"/>
      <c r="DU135">
        <v>4.7</v>
      </c>
    </row>
    <row r="136" spans="1:156" customFormat="1" x14ac:dyDescent="0.2">
      <c r="A136" s="14" t="s">
        <v>5561</v>
      </c>
      <c r="B136" s="8">
        <v>43801</v>
      </c>
      <c r="C136" s="9" t="s">
        <v>675</v>
      </c>
      <c r="D136" s="9">
        <v>50</v>
      </c>
      <c r="E136" s="9" t="s">
        <v>5481</v>
      </c>
      <c r="F136" s="8">
        <v>25219</v>
      </c>
      <c r="G136" s="9" t="s">
        <v>5562</v>
      </c>
      <c r="H136" s="9"/>
      <c r="I136" s="9"/>
      <c r="J136" s="9"/>
      <c r="K136" s="9"/>
      <c r="L136" s="9"/>
      <c r="M136" s="9" t="s">
        <v>5563</v>
      </c>
      <c r="N136" s="9" t="s">
        <v>5564</v>
      </c>
      <c r="O136" s="9" t="s">
        <v>5565</v>
      </c>
      <c r="P136" s="9" t="s">
        <v>99</v>
      </c>
      <c r="Q136" s="9" t="s">
        <v>5566</v>
      </c>
      <c r="R136" s="9"/>
      <c r="S136" s="9" t="s">
        <v>5490</v>
      </c>
      <c r="T136" s="9" t="s">
        <v>5490</v>
      </c>
      <c r="U136" s="9" t="s">
        <v>99</v>
      </c>
      <c r="V136" s="9"/>
      <c r="W136" s="9" t="s">
        <v>5567</v>
      </c>
      <c r="X136" s="9"/>
      <c r="Y136" s="9"/>
      <c r="Z136" s="9"/>
      <c r="AA136" s="9" t="s">
        <v>5481</v>
      </c>
      <c r="AB136" s="9" t="s">
        <v>5568</v>
      </c>
      <c r="AC136" s="9" t="s">
        <v>109</v>
      </c>
      <c r="AD136" s="9" t="s">
        <v>5569</v>
      </c>
      <c r="AE136" s="9" t="s">
        <v>5570</v>
      </c>
      <c r="AF136" s="9" t="s">
        <v>5570</v>
      </c>
      <c r="AG136" s="9" t="s">
        <v>99</v>
      </c>
      <c r="AH136" s="9" t="s">
        <v>99</v>
      </c>
      <c r="AI136" s="9" t="s">
        <v>99</v>
      </c>
      <c r="AJ136" s="9" t="s">
        <v>99</v>
      </c>
      <c r="AK136" s="9" t="s">
        <v>99</v>
      </c>
      <c r="AL136" s="9">
        <v>95</v>
      </c>
      <c r="AM136" s="9">
        <v>181</v>
      </c>
      <c r="AN136" s="10">
        <v>112</v>
      </c>
      <c r="AO136" s="9">
        <v>114</v>
      </c>
      <c r="AP136" s="9">
        <v>26.2</v>
      </c>
      <c r="AQ136" s="9">
        <v>12</v>
      </c>
      <c r="AR136" s="9">
        <v>33.799999999999997</v>
      </c>
      <c r="AS136" s="9">
        <v>67</v>
      </c>
      <c r="AT136" s="9">
        <v>29.9</v>
      </c>
      <c r="AU136" s="9">
        <v>129</v>
      </c>
      <c r="AV136" s="9">
        <v>89</v>
      </c>
      <c r="AW136" s="9"/>
      <c r="AX136" s="9" t="s">
        <v>5571</v>
      </c>
      <c r="AY136" s="9" t="s">
        <v>5572</v>
      </c>
      <c r="AZ136" s="9" t="s">
        <v>5573</v>
      </c>
      <c r="BA136" s="9"/>
      <c r="BB136" s="9" t="s">
        <v>5574</v>
      </c>
      <c r="BC136" s="9" t="s">
        <v>5575</v>
      </c>
      <c r="BD136" s="9" t="s">
        <v>749</v>
      </c>
      <c r="BE136" s="9"/>
      <c r="BF136" s="9" t="s">
        <v>5576</v>
      </c>
      <c r="BG136" s="9" t="s">
        <v>176</v>
      </c>
      <c r="BH136" s="9" t="s">
        <v>350</v>
      </c>
      <c r="BI136" s="9" t="s">
        <v>176</v>
      </c>
      <c r="BJ136" s="9" t="s">
        <v>350</v>
      </c>
      <c r="BK136" s="9" t="s">
        <v>5412</v>
      </c>
      <c r="BL136" s="9"/>
      <c r="BM136" s="9"/>
      <c r="BN136" s="9" t="s">
        <v>5577</v>
      </c>
      <c r="BO136" s="9" t="s">
        <v>352</v>
      </c>
      <c r="BP136" s="9" t="s">
        <v>5578</v>
      </c>
      <c r="BQ136" s="9"/>
      <c r="BR136" s="9"/>
      <c r="BS136" s="9"/>
      <c r="BT136" s="9"/>
      <c r="BU136" s="9"/>
      <c r="BV136" s="9" t="s">
        <v>857</v>
      </c>
      <c r="BW136" s="9" t="s">
        <v>1664</v>
      </c>
      <c r="BX136" s="9"/>
      <c r="BY136" s="9" t="s">
        <v>351</v>
      </c>
      <c r="BZ136" s="9" t="s">
        <v>183</v>
      </c>
      <c r="CA136" s="9" t="s">
        <v>182</v>
      </c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 t="s">
        <v>5579</v>
      </c>
      <c r="CM136" s="9" t="s">
        <v>579</v>
      </c>
      <c r="CN136" s="9"/>
      <c r="CO136" s="9"/>
      <c r="CP136" s="9" t="s">
        <v>362</v>
      </c>
      <c r="CQ136" s="9" t="s">
        <v>716</v>
      </c>
      <c r="CR136" s="9" t="s">
        <v>361</v>
      </c>
      <c r="CS136" s="9"/>
      <c r="CT136" s="9" t="s">
        <v>2617</v>
      </c>
      <c r="CU136" s="9"/>
      <c r="CV136" s="9"/>
      <c r="CW136" s="9">
        <v>3</v>
      </c>
      <c r="CX136" s="9" t="s">
        <v>5490</v>
      </c>
      <c r="CY136" s="9" t="s">
        <v>5490</v>
      </c>
      <c r="CZ136" s="9">
        <v>30</v>
      </c>
      <c r="DA136" s="9">
        <v>30</v>
      </c>
      <c r="DB136" s="9">
        <v>40</v>
      </c>
      <c r="DC136" s="10">
        <v>121.5</v>
      </c>
      <c r="DD136" s="9">
        <v>0.68</v>
      </c>
      <c r="DE136" s="10">
        <v>241</v>
      </c>
      <c r="DF136" s="10">
        <v>384</v>
      </c>
      <c r="DG136" s="9">
        <f t="shared" si="2"/>
        <v>5.3752784076841653</v>
      </c>
      <c r="DH136" s="9">
        <v>76.8</v>
      </c>
      <c r="DI136" s="10">
        <v>16.329999999999998</v>
      </c>
      <c r="DJ136" s="9"/>
      <c r="DK136" s="9"/>
      <c r="DL136" s="9">
        <v>41</v>
      </c>
      <c r="DM136" s="9">
        <v>123.2</v>
      </c>
      <c r="DN136" s="9"/>
      <c r="DO136" s="9"/>
      <c r="DP136" s="53">
        <v>3</v>
      </c>
      <c r="DR136">
        <v>2</v>
      </c>
    </row>
    <row r="137" spans="1:156" x14ac:dyDescent="0.2">
      <c r="A137" s="74" t="s">
        <v>5726</v>
      </c>
      <c r="B137" s="148">
        <v>43266</v>
      </c>
      <c r="C137" s="29" t="s">
        <v>3955</v>
      </c>
      <c r="D137" s="29">
        <v>48</v>
      </c>
      <c r="E137" s="149" t="s">
        <v>155</v>
      </c>
      <c r="F137" s="69">
        <v>25732</v>
      </c>
      <c r="G137" s="29" t="s">
        <v>5727</v>
      </c>
      <c r="H137" s="29" t="s">
        <v>1544</v>
      </c>
      <c r="I137"/>
      <c r="J137"/>
      <c r="K137"/>
      <c r="L137"/>
      <c r="M137" s="29" t="s">
        <v>483</v>
      </c>
      <c r="N137" s="29" t="s">
        <v>483</v>
      </c>
      <c r="O137" s="29" t="s">
        <v>483</v>
      </c>
      <c r="P137" s="29" t="s">
        <v>483</v>
      </c>
      <c r="Q137" s="29" t="s">
        <v>483</v>
      </c>
      <c r="R137" s="29" t="s">
        <v>588</v>
      </c>
      <c r="S137" s="29" t="s">
        <v>588</v>
      </c>
      <c r="T137" s="29" t="s">
        <v>483</v>
      </c>
      <c r="U137" s="29" t="s">
        <v>483</v>
      </c>
      <c r="V137" s="29" t="s">
        <v>483</v>
      </c>
      <c r="W137" s="29" t="s">
        <v>5728</v>
      </c>
      <c r="X137"/>
      <c r="Y137"/>
      <c r="Z137" s="29" t="s">
        <v>5729</v>
      </c>
      <c r="AA137" s="74" t="s">
        <v>150</v>
      </c>
      <c r="AB137" s="74" t="s">
        <v>5730</v>
      </c>
      <c r="AC137" s="74" t="s">
        <v>150</v>
      </c>
      <c r="AD137" s="149" t="s">
        <v>1338</v>
      </c>
      <c r="AE137" s="29" t="s">
        <v>406</v>
      </c>
      <c r="AF137" s="29" t="s">
        <v>406</v>
      </c>
      <c r="AG137" s="29" t="s">
        <v>483</v>
      </c>
      <c r="AH137" s="29" t="s">
        <v>483</v>
      </c>
      <c r="AI137" s="29" t="s">
        <v>483</v>
      </c>
      <c r="AJ137" s="29" t="s">
        <v>483</v>
      </c>
      <c r="AK137" s="29" t="s">
        <v>483</v>
      </c>
      <c r="AL137" s="29">
        <v>109.9</v>
      </c>
      <c r="AM137" s="29">
        <v>1.65</v>
      </c>
      <c r="AN137" s="29">
        <v>115</v>
      </c>
      <c r="AO137" s="29">
        <v>117</v>
      </c>
      <c r="AP137" s="29">
        <v>28</v>
      </c>
      <c r="AQ137" s="29">
        <v>20</v>
      </c>
      <c r="AR137" s="29">
        <v>33.4</v>
      </c>
      <c r="AS137" s="29">
        <v>75</v>
      </c>
      <c r="AT137" s="74">
        <v>40.4</v>
      </c>
      <c r="AU137" s="74">
        <v>195</v>
      </c>
      <c r="AV137" s="74">
        <v>141</v>
      </c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 s="48">
        <v>101.8</v>
      </c>
      <c r="DD137" s="29">
        <v>1.1399999999999999</v>
      </c>
      <c r="DE137" s="29">
        <v>172</v>
      </c>
      <c r="DF137" s="29">
        <v>103</v>
      </c>
      <c r="DG137" s="9">
        <f t="shared" si="2"/>
        <v>4.6288695461730294</v>
      </c>
      <c r="DH137" s="29">
        <v>20.6</v>
      </c>
      <c r="DI137" s="48">
        <v>8.86</v>
      </c>
      <c r="DJ137" s="29">
        <v>19.3</v>
      </c>
      <c r="DK137" s="29">
        <v>26.3</v>
      </c>
      <c r="DL137"/>
      <c r="DM137"/>
      <c r="DN137"/>
      <c r="DO137"/>
      <c r="DP137">
        <v>2</v>
      </c>
      <c r="DQ137" s="29">
        <v>2</v>
      </c>
      <c r="DR137" s="53">
        <v>2</v>
      </c>
      <c r="DS137"/>
      <c r="DT137"/>
      <c r="DU137">
        <v>6</v>
      </c>
    </row>
    <row r="138" spans="1:156" x14ac:dyDescent="0.2">
      <c r="A138" s="14">
        <v>526</v>
      </c>
      <c r="B138" s="8">
        <v>43221</v>
      </c>
      <c r="C138" s="9" t="s">
        <v>3645</v>
      </c>
      <c r="D138" s="9">
        <v>35</v>
      </c>
      <c r="E138" s="9" t="s">
        <v>313</v>
      </c>
      <c r="F138" s="17">
        <v>30386</v>
      </c>
      <c r="G138" s="9" t="s">
        <v>5731</v>
      </c>
      <c r="H138" s="9" t="s">
        <v>5732</v>
      </c>
      <c r="I138" s="9" t="s">
        <v>1610</v>
      </c>
      <c r="K138" s="9" t="s">
        <v>5733</v>
      </c>
      <c r="L138" s="9">
        <v>3</v>
      </c>
      <c r="M138" s="9" t="s">
        <v>263</v>
      </c>
      <c r="N138" s="9" t="s">
        <v>263</v>
      </c>
      <c r="O138" s="9" t="s">
        <v>263</v>
      </c>
      <c r="P138" s="9" t="s">
        <v>263</v>
      </c>
      <c r="Q138" s="9" t="s">
        <v>263</v>
      </c>
      <c r="R138" s="9" t="s">
        <v>588</v>
      </c>
      <c r="S138" s="9" t="s">
        <v>263</v>
      </c>
      <c r="T138" s="9" t="s">
        <v>368</v>
      </c>
      <c r="U138" s="10" t="s">
        <v>5734</v>
      </c>
      <c r="V138" s="9" t="s">
        <v>588</v>
      </c>
      <c r="W138" s="9" t="s">
        <v>263</v>
      </c>
      <c r="X138" s="9" t="s">
        <v>263</v>
      </c>
      <c r="Y138" s="9" t="s">
        <v>483</v>
      </c>
      <c r="Z138" s="9" t="s">
        <v>483</v>
      </c>
      <c r="AA138" s="50" t="s">
        <v>150</v>
      </c>
      <c r="AB138" s="9" t="s">
        <v>313</v>
      </c>
      <c r="AC138" s="50" t="s">
        <v>461</v>
      </c>
      <c r="AD138" s="9" t="s">
        <v>313</v>
      </c>
      <c r="AE138" s="10" t="s">
        <v>5685</v>
      </c>
      <c r="AF138" s="10" t="s">
        <v>5685</v>
      </c>
      <c r="AG138" s="10" t="s">
        <v>5735</v>
      </c>
      <c r="AH138" s="10" t="s">
        <v>5736</v>
      </c>
      <c r="AI138" s="10" t="s">
        <v>5737</v>
      </c>
      <c r="AJ138" s="9" t="s">
        <v>263</v>
      </c>
      <c r="AK138" s="9" t="s">
        <v>263</v>
      </c>
      <c r="AL138" s="9">
        <v>74.3</v>
      </c>
      <c r="AM138" s="9">
        <v>1.59</v>
      </c>
      <c r="AP138" s="9">
        <v>43.2</v>
      </c>
      <c r="AQ138" s="9">
        <v>8</v>
      </c>
      <c r="AR138" s="9">
        <v>24.8</v>
      </c>
      <c r="AS138" s="9">
        <v>53</v>
      </c>
      <c r="AT138" s="9">
        <v>29.3</v>
      </c>
      <c r="AU138" s="9">
        <v>115</v>
      </c>
      <c r="AV138" s="9">
        <v>82</v>
      </c>
      <c r="AX138" s="9" t="s">
        <v>1107</v>
      </c>
      <c r="AY138" s="9" t="s">
        <v>5738</v>
      </c>
      <c r="AZ138" s="9" t="s">
        <v>389</v>
      </c>
      <c r="BB138" s="9" t="s">
        <v>409</v>
      </c>
      <c r="BC138" s="9" t="s">
        <v>4481</v>
      </c>
      <c r="BF138" s="9" t="s">
        <v>375</v>
      </c>
      <c r="BG138" s="9" t="s">
        <v>322</v>
      </c>
      <c r="BH138" s="9" t="s">
        <v>322</v>
      </c>
      <c r="BI138" s="9" t="s">
        <v>322</v>
      </c>
      <c r="BJ138" s="9" t="s">
        <v>322</v>
      </c>
      <c r="BK138" s="9" t="s">
        <v>276</v>
      </c>
      <c r="BN138" s="9" t="s">
        <v>411</v>
      </c>
      <c r="BO138" s="9" t="s">
        <v>5739</v>
      </c>
      <c r="BP138" s="9" t="s">
        <v>410</v>
      </c>
      <c r="BQ138" s="9" t="s">
        <v>263</v>
      </c>
      <c r="BU138" s="9" t="s">
        <v>263</v>
      </c>
      <c r="BZ138" s="9" t="s">
        <v>330</v>
      </c>
      <c r="CA138" s="9" t="s">
        <v>5740</v>
      </c>
      <c r="CB138" s="9" t="s">
        <v>3642</v>
      </c>
      <c r="CC138" s="9" t="s">
        <v>263</v>
      </c>
      <c r="CG138" s="9" t="s">
        <v>263</v>
      </c>
      <c r="CL138" s="9" t="s">
        <v>450</v>
      </c>
      <c r="CM138" s="9" t="s">
        <v>434</v>
      </c>
      <c r="CN138" s="9" t="s">
        <v>5741</v>
      </c>
      <c r="CP138" s="9" t="s">
        <v>384</v>
      </c>
      <c r="CQ138" s="9" t="s">
        <v>791</v>
      </c>
      <c r="CR138" s="9" t="s">
        <v>5742</v>
      </c>
      <c r="CT138" s="9" t="s">
        <v>539</v>
      </c>
      <c r="CU138" s="9" t="s">
        <v>453</v>
      </c>
      <c r="CV138" s="9" t="s">
        <v>950</v>
      </c>
      <c r="CW138" s="9" t="s">
        <v>5743</v>
      </c>
      <c r="CX138" s="9" t="s">
        <v>263</v>
      </c>
      <c r="CY138" s="9" t="s">
        <v>5744</v>
      </c>
      <c r="CZ138" s="9">
        <v>10</v>
      </c>
      <c r="DA138" s="9">
        <v>10</v>
      </c>
      <c r="DB138" s="9">
        <v>40</v>
      </c>
      <c r="DC138" s="14">
        <v>317</v>
      </c>
      <c r="DD138" s="9">
        <v>0.59</v>
      </c>
      <c r="DE138" s="10">
        <v>224</v>
      </c>
      <c r="DF138" s="10">
        <v>239</v>
      </c>
      <c r="DG138" s="9">
        <f t="shared" si="2"/>
        <v>5.6176826629043957</v>
      </c>
      <c r="DH138" s="9">
        <v>47.8</v>
      </c>
      <c r="DI138" s="9">
        <v>3.56</v>
      </c>
      <c r="DP138" s="11">
        <v>2</v>
      </c>
      <c r="DR138" s="9">
        <v>2</v>
      </c>
      <c r="DU138" s="9">
        <v>2.52</v>
      </c>
    </row>
    <row r="139" spans="1:156" x14ac:dyDescent="0.2">
      <c r="A139" s="147" t="s">
        <v>5745</v>
      </c>
      <c r="B139" s="29" t="s">
        <v>5746</v>
      </c>
      <c r="C139" s="29" t="s">
        <v>95</v>
      </c>
      <c r="D139" s="29">
        <v>49</v>
      </c>
      <c r="E139" s="29" t="s">
        <v>313</v>
      </c>
      <c r="F139" s="69">
        <v>25249</v>
      </c>
      <c r="G139" s="29" t="s">
        <v>1320</v>
      </c>
      <c r="H139" s="29" t="s">
        <v>1544</v>
      </c>
      <c r="I139"/>
      <c r="J139" s="29">
        <v>2014</v>
      </c>
      <c r="K139" s="29">
        <v>1997</v>
      </c>
      <c r="L139" s="29">
        <v>3</v>
      </c>
      <c r="M139" s="29" t="s">
        <v>588</v>
      </c>
      <c r="N139" s="29" t="s">
        <v>588</v>
      </c>
      <c r="O139"/>
      <c r="P139" s="29" t="s">
        <v>588</v>
      </c>
      <c r="Q139" s="29" t="s">
        <v>588</v>
      </c>
      <c r="R139" s="29" t="s">
        <v>588</v>
      </c>
      <c r="S139" s="29" t="s">
        <v>5697</v>
      </c>
      <c r="T139" s="29" t="s">
        <v>5747</v>
      </c>
      <c r="U139" s="29" t="s">
        <v>5748</v>
      </c>
      <c r="V139" s="29" t="s">
        <v>483</v>
      </c>
      <c r="W139"/>
      <c r="X139" s="29" t="s">
        <v>483</v>
      </c>
      <c r="Y139"/>
      <c r="Z139"/>
      <c r="AA139" s="29" t="s">
        <v>5749</v>
      </c>
      <c r="AB139" s="29" t="s">
        <v>5692</v>
      </c>
      <c r="AC139" s="29" t="s">
        <v>5750</v>
      </c>
      <c r="AD139" s="29" t="s">
        <v>150</v>
      </c>
      <c r="AE139" s="29" t="s">
        <v>483</v>
      </c>
      <c r="AF139" s="29" t="s">
        <v>1105</v>
      </c>
      <c r="AG139" s="29" t="s">
        <v>483</v>
      </c>
      <c r="AH139" s="29" t="s">
        <v>483</v>
      </c>
      <c r="AI139" s="29" t="s">
        <v>1105</v>
      </c>
      <c r="AJ139"/>
      <c r="AK139" s="29" t="s">
        <v>5751</v>
      </c>
      <c r="AL139" s="29">
        <v>96.8</v>
      </c>
      <c r="AM139" s="29">
        <v>1.73</v>
      </c>
      <c r="AN139" s="29">
        <v>113</v>
      </c>
      <c r="AO139" s="29">
        <v>125</v>
      </c>
      <c r="AP139" s="29">
        <v>42.9</v>
      </c>
      <c r="AQ139" s="29">
        <v>10</v>
      </c>
      <c r="AR139" s="29">
        <v>25.6</v>
      </c>
      <c r="AS139" s="29">
        <v>59</v>
      </c>
      <c r="AT139" s="29">
        <v>32.299999999999997</v>
      </c>
      <c r="AU139" s="29">
        <v>204</v>
      </c>
      <c r="AV139" s="29">
        <v>168</v>
      </c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 s="29">
        <v>90.9</v>
      </c>
      <c r="DD139" s="48">
        <v>4.0999999999999996</v>
      </c>
      <c r="DE139" s="29">
        <v>175</v>
      </c>
      <c r="DF139" s="48">
        <v>258</v>
      </c>
      <c r="DG139" s="9">
        <f t="shared" si="2"/>
        <v>5.0313597930525251</v>
      </c>
      <c r="DH139" s="29">
        <v>51.6</v>
      </c>
      <c r="DI139" s="48">
        <v>8.77</v>
      </c>
      <c r="DJ139" s="29">
        <v>12.3</v>
      </c>
      <c r="DK139" s="29">
        <v>16.7</v>
      </c>
      <c r="DL139"/>
      <c r="DM139"/>
      <c r="DN139"/>
      <c r="DO139"/>
      <c r="DP139" s="29">
        <v>2</v>
      </c>
      <c r="DQ139"/>
      <c r="DR139" s="53">
        <v>3</v>
      </c>
      <c r="DS139"/>
      <c r="DT139"/>
      <c r="DU139"/>
    </row>
    <row r="140" spans="1:156" x14ac:dyDescent="0.2">
      <c r="A140" s="150" t="s">
        <v>5806</v>
      </c>
      <c r="B140" s="151">
        <v>43265</v>
      </c>
      <c r="C140" s="28" t="s">
        <v>3955</v>
      </c>
      <c r="D140" s="28">
        <v>68</v>
      </c>
      <c r="E140" s="28" t="s">
        <v>96</v>
      </c>
      <c r="F140" s="152">
        <v>18378</v>
      </c>
      <c r="G140" s="28"/>
      <c r="H140" s="28"/>
      <c r="I140" s="28"/>
      <c r="J140" s="28"/>
      <c r="K140" s="28"/>
      <c r="L140" s="28"/>
      <c r="M140" s="28" t="s">
        <v>483</v>
      </c>
      <c r="N140" s="28" t="s">
        <v>483</v>
      </c>
      <c r="O140" s="28" t="s">
        <v>483</v>
      </c>
      <c r="P140" s="28" t="s">
        <v>483</v>
      </c>
      <c r="Q140" s="28" t="s">
        <v>588</v>
      </c>
      <c r="R140" s="28"/>
      <c r="S140" s="28"/>
      <c r="T140" s="28"/>
      <c r="U140" s="28"/>
      <c r="V140" s="28"/>
      <c r="W140" s="28"/>
      <c r="X140" s="28"/>
      <c r="Y140" s="28"/>
      <c r="Z140" s="28"/>
      <c r="AA140" s="28" t="s">
        <v>949</v>
      </c>
      <c r="AB140" s="28" t="s">
        <v>949</v>
      </c>
      <c r="AC140" s="28" t="s">
        <v>949</v>
      </c>
      <c r="AD140" s="28" t="s">
        <v>949</v>
      </c>
      <c r="AE140" s="28" t="s">
        <v>483</v>
      </c>
      <c r="AF140" s="28" t="s">
        <v>483</v>
      </c>
      <c r="AG140" s="28" t="s">
        <v>483</v>
      </c>
      <c r="AH140" s="28" t="s">
        <v>483</v>
      </c>
      <c r="AI140" s="28" t="s">
        <v>483</v>
      </c>
      <c r="AJ140" s="28" t="s">
        <v>483</v>
      </c>
      <c r="AK140" s="28" t="s">
        <v>483</v>
      </c>
      <c r="AL140" s="28">
        <v>57</v>
      </c>
      <c r="AM140" s="28">
        <v>1.58</v>
      </c>
      <c r="AN140" s="28">
        <v>86</v>
      </c>
      <c r="AO140" s="28">
        <v>90</v>
      </c>
      <c r="AP140" s="28">
        <v>20.5</v>
      </c>
      <c r="AQ140" s="28">
        <v>8</v>
      </c>
      <c r="AR140" s="28">
        <v>33.9</v>
      </c>
      <c r="AS140" s="28">
        <v>37</v>
      </c>
      <c r="AT140" s="153">
        <v>22.8</v>
      </c>
      <c r="AU140" s="28">
        <v>104</v>
      </c>
      <c r="AV140" s="28">
        <v>79</v>
      </c>
      <c r="AW140" s="28"/>
      <c r="AX140" s="28" t="s">
        <v>323</v>
      </c>
      <c r="AY140" s="28"/>
      <c r="AZ140" s="28"/>
      <c r="BA140" s="28"/>
      <c r="BB140" s="28" t="s">
        <v>635</v>
      </c>
      <c r="BC140" s="28"/>
      <c r="BD140" s="28"/>
      <c r="BE140" s="28"/>
      <c r="BF140" s="28" t="s">
        <v>635</v>
      </c>
      <c r="BG140" s="28" t="s">
        <v>323</v>
      </c>
      <c r="BH140" s="28"/>
      <c r="BI140" s="28"/>
      <c r="BJ140" s="28" t="s">
        <v>635</v>
      </c>
      <c r="BK140" s="28" t="s">
        <v>323</v>
      </c>
      <c r="BL140" s="28"/>
      <c r="BM140" s="28"/>
      <c r="BN140" s="28" t="s">
        <v>635</v>
      </c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 t="s">
        <v>635</v>
      </c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 t="s">
        <v>323</v>
      </c>
      <c r="CU140" s="28"/>
      <c r="CV140" s="28"/>
      <c r="CW140" s="28">
        <v>3</v>
      </c>
      <c r="CX140" s="28" t="s">
        <v>483</v>
      </c>
      <c r="CY140" s="28" t="s">
        <v>588</v>
      </c>
      <c r="CZ140" s="28"/>
      <c r="DA140" s="28"/>
      <c r="DB140" s="28"/>
      <c r="DC140" s="154">
        <v>140.6</v>
      </c>
      <c r="DD140" s="28">
        <v>0.76</v>
      </c>
      <c r="DE140" s="28">
        <v>147</v>
      </c>
      <c r="DF140" s="28">
        <v>128</v>
      </c>
      <c r="DG140" s="9">
        <f t="shared" si="2"/>
        <v>4.8989746216480912</v>
      </c>
      <c r="DH140" s="28">
        <v>25.6</v>
      </c>
      <c r="DI140" s="28">
        <v>1.56</v>
      </c>
      <c r="DJ140" s="28">
        <v>17</v>
      </c>
      <c r="DK140" s="28">
        <v>25.3</v>
      </c>
      <c r="DL140" s="28">
        <v>58.4</v>
      </c>
      <c r="DM140" s="28">
        <v>63</v>
      </c>
      <c r="DN140" s="28"/>
      <c r="DO140" s="28"/>
      <c r="DP140" s="28">
        <v>2</v>
      </c>
      <c r="DQ140" s="28">
        <v>2</v>
      </c>
      <c r="DR140" s="28"/>
      <c r="DS140" s="28"/>
      <c r="DT140" s="28">
        <v>12</v>
      </c>
      <c r="DU140" s="28">
        <v>4</v>
      </c>
    </row>
    <row r="141" spans="1:156" x14ac:dyDescent="0.2">
      <c r="A141" s="155" t="s">
        <v>5806</v>
      </c>
      <c r="B141" s="151">
        <v>43265</v>
      </c>
      <c r="C141" s="28" t="s">
        <v>95</v>
      </c>
      <c r="D141" s="28">
        <v>68</v>
      </c>
      <c r="E141" s="28"/>
      <c r="F141" s="152">
        <v>18119</v>
      </c>
      <c r="G141" s="28" t="s">
        <v>5807</v>
      </c>
      <c r="H141" s="28" t="s">
        <v>5808</v>
      </c>
      <c r="I141" s="28">
        <v>14</v>
      </c>
      <c r="J141" s="28">
        <v>51</v>
      </c>
      <c r="K141" s="28">
        <v>1985</v>
      </c>
      <c r="L141" s="28">
        <v>6</v>
      </c>
      <c r="M141" s="28" t="s">
        <v>483</v>
      </c>
      <c r="N141" s="28" t="s">
        <v>588</v>
      </c>
      <c r="O141" s="28" t="s">
        <v>483</v>
      </c>
      <c r="P141" s="28" t="s">
        <v>483</v>
      </c>
      <c r="Q141" s="28" t="s">
        <v>483</v>
      </c>
      <c r="R141" s="28"/>
      <c r="S141" s="28" t="s">
        <v>5809</v>
      </c>
      <c r="T141" s="28" t="s">
        <v>5810</v>
      </c>
      <c r="U141" s="28"/>
      <c r="V141" s="28"/>
      <c r="W141" s="28"/>
      <c r="X141" s="28"/>
      <c r="Y141" s="28" t="s">
        <v>5811</v>
      </c>
      <c r="Z141" s="28" t="s">
        <v>5812</v>
      </c>
      <c r="AA141" s="28" t="s">
        <v>5813</v>
      </c>
      <c r="AB141" s="28" t="s">
        <v>5813</v>
      </c>
      <c r="AC141" s="28"/>
      <c r="AD141" s="28"/>
      <c r="AE141" s="28" t="s">
        <v>483</v>
      </c>
      <c r="AF141" s="28" t="s">
        <v>588</v>
      </c>
      <c r="AG141" s="28" t="s">
        <v>483</v>
      </c>
      <c r="AH141" s="28" t="s">
        <v>483</v>
      </c>
      <c r="AI141" s="28" t="s">
        <v>483</v>
      </c>
      <c r="AJ141" s="28" t="s">
        <v>483</v>
      </c>
      <c r="AK141" s="28" t="s">
        <v>483</v>
      </c>
      <c r="AL141" s="28">
        <v>80.099999999999994</v>
      </c>
      <c r="AM141" s="28">
        <v>1.55</v>
      </c>
      <c r="AN141" s="28">
        <v>111</v>
      </c>
      <c r="AO141" s="28">
        <v>120</v>
      </c>
      <c r="AP141" s="28">
        <v>48.3</v>
      </c>
      <c r="AQ141" s="28">
        <v>14</v>
      </c>
      <c r="AR141" s="28">
        <v>22.3</v>
      </c>
      <c r="AS141" s="28">
        <v>78</v>
      </c>
      <c r="AT141" s="28">
        <v>33.299999999999997</v>
      </c>
      <c r="AU141" s="28">
        <v>116</v>
      </c>
      <c r="AV141" s="28">
        <v>88</v>
      </c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154">
        <v>141.4</v>
      </c>
      <c r="DD141" s="28">
        <v>0.67</v>
      </c>
      <c r="DE141" s="28">
        <v>167</v>
      </c>
      <c r="DF141" s="154">
        <v>206</v>
      </c>
      <c r="DG141" s="9">
        <f t="shared" si="2"/>
        <v>5.1397344611260269</v>
      </c>
      <c r="DH141" s="28">
        <v>41.2</v>
      </c>
      <c r="DI141" s="28">
        <v>4.03</v>
      </c>
      <c r="DJ141" s="28">
        <v>15</v>
      </c>
      <c r="DK141" s="28">
        <v>23.7</v>
      </c>
      <c r="DL141" s="28"/>
      <c r="DM141" s="28"/>
      <c r="DN141" s="28"/>
      <c r="DO141" s="28"/>
      <c r="DP141" s="28">
        <v>3</v>
      </c>
      <c r="DQ141" s="28"/>
      <c r="DR141" s="28"/>
      <c r="DS141" s="28"/>
      <c r="DT141" s="28"/>
      <c r="DU141" s="28"/>
    </row>
    <row r="142" spans="1:156" customFormat="1" x14ac:dyDescent="0.2">
      <c r="A142" s="144" t="s">
        <v>5855</v>
      </c>
      <c r="B142" s="128">
        <v>43803</v>
      </c>
      <c r="C142" s="127" t="s">
        <v>675</v>
      </c>
      <c r="D142" s="127">
        <v>39</v>
      </c>
      <c r="E142" s="127" t="s">
        <v>100</v>
      </c>
      <c r="F142" s="128">
        <v>29456</v>
      </c>
      <c r="G142" s="127" t="s">
        <v>5856</v>
      </c>
      <c r="H142" s="127" t="s">
        <v>5841</v>
      </c>
      <c r="I142" s="127" t="s">
        <v>500</v>
      </c>
      <c r="J142" s="127" t="s">
        <v>500</v>
      </c>
      <c r="K142" s="127" t="s">
        <v>500</v>
      </c>
      <c r="L142" s="127" t="s">
        <v>500</v>
      </c>
      <c r="M142" s="127" t="s">
        <v>99</v>
      </c>
      <c r="N142" s="127" t="s">
        <v>99</v>
      </c>
      <c r="O142" s="127" t="s">
        <v>99</v>
      </c>
      <c r="P142" s="127" t="s">
        <v>5857</v>
      </c>
      <c r="Q142" s="127" t="s">
        <v>5858</v>
      </c>
      <c r="R142" s="127" t="s">
        <v>5859</v>
      </c>
      <c r="S142" s="127" t="s">
        <v>110</v>
      </c>
      <c r="T142" s="127" t="s">
        <v>5451</v>
      </c>
      <c r="U142" s="127" t="s">
        <v>5860</v>
      </c>
      <c r="V142" s="127" t="s">
        <v>99</v>
      </c>
      <c r="W142" s="127" t="s">
        <v>99</v>
      </c>
      <c r="X142" s="127" t="s">
        <v>99</v>
      </c>
      <c r="Y142" s="127" t="s">
        <v>99</v>
      </c>
      <c r="Z142" s="127" t="s">
        <v>99</v>
      </c>
      <c r="AA142" s="127" t="s">
        <v>1123</v>
      </c>
      <c r="AB142" s="127" t="s">
        <v>100</v>
      </c>
      <c r="AC142" s="127" t="s">
        <v>1123</v>
      </c>
      <c r="AD142" s="127" t="s">
        <v>100</v>
      </c>
      <c r="AE142" s="127" t="s">
        <v>5861</v>
      </c>
      <c r="AF142" s="127" t="s">
        <v>1127</v>
      </c>
      <c r="AG142" s="127" t="s">
        <v>99</v>
      </c>
      <c r="AH142" s="129" t="s">
        <v>99</v>
      </c>
      <c r="AI142" s="127" t="s">
        <v>99</v>
      </c>
      <c r="AJ142" s="9" t="s">
        <v>99</v>
      </c>
      <c r="AK142" s="9" t="s">
        <v>99</v>
      </c>
      <c r="AL142" s="9">
        <v>92.6</v>
      </c>
      <c r="AM142" s="9">
        <v>174</v>
      </c>
      <c r="AN142" s="10">
        <v>100</v>
      </c>
      <c r="AO142" s="9">
        <v>107</v>
      </c>
      <c r="AP142" s="9">
        <v>30.8</v>
      </c>
      <c r="AQ142" s="9">
        <v>14</v>
      </c>
      <c r="AR142" s="9">
        <v>32.700000000000003</v>
      </c>
      <c r="AS142" s="9">
        <v>61</v>
      </c>
      <c r="AT142" s="9">
        <v>30.6</v>
      </c>
      <c r="AU142" s="10">
        <v>131</v>
      </c>
      <c r="AV142" s="9">
        <v>78</v>
      </c>
      <c r="AW142" s="9" t="s">
        <v>176</v>
      </c>
      <c r="AX142" s="9" t="s">
        <v>573</v>
      </c>
      <c r="AY142" s="9" t="s">
        <v>1657</v>
      </c>
      <c r="AZ142" s="9" t="s">
        <v>5862</v>
      </c>
      <c r="BA142" s="9" t="s">
        <v>110</v>
      </c>
      <c r="BB142" s="9" t="s">
        <v>346</v>
      </c>
      <c r="BC142" s="9" t="s">
        <v>500</v>
      </c>
      <c r="BD142" s="9" t="s">
        <v>500</v>
      </c>
      <c r="BE142" s="9" t="s">
        <v>110</v>
      </c>
      <c r="BF142" s="9" t="s">
        <v>350</v>
      </c>
      <c r="BG142" s="9" t="s">
        <v>176</v>
      </c>
      <c r="BH142" s="9" t="s">
        <v>350</v>
      </c>
      <c r="BI142" s="9" t="s">
        <v>350</v>
      </c>
      <c r="BJ142" s="9" t="s">
        <v>176</v>
      </c>
      <c r="BK142" s="9" t="s">
        <v>5848</v>
      </c>
      <c r="BL142" s="9" t="s">
        <v>110</v>
      </c>
      <c r="BM142" s="9" t="s">
        <v>176</v>
      </c>
      <c r="BN142" s="9" t="s">
        <v>179</v>
      </c>
      <c r="BO142" s="9" t="s">
        <v>180</v>
      </c>
      <c r="BP142" s="9" t="s">
        <v>219</v>
      </c>
      <c r="BQ142" s="9" t="s">
        <v>99</v>
      </c>
      <c r="BR142" s="9" t="s">
        <v>500</v>
      </c>
      <c r="BS142" s="9" t="s">
        <v>500</v>
      </c>
      <c r="BT142" s="9" t="s">
        <v>500</v>
      </c>
      <c r="BU142" s="9" t="s">
        <v>110</v>
      </c>
      <c r="BV142" s="9" t="s">
        <v>3455</v>
      </c>
      <c r="BW142" s="9" t="s">
        <v>5863</v>
      </c>
      <c r="BX142" s="9" t="s">
        <v>500</v>
      </c>
      <c r="BY142" s="9" t="s">
        <v>110</v>
      </c>
      <c r="BZ142" s="9" t="s">
        <v>183</v>
      </c>
      <c r="CA142" s="9" t="s">
        <v>182</v>
      </c>
      <c r="CB142" s="9" t="s">
        <v>709</v>
      </c>
      <c r="CC142" s="9" t="s">
        <v>99</v>
      </c>
      <c r="CD142" s="9" t="s">
        <v>500</v>
      </c>
      <c r="CE142" s="9" t="s">
        <v>500</v>
      </c>
      <c r="CF142" s="9" t="s">
        <v>500</v>
      </c>
      <c r="CG142" s="9" t="s">
        <v>99</v>
      </c>
      <c r="CH142" s="9" t="s">
        <v>500</v>
      </c>
      <c r="CI142" s="9" t="s">
        <v>500</v>
      </c>
      <c r="CJ142" s="9" t="s">
        <v>500</v>
      </c>
      <c r="CK142" s="9" t="s">
        <v>110</v>
      </c>
      <c r="CL142" s="9" t="s">
        <v>358</v>
      </c>
      <c r="CM142" s="9" t="s">
        <v>5864</v>
      </c>
      <c r="CN142" s="9" t="s">
        <v>5865</v>
      </c>
      <c r="CO142" s="9" t="s">
        <v>110</v>
      </c>
      <c r="CP142" s="9" t="s">
        <v>2641</v>
      </c>
      <c r="CQ142" s="9" t="s">
        <v>500</v>
      </c>
      <c r="CR142" s="9" t="s">
        <v>2892</v>
      </c>
      <c r="CS142" s="9" t="s">
        <v>1979</v>
      </c>
      <c r="CT142" s="9" t="s">
        <v>983</v>
      </c>
      <c r="CU142" s="9" t="s">
        <v>5866</v>
      </c>
      <c r="CV142" s="9" t="s">
        <v>582</v>
      </c>
      <c r="CW142" s="9">
        <v>3</v>
      </c>
      <c r="CX142" s="9" t="s">
        <v>5867</v>
      </c>
      <c r="CY142" s="9" t="s">
        <v>99</v>
      </c>
      <c r="CZ142" s="9">
        <v>50</v>
      </c>
      <c r="DA142" s="9">
        <v>25</v>
      </c>
      <c r="DB142" s="9">
        <v>25</v>
      </c>
      <c r="DC142" s="10">
        <v>101.1</v>
      </c>
      <c r="DD142" s="9">
        <v>0.75</v>
      </c>
      <c r="DE142" s="9">
        <v>168</v>
      </c>
      <c r="DF142" s="10">
        <v>150</v>
      </c>
      <c r="DG142" s="9">
        <f t="shared" si="2"/>
        <v>4.8133727100613406</v>
      </c>
      <c r="DH142" s="9">
        <v>30</v>
      </c>
      <c r="DI142" s="10">
        <v>8.14</v>
      </c>
      <c r="DJ142" s="9"/>
      <c r="DK142" s="9"/>
      <c r="DL142" s="9">
        <v>51.3</v>
      </c>
      <c r="DM142" s="9">
        <v>86.7</v>
      </c>
      <c r="DN142" s="9"/>
      <c r="DO142" s="9"/>
      <c r="DP142" s="53">
        <v>2</v>
      </c>
      <c r="DR142">
        <v>3</v>
      </c>
      <c r="DU142">
        <v>5.2</v>
      </c>
    </row>
    <row r="143" spans="1:156" customFormat="1" x14ac:dyDescent="0.2">
      <c r="A143" s="144" t="s">
        <v>5873</v>
      </c>
      <c r="B143" s="128">
        <v>43803</v>
      </c>
      <c r="C143" s="127" t="s">
        <v>675</v>
      </c>
      <c r="D143" s="127">
        <v>52</v>
      </c>
      <c r="E143" s="127" t="s">
        <v>100</v>
      </c>
      <c r="F143" s="128">
        <v>24686</v>
      </c>
      <c r="G143" s="127" t="s">
        <v>5874</v>
      </c>
      <c r="H143" s="127" t="s">
        <v>5875</v>
      </c>
      <c r="I143" s="127" t="s">
        <v>500</v>
      </c>
      <c r="J143" s="127" t="s">
        <v>500</v>
      </c>
      <c r="K143" s="127" t="s">
        <v>500</v>
      </c>
      <c r="L143" s="127" t="s">
        <v>500</v>
      </c>
      <c r="M143" s="127" t="s">
        <v>500</v>
      </c>
      <c r="N143" s="127" t="s">
        <v>500</v>
      </c>
      <c r="O143" s="127" t="s">
        <v>500</v>
      </c>
      <c r="P143" s="127" t="s">
        <v>500</v>
      </c>
      <c r="Q143" s="127" t="s">
        <v>500</v>
      </c>
      <c r="R143" s="127" t="s">
        <v>500</v>
      </c>
      <c r="S143" s="127" t="s">
        <v>500</v>
      </c>
      <c r="T143" s="127" t="s">
        <v>500</v>
      </c>
      <c r="U143" s="127" t="s">
        <v>500</v>
      </c>
      <c r="V143" s="127" t="s">
        <v>500</v>
      </c>
      <c r="W143" s="127" t="s">
        <v>500</v>
      </c>
      <c r="X143" s="127" t="s">
        <v>500</v>
      </c>
      <c r="Y143" s="127" t="s">
        <v>500</v>
      </c>
      <c r="Z143" s="127" t="s">
        <v>500</v>
      </c>
      <c r="AA143" s="127" t="s">
        <v>100</v>
      </c>
      <c r="AB143" s="127" t="s">
        <v>100</v>
      </c>
      <c r="AC143" s="127" t="s">
        <v>100</v>
      </c>
      <c r="AD143" s="127" t="s">
        <v>100</v>
      </c>
      <c r="AE143" s="127" t="s">
        <v>5876</v>
      </c>
      <c r="AF143" s="127" t="s">
        <v>4296</v>
      </c>
      <c r="AG143" s="127" t="s">
        <v>99</v>
      </c>
      <c r="AH143" s="129" t="s">
        <v>5877</v>
      </c>
      <c r="AI143" s="127" t="s">
        <v>99</v>
      </c>
      <c r="AJ143" s="9" t="s">
        <v>99</v>
      </c>
      <c r="AK143" s="9" t="s">
        <v>99</v>
      </c>
      <c r="AL143" s="9">
        <v>89</v>
      </c>
      <c r="AM143" s="9" t="s">
        <v>500</v>
      </c>
      <c r="AN143" s="9" t="s">
        <v>500</v>
      </c>
      <c r="AO143" s="9" t="s">
        <v>500</v>
      </c>
      <c r="AP143" s="9">
        <v>37.700000000000003</v>
      </c>
      <c r="AQ143" s="9">
        <v>21</v>
      </c>
      <c r="AR143" s="9">
        <v>28.4</v>
      </c>
      <c r="AS143" s="9">
        <v>63</v>
      </c>
      <c r="AT143" s="9">
        <v>34.799999999999997</v>
      </c>
      <c r="AU143" s="10">
        <v>142</v>
      </c>
      <c r="AV143" s="10">
        <v>102</v>
      </c>
      <c r="AW143" s="9" t="s">
        <v>350</v>
      </c>
      <c r="AX143" s="9" t="s">
        <v>1657</v>
      </c>
      <c r="AY143" s="9" t="s">
        <v>500</v>
      </c>
      <c r="AZ143" s="9" t="s">
        <v>500</v>
      </c>
      <c r="BA143" s="9" t="s">
        <v>110</v>
      </c>
      <c r="BB143" s="9" t="s">
        <v>346</v>
      </c>
      <c r="BC143" s="9" t="s">
        <v>500</v>
      </c>
      <c r="BD143" s="9" t="s">
        <v>500</v>
      </c>
      <c r="BE143" s="9" t="s">
        <v>110</v>
      </c>
      <c r="BF143" s="9" t="s">
        <v>176</v>
      </c>
      <c r="BG143" s="9" t="s">
        <v>5878</v>
      </c>
      <c r="BH143" s="9" t="s">
        <v>500</v>
      </c>
      <c r="BI143" s="9" t="s">
        <v>500</v>
      </c>
      <c r="BJ143" s="9" t="s">
        <v>500</v>
      </c>
      <c r="BK143" s="9" t="s">
        <v>500</v>
      </c>
      <c r="BL143" s="9" t="s">
        <v>500</v>
      </c>
      <c r="BM143" s="9" t="s">
        <v>5879</v>
      </c>
      <c r="BN143" s="9" t="s">
        <v>500</v>
      </c>
      <c r="BO143" s="9" t="s">
        <v>500</v>
      </c>
      <c r="BP143" s="9" t="s">
        <v>500</v>
      </c>
      <c r="BQ143" s="9" t="s">
        <v>500</v>
      </c>
      <c r="BR143" s="9" t="s">
        <v>500</v>
      </c>
      <c r="BS143" s="9" t="s">
        <v>500</v>
      </c>
      <c r="BT143" s="9" t="s">
        <v>500</v>
      </c>
      <c r="BU143" s="9" t="s">
        <v>500</v>
      </c>
      <c r="BV143" s="9" t="s">
        <v>500</v>
      </c>
      <c r="BW143" s="9" t="s">
        <v>500</v>
      </c>
      <c r="BX143" s="9" t="s">
        <v>500</v>
      </c>
      <c r="BY143" s="9" t="s">
        <v>5880</v>
      </c>
      <c r="BZ143" s="9" t="s">
        <v>500</v>
      </c>
      <c r="CA143" s="9" t="s">
        <v>500</v>
      </c>
      <c r="CB143" s="9" t="s">
        <v>500</v>
      </c>
      <c r="CC143" s="9" t="s">
        <v>500</v>
      </c>
      <c r="CD143" s="9" t="s">
        <v>500</v>
      </c>
      <c r="CE143" s="9" t="s">
        <v>500</v>
      </c>
      <c r="CF143" s="9" t="s">
        <v>500</v>
      </c>
      <c r="CG143" s="9" t="s">
        <v>500</v>
      </c>
      <c r="CH143" s="9" t="s">
        <v>500</v>
      </c>
      <c r="CI143" s="9" t="s">
        <v>500</v>
      </c>
      <c r="CJ143" s="9" t="s">
        <v>500</v>
      </c>
      <c r="CK143" s="9" t="s">
        <v>110</v>
      </c>
      <c r="CL143" s="9" t="s">
        <v>5881</v>
      </c>
      <c r="CM143" s="9" t="s">
        <v>5882</v>
      </c>
      <c r="CN143" s="9" t="s">
        <v>500</v>
      </c>
      <c r="CO143" s="9" t="s">
        <v>500</v>
      </c>
      <c r="CP143" s="9" t="s">
        <v>500</v>
      </c>
      <c r="CQ143" s="9" t="s">
        <v>500</v>
      </c>
      <c r="CR143" s="9" t="s">
        <v>500</v>
      </c>
      <c r="CS143" s="9" t="s">
        <v>350</v>
      </c>
      <c r="CT143" s="9" t="s">
        <v>5883</v>
      </c>
      <c r="CU143" s="9" t="s">
        <v>500</v>
      </c>
      <c r="CV143" s="9" t="s">
        <v>500</v>
      </c>
      <c r="CW143" s="9">
        <v>2</v>
      </c>
      <c r="CX143" s="9" t="s">
        <v>99</v>
      </c>
      <c r="CY143" s="9" t="s">
        <v>99</v>
      </c>
      <c r="CZ143" s="9" t="s">
        <v>500</v>
      </c>
      <c r="DA143" s="9" t="s">
        <v>500</v>
      </c>
      <c r="DB143" s="9" t="s">
        <v>500</v>
      </c>
      <c r="DC143" s="10">
        <v>101.1</v>
      </c>
      <c r="DD143" s="10">
        <v>1.55</v>
      </c>
      <c r="DE143" s="9">
        <v>191</v>
      </c>
      <c r="DF143" s="9">
        <v>136</v>
      </c>
      <c r="DG143" s="9">
        <f t="shared" si="2"/>
        <v>4.7643825058812386</v>
      </c>
      <c r="DH143" s="9">
        <v>27.2</v>
      </c>
      <c r="DI143" s="10">
        <v>10.3</v>
      </c>
      <c r="DJ143" s="9"/>
      <c r="DK143" s="9"/>
      <c r="DL143" s="10">
        <v>39.9</v>
      </c>
      <c r="DM143" s="9">
        <v>123.9</v>
      </c>
      <c r="DN143" s="9"/>
      <c r="DO143" s="9"/>
      <c r="DP143" s="53">
        <v>2</v>
      </c>
      <c r="DR143" s="27">
        <v>1</v>
      </c>
      <c r="DU143">
        <v>6</v>
      </c>
    </row>
    <row r="144" spans="1:156" customFormat="1" x14ac:dyDescent="0.2">
      <c r="A144" s="157" t="s">
        <v>5884</v>
      </c>
      <c r="B144" s="128">
        <v>43803</v>
      </c>
      <c r="C144" s="127" t="s">
        <v>675</v>
      </c>
      <c r="D144" s="127">
        <v>52</v>
      </c>
      <c r="E144" s="127" t="s">
        <v>100</v>
      </c>
      <c r="F144" s="128">
        <v>24790</v>
      </c>
      <c r="G144" s="127" t="s">
        <v>837</v>
      </c>
      <c r="H144" s="127" t="s">
        <v>5885</v>
      </c>
      <c r="I144" s="127" t="s">
        <v>500</v>
      </c>
      <c r="J144" s="127" t="s">
        <v>500</v>
      </c>
      <c r="K144" s="127" t="s">
        <v>500</v>
      </c>
      <c r="L144" s="127" t="s">
        <v>500</v>
      </c>
      <c r="M144" s="127" t="s">
        <v>99</v>
      </c>
      <c r="N144" s="127" t="s">
        <v>99</v>
      </c>
      <c r="O144" s="127" t="s">
        <v>99</v>
      </c>
      <c r="P144" s="127" t="s">
        <v>5886</v>
      </c>
      <c r="Q144" s="127" t="s">
        <v>5429</v>
      </c>
      <c r="R144" s="127" t="s">
        <v>99</v>
      </c>
      <c r="S144" s="127" t="s">
        <v>99</v>
      </c>
      <c r="T144" s="127" t="s">
        <v>5451</v>
      </c>
      <c r="U144" s="127" t="s">
        <v>5887</v>
      </c>
      <c r="V144" s="127" t="s">
        <v>99</v>
      </c>
      <c r="W144" s="127" t="s">
        <v>5888</v>
      </c>
      <c r="X144" s="127" t="s">
        <v>99</v>
      </c>
      <c r="Y144" s="127" t="s">
        <v>99</v>
      </c>
      <c r="Z144" s="127" t="s">
        <v>99</v>
      </c>
      <c r="AA144" s="127" t="s">
        <v>1123</v>
      </c>
      <c r="AB144" s="127" t="s">
        <v>100</v>
      </c>
      <c r="AC144" s="127" t="s">
        <v>1123</v>
      </c>
      <c r="AD144" s="127" t="s">
        <v>100</v>
      </c>
      <c r="AE144" s="127" t="s">
        <v>5532</v>
      </c>
      <c r="AF144" s="127" t="s">
        <v>99</v>
      </c>
      <c r="AG144" s="127" t="s">
        <v>246</v>
      </c>
      <c r="AH144" s="129" t="s">
        <v>99</v>
      </c>
      <c r="AI144" s="127" t="s">
        <v>99</v>
      </c>
      <c r="AJ144" s="9" t="s">
        <v>99</v>
      </c>
      <c r="AK144" s="9" t="s">
        <v>99</v>
      </c>
      <c r="AL144" s="9">
        <v>90.5</v>
      </c>
      <c r="AM144" s="9">
        <v>175</v>
      </c>
      <c r="AN144" s="10">
        <v>104</v>
      </c>
      <c r="AO144" s="9">
        <v>116</v>
      </c>
      <c r="AP144" s="9">
        <v>39.6</v>
      </c>
      <c r="AQ144" s="9">
        <v>17</v>
      </c>
      <c r="AR144" s="9">
        <v>22.4</v>
      </c>
      <c r="AS144" s="9">
        <v>80</v>
      </c>
      <c r="AT144" s="9">
        <v>29.6</v>
      </c>
      <c r="AU144" s="9">
        <v>109</v>
      </c>
      <c r="AV144" s="9">
        <v>71</v>
      </c>
      <c r="AW144" s="9" t="s">
        <v>707</v>
      </c>
      <c r="AX144" s="9" t="s">
        <v>500</v>
      </c>
      <c r="AY144" s="9" t="s">
        <v>500</v>
      </c>
      <c r="AZ144" s="9" t="s">
        <v>500</v>
      </c>
      <c r="BA144" s="9" t="s">
        <v>351</v>
      </c>
      <c r="BB144" s="9" t="s">
        <v>500</v>
      </c>
      <c r="BC144" s="9" t="s">
        <v>500</v>
      </c>
      <c r="BD144" s="9" t="s">
        <v>500</v>
      </c>
      <c r="BE144" s="9" t="s">
        <v>110</v>
      </c>
      <c r="BF144" s="9" t="s">
        <v>707</v>
      </c>
      <c r="BG144" s="9" t="s">
        <v>176</v>
      </c>
      <c r="BH144" s="9" t="s">
        <v>5513</v>
      </c>
      <c r="BI144" s="9" t="s">
        <v>707</v>
      </c>
      <c r="BJ144" s="9" t="s">
        <v>500</v>
      </c>
      <c r="BK144" s="9" t="s">
        <v>5510</v>
      </c>
      <c r="BL144" s="9" t="s">
        <v>110</v>
      </c>
      <c r="BM144" s="9" t="s">
        <v>176</v>
      </c>
      <c r="BN144" s="9" t="s">
        <v>500</v>
      </c>
      <c r="BO144" s="9" t="s">
        <v>500</v>
      </c>
      <c r="BP144" s="9" t="s">
        <v>500</v>
      </c>
      <c r="BQ144" s="9" t="s">
        <v>99</v>
      </c>
      <c r="BR144" s="9" t="s">
        <v>500</v>
      </c>
      <c r="BS144" s="9" t="s">
        <v>500</v>
      </c>
      <c r="BT144" s="9" t="s">
        <v>500</v>
      </c>
      <c r="BU144" s="9" t="s">
        <v>99</v>
      </c>
      <c r="BV144" s="9" t="s">
        <v>500</v>
      </c>
      <c r="BW144" s="9" t="s">
        <v>500</v>
      </c>
      <c r="BX144" s="9" t="s">
        <v>500</v>
      </c>
      <c r="BY144" s="9" t="s">
        <v>351</v>
      </c>
      <c r="BZ144" s="9" t="s">
        <v>500</v>
      </c>
      <c r="CA144" s="9" t="s">
        <v>500</v>
      </c>
      <c r="CB144" s="9" t="s">
        <v>500</v>
      </c>
      <c r="CC144" s="9" t="s">
        <v>500</v>
      </c>
      <c r="CD144" s="9" t="s">
        <v>500</v>
      </c>
      <c r="CE144" s="9" t="s">
        <v>500</v>
      </c>
      <c r="CF144" s="9" t="s">
        <v>500</v>
      </c>
      <c r="CG144" s="9" t="s">
        <v>500</v>
      </c>
      <c r="CH144" s="9" t="s">
        <v>500</v>
      </c>
      <c r="CI144" s="9" t="s">
        <v>500</v>
      </c>
      <c r="CJ144" s="9" t="s">
        <v>500</v>
      </c>
      <c r="CK144" s="9" t="s">
        <v>110</v>
      </c>
      <c r="CL144" s="9" t="s">
        <v>5881</v>
      </c>
      <c r="CM144" s="9" t="s">
        <v>500</v>
      </c>
      <c r="CN144" s="9" t="s">
        <v>500</v>
      </c>
      <c r="CO144" s="9" t="s">
        <v>5889</v>
      </c>
      <c r="CP144" s="9" t="s">
        <v>362</v>
      </c>
      <c r="CQ144" s="9" t="s">
        <v>500</v>
      </c>
      <c r="CR144" s="9" t="s">
        <v>500</v>
      </c>
      <c r="CS144" s="9" t="s">
        <v>99</v>
      </c>
      <c r="CT144" s="9" t="s">
        <v>500</v>
      </c>
      <c r="CU144" s="9" t="s">
        <v>500</v>
      </c>
      <c r="CV144" s="9" t="s">
        <v>500</v>
      </c>
      <c r="CW144" s="9">
        <v>2</v>
      </c>
      <c r="CX144" s="9" t="s">
        <v>99</v>
      </c>
      <c r="CY144" s="9" t="s">
        <v>99</v>
      </c>
      <c r="CZ144" s="9">
        <v>30</v>
      </c>
      <c r="DA144" s="9">
        <v>30</v>
      </c>
      <c r="DB144" s="9">
        <v>40</v>
      </c>
      <c r="DC144" s="9">
        <v>97.7</v>
      </c>
      <c r="DD144" s="9">
        <v>0.83</v>
      </c>
      <c r="DE144" s="9">
        <v>190</v>
      </c>
      <c r="DF144" s="10">
        <v>165</v>
      </c>
      <c r="DG144" s="9">
        <f t="shared" si="2"/>
        <v>4.8439235164746588</v>
      </c>
      <c r="DH144" s="9">
        <v>33</v>
      </c>
      <c r="DI144" s="9">
        <v>5.75</v>
      </c>
      <c r="DJ144" s="9"/>
      <c r="DK144" s="9"/>
      <c r="DL144" s="10">
        <v>38.5</v>
      </c>
      <c r="DM144" s="9">
        <v>118.5</v>
      </c>
      <c r="DN144" s="9"/>
      <c r="DO144" s="9"/>
      <c r="DP144" s="53">
        <v>3</v>
      </c>
      <c r="DU144">
        <v>4.3</v>
      </c>
    </row>
    <row r="145" spans="1:125" customFormat="1" x14ac:dyDescent="0.2">
      <c r="A145" s="158" t="s">
        <v>5901</v>
      </c>
      <c r="B145" s="69">
        <v>43803</v>
      </c>
      <c r="C145" s="136" t="s">
        <v>675</v>
      </c>
      <c r="D145" s="136">
        <v>42</v>
      </c>
      <c r="E145" s="136" t="s">
        <v>100</v>
      </c>
      <c r="F145" s="69">
        <v>28168</v>
      </c>
      <c r="G145" s="136" t="s">
        <v>5301</v>
      </c>
      <c r="H145" s="136" t="s">
        <v>1727</v>
      </c>
      <c r="I145" s="136" t="s">
        <v>500</v>
      </c>
      <c r="J145" s="136" t="s">
        <v>500</v>
      </c>
      <c r="K145" s="137" t="s">
        <v>500</v>
      </c>
      <c r="L145" s="138" t="s">
        <v>500</v>
      </c>
      <c r="M145" s="136" t="s">
        <v>99</v>
      </c>
      <c r="N145" s="136" t="s">
        <v>99</v>
      </c>
      <c r="O145" s="136" t="s">
        <v>99</v>
      </c>
      <c r="P145" s="136" t="s">
        <v>5902</v>
      </c>
      <c r="Q145" s="136" t="s">
        <v>5903</v>
      </c>
      <c r="R145" s="136" t="s">
        <v>99</v>
      </c>
      <c r="S145" s="136" t="s">
        <v>99</v>
      </c>
      <c r="T145" s="136" t="s">
        <v>99</v>
      </c>
      <c r="U145" s="136" t="s">
        <v>99</v>
      </c>
      <c r="V145" s="136" t="s">
        <v>99</v>
      </c>
      <c r="W145" s="136" t="s">
        <v>99</v>
      </c>
      <c r="X145" s="136" t="s">
        <v>99</v>
      </c>
      <c r="Y145" s="136" t="s">
        <v>99</v>
      </c>
      <c r="Z145" s="136" t="s">
        <v>99</v>
      </c>
      <c r="AA145" s="136" t="s">
        <v>500</v>
      </c>
      <c r="AB145" s="136" t="s">
        <v>500</v>
      </c>
      <c r="AC145" s="136" t="s">
        <v>100</v>
      </c>
      <c r="AD145" s="136" t="s">
        <v>100</v>
      </c>
      <c r="AE145" s="136" t="s">
        <v>99</v>
      </c>
      <c r="AF145" s="136" t="s">
        <v>99</v>
      </c>
      <c r="AG145" s="136" t="s">
        <v>99</v>
      </c>
      <c r="AH145" s="137" t="s">
        <v>110</v>
      </c>
      <c r="AI145" s="136" t="s">
        <v>99</v>
      </c>
      <c r="AJ145" s="53" t="s">
        <v>99</v>
      </c>
      <c r="AK145" s="53" t="s">
        <v>99</v>
      </c>
      <c r="AL145" s="53">
        <v>95.4</v>
      </c>
      <c r="AM145" s="53">
        <v>173</v>
      </c>
      <c r="AN145" s="53">
        <v>102</v>
      </c>
      <c r="AO145" s="53">
        <v>110</v>
      </c>
      <c r="AP145" s="53">
        <v>32.200000000000003</v>
      </c>
      <c r="AQ145" s="53">
        <v>15</v>
      </c>
      <c r="AR145" s="53">
        <v>31.7</v>
      </c>
      <c r="AS145" s="53">
        <v>64</v>
      </c>
      <c r="AT145" s="53">
        <v>31.9</v>
      </c>
      <c r="AU145" s="53">
        <v>135</v>
      </c>
      <c r="AV145" s="53">
        <v>92</v>
      </c>
      <c r="AW145" s="53" t="s">
        <v>176</v>
      </c>
      <c r="AX145" s="53" t="s">
        <v>574</v>
      </c>
      <c r="AY145" s="53" t="s">
        <v>500</v>
      </c>
      <c r="AZ145" s="53" t="s">
        <v>500</v>
      </c>
      <c r="BA145" s="53" t="s">
        <v>351</v>
      </c>
      <c r="BB145" s="53" t="s">
        <v>2541</v>
      </c>
      <c r="BC145" s="53" t="s">
        <v>500</v>
      </c>
      <c r="BD145" s="53" t="s">
        <v>500</v>
      </c>
      <c r="BE145" s="53" t="s">
        <v>110</v>
      </c>
      <c r="BF145" s="53" t="s">
        <v>350</v>
      </c>
      <c r="BG145" s="53" t="s">
        <v>350</v>
      </c>
      <c r="BH145" s="53" t="s">
        <v>99</v>
      </c>
      <c r="BI145" s="53" t="s">
        <v>5904</v>
      </c>
      <c r="BJ145" s="53" t="s">
        <v>99</v>
      </c>
      <c r="BK145" s="53" t="s">
        <v>5904</v>
      </c>
      <c r="BL145" s="53" t="s">
        <v>110</v>
      </c>
      <c r="BM145" s="53" t="s">
        <v>176</v>
      </c>
      <c r="BN145" s="53" t="s">
        <v>500</v>
      </c>
      <c r="BO145" s="53" t="s">
        <v>500</v>
      </c>
      <c r="BP145" s="53" t="s">
        <v>500</v>
      </c>
      <c r="BQ145" s="53" t="s">
        <v>99</v>
      </c>
      <c r="BR145" s="53" t="s">
        <v>500</v>
      </c>
      <c r="BS145" s="53" t="s">
        <v>500</v>
      </c>
      <c r="BT145" s="53" t="s">
        <v>500</v>
      </c>
      <c r="BU145" s="53" t="s">
        <v>99</v>
      </c>
      <c r="BV145" s="53" t="s">
        <v>500</v>
      </c>
      <c r="BW145" s="53" t="s">
        <v>500</v>
      </c>
      <c r="BX145" s="53" t="s">
        <v>500</v>
      </c>
      <c r="BY145" s="53" t="s">
        <v>350</v>
      </c>
      <c r="BZ145" s="53" t="s">
        <v>5904</v>
      </c>
      <c r="CA145" s="53" t="s">
        <v>500</v>
      </c>
      <c r="CB145" s="53" t="s">
        <v>500</v>
      </c>
      <c r="CC145" s="53" t="s">
        <v>99</v>
      </c>
      <c r="CD145" s="53" t="s">
        <v>500</v>
      </c>
      <c r="CE145" s="53" t="s">
        <v>500</v>
      </c>
      <c r="CF145" s="53" t="s">
        <v>500</v>
      </c>
      <c r="CG145" s="53" t="s">
        <v>99</v>
      </c>
      <c r="CH145" s="53" t="s">
        <v>500</v>
      </c>
      <c r="CI145" s="53" t="s">
        <v>500</v>
      </c>
      <c r="CJ145" s="53" t="s">
        <v>500</v>
      </c>
      <c r="CK145" s="53" t="s">
        <v>500</v>
      </c>
      <c r="CL145" s="53" t="s">
        <v>500</v>
      </c>
      <c r="CM145" s="53" t="s">
        <v>500</v>
      </c>
      <c r="CN145" s="53" t="s">
        <v>500</v>
      </c>
      <c r="CO145" s="53" t="s">
        <v>500</v>
      </c>
      <c r="CP145" s="53" t="s">
        <v>500</v>
      </c>
      <c r="CQ145" s="53" t="s">
        <v>500</v>
      </c>
      <c r="CR145" s="53" t="s">
        <v>500</v>
      </c>
      <c r="CS145" s="53" t="s">
        <v>350</v>
      </c>
      <c r="CT145" s="53" t="s">
        <v>5904</v>
      </c>
      <c r="CU145" s="53" t="s">
        <v>500</v>
      </c>
      <c r="CV145" s="53" t="s">
        <v>500</v>
      </c>
      <c r="CW145" s="53" t="s">
        <v>500</v>
      </c>
      <c r="CX145" s="53" t="s">
        <v>500</v>
      </c>
      <c r="CY145" s="53" t="s">
        <v>500</v>
      </c>
      <c r="CZ145" s="53" t="s">
        <v>500</v>
      </c>
      <c r="DA145" s="53" t="s">
        <v>500</v>
      </c>
      <c r="DB145" s="53" t="s">
        <v>500</v>
      </c>
      <c r="DC145" s="139">
        <v>117.2</v>
      </c>
      <c r="DD145" s="53">
        <v>0.95</v>
      </c>
      <c r="DE145" s="139">
        <v>216</v>
      </c>
      <c r="DF145" s="139">
        <v>210</v>
      </c>
      <c r="DG145" s="9">
        <f t="shared" si="2"/>
        <v>5.0554947039301901</v>
      </c>
      <c r="DH145" s="53">
        <v>42</v>
      </c>
      <c r="DI145" s="53">
        <v>5.59</v>
      </c>
      <c r="DL145" s="61">
        <v>47.4</v>
      </c>
      <c r="DM145" s="53">
        <v>126.6</v>
      </c>
      <c r="DP145" s="53">
        <v>1</v>
      </c>
      <c r="DR145">
        <v>2</v>
      </c>
      <c r="DU145">
        <v>5.3</v>
      </c>
    </row>
    <row r="146" spans="1:125" customFormat="1" x14ac:dyDescent="0.2">
      <c r="A146" s="144" t="s">
        <v>5939</v>
      </c>
      <c r="B146" s="141">
        <v>43804</v>
      </c>
      <c r="C146" s="127" t="s">
        <v>196</v>
      </c>
      <c r="D146" s="127">
        <v>56</v>
      </c>
      <c r="E146" s="127" t="s">
        <v>1654</v>
      </c>
      <c r="F146" s="128">
        <v>23056</v>
      </c>
      <c r="G146" s="127" t="s">
        <v>2495</v>
      </c>
      <c r="H146" s="127" t="s">
        <v>5940</v>
      </c>
      <c r="I146" s="127" t="s">
        <v>4270</v>
      </c>
      <c r="J146" s="127" t="s">
        <v>500</v>
      </c>
      <c r="K146" s="156">
        <v>33817</v>
      </c>
      <c r="L146" s="127">
        <v>2</v>
      </c>
      <c r="M146" s="127" t="s">
        <v>99</v>
      </c>
      <c r="N146" s="127" t="s">
        <v>99</v>
      </c>
      <c r="O146" s="127" t="s">
        <v>99</v>
      </c>
      <c r="P146" s="127" t="s">
        <v>99</v>
      </c>
      <c r="Q146" s="127" t="s">
        <v>99</v>
      </c>
      <c r="R146" s="127" t="s">
        <v>99</v>
      </c>
      <c r="S146" s="127" t="s">
        <v>99</v>
      </c>
      <c r="T146" s="127" t="s">
        <v>99</v>
      </c>
      <c r="U146" s="127" t="s">
        <v>5941</v>
      </c>
      <c r="V146" s="127" t="s">
        <v>99</v>
      </c>
      <c r="W146" s="127" t="s">
        <v>99</v>
      </c>
      <c r="X146" s="127" t="s">
        <v>99</v>
      </c>
      <c r="Y146" s="127" t="s">
        <v>5942</v>
      </c>
      <c r="Z146" s="127" t="s">
        <v>99</v>
      </c>
      <c r="AA146" s="127" t="s">
        <v>1654</v>
      </c>
      <c r="AB146" s="127" t="s">
        <v>500</v>
      </c>
      <c r="AC146" s="127" t="s">
        <v>1654</v>
      </c>
      <c r="AD146" s="127" t="s">
        <v>500</v>
      </c>
      <c r="AE146" s="127" t="s">
        <v>1127</v>
      </c>
      <c r="AF146" s="127" t="s">
        <v>1127</v>
      </c>
      <c r="AG146" s="127" t="s">
        <v>1127</v>
      </c>
      <c r="AH146" s="129" t="s">
        <v>99</v>
      </c>
      <c r="AI146" s="127" t="s">
        <v>99</v>
      </c>
      <c r="AJ146" s="9" t="s">
        <v>99</v>
      </c>
      <c r="AK146" s="9" t="s">
        <v>1127</v>
      </c>
      <c r="AL146" s="9">
        <v>83</v>
      </c>
      <c r="AM146" s="9">
        <v>155</v>
      </c>
      <c r="AN146" s="10">
        <v>98</v>
      </c>
      <c r="AO146" s="9">
        <v>115</v>
      </c>
      <c r="AP146" s="9">
        <v>47.4</v>
      </c>
      <c r="AQ146" s="9">
        <v>12</v>
      </c>
      <c r="AR146" s="9">
        <v>23.3</v>
      </c>
      <c r="AS146" s="9">
        <v>73</v>
      </c>
      <c r="AT146" s="9">
        <v>34.5</v>
      </c>
      <c r="AU146" s="9">
        <v>117</v>
      </c>
      <c r="AV146" s="9">
        <v>89</v>
      </c>
      <c r="AW146" s="9" t="s">
        <v>110</v>
      </c>
      <c r="AX146" s="9" t="s">
        <v>679</v>
      </c>
      <c r="AY146" s="9" t="s">
        <v>5943</v>
      </c>
      <c r="AZ146" s="9" t="s">
        <v>500</v>
      </c>
      <c r="BA146" s="9" t="s">
        <v>110</v>
      </c>
      <c r="BB146" s="9" t="s">
        <v>5944</v>
      </c>
      <c r="BC146" s="9" t="s">
        <v>5452</v>
      </c>
      <c r="BD146" s="9" t="s">
        <v>5410</v>
      </c>
      <c r="BE146" s="9" t="s">
        <v>110</v>
      </c>
      <c r="BF146" s="9" t="s">
        <v>176</v>
      </c>
      <c r="BG146" s="9" t="s">
        <v>350</v>
      </c>
      <c r="BH146" s="9" t="s">
        <v>99</v>
      </c>
      <c r="BI146" s="9" t="s">
        <v>176</v>
      </c>
      <c r="BJ146" s="9" t="s">
        <v>176</v>
      </c>
      <c r="BK146" s="9" t="s">
        <v>5871</v>
      </c>
      <c r="BL146" s="9" t="s">
        <v>110</v>
      </c>
      <c r="BM146" s="9" t="s">
        <v>176</v>
      </c>
      <c r="BN146" s="9" t="s">
        <v>1664</v>
      </c>
      <c r="BO146" s="9" t="s">
        <v>125</v>
      </c>
      <c r="BP146" s="9" t="s">
        <v>179</v>
      </c>
      <c r="BQ146" s="9" t="s">
        <v>99</v>
      </c>
      <c r="BR146" s="9" t="s">
        <v>500</v>
      </c>
      <c r="BS146" s="9" t="s">
        <v>500</v>
      </c>
      <c r="BT146" s="9" t="s">
        <v>500</v>
      </c>
      <c r="BU146" s="9" t="s">
        <v>1979</v>
      </c>
      <c r="BV146" s="9" t="s">
        <v>500</v>
      </c>
      <c r="BW146" s="9" t="s">
        <v>500</v>
      </c>
      <c r="BX146" s="9" t="s">
        <v>500</v>
      </c>
      <c r="BY146" s="9" t="s">
        <v>351</v>
      </c>
      <c r="BZ146" s="9" t="s">
        <v>1137</v>
      </c>
      <c r="CA146" s="9" t="s">
        <v>1730</v>
      </c>
      <c r="CB146" s="9" t="s">
        <v>182</v>
      </c>
      <c r="CC146" s="9" t="s">
        <v>5493</v>
      </c>
      <c r="CD146" s="9" t="s">
        <v>500</v>
      </c>
      <c r="CE146" s="9" t="s">
        <v>500</v>
      </c>
      <c r="CF146" s="9" t="s">
        <v>500</v>
      </c>
      <c r="CG146" s="9" t="s">
        <v>1740</v>
      </c>
      <c r="CH146" s="9" t="s">
        <v>1137</v>
      </c>
      <c r="CI146" s="9" t="s">
        <v>2575</v>
      </c>
      <c r="CJ146" s="9" t="s">
        <v>500</v>
      </c>
      <c r="CK146" s="9" t="s">
        <v>176</v>
      </c>
      <c r="CL146" s="9" t="s">
        <v>825</v>
      </c>
      <c r="CM146" s="9" t="s">
        <v>980</v>
      </c>
      <c r="CN146" s="9" t="s">
        <v>500</v>
      </c>
      <c r="CO146" s="9" t="s">
        <v>176</v>
      </c>
      <c r="CP146" s="9" t="s">
        <v>362</v>
      </c>
      <c r="CQ146" s="9" t="s">
        <v>2892</v>
      </c>
      <c r="CR146" s="9" t="s">
        <v>5945</v>
      </c>
      <c r="CS146" s="9" t="s">
        <v>350</v>
      </c>
      <c r="CT146" s="9" t="s">
        <v>2566</v>
      </c>
      <c r="CU146" s="9" t="s">
        <v>5946</v>
      </c>
      <c r="CV146" s="9" t="s">
        <v>500</v>
      </c>
      <c r="CW146" s="9">
        <v>3</v>
      </c>
      <c r="CX146" s="9" t="s">
        <v>99</v>
      </c>
      <c r="CY146" s="9" t="s">
        <v>110</v>
      </c>
      <c r="CZ146" s="9" t="s">
        <v>500</v>
      </c>
      <c r="DA146" s="9" t="s">
        <v>500</v>
      </c>
      <c r="DB146" s="9" t="s">
        <v>500</v>
      </c>
      <c r="DC146" s="10">
        <v>102</v>
      </c>
      <c r="DD146" s="9">
        <v>0.5</v>
      </c>
      <c r="DE146" s="10">
        <v>259</v>
      </c>
      <c r="DF146" s="10">
        <v>168</v>
      </c>
      <c r="DG146" s="9">
        <f t="shared" si="2"/>
        <v>4.8744683963437652</v>
      </c>
      <c r="DH146" s="9">
        <v>33.6</v>
      </c>
      <c r="DI146" s="9">
        <v>5.0999999999999996</v>
      </c>
      <c r="DJ146" s="9"/>
      <c r="DK146" s="9"/>
      <c r="DL146" s="10">
        <v>49.7</v>
      </c>
      <c r="DM146" s="9">
        <v>175</v>
      </c>
      <c r="DN146" s="9"/>
      <c r="DO146" s="9"/>
      <c r="DP146" s="53">
        <v>3</v>
      </c>
      <c r="DR146">
        <v>3</v>
      </c>
      <c r="DU146">
        <v>6.3</v>
      </c>
    </row>
    <row r="147" spans="1:125" customFormat="1" x14ac:dyDescent="0.2">
      <c r="A147" s="144" t="s">
        <v>5947</v>
      </c>
      <c r="B147" s="128">
        <v>43803</v>
      </c>
      <c r="C147" s="127" t="s">
        <v>196</v>
      </c>
      <c r="D147" s="127">
        <v>55</v>
      </c>
      <c r="E147" s="127" t="s">
        <v>100</v>
      </c>
      <c r="F147" s="128">
        <v>23053</v>
      </c>
      <c r="G147" s="127" t="s">
        <v>339</v>
      </c>
      <c r="H147" s="127" t="s">
        <v>5948</v>
      </c>
      <c r="I147" s="127" t="s">
        <v>5949</v>
      </c>
      <c r="J147" s="127" t="s">
        <v>5950</v>
      </c>
      <c r="K147" s="127">
        <v>1994</v>
      </c>
      <c r="L147" s="127">
        <v>4</v>
      </c>
      <c r="M147" s="127" t="s">
        <v>99</v>
      </c>
      <c r="N147" s="127" t="s">
        <v>99</v>
      </c>
      <c r="O147" s="127" t="s">
        <v>5951</v>
      </c>
      <c r="P147" s="127" t="s">
        <v>99</v>
      </c>
      <c r="Q147" s="127" t="s">
        <v>99</v>
      </c>
      <c r="R147" s="127" t="s">
        <v>110</v>
      </c>
      <c r="S147" s="127" t="s">
        <v>5952</v>
      </c>
      <c r="T147" s="127" t="s">
        <v>5530</v>
      </c>
      <c r="U147" s="127" t="s">
        <v>99</v>
      </c>
      <c r="V147" s="127" t="s">
        <v>99</v>
      </c>
      <c r="W147" s="127" t="s">
        <v>5953</v>
      </c>
      <c r="X147" s="127" t="s">
        <v>99</v>
      </c>
      <c r="Y147" s="127" t="s">
        <v>99</v>
      </c>
      <c r="Z147" s="127" t="s">
        <v>99</v>
      </c>
      <c r="AA147" s="127" t="s">
        <v>100</v>
      </c>
      <c r="AB147" s="127" t="s">
        <v>100</v>
      </c>
      <c r="AC147" s="127" t="s">
        <v>100</v>
      </c>
      <c r="AD147" s="127" t="s">
        <v>100</v>
      </c>
      <c r="AE147" s="127" t="s">
        <v>246</v>
      </c>
      <c r="AF147" s="127" t="s">
        <v>99</v>
      </c>
      <c r="AG147" s="127" t="s">
        <v>5954</v>
      </c>
      <c r="AH147" s="129" t="s">
        <v>99</v>
      </c>
      <c r="AI147" s="127" t="s">
        <v>1127</v>
      </c>
      <c r="AJ147" s="9" t="s">
        <v>99</v>
      </c>
      <c r="AK147" s="9" t="s">
        <v>99</v>
      </c>
      <c r="AL147" s="9">
        <v>72.599999999999994</v>
      </c>
      <c r="AM147" s="9">
        <v>160</v>
      </c>
      <c r="AN147" s="10">
        <v>89</v>
      </c>
      <c r="AO147" s="9">
        <v>108</v>
      </c>
      <c r="AP147" s="9">
        <v>14</v>
      </c>
      <c r="AQ147" s="9">
        <v>9</v>
      </c>
      <c r="AR147" s="9">
        <v>39.799999999999997</v>
      </c>
      <c r="AS147" s="9">
        <v>43</v>
      </c>
      <c r="AT147" s="9">
        <v>28.4</v>
      </c>
      <c r="AU147" s="9">
        <v>113</v>
      </c>
      <c r="AV147" s="9">
        <v>82</v>
      </c>
      <c r="AW147" s="9" t="s">
        <v>110</v>
      </c>
      <c r="AX147" s="9" t="s">
        <v>500</v>
      </c>
      <c r="AY147" s="9" t="s">
        <v>500</v>
      </c>
      <c r="AZ147" s="9" t="s">
        <v>500</v>
      </c>
      <c r="BA147" s="9" t="s">
        <v>500</v>
      </c>
      <c r="BB147" s="9" t="s">
        <v>500</v>
      </c>
      <c r="BC147" s="9" t="s">
        <v>500</v>
      </c>
      <c r="BD147" s="9" t="s">
        <v>500</v>
      </c>
      <c r="BE147" s="9" t="s">
        <v>110</v>
      </c>
      <c r="BF147" s="9" t="s">
        <v>707</v>
      </c>
      <c r="BG147" s="9" t="s">
        <v>213</v>
      </c>
      <c r="BH147" s="9" t="s">
        <v>99</v>
      </c>
      <c r="BI147" s="9" t="s">
        <v>1469</v>
      </c>
      <c r="BJ147" s="9" t="s">
        <v>99</v>
      </c>
      <c r="BK147" s="9" t="s">
        <v>99</v>
      </c>
      <c r="BL147" s="9" t="s">
        <v>110</v>
      </c>
      <c r="BM147" s="9" t="s">
        <v>176</v>
      </c>
      <c r="BN147" s="9">
        <v>3</v>
      </c>
      <c r="BO147" s="9" t="s">
        <v>500</v>
      </c>
      <c r="BP147" s="9" t="s">
        <v>500</v>
      </c>
      <c r="BQ147" s="9" t="s">
        <v>99</v>
      </c>
      <c r="BR147" s="9" t="s">
        <v>500</v>
      </c>
      <c r="BS147" s="9" t="s">
        <v>500</v>
      </c>
      <c r="BT147" s="9" t="s">
        <v>500</v>
      </c>
      <c r="BU147" s="9" t="s">
        <v>1979</v>
      </c>
      <c r="BV147" s="9" t="s">
        <v>500</v>
      </c>
      <c r="BW147" s="9" t="s">
        <v>500</v>
      </c>
      <c r="BX147" s="9" t="s">
        <v>500</v>
      </c>
      <c r="BY147" s="9" t="s">
        <v>350</v>
      </c>
      <c r="BZ147" s="9">
        <v>2</v>
      </c>
      <c r="CA147" s="9" t="s">
        <v>500</v>
      </c>
      <c r="CB147" s="9" t="s">
        <v>500</v>
      </c>
      <c r="CC147" s="9" t="s">
        <v>500</v>
      </c>
      <c r="CD147" s="9" t="s">
        <v>500</v>
      </c>
      <c r="CE147" s="9" t="s">
        <v>500</v>
      </c>
      <c r="CF147" s="9" t="s">
        <v>500</v>
      </c>
      <c r="CG147" s="9" t="s">
        <v>500</v>
      </c>
      <c r="CH147" s="9" t="s">
        <v>500</v>
      </c>
      <c r="CI147" s="9" t="s">
        <v>500</v>
      </c>
      <c r="CJ147" s="9" t="s">
        <v>500</v>
      </c>
      <c r="CK147" s="9" t="s">
        <v>110</v>
      </c>
      <c r="CL147" s="9" t="s">
        <v>500</v>
      </c>
      <c r="CM147" s="9" t="s">
        <v>500</v>
      </c>
      <c r="CN147" s="9" t="s">
        <v>500</v>
      </c>
      <c r="CO147" s="9" t="s">
        <v>350</v>
      </c>
      <c r="CP147" s="9" t="s">
        <v>500</v>
      </c>
      <c r="CQ147" s="9" t="s">
        <v>500</v>
      </c>
      <c r="CR147" s="9" t="s">
        <v>500</v>
      </c>
      <c r="CS147" s="9" t="s">
        <v>99</v>
      </c>
      <c r="CT147" s="9" t="s">
        <v>500</v>
      </c>
      <c r="CU147" s="9" t="s">
        <v>500</v>
      </c>
      <c r="CV147" s="9" t="s">
        <v>500</v>
      </c>
      <c r="CW147" s="9">
        <v>2</v>
      </c>
      <c r="CX147" s="9" t="s">
        <v>5955</v>
      </c>
      <c r="CY147" s="9" t="s">
        <v>110</v>
      </c>
      <c r="CZ147" s="9">
        <v>2</v>
      </c>
      <c r="DA147" s="9">
        <v>2</v>
      </c>
      <c r="DB147" s="9">
        <v>0</v>
      </c>
      <c r="DC147" s="10">
        <v>107.5</v>
      </c>
      <c r="DD147" s="9">
        <v>0.71</v>
      </c>
      <c r="DE147" s="10">
        <v>246</v>
      </c>
      <c r="DF147" s="10">
        <v>352</v>
      </c>
      <c r="DG147" s="9">
        <f t="shared" si="2"/>
        <v>5.2705610115829069</v>
      </c>
      <c r="DH147" s="9">
        <v>70.400000000000006</v>
      </c>
      <c r="DI147" s="10">
        <v>8.43</v>
      </c>
      <c r="DL147" s="10">
        <v>33.9</v>
      </c>
      <c r="DM147" s="9">
        <v>141.69999999999999</v>
      </c>
      <c r="DN147" s="9"/>
      <c r="DO147" s="9"/>
      <c r="DU147">
        <v>2.6</v>
      </c>
    </row>
    <row r="148" spans="1:125" customFormat="1" x14ac:dyDescent="0.2">
      <c r="A148" s="161" t="s">
        <v>5956</v>
      </c>
      <c r="B148" s="128">
        <v>43803</v>
      </c>
      <c r="C148" s="127" t="s">
        <v>196</v>
      </c>
      <c r="D148" s="127">
        <v>66</v>
      </c>
      <c r="E148" s="127" t="s">
        <v>1338</v>
      </c>
      <c r="F148" s="128">
        <v>19774</v>
      </c>
      <c r="G148" s="127" t="s">
        <v>2495</v>
      </c>
      <c r="H148" s="127" t="s">
        <v>5957</v>
      </c>
      <c r="I148" s="127" t="s">
        <v>500</v>
      </c>
      <c r="J148" s="127" t="s">
        <v>500</v>
      </c>
      <c r="K148" s="156">
        <v>29921</v>
      </c>
      <c r="L148" s="127">
        <v>2</v>
      </c>
      <c r="M148" s="127" t="s">
        <v>99</v>
      </c>
      <c r="N148" s="127" t="s">
        <v>99</v>
      </c>
      <c r="O148" s="127" t="s">
        <v>99</v>
      </c>
      <c r="P148" s="127" t="s">
        <v>99</v>
      </c>
      <c r="Q148" s="127" t="s">
        <v>99</v>
      </c>
      <c r="R148" s="127" t="s">
        <v>99</v>
      </c>
      <c r="S148" s="127" t="s">
        <v>99</v>
      </c>
      <c r="T148" s="127" t="s">
        <v>5958</v>
      </c>
      <c r="U148" s="127" t="s">
        <v>500</v>
      </c>
      <c r="V148" s="127" t="s">
        <v>500</v>
      </c>
      <c r="W148" s="127" t="s">
        <v>99</v>
      </c>
      <c r="X148" s="127" t="s">
        <v>99</v>
      </c>
      <c r="Y148" s="127" t="s">
        <v>5959</v>
      </c>
      <c r="Z148" s="127" t="s">
        <v>99</v>
      </c>
      <c r="AA148" s="127" t="s">
        <v>1338</v>
      </c>
      <c r="AB148" s="127" t="s">
        <v>1338</v>
      </c>
      <c r="AC148" s="127" t="s">
        <v>1338</v>
      </c>
      <c r="AD148" s="127" t="s">
        <v>1338</v>
      </c>
      <c r="AE148" s="127" t="s">
        <v>99</v>
      </c>
      <c r="AF148" s="127" t="s">
        <v>99</v>
      </c>
      <c r="AG148" s="127" t="s">
        <v>5960</v>
      </c>
      <c r="AH148" s="129" t="s">
        <v>99</v>
      </c>
      <c r="AI148" s="127" t="s">
        <v>5104</v>
      </c>
      <c r="AJ148" s="9" t="s">
        <v>99</v>
      </c>
      <c r="AK148" s="9" t="s">
        <v>99</v>
      </c>
      <c r="AL148" s="9">
        <v>49.6</v>
      </c>
      <c r="AM148" s="9">
        <v>158</v>
      </c>
      <c r="AN148" s="7">
        <v>81</v>
      </c>
      <c r="AO148" s="9">
        <v>91</v>
      </c>
      <c r="AP148" s="9">
        <v>30</v>
      </c>
      <c r="AQ148" s="9">
        <v>5</v>
      </c>
      <c r="AR148" s="9">
        <v>24.4</v>
      </c>
      <c r="AS148" s="9">
        <v>38</v>
      </c>
      <c r="AT148" s="7">
        <v>19.899999999999999</v>
      </c>
      <c r="AU148" s="10">
        <v>149</v>
      </c>
      <c r="AV148" s="10">
        <v>80</v>
      </c>
      <c r="AW148" s="9" t="s">
        <v>110</v>
      </c>
      <c r="AX148" s="9" t="s">
        <v>1128</v>
      </c>
      <c r="AY148" s="9" t="s">
        <v>1657</v>
      </c>
      <c r="AZ148" s="9" t="s">
        <v>5961</v>
      </c>
      <c r="BA148" s="9" t="s">
        <v>110</v>
      </c>
      <c r="BB148" s="9" t="s">
        <v>2635</v>
      </c>
      <c r="BC148" s="9" t="s">
        <v>5962</v>
      </c>
      <c r="BD148" s="9" t="s">
        <v>500</v>
      </c>
      <c r="BE148" s="9" t="s">
        <v>110</v>
      </c>
      <c r="BF148" s="9" t="s">
        <v>2653</v>
      </c>
      <c r="BG148" s="9" t="s">
        <v>99</v>
      </c>
      <c r="BH148" s="9" t="s">
        <v>99</v>
      </c>
      <c r="BI148" s="9" t="s">
        <v>213</v>
      </c>
      <c r="BJ148" s="9" t="s">
        <v>99</v>
      </c>
      <c r="BK148" s="9" t="s">
        <v>5934</v>
      </c>
      <c r="BL148" s="9" t="s">
        <v>110</v>
      </c>
      <c r="BM148" s="9" t="s">
        <v>176</v>
      </c>
      <c r="BN148" s="9" t="s">
        <v>2608</v>
      </c>
      <c r="BO148" s="9" t="s">
        <v>3743</v>
      </c>
      <c r="BP148" s="9" t="s">
        <v>4014</v>
      </c>
      <c r="BQ148" s="9" t="s">
        <v>99</v>
      </c>
      <c r="BR148" s="9" t="s">
        <v>500</v>
      </c>
      <c r="BS148" s="9" t="s">
        <v>500</v>
      </c>
      <c r="BT148" s="9" t="s">
        <v>500</v>
      </c>
      <c r="BU148" s="9" t="s">
        <v>99</v>
      </c>
      <c r="BV148" s="9" t="s">
        <v>500</v>
      </c>
      <c r="BW148" s="9" t="s">
        <v>500</v>
      </c>
      <c r="BX148" s="9" t="s">
        <v>500</v>
      </c>
      <c r="BY148" s="9" t="s">
        <v>351</v>
      </c>
      <c r="BZ148" s="9" t="s">
        <v>184</v>
      </c>
      <c r="CA148" s="9" t="s">
        <v>1137</v>
      </c>
      <c r="CB148" s="9" t="s">
        <v>183</v>
      </c>
      <c r="CC148" s="9" t="s">
        <v>99</v>
      </c>
      <c r="CD148" s="9" t="s">
        <v>500</v>
      </c>
      <c r="CE148" s="9" t="s">
        <v>500</v>
      </c>
      <c r="CF148" s="9" t="s">
        <v>500</v>
      </c>
      <c r="CG148" s="9" t="s">
        <v>99</v>
      </c>
      <c r="CH148" s="9" t="s">
        <v>500</v>
      </c>
      <c r="CI148" s="9" t="s">
        <v>500</v>
      </c>
      <c r="CJ148" s="9" t="s">
        <v>500</v>
      </c>
      <c r="CK148" s="9" t="s">
        <v>110</v>
      </c>
      <c r="CL148" s="9" t="s">
        <v>579</v>
      </c>
      <c r="CM148" s="9" t="s">
        <v>581</v>
      </c>
      <c r="CN148" s="9" t="s">
        <v>500</v>
      </c>
      <c r="CO148" s="9" t="s">
        <v>110</v>
      </c>
      <c r="CP148" s="9" t="s">
        <v>890</v>
      </c>
      <c r="CQ148" s="9" t="s">
        <v>2641</v>
      </c>
      <c r="CR148" s="9" t="s">
        <v>5540</v>
      </c>
      <c r="CS148" s="9" t="s">
        <v>99</v>
      </c>
      <c r="CT148" s="9" t="s">
        <v>500</v>
      </c>
      <c r="CU148" s="9" t="s">
        <v>500</v>
      </c>
      <c r="CV148" s="9" t="s">
        <v>500</v>
      </c>
      <c r="CW148" s="9">
        <v>2</v>
      </c>
      <c r="CX148" s="9" t="s">
        <v>99</v>
      </c>
      <c r="CY148" s="9" t="s">
        <v>2643</v>
      </c>
      <c r="CZ148" s="9">
        <v>40</v>
      </c>
      <c r="DA148" s="9">
        <v>40</v>
      </c>
      <c r="DB148" s="9">
        <v>50</v>
      </c>
      <c r="DC148" s="9">
        <v>77</v>
      </c>
      <c r="DD148" s="9">
        <v>0.57999999999999996</v>
      </c>
      <c r="DE148" s="10">
        <v>209</v>
      </c>
      <c r="DF148" s="9">
        <v>108</v>
      </c>
      <c r="DG148" s="9">
        <f t="shared" si="2"/>
        <v>4.512968324488952</v>
      </c>
      <c r="DH148" s="9">
        <v>21.6</v>
      </c>
      <c r="DI148" s="9">
        <v>3.75</v>
      </c>
      <c r="DJ148" s="9"/>
      <c r="DK148" s="9"/>
      <c r="DL148" s="9">
        <v>55.2</v>
      </c>
      <c r="DM148" s="9">
        <v>132.19999999999999</v>
      </c>
      <c r="DN148" s="9"/>
      <c r="DO148" s="9"/>
      <c r="DP148" s="27">
        <v>2</v>
      </c>
      <c r="DR148">
        <v>2</v>
      </c>
      <c r="DU148">
        <v>3.4</v>
      </c>
    </row>
    <row r="149" spans="1:125" customFormat="1" x14ac:dyDescent="0.2">
      <c r="A149" s="157" t="s">
        <v>5996</v>
      </c>
      <c r="B149" s="128">
        <v>43803</v>
      </c>
      <c r="C149" s="127" t="s">
        <v>196</v>
      </c>
      <c r="D149" s="127">
        <v>60</v>
      </c>
      <c r="E149" s="127" t="s">
        <v>100</v>
      </c>
      <c r="F149" s="128">
        <v>21553</v>
      </c>
      <c r="G149" s="127" t="s">
        <v>2495</v>
      </c>
      <c r="H149" s="127" t="s">
        <v>5988</v>
      </c>
      <c r="I149" s="127" t="s">
        <v>5582</v>
      </c>
      <c r="J149" s="127" t="s">
        <v>500</v>
      </c>
      <c r="K149" s="127" t="s">
        <v>5997</v>
      </c>
      <c r="L149" s="127">
        <v>4</v>
      </c>
      <c r="M149" s="127" t="s">
        <v>99</v>
      </c>
      <c r="N149" s="127" t="s">
        <v>99</v>
      </c>
      <c r="O149" s="127" t="s">
        <v>99</v>
      </c>
      <c r="P149" s="127" t="s">
        <v>99</v>
      </c>
      <c r="Q149" s="127" t="s">
        <v>4722</v>
      </c>
      <c r="R149" s="127" t="s">
        <v>500</v>
      </c>
      <c r="S149" s="127" t="s">
        <v>99</v>
      </c>
      <c r="T149" s="127" t="s">
        <v>99</v>
      </c>
      <c r="U149" s="127" t="s">
        <v>99</v>
      </c>
      <c r="V149" s="127" t="s">
        <v>99</v>
      </c>
      <c r="W149" s="127" t="s">
        <v>99</v>
      </c>
      <c r="X149" s="127" t="s">
        <v>99</v>
      </c>
      <c r="Y149" s="127" t="s">
        <v>99</v>
      </c>
      <c r="Z149" s="127" t="s">
        <v>5998</v>
      </c>
      <c r="AA149" s="127" t="s">
        <v>100</v>
      </c>
      <c r="AB149" s="127" t="s">
        <v>100</v>
      </c>
      <c r="AC149" s="127" t="s">
        <v>100</v>
      </c>
      <c r="AD149" s="127" t="s">
        <v>100</v>
      </c>
      <c r="AE149" s="127" t="s">
        <v>246</v>
      </c>
      <c r="AF149" s="127" t="s">
        <v>99</v>
      </c>
      <c r="AG149" s="127" t="s">
        <v>1127</v>
      </c>
      <c r="AH149" s="129" t="s">
        <v>246</v>
      </c>
      <c r="AI149" s="127" t="s">
        <v>99</v>
      </c>
      <c r="AJ149" s="9" t="s">
        <v>99</v>
      </c>
      <c r="AK149" s="9" t="s">
        <v>99</v>
      </c>
      <c r="AL149" s="9">
        <v>85.1</v>
      </c>
      <c r="AM149" s="9">
        <v>165</v>
      </c>
      <c r="AN149" s="10">
        <v>106</v>
      </c>
      <c r="AO149" s="9">
        <v>120</v>
      </c>
      <c r="AP149" s="9">
        <v>47.7</v>
      </c>
      <c r="AQ149" s="9">
        <v>12</v>
      </c>
      <c r="AR149" s="9">
        <v>23</v>
      </c>
      <c r="AS149" s="9">
        <v>71</v>
      </c>
      <c r="AT149" s="9">
        <v>32.5</v>
      </c>
      <c r="AU149" s="9">
        <v>101</v>
      </c>
      <c r="AV149" s="9">
        <v>69</v>
      </c>
      <c r="AW149" s="9" t="s">
        <v>110</v>
      </c>
      <c r="AX149" s="9" t="s">
        <v>213</v>
      </c>
      <c r="AY149" s="9" t="s">
        <v>500</v>
      </c>
      <c r="AZ149" s="9" t="s">
        <v>500</v>
      </c>
      <c r="BA149" s="9" t="s">
        <v>110</v>
      </c>
      <c r="BB149" s="9" t="s">
        <v>1469</v>
      </c>
      <c r="BC149" s="9" t="s">
        <v>500</v>
      </c>
      <c r="BD149" s="9" t="s">
        <v>500</v>
      </c>
      <c r="BE149" s="9" t="s">
        <v>110</v>
      </c>
      <c r="BF149" s="9" t="s">
        <v>5999</v>
      </c>
      <c r="BG149" s="9" t="s">
        <v>213</v>
      </c>
      <c r="BH149" s="9" t="s">
        <v>99</v>
      </c>
      <c r="BI149" s="9" t="s">
        <v>5510</v>
      </c>
      <c r="BJ149" s="9" t="s">
        <v>99</v>
      </c>
      <c r="BK149" s="9" t="s">
        <v>5513</v>
      </c>
      <c r="BL149" s="9" t="s">
        <v>110</v>
      </c>
      <c r="BM149" s="9" t="s">
        <v>350</v>
      </c>
      <c r="BN149" s="9" t="s">
        <v>180</v>
      </c>
      <c r="BO149" s="9" t="s">
        <v>6000</v>
      </c>
      <c r="BP149" s="9" t="s">
        <v>179</v>
      </c>
      <c r="BQ149" s="9" t="s">
        <v>99</v>
      </c>
      <c r="BR149" s="9" t="s">
        <v>500</v>
      </c>
      <c r="BS149" s="9" t="s">
        <v>500</v>
      </c>
      <c r="BT149" s="9" t="s">
        <v>500</v>
      </c>
      <c r="BU149" s="9" t="s">
        <v>500</v>
      </c>
      <c r="BV149" s="9" t="s">
        <v>500</v>
      </c>
      <c r="BW149" s="9" t="s">
        <v>500</v>
      </c>
      <c r="BX149" s="9" t="s">
        <v>500</v>
      </c>
      <c r="BY149" s="9" t="s">
        <v>351</v>
      </c>
      <c r="BZ149" s="9" t="s">
        <v>184</v>
      </c>
      <c r="CA149" s="9" t="s">
        <v>578</v>
      </c>
      <c r="CB149" s="9" t="s">
        <v>182</v>
      </c>
      <c r="CC149" s="9" t="s">
        <v>6001</v>
      </c>
      <c r="CD149" s="9" t="s">
        <v>500</v>
      </c>
      <c r="CE149" s="9" t="s">
        <v>500</v>
      </c>
      <c r="CF149" s="9" t="s">
        <v>500</v>
      </c>
      <c r="CG149" s="9" t="s">
        <v>500</v>
      </c>
      <c r="CH149" s="9" t="s">
        <v>500</v>
      </c>
      <c r="CI149" s="9" t="s">
        <v>500</v>
      </c>
      <c r="CJ149" s="9" t="s">
        <v>500</v>
      </c>
      <c r="CK149" s="9" t="s">
        <v>110</v>
      </c>
      <c r="CL149" s="9" t="s">
        <v>5971</v>
      </c>
      <c r="CM149" s="9" t="s">
        <v>5985</v>
      </c>
      <c r="CN149" s="9" t="s">
        <v>6002</v>
      </c>
      <c r="CO149" s="9" t="s">
        <v>110</v>
      </c>
      <c r="CP149" s="9" t="s">
        <v>890</v>
      </c>
      <c r="CQ149" s="9" t="s">
        <v>3312</v>
      </c>
      <c r="CR149" s="9" t="s">
        <v>500</v>
      </c>
      <c r="CS149" s="9" t="s">
        <v>350</v>
      </c>
      <c r="CT149" s="9" t="s">
        <v>727</v>
      </c>
      <c r="CU149" s="9" t="s">
        <v>500</v>
      </c>
      <c r="CV149" s="9" t="s">
        <v>500</v>
      </c>
      <c r="CW149" s="9">
        <v>3</v>
      </c>
      <c r="CX149" s="9" t="s">
        <v>6003</v>
      </c>
      <c r="CY149" s="9" t="s">
        <v>2756</v>
      </c>
      <c r="CZ149" s="9">
        <v>25</v>
      </c>
      <c r="DA149" s="9">
        <v>25</v>
      </c>
      <c r="DB149" s="9">
        <v>50</v>
      </c>
      <c r="DC149" s="9">
        <v>90.1</v>
      </c>
      <c r="DD149" s="9">
        <v>0.97</v>
      </c>
      <c r="DE149" s="9">
        <v>247</v>
      </c>
      <c r="DF149" s="9">
        <v>162</v>
      </c>
      <c r="DG149" s="9">
        <f t="shared" si="2"/>
        <v>4.7942582499233382</v>
      </c>
      <c r="DH149" s="9">
        <v>32.4</v>
      </c>
      <c r="DI149" s="9">
        <v>6.73</v>
      </c>
      <c r="DJ149" s="9"/>
      <c r="DK149" s="9"/>
      <c r="DL149" s="9">
        <v>45.6</v>
      </c>
      <c r="DM149" s="9">
        <v>169</v>
      </c>
      <c r="DN149" s="9"/>
      <c r="DO149" s="9"/>
      <c r="DP149" s="53">
        <v>3</v>
      </c>
      <c r="DR149">
        <v>3</v>
      </c>
      <c r="DU149">
        <v>6.1</v>
      </c>
    </row>
    <row r="150" spans="1:125" customFormat="1" x14ac:dyDescent="0.2">
      <c r="A150" s="157" t="s">
        <v>6004</v>
      </c>
      <c r="B150" s="128">
        <v>43803</v>
      </c>
      <c r="C150" s="127" t="s">
        <v>675</v>
      </c>
      <c r="D150" s="127">
        <v>39</v>
      </c>
      <c r="E150" s="127" t="s">
        <v>100</v>
      </c>
      <c r="F150" s="128">
        <v>29538</v>
      </c>
      <c r="G150" s="127" t="s">
        <v>837</v>
      </c>
      <c r="H150" s="127" t="s">
        <v>6005</v>
      </c>
      <c r="I150" s="127" t="s">
        <v>500</v>
      </c>
      <c r="J150" s="127" t="s">
        <v>500</v>
      </c>
      <c r="K150" s="127" t="s">
        <v>500</v>
      </c>
      <c r="L150" s="127" t="s">
        <v>500</v>
      </c>
      <c r="M150" s="127" t="s">
        <v>99</v>
      </c>
      <c r="N150" s="127" t="s">
        <v>6006</v>
      </c>
      <c r="O150" s="127" t="s">
        <v>6007</v>
      </c>
      <c r="P150" s="127" t="s">
        <v>6008</v>
      </c>
      <c r="Q150" s="127" t="s">
        <v>1639</v>
      </c>
      <c r="R150" s="127" t="s">
        <v>110</v>
      </c>
      <c r="S150" s="127" t="s">
        <v>110</v>
      </c>
      <c r="T150" s="127" t="s">
        <v>500</v>
      </c>
      <c r="U150" s="127" t="s">
        <v>500</v>
      </c>
      <c r="V150" s="127" t="s">
        <v>99</v>
      </c>
      <c r="W150" s="127" t="s">
        <v>6009</v>
      </c>
      <c r="X150" s="127" t="s">
        <v>99</v>
      </c>
      <c r="Y150" s="127" t="s">
        <v>99</v>
      </c>
      <c r="Z150" s="127" t="s">
        <v>6010</v>
      </c>
      <c r="AA150" s="127" t="s">
        <v>100</v>
      </c>
      <c r="AB150" s="127" t="s">
        <v>100</v>
      </c>
      <c r="AC150" s="127" t="s">
        <v>100</v>
      </c>
      <c r="AD150" s="127" t="s">
        <v>100</v>
      </c>
      <c r="AE150" s="127" t="s">
        <v>6011</v>
      </c>
      <c r="AF150" s="127" t="s">
        <v>6011</v>
      </c>
      <c r="AG150" s="127" t="s">
        <v>6012</v>
      </c>
      <c r="AH150" s="129" t="s">
        <v>4981</v>
      </c>
      <c r="AI150" s="127" t="s">
        <v>99</v>
      </c>
      <c r="AJ150" s="9" t="s">
        <v>99</v>
      </c>
      <c r="AK150" s="9" t="s">
        <v>99</v>
      </c>
      <c r="AL150" s="9">
        <v>114.7</v>
      </c>
      <c r="AM150" s="9">
        <v>176</v>
      </c>
      <c r="AN150" s="10">
        <v>111</v>
      </c>
      <c r="AO150" s="9">
        <v>124</v>
      </c>
      <c r="AP150" s="9">
        <v>46.3</v>
      </c>
      <c r="AQ150" s="9">
        <v>22</v>
      </c>
      <c r="AR150" s="9">
        <v>23.1</v>
      </c>
      <c r="AS150" s="9">
        <v>80</v>
      </c>
      <c r="AT150" s="9">
        <v>37</v>
      </c>
      <c r="AU150" s="10">
        <v>144</v>
      </c>
      <c r="AV150" s="10">
        <v>96</v>
      </c>
      <c r="AW150" s="9" t="s">
        <v>110</v>
      </c>
      <c r="AX150" s="9" t="s">
        <v>6013</v>
      </c>
      <c r="AY150" s="9" t="s">
        <v>2050</v>
      </c>
      <c r="AZ150" s="9" t="s">
        <v>1977</v>
      </c>
      <c r="BA150" s="9" t="s">
        <v>110</v>
      </c>
      <c r="BB150" s="9" t="s">
        <v>6014</v>
      </c>
      <c r="BC150" s="9" t="s">
        <v>6015</v>
      </c>
      <c r="BD150" s="9" t="s">
        <v>2053</v>
      </c>
      <c r="BE150" s="9" t="s">
        <v>110</v>
      </c>
      <c r="BF150" s="9" t="s">
        <v>707</v>
      </c>
      <c r="BG150" s="9" t="s">
        <v>707</v>
      </c>
      <c r="BH150" s="9" t="s">
        <v>213</v>
      </c>
      <c r="BI150" s="9" t="s">
        <v>1469</v>
      </c>
      <c r="BJ150" s="9" t="s">
        <v>5442</v>
      </c>
      <c r="BK150" s="9" t="s">
        <v>6016</v>
      </c>
      <c r="BL150" s="9" t="s">
        <v>110</v>
      </c>
      <c r="BM150" s="9" t="s">
        <v>350</v>
      </c>
      <c r="BN150" s="9" t="s">
        <v>6017</v>
      </c>
      <c r="BO150" s="9" t="s">
        <v>5057</v>
      </c>
      <c r="BP150" s="9" t="s">
        <v>500</v>
      </c>
      <c r="BQ150" s="9" t="s">
        <v>350</v>
      </c>
      <c r="BR150" s="9" t="s">
        <v>2747</v>
      </c>
      <c r="BS150" s="9" t="s">
        <v>500</v>
      </c>
      <c r="BT150" s="9" t="s">
        <v>500</v>
      </c>
      <c r="BU150" s="9" t="s">
        <v>350</v>
      </c>
      <c r="BV150" s="9" t="s">
        <v>1469</v>
      </c>
      <c r="BW150" s="9" t="s">
        <v>500</v>
      </c>
      <c r="BX150" s="9" t="s">
        <v>500</v>
      </c>
      <c r="BY150" s="9" t="s">
        <v>350</v>
      </c>
      <c r="BZ150" s="9" t="s">
        <v>6018</v>
      </c>
      <c r="CA150" s="9" t="s">
        <v>500</v>
      </c>
      <c r="CB150" s="9" t="s">
        <v>500</v>
      </c>
      <c r="CC150" s="9" t="s">
        <v>350</v>
      </c>
      <c r="CD150" s="9" t="s">
        <v>2747</v>
      </c>
      <c r="CE150" s="9" t="s">
        <v>500</v>
      </c>
      <c r="CF150" s="9" t="s">
        <v>500</v>
      </c>
      <c r="CG150" s="9" t="s">
        <v>500</v>
      </c>
      <c r="CH150" s="9" t="s">
        <v>500</v>
      </c>
      <c r="CI150" s="9" t="s">
        <v>500</v>
      </c>
      <c r="CJ150" s="9" t="s">
        <v>500</v>
      </c>
      <c r="CK150" s="9" t="s">
        <v>110</v>
      </c>
      <c r="CL150" s="9" t="s">
        <v>358</v>
      </c>
      <c r="CM150" s="9" t="s">
        <v>6019</v>
      </c>
      <c r="CN150" s="9" t="s">
        <v>6020</v>
      </c>
      <c r="CO150" s="9" t="s">
        <v>176</v>
      </c>
      <c r="CP150" s="9" t="s">
        <v>716</v>
      </c>
      <c r="CQ150" s="9" t="s">
        <v>361</v>
      </c>
      <c r="CR150" s="9" t="s">
        <v>6021</v>
      </c>
      <c r="CS150" s="9" t="s">
        <v>350</v>
      </c>
      <c r="CT150" s="9" t="s">
        <v>500</v>
      </c>
      <c r="CU150" s="9" t="s">
        <v>500</v>
      </c>
      <c r="CV150" s="9" t="s">
        <v>500</v>
      </c>
      <c r="CW150" s="9">
        <v>3</v>
      </c>
      <c r="CX150" s="9" t="s">
        <v>99</v>
      </c>
      <c r="CY150" s="9" t="s">
        <v>110</v>
      </c>
      <c r="CZ150" s="9" t="s">
        <v>500</v>
      </c>
      <c r="DA150" s="9" t="s">
        <v>500</v>
      </c>
      <c r="DB150" s="9" t="s">
        <v>500</v>
      </c>
      <c r="DC150" s="9">
        <v>97</v>
      </c>
      <c r="DD150" s="9">
        <v>1.6</v>
      </c>
      <c r="DE150" s="9">
        <v>182</v>
      </c>
      <c r="DF150" s="9">
        <v>142</v>
      </c>
      <c r="DG150" s="9">
        <f t="shared" si="2"/>
        <v>4.7652690180523214</v>
      </c>
      <c r="DH150" s="9">
        <v>28.4</v>
      </c>
      <c r="DI150" s="10">
        <v>7.65</v>
      </c>
      <c r="DJ150" s="9"/>
      <c r="DK150" s="9"/>
      <c r="DL150" s="9">
        <v>38.9</v>
      </c>
      <c r="DM150" s="9">
        <v>114.7</v>
      </c>
      <c r="DN150" s="9"/>
      <c r="DO150" s="9"/>
      <c r="DP150" s="27">
        <v>2</v>
      </c>
      <c r="DR150">
        <v>2</v>
      </c>
    </row>
    <row r="151" spans="1:125" customFormat="1" x14ac:dyDescent="0.2">
      <c r="A151" s="163" t="s">
        <v>6060</v>
      </c>
      <c r="B151" s="69">
        <v>43802</v>
      </c>
      <c r="C151" s="136" t="s">
        <v>196</v>
      </c>
      <c r="D151" s="136">
        <v>49</v>
      </c>
      <c r="E151" s="136" t="s">
        <v>100</v>
      </c>
      <c r="F151" s="69">
        <v>43514</v>
      </c>
      <c r="G151" s="136" t="s">
        <v>500</v>
      </c>
      <c r="H151" s="136" t="s">
        <v>5520</v>
      </c>
      <c r="I151" s="136" t="s">
        <v>2020</v>
      </c>
      <c r="J151" s="136" t="s">
        <v>500</v>
      </c>
      <c r="K151" s="29">
        <v>1991</v>
      </c>
      <c r="L151" s="29">
        <v>4</v>
      </c>
      <c r="M151" s="136" t="s">
        <v>99</v>
      </c>
      <c r="N151" s="136" t="s">
        <v>99</v>
      </c>
      <c r="O151" s="136" t="s">
        <v>99</v>
      </c>
      <c r="P151" s="136" t="s">
        <v>99</v>
      </c>
      <c r="Q151" s="136" t="s">
        <v>4722</v>
      </c>
      <c r="R151" s="136" t="s">
        <v>99</v>
      </c>
      <c r="S151" s="136" t="s">
        <v>99</v>
      </c>
      <c r="T151" s="136" t="s">
        <v>99</v>
      </c>
      <c r="U151" s="136" t="s">
        <v>110</v>
      </c>
      <c r="V151" s="136" t="s">
        <v>6061</v>
      </c>
      <c r="W151" s="136" t="s">
        <v>99</v>
      </c>
      <c r="X151" s="136" t="s">
        <v>99</v>
      </c>
      <c r="Y151" s="136" t="s">
        <v>99</v>
      </c>
      <c r="Z151" s="136" t="s">
        <v>99</v>
      </c>
      <c r="AA151" s="136" t="s">
        <v>204</v>
      </c>
      <c r="AB151" s="136" t="s">
        <v>100</v>
      </c>
      <c r="AC151" s="136" t="s">
        <v>5409</v>
      </c>
      <c r="AD151" s="136" t="s">
        <v>5409</v>
      </c>
      <c r="AE151" s="136" t="s">
        <v>246</v>
      </c>
      <c r="AF151" s="136" t="s">
        <v>246</v>
      </c>
      <c r="AG151" s="136" t="s">
        <v>6062</v>
      </c>
      <c r="AH151" s="137" t="s">
        <v>246</v>
      </c>
      <c r="AI151" s="136" t="s">
        <v>1127</v>
      </c>
      <c r="AJ151" s="53" t="s">
        <v>99</v>
      </c>
      <c r="AK151" s="53" t="s">
        <v>99</v>
      </c>
      <c r="AL151" s="53">
        <v>88.6</v>
      </c>
      <c r="AM151" s="53">
        <v>165</v>
      </c>
      <c r="AN151" s="139">
        <v>105</v>
      </c>
      <c r="AO151" s="53">
        <v>120</v>
      </c>
      <c r="AP151" s="53">
        <v>49.1</v>
      </c>
      <c r="AQ151" s="53">
        <v>10</v>
      </c>
      <c r="AR151" s="53">
        <v>21.9</v>
      </c>
      <c r="AS151" s="53">
        <v>65</v>
      </c>
      <c r="AT151" s="53">
        <v>32.5</v>
      </c>
      <c r="AU151" s="53">
        <v>121</v>
      </c>
      <c r="AV151" s="53">
        <v>62</v>
      </c>
      <c r="AW151" s="53" t="s">
        <v>176</v>
      </c>
      <c r="AX151" s="53" t="s">
        <v>500</v>
      </c>
      <c r="AY151" s="53" t="s">
        <v>500</v>
      </c>
      <c r="AZ151" s="53" t="s">
        <v>500</v>
      </c>
      <c r="BA151" s="53" t="s">
        <v>351</v>
      </c>
      <c r="BB151" s="53" t="s">
        <v>500</v>
      </c>
      <c r="BC151" s="53" t="s">
        <v>500</v>
      </c>
      <c r="BD151" s="53" t="s">
        <v>500</v>
      </c>
      <c r="BE151" s="53" t="s">
        <v>110</v>
      </c>
      <c r="BF151" s="53" t="s">
        <v>5441</v>
      </c>
      <c r="BG151" s="53" t="s">
        <v>1469</v>
      </c>
      <c r="BH151" s="53" t="s">
        <v>1469</v>
      </c>
      <c r="BI151" s="53" t="s">
        <v>1469</v>
      </c>
      <c r="BJ151" s="53" t="s">
        <v>1469</v>
      </c>
      <c r="BK151" s="53" t="s">
        <v>1469</v>
      </c>
      <c r="BL151" s="53" t="s">
        <v>110</v>
      </c>
      <c r="BM151" s="53" t="s">
        <v>350</v>
      </c>
      <c r="BN151" s="53" t="s">
        <v>500</v>
      </c>
      <c r="BO151" s="53" t="s">
        <v>500</v>
      </c>
      <c r="BP151" s="53" t="s">
        <v>500</v>
      </c>
      <c r="BQ151" s="53" t="s">
        <v>99</v>
      </c>
      <c r="BR151" s="53" t="s">
        <v>500</v>
      </c>
      <c r="BS151" s="53" t="s">
        <v>500</v>
      </c>
      <c r="BT151" s="53" t="s">
        <v>500</v>
      </c>
      <c r="BU151" s="53" t="s">
        <v>99</v>
      </c>
      <c r="BV151" s="53" t="s">
        <v>500</v>
      </c>
      <c r="BW151" s="53" t="s">
        <v>500</v>
      </c>
      <c r="BX151" s="53" t="s">
        <v>500</v>
      </c>
      <c r="BY151" s="53" t="s">
        <v>350</v>
      </c>
      <c r="BZ151" s="53" t="s">
        <v>707</v>
      </c>
      <c r="CA151" s="53" t="s">
        <v>500</v>
      </c>
      <c r="CB151" s="53" t="s">
        <v>500</v>
      </c>
      <c r="CC151" s="53" t="s">
        <v>99</v>
      </c>
      <c r="CD151" s="53" t="s">
        <v>500</v>
      </c>
      <c r="CE151" s="53" t="s">
        <v>500</v>
      </c>
      <c r="CF151" s="53" t="s">
        <v>500</v>
      </c>
      <c r="CG151" s="53" t="s">
        <v>99</v>
      </c>
      <c r="CH151" s="53" t="s">
        <v>500</v>
      </c>
      <c r="CI151" s="53" t="s">
        <v>500</v>
      </c>
      <c r="CJ151" s="53" t="s">
        <v>500</v>
      </c>
      <c r="CK151" s="53" t="s">
        <v>176</v>
      </c>
      <c r="CL151" s="53" t="s">
        <v>579</v>
      </c>
      <c r="CM151" s="53" t="s">
        <v>500</v>
      </c>
      <c r="CN151" s="53" t="s">
        <v>500</v>
      </c>
      <c r="CO151" s="53" t="s">
        <v>110</v>
      </c>
      <c r="CP151" s="53" t="s">
        <v>5498</v>
      </c>
      <c r="CQ151" s="53" t="s">
        <v>500</v>
      </c>
      <c r="CR151" s="53" t="s">
        <v>500</v>
      </c>
      <c r="CS151" s="53" t="s">
        <v>350</v>
      </c>
      <c r="CT151" s="53" t="s">
        <v>2747</v>
      </c>
      <c r="CU151" s="53" t="s">
        <v>500</v>
      </c>
      <c r="CV151" s="53" t="s">
        <v>500</v>
      </c>
      <c r="CW151" s="53">
        <v>2</v>
      </c>
      <c r="CX151" s="53" t="s">
        <v>110</v>
      </c>
      <c r="CY151" s="53" t="s">
        <v>99</v>
      </c>
      <c r="CZ151" s="53">
        <v>15</v>
      </c>
      <c r="DA151" s="53">
        <v>45</v>
      </c>
      <c r="DB151" s="53">
        <v>40</v>
      </c>
      <c r="DC151" s="53">
        <v>76.2</v>
      </c>
      <c r="DD151" s="53">
        <v>0.67</v>
      </c>
      <c r="DE151" s="53">
        <v>178</v>
      </c>
      <c r="DF151" s="53">
        <v>176</v>
      </c>
      <c r="DG151" s="9">
        <f t="shared" si="2"/>
        <v>4.7519227288653765</v>
      </c>
      <c r="DH151" s="53">
        <v>35.200000000000003</v>
      </c>
      <c r="DI151" s="53">
        <v>4.82</v>
      </c>
      <c r="DJ151" s="53"/>
      <c r="DL151" s="53">
        <v>43.1</v>
      </c>
      <c r="DM151" s="29">
        <v>99.7</v>
      </c>
      <c r="DP151" s="29">
        <v>3</v>
      </c>
      <c r="DR151">
        <v>2</v>
      </c>
    </row>
    <row r="152" spans="1:125" customFormat="1" x14ac:dyDescent="0.2">
      <c r="A152" s="164" t="s">
        <v>6111</v>
      </c>
      <c r="B152" s="69">
        <v>43801</v>
      </c>
      <c r="C152" s="138" t="s">
        <v>196</v>
      </c>
      <c r="D152" s="136">
        <v>53</v>
      </c>
      <c r="E152" s="136" t="s">
        <v>2267</v>
      </c>
      <c r="F152" s="69">
        <v>24219</v>
      </c>
      <c r="G152" s="136" t="s">
        <v>837</v>
      </c>
      <c r="H152" s="136" t="s">
        <v>6112</v>
      </c>
      <c r="I152" s="136" t="s">
        <v>500</v>
      </c>
      <c r="J152" s="136" t="s">
        <v>500</v>
      </c>
      <c r="K152" s="159">
        <v>38444</v>
      </c>
      <c r="L152" s="29">
        <v>3</v>
      </c>
      <c r="M152" s="136" t="s">
        <v>99</v>
      </c>
      <c r="N152" s="136" t="s">
        <v>99</v>
      </c>
      <c r="O152" s="136" t="s">
        <v>99</v>
      </c>
      <c r="P152" s="136" t="s">
        <v>99</v>
      </c>
      <c r="Q152" s="136" t="s">
        <v>5607</v>
      </c>
      <c r="R152" s="136" t="s">
        <v>110</v>
      </c>
      <c r="S152" s="136" t="s">
        <v>110</v>
      </c>
      <c r="T152" s="136" t="s">
        <v>99</v>
      </c>
      <c r="U152" s="136" t="s">
        <v>6113</v>
      </c>
      <c r="V152" s="136" t="s">
        <v>99</v>
      </c>
      <c r="W152" s="136" t="s">
        <v>99</v>
      </c>
      <c r="X152" s="136" t="s">
        <v>99</v>
      </c>
      <c r="Y152" s="136" t="s">
        <v>99</v>
      </c>
      <c r="Z152" s="136" t="s">
        <v>6114</v>
      </c>
      <c r="AA152" s="136" t="s">
        <v>100</v>
      </c>
      <c r="AB152" s="136" t="s">
        <v>204</v>
      </c>
      <c r="AC152" s="136" t="s">
        <v>100</v>
      </c>
      <c r="AD152" s="136" t="s">
        <v>204</v>
      </c>
      <c r="AE152" s="136" t="s">
        <v>1127</v>
      </c>
      <c r="AF152" s="136" t="s">
        <v>99</v>
      </c>
      <c r="AG152" s="136" t="s">
        <v>99</v>
      </c>
      <c r="AH152" s="137" t="s">
        <v>99</v>
      </c>
      <c r="AI152" s="136" t="s">
        <v>99</v>
      </c>
      <c r="AJ152" s="53" t="s">
        <v>99</v>
      </c>
      <c r="AK152" s="53" t="s">
        <v>99</v>
      </c>
      <c r="AL152" s="53">
        <v>83.6</v>
      </c>
      <c r="AM152" s="53">
        <v>165</v>
      </c>
      <c r="AN152" s="53">
        <v>98</v>
      </c>
      <c r="AO152" s="53">
        <v>103</v>
      </c>
      <c r="AP152" s="53">
        <v>38.4</v>
      </c>
      <c r="AQ152" s="53">
        <v>9</v>
      </c>
      <c r="AR152" s="53">
        <v>27.8</v>
      </c>
      <c r="AS152" s="53">
        <v>59</v>
      </c>
      <c r="AT152" s="53">
        <v>30.7</v>
      </c>
      <c r="AU152" s="53">
        <v>114</v>
      </c>
      <c r="AV152" s="53">
        <v>62</v>
      </c>
      <c r="AW152" s="53" t="s">
        <v>176</v>
      </c>
      <c r="AX152" s="53" t="s">
        <v>729</v>
      </c>
      <c r="AY152" s="53" t="s">
        <v>1977</v>
      </c>
      <c r="AZ152" s="53" t="s">
        <v>3299</v>
      </c>
      <c r="BA152" s="53" t="s">
        <v>351</v>
      </c>
      <c r="BB152" s="53" t="s">
        <v>750</v>
      </c>
      <c r="BC152" s="53" t="s">
        <v>5452</v>
      </c>
      <c r="BD152" s="53" t="s">
        <v>6115</v>
      </c>
      <c r="BE152" s="53" t="s">
        <v>110</v>
      </c>
      <c r="BF152" s="53" t="s">
        <v>176</v>
      </c>
      <c r="BG152" s="53" t="s">
        <v>176</v>
      </c>
      <c r="BH152" s="53" t="s">
        <v>1979</v>
      </c>
      <c r="BI152" s="53" t="s">
        <v>350</v>
      </c>
      <c r="BJ152" s="53" t="s">
        <v>176</v>
      </c>
      <c r="BK152" s="53" t="s">
        <v>1979</v>
      </c>
      <c r="BL152" s="53" t="s">
        <v>110</v>
      </c>
      <c r="BM152" s="53" t="s">
        <v>350</v>
      </c>
      <c r="BN152" s="53" t="s">
        <v>179</v>
      </c>
      <c r="BO152" s="53" t="s">
        <v>219</v>
      </c>
      <c r="BP152" s="53" t="s">
        <v>180</v>
      </c>
      <c r="BQ152" s="53" t="s">
        <v>99</v>
      </c>
      <c r="BR152" s="53" t="s">
        <v>500</v>
      </c>
      <c r="BS152" s="53" t="s">
        <v>500</v>
      </c>
      <c r="BT152" s="53" t="s">
        <v>500</v>
      </c>
      <c r="BU152" s="53" t="s">
        <v>1979</v>
      </c>
      <c r="BV152" s="53" t="s">
        <v>857</v>
      </c>
      <c r="BW152" s="53" t="s">
        <v>500</v>
      </c>
      <c r="BX152" s="53" t="s">
        <v>500</v>
      </c>
      <c r="BY152" s="53" t="s">
        <v>500</v>
      </c>
      <c r="BZ152" s="53" t="s">
        <v>500</v>
      </c>
      <c r="CA152" s="53" t="s">
        <v>500</v>
      </c>
      <c r="CB152" s="53" t="s">
        <v>500</v>
      </c>
      <c r="CC152" s="53" t="s">
        <v>500</v>
      </c>
      <c r="CD152" s="53" t="s">
        <v>500</v>
      </c>
      <c r="CE152" s="53" t="s">
        <v>500</v>
      </c>
      <c r="CF152" s="29" t="s">
        <v>500</v>
      </c>
      <c r="CG152" s="53" t="s">
        <v>500</v>
      </c>
      <c r="CH152" s="53" t="s">
        <v>500</v>
      </c>
      <c r="CI152" s="53" t="s">
        <v>500</v>
      </c>
      <c r="CJ152" s="53" t="s">
        <v>500</v>
      </c>
      <c r="CK152" s="53" t="s">
        <v>176</v>
      </c>
      <c r="CL152" s="53" t="s">
        <v>579</v>
      </c>
      <c r="CM152" s="53" t="s">
        <v>980</v>
      </c>
      <c r="CN152" s="53" t="s">
        <v>6116</v>
      </c>
      <c r="CO152" s="53" t="s">
        <v>176</v>
      </c>
      <c r="CP152" s="53" t="s">
        <v>362</v>
      </c>
      <c r="CQ152" s="53" t="s">
        <v>6117</v>
      </c>
      <c r="CR152" s="53" t="s">
        <v>500</v>
      </c>
      <c r="CS152" s="53" t="s">
        <v>176</v>
      </c>
      <c r="CT152" s="53" t="s">
        <v>1729</v>
      </c>
      <c r="CU152" s="53" t="s">
        <v>2662</v>
      </c>
      <c r="CV152" s="53" t="s">
        <v>6118</v>
      </c>
      <c r="CW152" s="53" t="s">
        <v>5467</v>
      </c>
      <c r="CX152" s="53" t="s">
        <v>99</v>
      </c>
      <c r="CY152" s="53" t="s">
        <v>99</v>
      </c>
      <c r="CZ152" s="29">
        <v>20</v>
      </c>
      <c r="DA152" s="29">
        <v>20</v>
      </c>
      <c r="DB152" s="29">
        <v>60</v>
      </c>
      <c r="DC152" s="29">
        <v>77.2</v>
      </c>
      <c r="DD152" s="29">
        <v>0.73</v>
      </c>
      <c r="DE152" s="29">
        <v>134</v>
      </c>
      <c r="DF152" s="48">
        <v>166</v>
      </c>
      <c r="DG152" s="9">
        <f t="shared" si="2"/>
        <v>4.7291936226936366</v>
      </c>
      <c r="DH152" s="29">
        <v>33.200000000000003</v>
      </c>
      <c r="DI152" s="48">
        <v>6.53</v>
      </c>
      <c r="DL152" s="29">
        <v>42.8</v>
      </c>
      <c r="DM152" s="29">
        <v>58</v>
      </c>
      <c r="DP152" s="29">
        <v>3</v>
      </c>
      <c r="DR152" s="29">
        <v>3</v>
      </c>
    </row>
    <row r="153" spans="1:125" x14ac:dyDescent="0.2">
      <c r="A153" s="36">
        <v>602</v>
      </c>
      <c r="B153" s="38">
        <v>43279</v>
      </c>
      <c r="C153" s="9" t="s">
        <v>95</v>
      </c>
      <c r="D153" s="9">
        <v>39</v>
      </c>
      <c r="E153" s="9" t="s">
        <v>96</v>
      </c>
      <c r="F153" s="8">
        <v>28674</v>
      </c>
      <c r="G153" s="9" t="s">
        <v>314</v>
      </c>
      <c r="H153" s="9" t="s">
        <v>162</v>
      </c>
      <c r="I153" s="9" t="s">
        <v>162</v>
      </c>
      <c r="J153" s="9" t="s">
        <v>162</v>
      </c>
      <c r="K153" s="9" t="s">
        <v>162</v>
      </c>
      <c r="L153" s="9" t="s">
        <v>162</v>
      </c>
      <c r="M153" s="9" t="s">
        <v>263</v>
      </c>
      <c r="N153" s="10" t="s">
        <v>368</v>
      </c>
      <c r="O153" s="9" t="s">
        <v>162</v>
      </c>
      <c r="P153" s="9" t="s">
        <v>263</v>
      </c>
      <c r="Q153" s="9" t="s">
        <v>263</v>
      </c>
      <c r="R153" s="9" t="s">
        <v>368</v>
      </c>
      <c r="S153" s="9" t="s">
        <v>3715</v>
      </c>
      <c r="T153" s="9" t="s">
        <v>162</v>
      </c>
      <c r="U153" s="9" t="s">
        <v>6166</v>
      </c>
      <c r="V153" s="9" t="s">
        <v>263</v>
      </c>
      <c r="W153" s="10" t="s">
        <v>6167</v>
      </c>
      <c r="X153" s="9" t="s">
        <v>263</v>
      </c>
      <c r="Y153" s="9" t="s">
        <v>6168</v>
      </c>
      <c r="Z153" s="9" t="s">
        <v>162</v>
      </c>
      <c r="AA153" s="9" t="s">
        <v>96</v>
      </c>
      <c r="AB153" s="9" t="s">
        <v>96</v>
      </c>
      <c r="AC153" s="9" t="s">
        <v>162</v>
      </c>
      <c r="AD153" s="9" t="s">
        <v>162</v>
      </c>
      <c r="AE153" s="10" t="s">
        <v>6169</v>
      </c>
      <c r="AF153" s="10" t="s">
        <v>6170</v>
      </c>
      <c r="AG153" s="10" t="s">
        <v>6171</v>
      </c>
      <c r="AH153" s="9" t="s">
        <v>162</v>
      </c>
      <c r="AI153" s="10" t="s">
        <v>6172</v>
      </c>
      <c r="AJ153" s="10" t="s">
        <v>6172</v>
      </c>
      <c r="AK153" s="9" t="s">
        <v>162</v>
      </c>
      <c r="AL153" s="9">
        <v>80.5</v>
      </c>
      <c r="AM153" s="9">
        <v>153</v>
      </c>
      <c r="AN153" s="10">
        <v>107</v>
      </c>
      <c r="AO153" s="9">
        <v>107.5</v>
      </c>
      <c r="AP153" s="9">
        <v>44.7</v>
      </c>
      <c r="AQ153" s="9">
        <v>10</v>
      </c>
      <c r="AR153" s="9">
        <v>25.2</v>
      </c>
      <c r="AS153" s="9">
        <v>63</v>
      </c>
      <c r="AT153" s="10">
        <v>34.5</v>
      </c>
      <c r="AU153" s="10">
        <v>130</v>
      </c>
      <c r="AV153" s="10">
        <v>97</v>
      </c>
      <c r="AX153" s="9" t="s">
        <v>427</v>
      </c>
      <c r="AY153" s="9" t="s">
        <v>6173</v>
      </c>
      <c r="AZ153" s="9" t="s">
        <v>6174</v>
      </c>
      <c r="BB153" s="9" t="s">
        <v>162</v>
      </c>
      <c r="BC153" s="9" t="s">
        <v>162</v>
      </c>
      <c r="BD153" s="9" t="s">
        <v>162</v>
      </c>
      <c r="BF153" s="9" t="s">
        <v>493</v>
      </c>
      <c r="BG153" s="9" t="s">
        <v>496</v>
      </c>
      <c r="BH153" s="9" t="s">
        <v>162</v>
      </c>
      <c r="BI153" s="9" t="s">
        <v>375</v>
      </c>
      <c r="BJ153" s="9" t="s">
        <v>375</v>
      </c>
      <c r="BK153" s="9" t="s">
        <v>375</v>
      </c>
      <c r="BN153" s="9" t="s">
        <v>519</v>
      </c>
      <c r="BO153" s="9" t="s">
        <v>6175</v>
      </c>
      <c r="BP153" s="9" t="s">
        <v>5050</v>
      </c>
      <c r="BR153" s="9" t="s">
        <v>162</v>
      </c>
      <c r="BS153" s="9" t="s">
        <v>162</v>
      </c>
      <c r="BT153" s="9" t="s">
        <v>162</v>
      </c>
      <c r="BV153" s="9" t="s">
        <v>162</v>
      </c>
      <c r="BW153" s="9" t="s">
        <v>162</v>
      </c>
      <c r="BX153" s="9" t="s">
        <v>162</v>
      </c>
      <c r="BZ153" s="9" t="s">
        <v>5782</v>
      </c>
      <c r="CA153" s="9" t="s">
        <v>6176</v>
      </c>
      <c r="CB153" s="9" t="s">
        <v>6177</v>
      </c>
      <c r="CD153" s="9" t="s">
        <v>162</v>
      </c>
      <c r="CE153" s="9" t="s">
        <v>162</v>
      </c>
      <c r="CF153" s="9" t="s">
        <v>162</v>
      </c>
      <c r="CH153" s="9" t="s">
        <v>162</v>
      </c>
      <c r="CI153" s="9" t="s">
        <v>162</v>
      </c>
      <c r="CJ153" s="9" t="s">
        <v>162</v>
      </c>
      <c r="CL153" s="9" t="s">
        <v>3912</v>
      </c>
      <c r="CM153" s="9" t="s">
        <v>6178</v>
      </c>
      <c r="CN153" s="9" t="s">
        <v>6179</v>
      </c>
      <c r="CP153" s="9" t="s">
        <v>6180</v>
      </c>
      <c r="CT153" s="9" t="s">
        <v>6180</v>
      </c>
      <c r="CW153" s="9">
        <v>3</v>
      </c>
      <c r="CX153" s="9" t="s">
        <v>263</v>
      </c>
      <c r="CY153" s="9" t="s">
        <v>263</v>
      </c>
      <c r="CZ153" s="9" t="s">
        <v>162</v>
      </c>
      <c r="DA153" s="9" t="s">
        <v>162</v>
      </c>
      <c r="DB153" s="9" t="s">
        <v>162</v>
      </c>
      <c r="DC153" s="9">
        <v>86.1</v>
      </c>
      <c r="DD153" s="9">
        <v>0.39</v>
      </c>
      <c r="DE153" s="10">
        <v>245</v>
      </c>
      <c r="DF153" s="10">
        <v>232</v>
      </c>
      <c r="DG153" s="9">
        <f t="shared" si="2"/>
        <v>4.9511233915499977</v>
      </c>
      <c r="DH153" s="9">
        <v>46.4</v>
      </c>
      <c r="DI153" s="9">
        <v>4.5599999999999996</v>
      </c>
      <c r="DJ153" s="9">
        <v>26</v>
      </c>
      <c r="DK153" s="9">
        <v>33.299999999999997</v>
      </c>
      <c r="DL153" s="9">
        <v>52.9</v>
      </c>
      <c r="DM153" s="9">
        <v>145.69999999999999</v>
      </c>
      <c r="DP153" s="11">
        <v>3</v>
      </c>
      <c r="DQ153" s="9">
        <v>2</v>
      </c>
      <c r="DR153" s="9">
        <v>3</v>
      </c>
    </row>
    <row r="154" spans="1:125" x14ac:dyDescent="0.2">
      <c r="A154" s="36">
        <v>604</v>
      </c>
      <c r="B154" s="38">
        <v>43279</v>
      </c>
      <c r="C154" s="9" t="s">
        <v>107</v>
      </c>
      <c r="D154" s="9">
        <v>36</v>
      </c>
      <c r="E154" s="9" t="s">
        <v>162</v>
      </c>
      <c r="F154" s="8">
        <v>29811</v>
      </c>
      <c r="G154" s="9" t="s">
        <v>314</v>
      </c>
      <c r="H154" s="9" t="s">
        <v>6194</v>
      </c>
      <c r="I154" s="9" t="s">
        <v>162</v>
      </c>
      <c r="J154" s="9" t="s">
        <v>162</v>
      </c>
      <c r="K154" s="9" t="s">
        <v>162</v>
      </c>
      <c r="L154" s="9" t="s">
        <v>162</v>
      </c>
      <c r="M154" s="9" t="s">
        <v>263</v>
      </c>
      <c r="N154" s="9" t="s">
        <v>263</v>
      </c>
      <c r="O154" s="9" t="s">
        <v>263</v>
      </c>
      <c r="P154" s="10" t="s">
        <v>368</v>
      </c>
      <c r="Q154" s="10" t="s">
        <v>322</v>
      </c>
      <c r="R154" s="9" t="s">
        <v>368</v>
      </c>
      <c r="S154" s="9" t="s">
        <v>263</v>
      </c>
      <c r="T154" s="9" t="s">
        <v>263</v>
      </c>
      <c r="U154" s="10" t="s">
        <v>6195</v>
      </c>
      <c r="V154" s="9">
        <v>2010</v>
      </c>
      <c r="W154" s="10" t="s">
        <v>6196</v>
      </c>
      <c r="X154" s="9" t="s">
        <v>263</v>
      </c>
      <c r="Y154" s="9" t="s">
        <v>2059</v>
      </c>
      <c r="Z154" s="9" t="s">
        <v>162</v>
      </c>
      <c r="AA154" s="52" t="s">
        <v>1697</v>
      </c>
      <c r="AB154" s="52" t="s">
        <v>1359</v>
      </c>
      <c r="AC154" s="52" t="s">
        <v>1697</v>
      </c>
      <c r="AD154" s="52" t="s">
        <v>1359</v>
      </c>
      <c r="AE154" s="10" t="s">
        <v>6197</v>
      </c>
      <c r="AF154" s="10" t="s">
        <v>6198</v>
      </c>
      <c r="AG154" s="10" t="s">
        <v>6199</v>
      </c>
      <c r="AH154" s="10" t="s">
        <v>36</v>
      </c>
      <c r="AI154" s="9" t="s">
        <v>263</v>
      </c>
      <c r="AJ154" s="9" t="s">
        <v>263</v>
      </c>
      <c r="AK154" s="9" t="s">
        <v>162</v>
      </c>
      <c r="AL154" s="9">
        <v>79.5</v>
      </c>
      <c r="AM154" s="9">
        <v>169</v>
      </c>
      <c r="AN154" s="10">
        <v>103.8</v>
      </c>
      <c r="AO154" s="9">
        <v>103.6</v>
      </c>
      <c r="AP154" s="9">
        <v>31.8</v>
      </c>
      <c r="AQ154" s="9">
        <v>12</v>
      </c>
      <c r="AR154" s="9" t="s">
        <v>162</v>
      </c>
      <c r="AS154" s="9">
        <v>50</v>
      </c>
      <c r="AT154" s="10">
        <v>27.8</v>
      </c>
      <c r="AU154" s="10">
        <v>131</v>
      </c>
      <c r="AV154" s="10">
        <v>96</v>
      </c>
      <c r="AX154" s="9" t="s">
        <v>1146</v>
      </c>
      <c r="BB154" s="9" t="s">
        <v>515</v>
      </c>
      <c r="BF154" s="9" t="s">
        <v>322</v>
      </c>
      <c r="BG154" s="9" t="s">
        <v>322</v>
      </c>
      <c r="BH154" s="9" t="s">
        <v>375</v>
      </c>
      <c r="BI154" s="9" t="s">
        <v>322</v>
      </c>
      <c r="BJ154" s="9" t="s">
        <v>162</v>
      </c>
      <c r="BK154" s="9" t="s">
        <v>162</v>
      </c>
      <c r="BN154" s="9" t="s">
        <v>6190</v>
      </c>
      <c r="BO154" s="9" t="s">
        <v>5167</v>
      </c>
      <c r="BR154" s="9" t="s">
        <v>162</v>
      </c>
      <c r="BS154" s="9" t="s">
        <v>162</v>
      </c>
      <c r="BT154" s="9" t="s">
        <v>162</v>
      </c>
      <c r="BV154" s="9" t="s">
        <v>162</v>
      </c>
      <c r="BW154" s="9" t="s">
        <v>162</v>
      </c>
      <c r="BX154" s="9" t="s">
        <v>162</v>
      </c>
      <c r="BY154" s="9" t="s">
        <v>263</v>
      </c>
      <c r="BZ154" s="9" t="s">
        <v>162</v>
      </c>
      <c r="CA154" s="9" t="s">
        <v>162</v>
      </c>
      <c r="CB154" s="9" t="s">
        <v>162</v>
      </c>
      <c r="CD154" s="9" t="s">
        <v>162</v>
      </c>
      <c r="CE154" s="9" t="s">
        <v>162</v>
      </c>
      <c r="CF154" s="9" t="s">
        <v>162</v>
      </c>
      <c r="CH154" s="9" t="s">
        <v>162</v>
      </c>
      <c r="CI154" s="9" t="s">
        <v>162</v>
      </c>
      <c r="CJ154" s="9" t="s">
        <v>162</v>
      </c>
      <c r="CL154" s="9" t="s">
        <v>162</v>
      </c>
      <c r="CM154" s="9" t="s">
        <v>162</v>
      </c>
      <c r="CN154" s="9" t="s">
        <v>162</v>
      </c>
      <c r="CP154" s="9" t="s">
        <v>384</v>
      </c>
      <c r="CQ154" s="9" t="s">
        <v>475</v>
      </c>
      <c r="CT154" s="9" t="s">
        <v>5195</v>
      </c>
      <c r="CW154" s="9">
        <v>2</v>
      </c>
      <c r="CX154" s="9" t="s">
        <v>263</v>
      </c>
      <c r="CY154" s="9" t="s">
        <v>263</v>
      </c>
      <c r="CZ154" s="9">
        <v>20</v>
      </c>
      <c r="DA154" s="9">
        <v>10</v>
      </c>
      <c r="DB154" s="9">
        <v>70</v>
      </c>
      <c r="DC154" s="9">
        <v>88.1</v>
      </c>
      <c r="DD154" s="9">
        <v>0.66</v>
      </c>
      <c r="DE154" s="10">
        <v>246</v>
      </c>
      <c r="DF154" s="10">
        <v>209</v>
      </c>
      <c r="DG154" s="9">
        <f t="shared" si="2"/>
        <v>4.910403392453472</v>
      </c>
      <c r="DH154" s="9">
        <v>41.8</v>
      </c>
      <c r="DI154" s="9">
        <v>6.65</v>
      </c>
      <c r="DJ154" s="9">
        <v>44.3</v>
      </c>
      <c r="DK154" s="10">
        <v>48</v>
      </c>
      <c r="DL154" s="10">
        <v>38.1</v>
      </c>
      <c r="DM154" s="9">
        <v>116.1</v>
      </c>
      <c r="DP154" s="11">
        <v>2</v>
      </c>
      <c r="DQ154" s="9">
        <v>3</v>
      </c>
      <c r="DR154" s="9">
        <v>3</v>
      </c>
      <c r="DT154" s="9">
        <v>7.5</v>
      </c>
      <c r="DU154" s="9">
        <v>5</v>
      </c>
    </row>
    <row r="155" spans="1:125" x14ac:dyDescent="0.2">
      <c r="A155" s="14">
        <v>610</v>
      </c>
      <c r="B155" s="17">
        <v>43279</v>
      </c>
      <c r="C155" s="9" t="s">
        <v>675</v>
      </c>
      <c r="D155" s="9">
        <v>57</v>
      </c>
      <c r="E155" s="9" t="s">
        <v>96</v>
      </c>
      <c r="G155" s="9" t="s">
        <v>314</v>
      </c>
      <c r="H155" s="9" t="s">
        <v>6231</v>
      </c>
      <c r="M155" s="10" t="s">
        <v>368</v>
      </c>
      <c r="N155" s="9" t="s">
        <v>263</v>
      </c>
      <c r="O155" s="9" t="s">
        <v>263</v>
      </c>
      <c r="P155" s="9" t="s">
        <v>99</v>
      </c>
      <c r="Q155" s="9" t="s">
        <v>99</v>
      </c>
      <c r="R155" s="9" t="s">
        <v>110</v>
      </c>
      <c r="S155" s="9" t="s">
        <v>6232</v>
      </c>
      <c r="T155" s="9" t="s">
        <v>6233</v>
      </c>
      <c r="U155" s="9" t="s">
        <v>99</v>
      </c>
      <c r="X155" s="9" t="s">
        <v>99</v>
      </c>
      <c r="Z155" s="9" t="s">
        <v>6234</v>
      </c>
      <c r="AA155" s="9" t="s">
        <v>96</v>
      </c>
      <c r="AB155" s="9" t="s">
        <v>96</v>
      </c>
      <c r="AC155" s="9" t="s">
        <v>96</v>
      </c>
      <c r="AD155" s="9" t="s">
        <v>96</v>
      </c>
      <c r="AE155" s="9" t="s">
        <v>263</v>
      </c>
      <c r="AF155" s="9" t="s">
        <v>263</v>
      </c>
      <c r="AG155" s="9" t="s">
        <v>99</v>
      </c>
      <c r="AH155" s="9" t="s">
        <v>6235</v>
      </c>
      <c r="AI155" s="9" t="s">
        <v>99</v>
      </c>
      <c r="AJ155" s="9" t="s">
        <v>99</v>
      </c>
      <c r="AK155" s="9" t="s">
        <v>99</v>
      </c>
      <c r="AL155" s="9">
        <v>99.3</v>
      </c>
      <c r="AM155" s="9">
        <v>185</v>
      </c>
      <c r="AN155" s="9">
        <v>109.5</v>
      </c>
      <c r="AO155" s="9">
        <v>106.5</v>
      </c>
      <c r="AP155" s="9">
        <v>30.3</v>
      </c>
      <c r="AQ155" s="9">
        <v>14</v>
      </c>
      <c r="AR155" s="9">
        <v>30.7</v>
      </c>
      <c r="AS155" s="9">
        <v>75</v>
      </c>
      <c r="AT155" s="9">
        <v>29</v>
      </c>
      <c r="AU155" s="10">
        <v>143</v>
      </c>
      <c r="AV155" s="10">
        <v>85</v>
      </c>
      <c r="AX155" s="9" t="s">
        <v>6236</v>
      </c>
      <c r="AY155" s="9" t="s">
        <v>6237</v>
      </c>
      <c r="AZ155" s="9" t="s">
        <v>6238</v>
      </c>
      <c r="BB155" s="9" t="s">
        <v>6239</v>
      </c>
      <c r="BF155" s="9" t="s">
        <v>496</v>
      </c>
      <c r="BG155" s="9" t="s">
        <v>494</v>
      </c>
      <c r="BH155" s="9" t="s">
        <v>263</v>
      </c>
      <c r="BI155" s="9" t="s">
        <v>496</v>
      </c>
      <c r="BJ155" s="9" t="s">
        <v>322</v>
      </c>
      <c r="BK155" s="9" t="s">
        <v>494</v>
      </c>
      <c r="BL155" s="9" t="s">
        <v>322</v>
      </c>
      <c r="BQ155" s="9" t="s">
        <v>500</v>
      </c>
      <c r="BU155" s="9" t="s">
        <v>500</v>
      </c>
      <c r="BZ155" s="9" t="s">
        <v>557</v>
      </c>
      <c r="CX155" s="9" t="s">
        <v>99</v>
      </c>
      <c r="CY155" s="9" t="s">
        <v>110</v>
      </c>
      <c r="DC155" s="14">
        <v>238.8</v>
      </c>
      <c r="DD155" s="9">
        <v>0.55000000000000004</v>
      </c>
      <c r="DE155" s="10">
        <v>213</v>
      </c>
      <c r="DF155" s="14">
        <v>370</v>
      </c>
      <c r="DG155" s="9">
        <f t="shared" si="2"/>
        <v>5.6945646935783589</v>
      </c>
      <c r="DH155" s="9">
        <v>74</v>
      </c>
      <c r="DI155" s="9">
        <v>4.78</v>
      </c>
      <c r="DJ155" s="10">
        <v>42</v>
      </c>
      <c r="DK155" s="10">
        <v>35</v>
      </c>
      <c r="DL155" s="10">
        <v>39</v>
      </c>
      <c r="DM155" s="9">
        <v>100</v>
      </c>
      <c r="DP155" s="11">
        <v>2</v>
      </c>
      <c r="DQ155" s="9">
        <v>2</v>
      </c>
      <c r="DR155" s="9">
        <v>2</v>
      </c>
      <c r="DT155" s="9">
        <v>13</v>
      </c>
      <c r="DU155" s="9">
        <v>2</v>
      </c>
    </row>
    <row r="156" spans="1:125" x14ac:dyDescent="0.2">
      <c r="A156" s="10">
        <v>611</v>
      </c>
      <c r="B156" s="8">
        <v>43279</v>
      </c>
      <c r="C156" s="9" t="s">
        <v>95</v>
      </c>
      <c r="D156" s="9">
        <v>40</v>
      </c>
      <c r="E156" s="9" t="s">
        <v>96</v>
      </c>
      <c r="F156" s="8">
        <v>28474</v>
      </c>
      <c r="G156" s="9" t="s">
        <v>314</v>
      </c>
      <c r="H156" s="9" t="s">
        <v>2086</v>
      </c>
      <c r="I156" s="9" t="s">
        <v>162</v>
      </c>
      <c r="J156" s="9" t="s">
        <v>162</v>
      </c>
      <c r="K156" s="9">
        <v>2009</v>
      </c>
      <c r="L156" s="9">
        <v>6</v>
      </c>
      <c r="M156" s="9" t="s">
        <v>263</v>
      </c>
      <c r="N156" s="9" t="s">
        <v>263</v>
      </c>
      <c r="O156" s="9" t="s">
        <v>263</v>
      </c>
      <c r="P156" s="10" t="s">
        <v>322</v>
      </c>
      <c r="Q156" s="9" t="s">
        <v>162</v>
      </c>
      <c r="R156" s="9" t="s">
        <v>263</v>
      </c>
      <c r="S156" s="9" t="s">
        <v>263</v>
      </c>
      <c r="T156" s="9" t="s">
        <v>263</v>
      </c>
      <c r="U156" s="9" t="s">
        <v>263</v>
      </c>
      <c r="V156" s="42">
        <v>40391</v>
      </c>
      <c r="W156" s="9" t="s">
        <v>162</v>
      </c>
      <c r="X156" s="9" t="s">
        <v>162</v>
      </c>
      <c r="Y156" s="9" t="s">
        <v>162</v>
      </c>
      <c r="Z156" s="9" t="s">
        <v>162</v>
      </c>
      <c r="AA156" s="9" t="s">
        <v>162</v>
      </c>
      <c r="AB156" s="9" t="s">
        <v>162</v>
      </c>
      <c r="AC156" s="9" t="s">
        <v>162</v>
      </c>
      <c r="AD156" s="9" t="s">
        <v>162</v>
      </c>
      <c r="AE156" s="9" t="s">
        <v>162</v>
      </c>
      <c r="AF156" s="9" t="s">
        <v>162</v>
      </c>
      <c r="AG156" s="9" t="s">
        <v>162</v>
      </c>
      <c r="AH156" s="9" t="s">
        <v>162</v>
      </c>
      <c r="AI156" s="9" t="s">
        <v>162</v>
      </c>
      <c r="AJ156" s="9" t="s">
        <v>162</v>
      </c>
      <c r="AK156" s="9" t="s">
        <v>162</v>
      </c>
      <c r="AL156" s="9">
        <v>45.5</v>
      </c>
      <c r="AM156" s="9">
        <v>150</v>
      </c>
      <c r="AN156" s="9">
        <v>75</v>
      </c>
      <c r="AO156" s="9">
        <v>90</v>
      </c>
      <c r="AP156" s="9">
        <v>28.6</v>
      </c>
      <c r="AQ156" s="9">
        <v>4</v>
      </c>
      <c r="AR156" s="9">
        <v>27.5</v>
      </c>
      <c r="AS156" s="9">
        <v>33</v>
      </c>
      <c r="AT156" s="7">
        <v>20.2</v>
      </c>
      <c r="AU156" s="10">
        <v>129</v>
      </c>
      <c r="AV156" s="10">
        <v>93</v>
      </c>
      <c r="AX156" s="9" t="s">
        <v>162</v>
      </c>
      <c r="AY156" s="9" t="s">
        <v>162</v>
      </c>
      <c r="AZ156" s="9" t="s">
        <v>162</v>
      </c>
      <c r="BB156" s="9" t="s">
        <v>162</v>
      </c>
      <c r="BC156" s="9" t="s">
        <v>162</v>
      </c>
      <c r="BD156" s="9" t="s">
        <v>162</v>
      </c>
      <c r="BF156" s="9" t="s">
        <v>162</v>
      </c>
      <c r="BG156" s="9" t="s">
        <v>162</v>
      </c>
      <c r="BH156" s="9" t="s">
        <v>162</v>
      </c>
      <c r="BI156" s="9" t="s">
        <v>162</v>
      </c>
      <c r="BJ156" s="9" t="s">
        <v>162</v>
      </c>
      <c r="BK156" s="9" t="s">
        <v>162</v>
      </c>
      <c r="BN156" s="9" t="s">
        <v>162</v>
      </c>
      <c r="BO156" s="9" t="s">
        <v>162</v>
      </c>
      <c r="BP156" s="9" t="s">
        <v>162</v>
      </c>
      <c r="BR156" s="9" t="s">
        <v>162</v>
      </c>
      <c r="BS156" s="9" t="s">
        <v>162</v>
      </c>
      <c r="BT156" s="9" t="s">
        <v>162</v>
      </c>
      <c r="BV156" s="9" t="s">
        <v>162</v>
      </c>
      <c r="BW156" s="9" t="s">
        <v>162</v>
      </c>
      <c r="BX156" s="9" t="s">
        <v>162</v>
      </c>
      <c r="BZ156" s="9" t="s">
        <v>162</v>
      </c>
      <c r="CA156" s="9" t="s">
        <v>162</v>
      </c>
      <c r="CB156" s="9" t="s">
        <v>162</v>
      </c>
      <c r="CD156" s="9" t="s">
        <v>162</v>
      </c>
      <c r="CE156" s="9" t="s">
        <v>162</v>
      </c>
      <c r="CF156" s="9" t="s">
        <v>162</v>
      </c>
      <c r="CH156" s="9" t="s">
        <v>162</v>
      </c>
      <c r="CI156" s="9" t="s">
        <v>162</v>
      </c>
      <c r="CJ156" s="9" t="s">
        <v>162</v>
      </c>
      <c r="CL156" s="9" t="s">
        <v>162</v>
      </c>
      <c r="CM156" s="9" t="s">
        <v>162</v>
      </c>
      <c r="CN156" s="9" t="s">
        <v>162</v>
      </c>
      <c r="CP156" s="9" t="s">
        <v>162</v>
      </c>
      <c r="CQ156" s="9" t="s">
        <v>162</v>
      </c>
      <c r="CR156" s="9" t="s">
        <v>162</v>
      </c>
      <c r="CT156" s="9" t="s">
        <v>162</v>
      </c>
      <c r="CU156" s="9" t="s">
        <v>162</v>
      </c>
      <c r="CV156" s="9" t="s">
        <v>162</v>
      </c>
      <c r="CW156" s="9" t="s">
        <v>162</v>
      </c>
      <c r="CX156" s="9" t="s">
        <v>162</v>
      </c>
      <c r="CY156" s="9" t="s">
        <v>162</v>
      </c>
      <c r="CZ156" s="9" t="s">
        <v>162</v>
      </c>
      <c r="DA156" s="9" t="s">
        <v>162</v>
      </c>
      <c r="DB156" s="9" t="s">
        <v>162</v>
      </c>
      <c r="DE156" s="9">
        <v>219</v>
      </c>
      <c r="DG156" s="9" t="e">
        <f t="shared" si="2"/>
        <v>#NUM!</v>
      </c>
      <c r="DI156" s="9">
        <v>3.31</v>
      </c>
      <c r="DJ156" s="9">
        <v>19.3</v>
      </c>
      <c r="DK156" s="9">
        <v>42</v>
      </c>
      <c r="DL156" s="9">
        <v>49.5</v>
      </c>
      <c r="DP156" s="11">
        <v>2</v>
      </c>
      <c r="DQ156" s="9">
        <v>2</v>
      </c>
      <c r="DR156" s="9">
        <v>2</v>
      </c>
      <c r="DU156" s="9">
        <v>9</v>
      </c>
    </row>
    <row r="157" spans="1:125" x14ac:dyDescent="0.2">
      <c r="A157" s="36">
        <v>622</v>
      </c>
      <c r="B157" s="8">
        <v>43279</v>
      </c>
      <c r="C157" s="9" t="s">
        <v>95</v>
      </c>
      <c r="D157" s="9">
        <v>56</v>
      </c>
      <c r="E157" s="9" t="s">
        <v>3592</v>
      </c>
      <c r="F157" s="8">
        <v>22634</v>
      </c>
      <c r="G157" s="9" t="s">
        <v>162</v>
      </c>
      <c r="H157" s="9" t="s">
        <v>162</v>
      </c>
      <c r="I157" s="9" t="s">
        <v>162</v>
      </c>
      <c r="J157" s="9">
        <v>2012</v>
      </c>
      <c r="K157" s="9">
        <v>1991</v>
      </c>
      <c r="L157" s="9">
        <v>2</v>
      </c>
      <c r="M157" s="9" t="s">
        <v>162</v>
      </c>
      <c r="N157" s="9" t="s">
        <v>162</v>
      </c>
      <c r="O157" s="9" t="s">
        <v>162</v>
      </c>
      <c r="P157" s="9" t="s">
        <v>263</v>
      </c>
      <c r="Q157" s="9" t="s">
        <v>263</v>
      </c>
      <c r="R157" s="9" t="s">
        <v>162</v>
      </c>
      <c r="S157" s="9" t="s">
        <v>6306</v>
      </c>
      <c r="T157" s="9" t="s">
        <v>6307</v>
      </c>
      <c r="U157" s="9" t="s">
        <v>162</v>
      </c>
      <c r="V157" s="9" t="s">
        <v>162</v>
      </c>
      <c r="W157" s="9" t="s">
        <v>6308</v>
      </c>
      <c r="X157" s="9" t="s">
        <v>162</v>
      </c>
      <c r="Y157" s="9" t="s">
        <v>162</v>
      </c>
      <c r="Z157" s="9" t="s">
        <v>545</v>
      </c>
      <c r="AA157" s="49" t="s">
        <v>6309</v>
      </c>
      <c r="AB157" s="35" t="s">
        <v>6281</v>
      </c>
      <c r="AC157" s="49" t="s">
        <v>6309</v>
      </c>
      <c r="AD157" s="35" t="s">
        <v>6281</v>
      </c>
      <c r="AE157" s="9" t="s">
        <v>6310</v>
      </c>
      <c r="AF157" s="9" t="s">
        <v>6198</v>
      </c>
      <c r="AG157" s="9" t="s">
        <v>162</v>
      </c>
      <c r="AH157" s="9" t="s">
        <v>36</v>
      </c>
      <c r="AI157" s="9" t="s">
        <v>162</v>
      </c>
      <c r="AJ157" s="9" t="s">
        <v>162</v>
      </c>
      <c r="AK157" s="9" t="s">
        <v>162</v>
      </c>
      <c r="AL157" s="9">
        <v>62.2</v>
      </c>
      <c r="AM157" s="9">
        <v>154</v>
      </c>
      <c r="AN157" s="9">
        <v>87</v>
      </c>
      <c r="AO157" s="9">
        <v>103</v>
      </c>
      <c r="AP157" s="9">
        <v>40.799999999999997</v>
      </c>
      <c r="AQ157" s="9">
        <v>8</v>
      </c>
      <c r="AR157" s="9">
        <v>24.3</v>
      </c>
      <c r="AS157" s="9">
        <v>59</v>
      </c>
      <c r="AT157" s="10">
        <v>26.2</v>
      </c>
      <c r="AU157" s="10">
        <v>136</v>
      </c>
      <c r="AV157" s="10">
        <v>83</v>
      </c>
      <c r="AX157" s="9" t="s">
        <v>1436</v>
      </c>
      <c r="BB157" s="9" t="s">
        <v>162</v>
      </c>
      <c r="BC157" s="9" t="s">
        <v>162</v>
      </c>
      <c r="BD157" s="9" t="s">
        <v>162</v>
      </c>
      <c r="BF157" s="9" t="s">
        <v>375</v>
      </c>
      <c r="BG157" s="9" t="s">
        <v>375</v>
      </c>
      <c r="BH157" s="9" t="s">
        <v>276</v>
      </c>
      <c r="BI157" s="9" t="s">
        <v>375</v>
      </c>
      <c r="BJ157" s="9" t="s">
        <v>162</v>
      </c>
      <c r="BK157" s="9" t="s">
        <v>276</v>
      </c>
      <c r="BN157" s="9" t="s">
        <v>162</v>
      </c>
      <c r="BO157" s="9" t="s">
        <v>162</v>
      </c>
      <c r="BP157" s="9" t="s">
        <v>162</v>
      </c>
      <c r="BR157" s="9" t="s">
        <v>162</v>
      </c>
      <c r="BS157" s="9" t="s">
        <v>162</v>
      </c>
      <c r="BT157" s="9" t="s">
        <v>162</v>
      </c>
      <c r="BV157" s="9" t="s">
        <v>162</v>
      </c>
      <c r="BW157" s="9" t="s">
        <v>162</v>
      </c>
      <c r="BX157" s="9" t="s">
        <v>162</v>
      </c>
      <c r="BZ157" s="9" t="s">
        <v>162</v>
      </c>
      <c r="CA157" s="9" t="s">
        <v>162</v>
      </c>
      <c r="CB157" s="9" t="s">
        <v>162</v>
      </c>
      <c r="CD157" s="9" t="s">
        <v>162</v>
      </c>
      <c r="CE157" s="9" t="s">
        <v>162</v>
      </c>
      <c r="CF157" s="9" t="s">
        <v>162</v>
      </c>
      <c r="CH157" s="9" t="s">
        <v>162</v>
      </c>
      <c r="CI157" s="9" t="s">
        <v>162</v>
      </c>
      <c r="CJ157" s="9" t="s">
        <v>162</v>
      </c>
      <c r="CL157" s="9" t="s">
        <v>333</v>
      </c>
      <c r="CM157" s="9" t="s">
        <v>1155</v>
      </c>
      <c r="CP157" s="9" t="s">
        <v>162</v>
      </c>
      <c r="CQ157" s="9" t="s">
        <v>162</v>
      </c>
      <c r="CR157" s="9" t="s">
        <v>162</v>
      </c>
      <c r="CT157" s="9" t="s">
        <v>6311</v>
      </c>
      <c r="CW157" s="9">
        <v>3</v>
      </c>
      <c r="CX157" s="9" t="s">
        <v>368</v>
      </c>
      <c r="CY157" s="9" t="s">
        <v>368</v>
      </c>
      <c r="CZ157" s="9">
        <v>50</v>
      </c>
      <c r="DA157" s="9">
        <v>20</v>
      </c>
      <c r="DB157" s="9">
        <v>30</v>
      </c>
      <c r="DC157" s="9">
        <v>75.2</v>
      </c>
      <c r="DD157" s="9">
        <v>0.61</v>
      </c>
      <c r="DE157" s="9">
        <v>161</v>
      </c>
      <c r="DF157" s="10">
        <v>156</v>
      </c>
      <c r="DG157" s="9">
        <f t="shared" si="2"/>
        <v>4.6850036191026661</v>
      </c>
      <c r="DH157" s="9">
        <v>31.2</v>
      </c>
      <c r="DI157" s="9">
        <v>4.7699999999999996</v>
      </c>
      <c r="DJ157" s="9">
        <v>19.7</v>
      </c>
      <c r="DK157" s="9">
        <v>28</v>
      </c>
      <c r="DL157" s="9">
        <v>46.6</v>
      </c>
      <c r="DM157" s="9">
        <v>83.2</v>
      </c>
      <c r="DP157" s="18">
        <v>1</v>
      </c>
      <c r="DQ157" s="9">
        <v>2</v>
      </c>
      <c r="DR157" s="30">
        <v>1</v>
      </c>
      <c r="DT157" s="9">
        <v>9.6</v>
      </c>
      <c r="DU157" s="9">
        <v>4.5999999999999996</v>
      </c>
    </row>
    <row r="158" spans="1:125" x14ac:dyDescent="0.2">
      <c r="A158" s="36">
        <v>625</v>
      </c>
      <c r="B158" s="8">
        <v>43279</v>
      </c>
      <c r="C158" s="9" t="s">
        <v>107</v>
      </c>
      <c r="D158" s="9">
        <v>50</v>
      </c>
      <c r="E158" s="9" t="s">
        <v>96</v>
      </c>
      <c r="F158" s="9" t="s">
        <v>162</v>
      </c>
      <c r="G158" s="9" t="s">
        <v>6316</v>
      </c>
      <c r="H158" s="9" t="s">
        <v>6317</v>
      </c>
      <c r="I158" s="9" t="s">
        <v>162</v>
      </c>
      <c r="J158" s="9" t="s">
        <v>162</v>
      </c>
      <c r="K158" s="9" t="s">
        <v>162</v>
      </c>
      <c r="L158" s="9" t="s">
        <v>162</v>
      </c>
      <c r="M158" s="9" t="s">
        <v>263</v>
      </c>
      <c r="N158" s="9" t="s">
        <v>263</v>
      </c>
      <c r="O158" s="9" t="s">
        <v>263</v>
      </c>
      <c r="P158" s="10" t="s">
        <v>6318</v>
      </c>
      <c r="Q158" s="10" t="s">
        <v>369</v>
      </c>
      <c r="R158" s="9" t="s">
        <v>368</v>
      </c>
      <c r="S158" s="9" t="s">
        <v>368</v>
      </c>
      <c r="T158" s="9" t="s">
        <v>368</v>
      </c>
      <c r="U158" s="9" t="s">
        <v>263</v>
      </c>
      <c r="V158" s="9" t="s">
        <v>263</v>
      </c>
      <c r="W158" s="9" t="s">
        <v>1943</v>
      </c>
      <c r="X158" s="9" t="s">
        <v>162</v>
      </c>
      <c r="Y158" s="9" t="s">
        <v>545</v>
      </c>
      <c r="Z158" s="9" t="s">
        <v>162</v>
      </c>
      <c r="AA158" s="9" t="s">
        <v>96</v>
      </c>
      <c r="AB158" s="9" t="s">
        <v>96</v>
      </c>
      <c r="AC158" s="9" t="s">
        <v>96</v>
      </c>
      <c r="AD158" s="9" t="s">
        <v>96</v>
      </c>
      <c r="AE158" s="9" t="s">
        <v>36</v>
      </c>
      <c r="AF158" s="9" t="s">
        <v>162</v>
      </c>
      <c r="AG158" s="9" t="s">
        <v>162</v>
      </c>
      <c r="AH158" s="9" t="s">
        <v>162</v>
      </c>
      <c r="AI158" s="9" t="s">
        <v>162</v>
      </c>
      <c r="AJ158" s="9" t="s">
        <v>162</v>
      </c>
      <c r="AK158" s="9" t="s">
        <v>162</v>
      </c>
      <c r="AL158" s="9">
        <v>104.9</v>
      </c>
      <c r="AM158" s="9">
        <v>170</v>
      </c>
      <c r="AN158" s="10">
        <v>129</v>
      </c>
      <c r="AO158" s="9">
        <v>120</v>
      </c>
      <c r="AP158" s="9">
        <v>37.299999999999997</v>
      </c>
      <c r="AQ158" s="9">
        <v>21</v>
      </c>
      <c r="AR158" s="9">
        <v>28.4</v>
      </c>
      <c r="AS158" s="9">
        <v>74</v>
      </c>
      <c r="AT158" s="9">
        <v>36.299999999999997</v>
      </c>
      <c r="AU158" s="10">
        <v>138</v>
      </c>
      <c r="AV158" s="9">
        <v>84</v>
      </c>
      <c r="AX158" s="9" t="s">
        <v>6319</v>
      </c>
      <c r="AY158" s="9" t="s">
        <v>6320</v>
      </c>
      <c r="BB158" s="9" t="s">
        <v>162</v>
      </c>
      <c r="BC158" s="9" t="s">
        <v>162</v>
      </c>
      <c r="BD158" s="9" t="s">
        <v>162</v>
      </c>
      <c r="BF158" s="9" t="s">
        <v>322</v>
      </c>
      <c r="BG158" s="9" t="s">
        <v>325</v>
      </c>
      <c r="BH158" s="9" t="s">
        <v>162</v>
      </c>
      <c r="BI158" s="9" t="s">
        <v>322</v>
      </c>
      <c r="BJ158" s="9" t="s">
        <v>6321</v>
      </c>
      <c r="BK158" s="9" t="s">
        <v>483</v>
      </c>
      <c r="BN158" s="9" t="s">
        <v>376</v>
      </c>
      <c r="BO158" s="9" t="s">
        <v>6322</v>
      </c>
      <c r="BP158" s="9" t="s">
        <v>6323</v>
      </c>
      <c r="BR158" s="9" t="s">
        <v>6324</v>
      </c>
      <c r="BS158" s="9" t="s">
        <v>6325</v>
      </c>
      <c r="BT158" s="9" t="s">
        <v>6326</v>
      </c>
      <c r="BV158" s="9" t="s">
        <v>6327</v>
      </c>
      <c r="BW158" s="9" t="s">
        <v>6328</v>
      </c>
      <c r="BZ158" s="9" t="s">
        <v>501</v>
      </c>
      <c r="CA158" s="9" t="s">
        <v>527</v>
      </c>
      <c r="CB158" s="9" t="s">
        <v>6329</v>
      </c>
      <c r="CD158" s="9" t="s">
        <v>162</v>
      </c>
      <c r="CE158" s="9" t="s">
        <v>162</v>
      </c>
      <c r="CF158" s="9" t="s">
        <v>162</v>
      </c>
      <c r="CH158" s="9" t="s">
        <v>162</v>
      </c>
      <c r="CI158" s="9" t="s">
        <v>162</v>
      </c>
      <c r="CJ158" s="9" t="s">
        <v>162</v>
      </c>
      <c r="CL158" s="9" t="s">
        <v>450</v>
      </c>
      <c r="CM158" s="9" t="s">
        <v>504</v>
      </c>
      <c r="CN158" s="9" t="s">
        <v>162</v>
      </c>
      <c r="CP158" s="9" t="s">
        <v>162</v>
      </c>
      <c r="CQ158" s="9" t="s">
        <v>162</v>
      </c>
      <c r="CR158" s="9" t="s">
        <v>162</v>
      </c>
      <c r="CT158" s="9" t="s">
        <v>6330</v>
      </c>
      <c r="CU158" s="9" t="s">
        <v>162</v>
      </c>
      <c r="CW158" s="9" t="s">
        <v>162</v>
      </c>
      <c r="CX158" s="9" t="s">
        <v>162</v>
      </c>
      <c r="CY158" s="9" t="s">
        <v>263</v>
      </c>
      <c r="CZ158" s="9">
        <v>25</v>
      </c>
      <c r="DA158" s="9">
        <v>25</v>
      </c>
      <c r="DB158" s="9">
        <v>50</v>
      </c>
      <c r="DC158" s="9">
        <v>84.1</v>
      </c>
      <c r="DD158" s="9">
        <v>0.75</v>
      </c>
      <c r="DE158" s="10">
        <v>268</v>
      </c>
      <c r="DF158" s="10">
        <v>256</v>
      </c>
      <c r="DG158" s="9">
        <f t="shared" si="2"/>
        <v>4.9885920057292328</v>
      </c>
      <c r="DH158" s="9">
        <v>51.2</v>
      </c>
      <c r="DI158" s="10">
        <v>7.43</v>
      </c>
      <c r="DJ158" s="9">
        <v>29</v>
      </c>
      <c r="DK158" s="9">
        <v>25.3</v>
      </c>
      <c r="DL158" s="10">
        <v>35.5</v>
      </c>
      <c r="DM158" s="9">
        <v>181.3</v>
      </c>
      <c r="DP158" s="11">
        <v>3</v>
      </c>
      <c r="DQ158" s="9">
        <v>2</v>
      </c>
      <c r="DR158" s="9">
        <v>3</v>
      </c>
      <c r="DT158" s="9">
        <v>15</v>
      </c>
      <c r="DU158" s="9">
        <v>4</v>
      </c>
    </row>
    <row r="159" spans="1:125" x14ac:dyDescent="0.2">
      <c r="A159" s="36">
        <v>628</v>
      </c>
      <c r="B159" s="8">
        <v>43279</v>
      </c>
      <c r="C159" s="9" t="s">
        <v>107</v>
      </c>
      <c r="D159" s="9">
        <v>42</v>
      </c>
      <c r="E159" s="9" t="s">
        <v>96</v>
      </c>
      <c r="F159" s="8">
        <v>27762</v>
      </c>
      <c r="G159" s="9" t="s">
        <v>162</v>
      </c>
      <c r="H159" s="9" t="s">
        <v>6346</v>
      </c>
      <c r="I159" s="9" t="s">
        <v>162</v>
      </c>
      <c r="J159" s="9" t="s">
        <v>162</v>
      </c>
      <c r="K159" s="9" t="s">
        <v>162</v>
      </c>
      <c r="L159" s="9" t="s">
        <v>162</v>
      </c>
      <c r="M159" s="9" t="s">
        <v>263</v>
      </c>
      <c r="N159" s="10" t="s">
        <v>368</v>
      </c>
      <c r="O159" s="9" t="s">
        <v>263</v>
      </c>
      <c r="P159" s="9" t="s">
        <v>263</v>
      </c>
      <c r="Q159" s="10" t="s">
        <v>369</v>
      </c>
      <c r="R159" s="9" t="s">
        <v>263</v>
      </c>
      <c r="S159" s="9" t="s">
        <v>368</v>
      </c>
      <c r="T159" s="9" t="s">
        <v>368</v>
      </c>
      <c r="U159" s="9" t="s">
        <v>6347</v>
      </c>
      <c r="V159" s="9" t="s">
        <v>263</v>
      </c>
      <c r="W159" s="9" t="s">
        <v>6348</v>
      </c>
      <c r="X159" s="9" t="s">
        <v>263</v>
      </c>
      <c r="Y159" s="10" t="s">
        <v>6349</v>
      </c>
      <c r="Z159" s="9" t="s">
        <v>162</v>
      </c>
      <c r="AA159" s="9" t="s">
        <v>96</v>
      </c>
      <c r="AB159" s="9" t="s">
        <v>96</v>
      </c>
      <c r="AC159" s="9" t="s">
        <v>96</v>
      </c>
      <c r="AD159" s="9" t="s">
        <v>96</v>
      </c>
      <c r="AE159" s="9" t="s">
        <v>263</v>
      </c>
      <c r="AF159" s="9" t="s">
        <v>6350</v>
      </c>
      <c r="AG159" s="9" t="s">
        <v>263</v>
      </c>
      <c r="AH159" s="9" t="s">
        <v>263</v>
      </c>
      <c r="AI159" s="9" t="s">
        <v>263</v>
      </c>
      <c r="AJ159" s="9" t="s">
        <v>263</v>
      </c>
      <c r="AK159" s="9" t="s">
        <v>263</v>
      </c>
      <c r="AL159" s="9">
        <v>66.3</v>
      </c>
      <c r="AM159" s="9">
        <v>1.63</v>
      </c>
      <c r="AN159" s="10">
        <v>95</v>
      </c>
      <c r="AO159" s="9">
        <v>98</v>
      </c>
      <c r="AP159" s="9" t="s">
        <v>162</v>
      </c>
      <c r="AQ159" s="9" t="s">
        <v>162</v>
      </c>
      <c r="AR159" s="9" t="s">
        <v>162</v>
      </c>
      <c r="AS159" s="9" t="s">
        <v>162</v>
      </c>
      <c r="AT159" s="7">
        <v>24.95</v>
      </c>
      <c r="AU159" s="9">
        <v>120</v>
      </c>
      <c r="AV159" s="10">
        <v>88</v>
      </c>
      <c r="AX159" s="9" t="s">
        <v>6351</v>
      </c>
      <c r="AY159" s="9" t="s">
        <v>6352</v>
      </c>
      <c r="AZ159" s="9" t="s">
        <v>162</v>
      </c>
      <c r="BB159" s="9" t="s">
        <v>162</v>
      </c>
      <c r="BC159" s="9" t="s">
        <v>162</v>
      </c>
      <c r="BD159" s="9" t="s">
        <v>162</v>
      </c>
      <c r="BF159" s="9" t="s">
        <v>322</v>
      </c>
      <c r="BG159" s="9" t="s">
        <v>162</v>
      </c>
      <c r="BH159" s="9" t="s">
        <v>322</v>
      </c>
      <c r="BI159" s="9" t="s">
        <v>162</v>
      </c>
      <c r="BJ159" s="9" t="s">
        <v>322</v>
      </c>
      <c r="BK159" s="9" t="s">
        <v>322</v>
      </c>
      <c r="BN159" s="9" t="s">
        <v>6353</v>
      </c>
      <c r="BO159" s="9" t="s">
        <v>376</v>
      </c>
      <c r="BP159" s="9" t="s">
        <v>6354</v>
      </c>
      <c r="BR159" s="9" t="s">
        <v>6355</v>
      </c>
      <c r="BS159" s="9" t="s">
        <v>6356</v>
      </c>
      <c r="BV159" s="9" t="s">
        <v>5781</v>
      </c>
      <c r="BW159" s="9" t="s">
        <v>6357</v>
      </c>
      <c r="BX159" s="9" t="s">
        <v>6327</v>
      </c>
      <c r="BZ159" s="9" t="s">
        <v>6358</v>
      </c>
      <c r="CA159" s="9" t="s">
        <v>503</v>
      </c>
      <c r="CB159" s="9" t="s">
        <v>1488</v>
      </c>
      <c r="CD159" s="9" t="s">
        <v>162</v>
      </c>
      <c r="CH159" s="9" t="s">
        <v>162</v>
      </c>
      <c r="CI159" s="9" t="s">
        <v>162</v>
      </c>
      <c r="CJ159" s="9" t="s">
        <v>162</v>
      </c>
      <c r="CL159" s="9" t="s">
        <v>6340</v>
      </c>
      <c r="CM159" s="9" t="s">
        <v>162</v>
      </c>
      <c r="CN159" s="9" t="s">
        <v>162</v>
      </c>
      <c r="CP159" s="9" t="s">
        <v>162</v>
      </c>
      <c r="CQ159" s="9" t="s">
        <v>162</v>
      </c>
      <c r="CR159" s="9" t="s">
        <v>162</v>
      </c>
      <c r="CT159" s="9" t="s">
        <v>162</v>
      </c>
      <c r="CU159" s="9" t="s">
        <v>162</v>
      </c>
      <c r="CV159" s="9" t="s">
        <v>162</v>
      </c>
      <c r="CW159" s="9">
        <v>3</v>
      </c>
      <c r="CX159" s="9" t="s">
        <v>162</v>
      </c>
      <c r="CY159" s="9" t="s">
        <v>263</v>
      </c>
      <c r="CZ159" s="9">
        <v>80</v>
      </c>
      <c r="DA159" s="9">
        <v>50</v>
      </c>
      <c r="DB159" s="9">
        <v>100</v>
      </c>
      <c r="DC159" s="9">
        <v>79</v>
      </c>
      <c r="DD159" s="9">
        <v>0.54</v>
      </c>
      <c r="DE159" s="9">
        <v>169</v>
      </c>
      <c r="DF159" s="10">
        <v>519</v>
      </c>
      <c r="DG159" s="9">
        <f t="shared" si="2"/>
        <v>5.310675867816455</v>
      </c>
      <c r="DH159" s="9">
        <v>103.8</v>
      </c>
      <c r="DI159" s="10">
        <v>8.77</v>
      </c>
      <c r="DJ159" s="9">
        <v>41</v>
      </c>
      <c r="DK159" s="10">
        <v>43.3</v>
      </c>
      <c r="DL159" s="10">
        <v>36.6</v>
      </c>
      <c r="DM159" s="9">
        <v>28.6</v>
      </c>
      <c r="DP159" s="11">
        <v>2</v>
      </c>
      <c r="DQ159" s="9">
        <v>3</v>
      </c>
      <c r="DR159" s="9">
        <v>3</v>
      </c>
      <c r="DU159" s="9">
        <v>2.21</v>
      </c>
    </row>
    <row r="160" spans="1:125" x14ac:dyDescent="0.2">
      <c r="A160" s="36">
        <v>630</v>
      </c>
      <c r="B160" s="8">
        <v>43279</v>
      </c>
      <c r="C160" s="9" t="s">
        <v>95</v>
      </c>
      <c r="D160" s="9">
        <v>40</v>
      </c>
      <c r="E160" s="9" t="s">
        <v>96</v>
      </c>
      <c r="F160" s="8">
        <v>28365</v>
      </c>
      <c r="G160" s="9" t="s">
        <v>162</v>
      </c>
      <c r="H160" s="9" t="s">
        <v>6369</v>
      </c>
      <c r="I160" s="9" t="s">
        <v>162</v>
      </c>
      <c r="J160" s="9" t="s">
        <v>162</v>
      </c>
      <c r="K160" s="8">
        <v>38969</v>
      </c>
      <c r="L160" s="9">
        <v>1</v>
      </c>
      <c r="M160" s="9" t="s">
        <v>263</v>
      </c>
      <c r="N160" s="9" t="s">
        <v>263</v>
      </c>
      <c r="O160" s="9" t="s">
        <v>162</v>
      </c>
      <c r="P160" s="9" t="s">
        <v>263</v>
      </c>
      <c r="Q160" s="10" t="s">
        <v>456</v>
      </c>
      <c r="R160" s="9" t="s">
        <v>368</v>
      </c>
      <c r="S160" s="9" t="s">
        <v>368</v>
      </c>
      <c r="T160" s="9" t="s">
        <v>368</v>
      </c>
      <c r="U160" s="10" t="s">
        <v>6370</v>
      </c>
      <c r="V160" s="9" t="s">
        <v>483</v>
      </c>
      <c r="W160" s="9" t="s">
        <v>263</v>
      </c>
      <c r="X160" s="9" t="s">
        <v>263</v>
      </c>
      <c r="Y160" s="9" t="s">
        <v>162</v>
      </c>
      <c r="Z160" s="9" t="s">
        <v>162</v>
      </c>
      <c r="AA160" s="9" t="s">
        <v>162</v>
      </c>
      <c r="AB160" s="9" t="s">
        <v>162</v>
      </c>
      <c r="AC160" s="41" t="s">
        <v>461</v>
      </c>
      <c r="AD160" s="41" t="s">
        <v>461</v>
      </c>
      <c r="AE160" s="9" t="s">
        <v>6198</v>
      </c>
      <c r="AF160" s="9" t="s">
        <v>6198</v>
      </c>
      <c r="AG160" s="9" t="s">
        <v>6198</v>
      </c>
      <c r="AH160" s="9" t="s">
        <v>162</v>
      </c>
      <c r="AI160" s="9" t="s">
        <v>162</v>
      </c>
      <c r="AJ160" s="9" t="s">
        <v>162</v>
      </c>
      <c r="AK160" s="9" t="s">
        <v>162</v>
      </c>
      <c r="AL160" s="9">
        <v>102.6</v>
      </c>
      <c r="AM160" s="9">
        <v>154</v>
      </c>
      <c r="AN160" s="10">
        <v>120.4</v>
      </c>
      <c r="AO160" s="9">
        <v>140.6</v>
      </c>
      <c r="AP160" s="9">
        <v>38.4</v>
      </c>
      <c r="AQ160" s="9">
        <v>3.11</v>
      </c>
      <c r="AR160" s="9">
        <v>60.1</v>
      </c>
      <c r="AS160" s="9">
        <v>50</v>
      </c>
      <c r="AT160" s="14">
        <v>50.76</v>
      </c>
      <c r="AU160" s="10">
        <v>146</v>
      </c>
      <c r="AV160" s="10">
        <v>118</v>
      </c>
      <c r="AX160" s="9" t="s">
        <v>917</v>
      </c>
      <c r="AY160" s="9" t="s">
        <v>6371</v>
      </c>
      <c r="BB160" s="9" t="s">
        <v>6372</v>
      </c>
      <c r="BF160" s="9" t="s">
        <v>322</v>
      </c>
      <c r="BG160" s="9" t="s">
        <v>375</v>
      </c>
      <c r="BH160" s="9" t="s">
        <v>322</v>
      </c>
      <c r="BI160" s="9" t="s">
        <v>322</v>
      </c>
      <c r="BJ160" s="9" t="s">
        <v>375</v>
      </c>
      <c r="BK160" s="9" t="s">
        <v>162</v>
      </c>
      <c r="BN160" s="9" t="s">
        <v>519</v>
      </c>
      <c r="BO160" s="9" t="s">
        <v>6373</v>
      </c>
      <c r="BP160" s="9" t="s">
        <v>394</v>
      </c>
      <c r="BR160" s="9" t="s">
        <v>162</v>
      </c>
      <c r="BS160" s="9" t="s">
        <v>162</v>
      </c>
      <c r="BT160" s="9" t="s">
        <v>162</v>
      </c>
      <c r="BV160" s="9" t="s">
        <v>162</v>
      </c>
      <c r="BW160" s="9" t="s">
        <v>162</v>
      </c>
      <c r="BX160" s="9" t="s">
        <v>162</v>
      </c>
      <c r="BY160" s="9" t="s">
        <v>162</v>
      </c>
      <c r="BZ160" s="9" t="s">
        <v>6358</v>
      </c>
      <c r="CA160" s="9" t="s">
        <v>6374</v>
      </c>
      <c r="CB160" s="9" t="s">
        <v>6375</v>
      </c>
      <c r="CD160" s="9" t="s">
        <v>162</v>
      </c>
      <c r="CE160" s="9" t="s">
        <v>162</v>
      </c>
      <c r="CF160" s="9" t="s">
        <v>162</v>
      </c>
      <c r="CH160" s="9" t="s">
        <v>162</v>
      </c>
      <c r="CI160" s="9" t="s">
        <v>162</v>
      </c>
      <c r="CJ160" s="9" t="s">
        <v>162</v>
      </c>
      <c r="CL160" s="9" t="s">
        <v>922</v>
      </c>
      <c r="CM160" s="9" t="s">
        <v>472</v>
      </c>
      <c r="CN160" s="9" t="s">
        <v>383</v>
      </c>
      <c r="CP160" s="9" t="s">
        <v>791</v>
      </c>
      <c r="CQ160" s="9" t="s">
        <v>452</v>
      </c>
      <c r="CT160" s="9" t="s">
        <v>336</v>
      </c>
      <c r="CU160" s="9" t="s">
        <v>6376</v>
      </c>
      <c r="CW160" s="9" t="s">
        <v>2006</v>
      </c>
      <c r="CX160" s="9" t="s">
        <v>263</v>
      </c>
      <c r="CY160" s="9" t="s">
        <v>263</v>
      </c>
      <c r="CZ160" s="9">
        <v>40</v>
      </c>
      <c r="DA160" s="9">
        <v>30</v>
      </c>
      <c r="DB160" s="9">
        <v>30</v>
      </c>
      <c r="DC160" s="9">
        <v>61.9</v>
      </c>
      <c r="DD160" s="9">
        <v>0.46</v>
      </c>
      <c r="DE160" s="9">
        <v>175</v>
      </c>
      <c r="DF160" s="9">
        <v>75</v>
      </c>
      <c r="DG160" s="9">
        <f t="shared" si="2"/>
        <v>4.2215041466134302</v>
      </c>
      <c r="DH160" s="9">
        <v>15</v>
      </c>
      <c r="DI160" s="9">
        <v>2.25</v>
      </c>
      <c r="DJ160" s="9">
        <v>18.3</v>
      </c>
      <c r="DK160" s="9">
        <v>34.700000000000003</v>
      </c>
      <c r="DL160" s="9">
        <v>41.3</v>
      </c>
      <c r="DM160" s="9">
        <v>118.7</v>
      </c>
      <c r="DP160" s="11">
        <v>2</v>
      </c>
      <c r="DQ160" s="9">
        <v>2</v>
      </c>
      <c r="DU160" s="9">
        <v>5.8</v>
      </c>
    </row>
    <row r="161" spans="1:125" x14ac:dyDescent="0.2">
      <c r="A161" s="14">
        <v>631</v>
      </c>
      <c r="B161" s="8">
        <v>43279</v>
      </c>
      <c r="C161" s="9" t="s">
        <v>258</v>
      </c>
      <c r="D161" s="9">
        <v>57</v>
      </c>
      <c r="E161" s="9" t="s">
        <v>96</v>
      </c>
      <c r="F161" s="8">
        <v>22335</v>
      </c>
      <c r="G161" s="9" t="s">
        <v>6377</v>
      </c>
      <c r="H161" s="9" t="s">
        <v>6378</v>
      </c>
      <c r="I161" s="9" t="s">
        <v>162</v>
      </c>
      <c r="J161" s="9" t="s">
        <v>162</v>
      </c>
      <c r="K161" s="9" t="s">
        <v>162</v>
      </c>
      <c r="L161" s="9" t="s">
        <v>162</v>
      </c>
      <c r="M161" s="9" t="s">
        <v>162</v>
      </c>
      <c r="N161" s="10" t="s">
        <v>588</v>
      </c>
      <c r="O161" s="9" t="s">
        <v>162</v>
      </c>
      <c r="P161" s="9" t="s">
        <v>162</v>
      </c>
      <c r="Q161" s="10" t="s">
        <v>6379</v>
      </c>
      <c r="R161" s="9" t="s">
        <v>263</v>
      </c>
      <c r="S161" s="9" t="s">
        <v>368</v>
      </c>
      <c r="T161" s="9" t="s">
        <v>6307</v>
      </c>
      <c r="U161" s="9" t="s">
        <v>263</v>
      </c>
      <c r="V161" s="9" t="s">
        <v>263</v>
      </c>
      <c r="W161" s="9" t="s">
        <v>6380</v>
      </c>
      <c r="X161" s="9" t="s">
        <v>263</v>
      </c>
      <c r="Y161" s="10" t="s">
        <v>6381</v>
      </c>
      <c r="Z161" s="9" t="s">
        <v>6382</v>
      </c>
      <c r="AA161" s="9" t="s">
        <v>96</v>
      </c>
      <c r="AB161" s="9" t="s">
        <v>96</v>
      </c>
      <c r="AC161" s="9" t="s">
        <v>96</v>
      </c>
      <c r="AD161" s="9" t="s">
        <v>96</v>
      </c>
      <c r="AE161" s="9" t="s">
        <v>6383</v>
      </c>
      <c r="AF161" s="9" t="s">
        <v>6384</v>
      </c>
      <c r="AG161" s="9" t="s">
        <v>6385</v>
      </c>
      <c r="AH161" s="9" t="s">
        <v>407</v>
      </c>
      <c r="AI161" s="9" t="s">
        <v>263</v>
      </c>
      <c r="AJ161" s="9" t="s">
        <v>263</v>
      </c>
      <c r="AK161" s="9" t="s">
        <v>263</v>
      </c>
      <c r="AL161" s="9">
        <v>81.400000000000006</v>
      </c>
      <c r="AM161" s="9">
        <v>170</v>
      </c>
      <c r="AN161" s="10">
        <v>99</v>
      </c>
      <c r="AO161" s="9">
        <v>105</v>
      </c>
      <c r="AP161" s="9">
        <v>27.8</v>
      </c>
      <c r="AQ161" s="9">
        <v>2.9</v>
      </c>
      <c r="AR161" s="9">
        <v>55.9</v>
      </c>
      <c r="AS161" s="9">
        <v>50</v>
      </c>
      <c r="AT161" s="9">
        <v>28.17</v>
      </c>
      <c r="AU161" s="10">
        <v>194</v>
      </c>
      <c r="AV161" s="10">
        <v>103</v>
      </c>
      <c r="AX161" s="9" t="s">
        <v>162</v>
      </c>
      <c r="AY161" s="9" t="s">
        <v>162</v>
      </c>
      <c r="AZ161" s="9" t="s">
        <v>162</v>
      </c>
      <c r="BB161" s="9" t="s">
        <v>162</v>
      </c>
      <c r="BC161" s="9" t="s">
        <v>162</v>
      </c>
      <c r="BD161" s="9" t="s">
        <v>162</v>
      </c>
      <c r="BF161" s="9" t="s">
        <v>322</v>
      </c>
      <c r="BG161" s="9" t="s">
        <v>375</v>
      </c>
      <c r="BH161" s="9" t="s">
        <v>162</v>
      </c>
      <c r="BI161" s="9" t="s">
        <v>322</v>
      </c>
      <c r="BJ161" s="9" t="s">
        <v>162</v>
      </c>
      <c r="BK161" s="9" t="s">
        <v>375</v>
      </c>
      <c r="BN161" s="9" t="s">
        <v>162</v>
      </c>
      <c r="BO161" s="9" t="s">
        <v>162</v>
      </c>
      <c r="BP161" s="9" t="s">
        <v>162</v>
      </c>
      <c r="BR161" s="9" t="s">
        <v>162</v>
      </c>
      <c r="BS161" s="9" t="s">
        <v>162</v>
      </c>
      <c r="BT161" s="9" t="s">
        <v>162</v>
      </c>
      <c r="BV161" s="9" t="s">
        <v>162</v>
      </c>
      <c r="BW161" s="9" t="s">
        <v>162</v>
      </c>
      <c r="BX161" s="9" t="s">
        <v>162</v>
      </c>
      <c r="BZ161" s="9" t="s">
        <v>162</v>
      </c>
      <c r="CA161" s="9" t="s">
        <v>162</v>
      </c>
      <c r="CB161" s="9" t="s">
        <v>162</v>
      </c>
      <c r="CD161" s="9" t="s">
        <v>162</v>
      </c>
      <c r="CE161" s="9" t="s">
        <v>162</v>
      </c>
      <c r="CF161" s="9" t="s">
        <v>162</v>
      </c>
      <c r="CH161" s="9" t="s">
        <v>162</v>
      </c>
      <c r="CI161" s="9" t="s">
        <v>162</v>
      </c>
      <c r="CJ161" s="9" t="s">
        <v>162</v>
      </c>
      <c r="CL161" s="9" t="s">
        <v>162</v>
      </c>
      <c r="CM161" s="9" t="s">
        <v>162</v>
      </c>
      <c r="CN161" s="9" t="s">
        <v>162</v>
      </c>
      <c r="CP161" s="9" t="s">
        <v>162</v>
      </c>
      <c r="CQ161" s="9" t="s">
        <v>162</v>
      </c>
      <c r="CR161" s="9" t="s">
        <v>162</v>
      </c>
      <c r="CT161" s="9" t="s">
        <v>162</v>
      </c>
      <c r="CU161" s="9" t="s">
        <v>162</v>
      </c>
      <c r="CV161" s="9" t="s">
        <v>162</v>
      </c>
      <c r="CW161" s="9">
        <v>3</v>
      </c>
      <c r="CX161" s="9" t="s">
        <v>368</v>
      </c>
      <c r="CY161" s="9" t="s">
        <v>368</v>
      </c>
      <c r="CZ161" s="9">
        <v>50</v>
      </c>
      <c r="DA161" s="9">
        <v>20</v>
      </c>
      <c r="DB161" s="9">
        <v>30</v>
      </c>
      <c r="DC161" s="10">
        <v>117</v>
      </c>
      <c r="DD161" s="9">
        <v>0.86</v>
      </c>
      <c r="DE161" s="9">
        <v>76</v>
      </c>
      <c r="DF161" s="9">
        <v>82</v>
      </c>
      <c r="DG161" s="9">
        <f t="shared" si="2"/>
        <v>4.5844465910310044</v>
      </c>
      <c r="DI161" s="9">
        <v>6.96</v>
      </c>
      <c r="DJ161" s="9">
        <v>9.6999999999999993</v>
      </c>
      <c r="DK161" s="9">
        <v>17</v>
      </c>
      <c r="DL161" s="9">
        <v>59.5</v>
      </c>
      <c r="DP161" s="11">
        <v>2</v>
      </c>
      <c r="DQ161" s="9">
        <v>3</v>
      </c>
      <c r="DT161" s="9">
        <v>11</v>
      </c>
      <c r="DU161" s="9">
        <v>3.78</v>
      </c>
    </row>
    <row r="162" spans="1:125" x14ac:dyDescent="0.2">
      <c r="A162" s="36">
        <v>642</v>
      </c>
      <c r="B162" s="8">
        <v>43279</v>
      </c>
      <c r="C162" s="9" t="s">
        <v>107</v>
      </c>
      <c r="D162" s="9">
        <v>64</v>
      </c>
      <c r="E162" s="9" t="s">
        <v>96</v>
      </c>
      <c r="F162" s="8">
        <v>19909</v>
      </c>
      <c r="G162" s="9" t="s">
        <v>508</v>
      </c>
      <c r="H162" s="9" t="s">
        <v>6427</v>
      </c>
      <c r="I162" s="9" t="s">
        <v>162</v>
      </c>
      <c r="J162" s="9" t="s">
        <v>162</v>
      </c>
      <c r="K162" s="9" t="s">
        <v>162</v>
      </c>
      <c r="L162" s="9" t="s">
        <v>162</v>
      </c>
      <c r="M162" s="9" t="s">
        <v>263</v>
      </c>
      <c r="N162" s="10" t="s">
        <v>368</v>
      </c>
      <c r="O162" s="9" t="s">
        <v>162</v>
      </c>
      <c r="P162" s="9" t="s">
        <v>263</v>
      </c>
      <c r="Q162" s="9" t="s">
        <v>162</v>
      </c>
      <c r="R162" s="9" t="s">
        <v>368</v>
      </c>
      <c r="S162" s="9" t="s">
        <v>368</v>
      </c>
      <c r="T162" s="9" t="s">
        <v>483</v>
      </c>
      <c r="U162" s="9" t="s">
        <v>6428</v>
      </c>
      <c r="V162" s="9" t="s">
        <v>263</v>
      </c>
      <c r="W162" s="9" t="s">
        <v>6429</v>
      </c>
      <c r="X162" s="9" t="s">
        <v>162</v>
      </c>
      <c r="Y162" s="10" t="s">
        <v>6430</v>
      </c>
      <c r="Z162" s="9" t="s">
        <v>162</v>
      </c>
      <c r="AA162" s="9" t="s">
        <v>96</v>
      </c>
      <c r="AB162" s="9" t="s">
        <v>96</v>
      </c>
      <c r="AC162" s="9" t="s">
        <v>96</v>
      </c>
      <c r="AD162" s="9" t="s">
        <v>96</v>
      </c>
      <c r="AE162" s="10" t="s">
        <v>612</v>
      </c>
      <c r="AF162" s="10" t="s">
        <v>35</v>
      </c>
      <c r="AG162" s="9" t="s">
        <v>263</v>
      </c>
      <c r="AH162" s="10" t="s">
        <v>35</v>
      </c>
      <c r="AI162" s="9" t="s">
        <v>263</v>
      </c>
      <c r="AJ162" s="9" t="s">
        <v>263</v>
      </c>
      <c r="AK162" s="9" t="s">
        <v>263</v>
      </c>
      <c r="AL162" s="9">
        <v>88.3</v>
      </c>
      <c r="AM162" s="9">
        <v>163</v>
      </c>
      <c r="AN162" s="10">
        <v>117</v>
      </c>
      <c r="AO162" s="9">
        <v>106</v>
      </c>
      <c r="AP162" s="9">
        <v>42.6</v>
      </c>
      <c r="AQ162" s="9">
        <v>23</v>
      </c>
      <c r="AR162" s="9">
        <v>21.5</v>
      </c>
      <c r="AS162" s="9">
        <v>76</v>
      </c>
      <c r="AT162" s="9">
        <v>33.200000000000003</v>
      </c>
      <c r="AU162" s="10">
        <v>167</v>
      </c>
      <c r="AV162" s="9">
        <v>70</v>
      </c>
      <c r="AX162" s="9" t="s">
        <v>162</v>
      </c>
      <c r="AY162" s="9" t="s">
        <v>162</v>
      </c>
      <c r="AZ162" s="9" t="s">
        <v>162</v>
      </c>
      <c r="BB162" s="9" t="s">
        <v>162</v>
      </c>
      <c r="BC162" s="9" t="s">
        <v>162</v>
      </c>
      <c r="BD162" s="9" t="s">
        <v>162</v>
      </c>
      <c r="BF162" s="9" t="s">
        <v>162</v>
      </c>
      <c r="BG162" s="9" t="s">
        <v>162</v>
      </c>
      <c r="BH162" s="9" t="s">
        <v>162</v>
      </c>
      <c r="BI162" s="9" t="s">
        <v>162</v>
      </c>
      <c r="BJ162" s="9" t="s">
        <v>162</v>
      </c>
      <c r="BK162" s="9" t="s">
        <v>162</v>
      </c>
      <c r="BN162" s="9" t="s">
        <v>162</v>
      </c>
      <c r="BO162" s="9" t="s">
        <v>162</v>
      </c>
      <c r="BP162" s="9" t="s">
        <v>162</v>
      </c>
      <c r="BR162" s="9" t="s">
        <v>162</v>
      </c>
      <c r="BS162" s="9" t="s">
        <v>162</v>
      </c>
      <c r="BT162" s="9" t="s">
        <v>162</v>
      </c>
      <c r="BV162" s="9" t="s">
        <v>162</v>
      </c>
      <c r="BW162" s="9" t="s">
        <v>162</v>
      </c>
      <c r="BX162" s="9" t="s">
        <v>162</v>
      </c>
      <c r="BZ162" s="9" t="s">
        <v>162</v>
      </c>
      <c r="CA162" s="9" t="s">
        <v>162</v>
      </c>
      <c r="CB162" s="9" t="s">
        <v>162</v>
      </c>
      <c r="CD162" s="9" t="s">
        <v>162</v>
      </c>
      <c r="CE162" s="9" t="s">
        <v>162</v>
      </c>
      <c r="CF162" s="9" t="s">
        <v>162</v>
      </c>
      <c r="CH162" s="9" t="s">
        <v>162</v>
      </c>
      <c r="CI162" s="9" t="s">
        <v>162</v>
      </c>
      <c r="CJ162" s="9" t="s">
        <v>162</v>
      </c>
      <c r="CL162" s="9" t="s">
        <v>162</v>
      </c>
      <c r="CM162" s="9" t="s">
        <v>162</v>
      </c>
      <c r="CN162" s="9" t="s">
        <v>162</v>
      </c>
      <c r="CP162" s="9" t="s">
        <v>162</v>
      </c>
      <c r="CQ162" s="9" t="s">
        <v>162</v>
      </c>
      <c r="CR162" s="9" t="s">
        <v>162</v>
      </c>
      <c r="CT162" s="9" t="s">
        <v>162</v>
      </c>
      <c r="CU162" s="9" t="s">
        <v>162</v>
      </c>
      <c r="CV162" s="9" t="s">
        <v>162</v>
      </c>
      <c r="CW162" s="9" t="s">
        <v>162</v>
      </c>
      <c r="CX162" s="9" t="s">
        <v>162</v>
      </c>
      <c r="CY162" s="9" t="s">
        <v>162</v>
      </c>
      <c r="CZ162" s="9" t="s">
        <v>162</v>
      </c>
      <c r="DA162" s="9" t="s">
        <v>162</v>
      </c>
      <c r="DB162" s="9" t="s">
        <v>162</v>
      </c>
      <c r="DC162" s="9">
        <v>95.8</v>
      </c>
      <c r="DD162" s="9">
        <v>0.68</v>
      </c>
      <c r="DE162" s="10">
        <v>226</v>
      </c>
      <c r="DF162" s="10">
        <v>214</v>
      </c>
      <c r="DG162" s="9">
        <f t="shared" si="2"/>
        <v>4.9641193499993328</v>
      </c>
      <c r="DH162" s="9">
        <v>42.8</v>
      </c>
      <c r="DI162" s="9">
        <v>6.16</v>
      </c>
      <c r="DJ162" s="9">
        <v>23</v>
      </c>
      <c r="DK162" s="9">
        <v>25.3</v>
      </c>
      <c r="DL162" s="9">
        <v>47.2</v>
      </c>
      <c r="DM162" s="9">
        <v>136</v>
      </c>
      <c r="DR162" s="9">
        <v>2</v>
      </c>
      <c r="DT162" s="9">
        <v>11.4</v>
      </c>
      <c r="DU162" s="9">
        <v>3.03</v>
      </c>
    </row>
    <row r="163" spans="1:125" x14ac:dyDescent="0.2">
      <c r="A163" s="36">
        <v>645</v>
      </c>
      <c r="B163" s="8">
        <v>43279</v>
      </c>
      <c r="C163" s="9" t="s">
        <v>95</v>
      </c>
      <c r="D163" s="9" t="s">
        <v>162</v>
      </c>
      <c r="E163" s="9" t="s">
        <v>96</v>
      </c>
      <c r="F163" s="9" t="s">
        <v>162</v>
      </c>
      <c r="G163" s="9" t="s">
        <v>314</v>
      </c>
      <c r="H163" s="9" t="s">
        <v>162</v>
      </c>
      <c r="I163" s="9" t="s">
        <v>162</v>
      </c>
      <c r="J163" s="9" t="s">
        <v>162</v>
      </c>
      <c r="K163" s="9">
        <v>1980</v>
      </c>
      <c r="L163" s="9">
        <v>5</v>
      </c>
      <c r="M163" s="9" t="s">
        <v>263</v>
      </c>
      <c r="N163" s="10" t="s">
        <v>368</v>
      </c>
      <c r="O163" s="9" t="s">
        <v>162</v>
      </c>
      <c r="P163" s="9" t="s">
        <v>162</v>
      </c>
      <c r="Q163" s="9" t="s">
        <v>162</v>
      </c>
      <c r="R163" s="9" t="s">
        <v>162</v>
      </c>
      <c r="S163" s="9" t="s">
        <v>162</v>
      </c>
      <c r="T163" s="9" t="s">
        <v>162</v>
      </c>
      <c r="U163" s="9" t="s">
        <v>162</v>
      </c>
      <c r="V163" s="9" t="s">
        <v>263</v>
      </c>
      <c r="W163" s="9" t="s">
        <v>162</v>
      </c>
      <c r="X163" s="9" t="s">
        <v>263</v>
      </c>
      <c r="Y163" s="9" t="s">
        <v>162</v>
      </c>
      <c r="Z163" s="10" t="s">
        <v>6444</v>
      </c>
      <c r="AA163" s="9" t="s">
        <v>96</v>
      </c>
      <c r="AB163" s="9" t="s">
        <v>96</v>
      </c>
      <c r="AC163" s="9" t="s">
        <v>96</v>
      </c>
      <c r="AD163" s="9" t="s">
        <v>96</v>
      </c>
      <c r="AE163" s="9" t="s">
        <v>263</v>
      </c>
      <c r="AF163" s="10" t="s">
        <v>368</v>
      </c>
      <c r="AG163" s="10" t="s">
        <v>1105</v>
      </c>
      <c r="AH163" s="9" t="s">
        <v>263</v>
      </c>
      <c r="AI163" s="10" t="s">
        <v>6445</v>
      </c>
      <c r="AJ163" s="9" t="s">
        <v>263</v>
      </c>
      <c r="AK163" s="9" t="s">
        <v>162</v>
      </c>
      <c r="AL163" s="9">
        <v>74.599999999999994</v>
      </c>
      <c r="AM163" s="9">
        <v>157</v>
      </c>
      <c r="AN163" s="46">
        <v>98</v>
      </c>
      <c r="AO163" s="9">
        <v>108</v>
      </c>
      <c r="AP163" s="9">
        <v>43</v>
      </c>
      <c r="AQ163" s="9">
        <v>12</v>
      </c>
      <c r="AR163" s="9">
        <v>24.7</v>
      </c>
      <c r="AS163" s="9">
        <v>74</v>
      </c>
      <c r="AT163" s="9">
        <v>30.3</v>
      </c>
      <c r="AU163" s="14">
        <v>160</v>
      </c>
      <c r="AV163" s="14">
        <v>102</v>
      </c>
      <c r="AX163" s="9" t="s">
        <v>4026</v>
      </c>
      <c r="AY163" s="9" t="s">
        <v>6446</v>
      </c>
      <c r="AZ163" s="9" t="s">
        <v>6447</v>
      </c>
      <c r="BB163" s="9" t="s">
        <v>374</v>
      </c>
      <c r="BC163" s="9" t="s">
        <v>6448</v>
      </c>
      <c r="BD163" s="9" t="s">
        <v>162</v>
      </c>
      <c r="BF163" s="9" t="s">
        <v>375</v>
      </c>
      <c r="BG163" s="9" t="s">
        <v>375</v>
      </c>
      <c r="BH163" s="9" t="s">
        <v>375</v>
      </c>
      <c r="BI163" s="9" t="s">
        <v>375</v>
      </c>
      <c r="BJ163" s="9" t="s">
        <v>375</v>
      </c>
      <c r="BK163" s="9" t="s">
        <v>375</v>
      </c>
      <c r="BN163" s="9" t="s">
        <v>6190</v>
      </c>
      <c r="BO163" s="9" t="s">
        <v>5167</v>
      </c>
      <c r="BP163" s="9" t="s">
        <v>6449</v>
      </c>
      <c r="BR163" s="9" t="s">
        <v>162</v>
      </c>
      <c r="BS163" s="9" t="s">
        <v>162</v>
      </c>
      <c r="BT163" s="9" t="s">
        <v>162</v>
      </c>
      <c r="BV163" s="9" t="s">
        <v>6450</v>
      </c>
      <c r="BW163" s="9" t="s">
        <v>6451</v>
      </c>
      <c r="BX163" s="9" t="s">
        <v>6452</v>
      </c>
      <c r="BZ163" s="9" t="s">
        <v>322</v>
      </c>
      <c r="CA163" s="9" t="s">
        <v>162</v>
      </c>
      <c r="CB163" s="9" t="s">
        <v>162</v>
      </c>
      <c r="CD163" s="9" t="s">
        <v>162</v>
      </c>
      <c r="CE163" s="9" t="s">
        <v>162</v>
      </c>
      <c r="CF163" s="9" t="s">
        <v>162</v>
      </c>
      <c r="CH163" s="9" t="s">
        <v>162</v>
      </c>
      <c r="CI163" s="9" t="s">
        <v>162</v>
      </c>
      <c r="CJ163" s="9" t="s">
        <v>162</v>
      </c>
      <c r="CL163" s="9" t="s">
        <v>333</v>
      </c>
      <c r="CM163" s="9" t="s">
        <v>6261</v>
      </c>
      <c r="CN163" s="9" t="s">
        <v>473</v>
      </c>
      <c r="CP163" s="9" t="s">
        <v>451</v>
      </c>
      <c r="CQ163" s="9" t="s">
        <v>162</v>
      </c>
      <c r="CR163" s="9" t="s">
        <v>162</v>
      </c>
      <c r="CT163" s="9" t="s">
        <v>162</v>
      </c>
      <c r="CU163" s="9" t="s">
        <v>162</v>
      </c>
      <c r="CV163" s="9" t="s">
        <v>162</v>
      </c>
      <c r="CW163" s="9">
        <v>3</v>
      </c>
      <c r="CX163" s="9" t="s">
        <v>368</v>
      </c>
      <c r="CY163" s="9" t="s">
        <v>368</v>
      </c>
      <c r="CZ163" s="9" t="s">
        <v>162</v>
      </c>
      <c r="DA163" s="9" t="s">
        <v>162</v>
      </c>
      <c r="DB163" s="9" t="s">
        <v>162</v>
      </c>
      <c r="DC163" s="9">
        <v>86.2</v>
      </c>
      <c r="DD163" s="9">
        <v>0.48</v>
      </c>
      <c r="DE163" s="10">
        <v>232</v>
      </c>
      <c r="DF163" s="10">
        <v>171</v>
      </c>
      <c r="DG163" s="9">
        <f t="shared" si="2"/>
        <v>4.7991668670861536</v>
      </c>
      <c r="DH163" s="9">
        <v>34.200000000000003</v>
      </c>
      <c r="DI163" s="9">
        <v>4.41</v>
      </c>
      <c r="DJ163" s="9">
        <v>19.7</v>
      </c>
      <c r="DK163" s="9">
        <v>24</v>
      </c>
      <c r="DL163" s="10">
        <v>49.8</v>
      </c>
      <c r="DM163" s="9">
        <v>148</v>
      </c>
      <c r="DP163" s="11">
        <v>3</v>
      </c>
      <c r="DR163" s="9">
        <v>2</v>
      </c>
      <c r="DT163" s="9">
        <v>13</v>
      </c>
      <c r="DU163" s="9">
        <v>5.3</v>
      </c>
    </row>
    <row r="164" spans="1:125" x14ac:dyDescent="0.2">
      <c r="A164" s="14">
        <v>646</v>
      </c>
      <c r="B164" s="8">
        <v>43279</v>
      </c>
      <c r="C164" s="9" t="s">
        <v>95</v>
      </c>
      <c r="D164" s="9" t="s">
        <v>162</v>
      </c>
      <c r="E164" s="9" t="s">
        <v>162</v>
      </c>
      <c r="F164" s="9" t="s">
        <v>162</v>
      </c>
      <c r="G164" s="9" t="s">
        <v>162</v>
      </c>
      <c r="H164" s="9" t="s">
        <v>162</v>
      </c>
      <c r="I164" s="9" t="s">
        <v>162</v>
      </c>
      <c r="J164" s="9" t="s">
        <v>162</v>
      </c>
      <c r="K164" s="42">
        <v>33117</v>
      </c>
      <c r="L164" s="9">
        <v>4</v>
      </c>
      <c r="M164" s="10" t="s">
        <v>368</v>
      </c>
      <c r="N164" s="9" t="s">
        <v>263</v>
      </c>
      <c r="O164" s="9" t="s">
        <v>263</v>
      </c>
      <c r="P164" s="9" t="s">
        <v>263</v>
      </c>
      <c r="Q164" s="9" t="s">
        <v>162</v>
      </c>
      <c r="R164" s="9" t="s">
        <v>368</v>
      </c>
      <c r="S164" s="9" t="s">
        <v>162</v>
      </c>
      <c r="T164" s="9" t="s">
        <v>162</v>
      </c>
      <c r="U164" s="9" t="s">
        <v>263</v>
      </c>
      <c r="V164" s="8">
        <v>27924</v>
      </c>
      <c r="W164" s="9" t="s">
        <v>162</v>
      </c>
      <c r="X164" s="9" t="s">
        <v>263</v>
      </c>
      <c r="Y164" s="10" t="s">
        <v>402</v>
      </c>
      <c r="Z164" s="9" t="s">
        <v>162</v>
      </c>
      <c r="AA164" s="9" t="s">
        <v>96</v>
      </c>
      <c r="AB164" s="9" t="s">
        <v>96</v>
      </c>
      <c r="AC164" s="9" t="s">
        <v>96</v>
      </c>
      <c r="AD164" s="9" t="s">
        <v>96</v>
      </c>
      <c r="AE164" s="10" t="s">
        <v>6198</v>
      </c>
      <c r="AF164" s="9" t="s">
        <v>263</v>
      </c>
      <c r="AG164" s="9" t="s">
        <v>263</v>
      </c>
      <c r="AH164" s="9" t="s">
        <v>263</v>
      </c>
      <c r="AI164" s="9" t="s">
        <v>263</v>
      </c>
      <c r="AJ164" s="9" t="s">
        <v>263</v>
      </c>
      <c r="AK164" s="9" t="s">
        <v>263</v>
      </c>
      <c r="AL164" s="9">
        <v>73.599999999999994</v>
      </c>
      <c r="AM164" s="9">
        <v>159</v>
      </c>
      <c r="AN164" s="10">
        <v>106.7</v>
      </c>
      <c r="AO164" s="9">
        <v>106.4</v>
      </c>
      <c r="AP164" s="9">
        <v>44.3</v>
      </c>
      <c r="AQ164" s="9">
        <v>10</v>
      </c>
      <c r="AR164" s="9">
        <v>23.6</v>
      </c>
      <c r="AS164" s="9">
        <v>63</v>
      </c>
      <c r="AT164" s="9">
        <v>29.1</v>
      </c>
      <c r="AU164" s="9">
        <v>101</v>
      </c>
      <c r="AV164" s="9">
        <v>71</v>
      </c>
      <c r="AX164" s="9" t="s">
        <v>917</v>
      </c>
      <c r="AY164" s="9" t="s">
        <v>6446</v>
      </c>
      <c r="AZ164" s="9" t="s">
        <v>6371</v>
      </c>
      <c r="BB164" s="9" t="s">
        <v>3724</v>
      </c>
      <c r="BC164" s="9" t="s">
        <v>2425</v>
      </c>
      <c r="BD164" s="9" t="s">
        <v>162</v>
      </c>
      <c r="BF164" s="9" t="s">
        <v>322</v>
      </c>
      <c r="BG164" s="9" t="s">
        <v>375</v>
      </c>
      <c r="BH164" s="9" t="s">
        <v>375</v>
      </c>
      <c r="BI164" s="9" t="s">
        <v>162</v>
      </c>
      <c r="BJ164" s="9" t="s">
        <v>162</v>
      </c>
      <c r="BK164" s="9" t="s">
        <v>162</v>
      </c>
      <c r="BN164" s="9" t="s">
        <v>6453</v>
      </c>
      <c r="BO164" s="9" t="s">
        <v>5167</v>
      </c>
      <c r="BP164" s="9" t="s">
        <v>430</v>
      </c>
      <c r="BR164" s="9" t="s">
        <v>162</v>
      </c>
      <c r="BS164" s="9" t="s">
        <v>162</v>
      </c>
      <c r="BT164" s="9" t="s">
        <v>162</v>
      </c>
      <c r="BV164" s="9" t="s">
        <v>162</v>
      </c>
      <c r="BW164" s="9" t="s">
        <v>162</v>
      </c>
      <c r="BX164" s="9" t="s">
        <v>162</v>
      </c>
      <c r="BZ164" s="9" t="s">
        <v>501</v>
      </c>
      <c r="CA164" s="9" t="s">
        <v>380</v>
      </c>
      <c r="CB164" s="9" t="s">
        <v>379</v>
      </c>
      <c r="CD164" s="9" t="s">
        <v>162</v>
      </c>
      <c r="CE164" s="9" t="s">
        <v>162</v>
      </c>
      <c r="CF164" s="9" t="s">
        <v>162</v>
      </c>
      <c r="CH164" s="9" t="s">
        <v>162</v>
      </c>
      <c r="CI164" s="9" t="s">
        <v>162</v>
      </c>
      <c r="CJ164" s="9" t="s">
        <v>162</v>
      </c>
      <c r="CL164" s="9" t="s">
        <v>162</v>
      </c>
      <c r="CM164" s="9" t="s">
        <v>162</v>
      </c>
      <c r="CN164" s="9" t="s">
        <v>162</v>
      </c>
      <c r="CP164" s="9" t="s">
        <v>451</v>
      </c>
      <c r="CQ164" s="9" t="s">
        <v>6454</v>
      </c>
      <c r="CR164" s="9" t="s">
        <v>6455</v>
      </c>
      <c r="CT164" s="9" t="s">
        <v>162</v>
      </c>
      <c r="CU164" s="9" t="s">
        <v>162</v>
      </c>
      <c r="CV164" s="9" t="s">
        <v>162</v>
      </c>
      <c r="CW164" s="9">
        <v>3</v>
      </c>
      <c r="CX164" s="9" t="s">
        <v>368</v>
      </c>
      <c r="CY164" s="9" t="s">
        <v>263</v>
      </c>
      <c r="CZ164" s="9">
        <v>20</v>
      </c>
      <c r="DA164" s="9">
        <v>30</v>
      </c>
      <c r="DB164" s="9">
        <v>50</v>
      </c>
      <c r="DC164" s="14">
        <v>223.1</v>
      </c>
      <c r="DD164" s="9">
        <v>0.32</v>
      </c>
      <c r="DE164" s="10">
        <v>279</v>
      </c>
      <c r="DF164" s="14">
        <v>293</v>
      </c>
      <c r="DG164" s="9">
        <f t="shared" si="2"/>
        <v>5.5438963552277771</v>
      </c>
      <c r="DH164" s="9">
        <v>58.6</v>
      </c>
      <c r="DI164" s="9">
        <v>6</v>
      </c>
      <c r="DJ164" s="10">
        <v>42.3</v>
      </c>
      <c r="DK164" s="9">
        <v>26</v>
      </c>
      <c r="DL164" s="9">
        <v>52.7</v>
      </c>
      <c r="DM164" s="9">
        <v>167.7</v>
      </c>
      <c r="DP164" s="11">
        <v>2</v>
      </c>
      <c r="DR164" s="9">
        <v>3</v>
      </c>
      <c r="DU164" s="9">
        <v>5.5</v>
      </c>
    </row>
    <row r="165" spans="1:125" x14ac:dyDescent="0.2">
      <c r="A165" s="36">
        <v>648</v>
      </c>
      <c r="B165" s="17">
        <v>43286</v>
      </c>
      <c r="C165" s="9" t="s">
        <v>95</v>
      </c>
      <c r="D165" s="9">
        <v>65</v>
      </c>
      <c r="E165" s="37" t="s">
        <v>2072</v>
      </c>
      <c r="F165" s="17">
        <v>19463</v>
      </c>
      <c r="G165" s="9" t="s">
        <v>197</v>
      </c>
      <c r="I165" s="9">
        <v>1966</v>
      </c>
      <c r="J165" s="9" t="s">
        <v>588</v>
      </c>
      <c r="K165" s="9">
        <v>1990</v>
      </c>
      <c r="L165" s="9">
        <v>4</v>
      </c>
      <c r="M165" s="10" t="s">
        <v>6467</v>
      </c>
      <c r="N165" s="10" t="s">
        <v>6468</v>
      </c>
      <c r="O165" s="9" t="s">
        <v>99</v>
      </c>
      <c r="P165" s="9" t="s">
        <v>99</v>
      </c>
      <c r="Q165" s="9" t="s">
        <v>99</v>
      </c>
      <c r="R165" s="9" t="s">
        <v>110</v>
      </c>
      <c r="S165" s="9" t="s">
        <v>99</v>
      </c>
      <c r="T165" s="9" t="s">
        <v>99</v>
      </c>
      <c r="U165" s="9" t="s">
        <v>99</v>
      </c>
      <c r="V165" s="9" t="s">
        <v>99</v>
      </c>
      <c r="W165" s="9" t="s">
        <v>2010</v>
      </c>
      <c r="X165" s="9" t="s">
        <v>99</v>
      </c>
      <c r="Y165" s="10" t="s">
        <v>6469</v>
      </c>
      <c r="Z165" s="10" t="s">
        <v>6470</v>
      </c>
      <c r="AA165" s="37" t="s">
        <v>403</v>
      </c>
      <c r="AB165" s="37" t="s">
        <v>403</v>
      </c>
      <c r="AC165" s="37" t="s">
        <v>403</v>
      </c>
      <c r="AD165" s="37" t="s">
        <v>403</v>
      </c>
      <c r="AE165" s="10" t="s">
        <v>6471</v>
      </c>
      <c r="AF165" s="9" t="s">
        <v>263</v>
      </c>
      <c r="AG165" s="10" t="s">
        <v>6472</v>
      </c>
      <c r="AH165" s="9" t="s">
        <v>263</v>
      </c>
      <c r="AI165" s="9" t="s">
        <v>263</v>
      </c>
      <c r="AJ165" s="9" t="s">
        <v>263</v>
      </c>
      <c r="AK165" s="9" t="s">
        <v>263</v>
      </c>
      <c r="AL165" s="9">
        <v>105.8</v>
      </c>
      <c r="AM165" s="9">
        <v>1.62</v>
      </c>
      <c r="AN165" s="9">
        <v>121</v>
      </c>
      <c r="AO165" s="9">
        <v>139</v>
      </c>
      <c r="AP165" s="9">
        <v>20.7</v>
      </c>
      <c r="AQ165" s="9">
        <v>15</v>
      </c>
      <c r="AR165" s="9">
        <v>52.9</v>
      </c>
      <c r="AS165" s="9">
        <v>80</v>
      </c>
      <c r="AT165" s="9">
        <v>38.9</v>
      </c>
      <c r="AU165" s="10">
        <v>131</v>
      </c>
      <c r="AV165" s="10">
        <v>91</v>
      </c>
      <c r="AX165" s="9" t="s">
        <v>6473</v>
      </c>
      <c r="BB165" s="9" t="s">
        <v>6474</v>
      </c>
      <c r="BF165" s="9" t="s">
        <v>6475</v>
      </c>
      <c r="BG165" s="9" t="s">
        <v>368</v>
      </c>
      <c r="BH165" s="9" t="s">
        <v>263</v>
      </c>
      <c r="BI165" s="9" t="s">
        <v>6476</v>
      </c>
      <c r="BJ165" s="9" t="s">
        <v>6476</v>
      </c>
      <c r="BK165" s="9" t="s">
        <v>6477</v>
      </c>
      <c r="BO165" s="9" t="s">
        <v>6478</v>
      </c>
      <c r="CA165" s="9" t="s">
        <v>6479</v>
      </c>
      <c r="CM165" s="9" t="s">
        <v>6480</v>
      </c>
      <c r="CQ165" s="9" t="s">
        <v>6481</v>
      </c>
      <c r="CT165" s="9" t="s">
        <v>263</v>
      </c>
      <c r="CW165" s="9">
        <v>4</v>
      </c>
      <c r="CX165" s="9" t="s">
        <v>368</v>
      </c>
      <c r="CY165" s="9" t="s">
        <v>368</v>
      </c>
      <c r="CZ165" s="9">
        <v>40</v>
      </c>
      <c r="DA165" s="9">
        <v>20</v>
      </c>
      <c r="DB165" s="9">
        <v>40</v>
      </c>
      <c r="DC165" s="9">
        <v>93.1</v>
      </c>
      <c r="DD165" s="9">
        <v>0.41</v>
      </c>
      <c r="DE165" s="9">
        <v>193</v>
      </c>
      <c r="DF165" s="10">
        <v>195</v>
      </c>
      <c r="DG165" s="9">
        <f t="shared" si="2"/>
        <v>4.9033368714233845</v>
      </c>
      <c r="DH165" s="9">
        <v>39</v>
      </c>
      <c r="DI165" s="9">
        <v>4.71</v>
      </c>
      <c r="DJ165" s="9">
        <v>15</v>
      </c>
      <c r="DK165" s="9">
        <v>19.3</v>
      </c>
      <c r="DL165" s="10">
        <v>47.5</v>
      </c>
      <c r="DM165" s="9">
        <v>106.5</v>
      </c>
      <c r="DP165" s="11">
        <v>3</v>
      </c>
      <c r="DQ165" s="9">
        <v>2</v>
      </c>
      <c r="DU165" s="9">
        <v>4.3499999999999996</v>
      </c>
    </row>
    <row r="166" spans="1:125" x14ac:dyDescent="0.2">
      <c r="A166" s="36">
        <v>652</v>
      </c>
      <c r="B166" s="8">
        <v>43279</v>
      </c>
      <c r="C166" s="9" t="s">
        <v>107</v>
      </c>
      <c r="D166" s="9">
        <v>32</v>
      </c>
      <c r="E166" s="9" t="s">
        <v>96</v>
      </c>
      <c r="F166" s="8">
        <v>31348</v>
      </c>
      <c r="G166" s="9" t="s">
        <v>314</v>
      </c>
      <c r="H166" s="9" t="s">
        <v>6497</v>
      </c>
      <c r="I166" s="9" t="s">
        <v>162</v>
      </c>
      <c r="J166" s="9" t="s">
        <v>162</v>
      </c>
      <c r="K166" s="9" t="s">
        <v>162</v>
      </c>
      <c r="L166" s="9" t="s">
        <v>162</v>
      </c>
      <c r="M166" s="9" t="s">
        <v>263</v>
      </c>
      <c r="N166" s="9" t="s">
        <v>263</v>
      </c>
      <c r="O166" s="9" t="s">
        <v>162</v>
      </c>
      <c r="P166" s="9" t="s">
        <v>263</v>
      </c>
      <c r="Q166" s="10" t="s">
        <v>456</v>
      </c>
      <c r="R166" s="9" t="s">
        <v>368</v>
      </c>
      <c r="S166" s="9" t="s">
        <v>263</v>
      </c>
      <c r="T166" s="9" t="s">
        <v>263</v>
      </c>
      <c r="U166" s="9" t="s">
        <v>162</v>
      </c>
      <c r="V166" s="9" t="s">
        <v>162</v>
      </c>
      <c r="W166" s="9" t="s">
        <v>6498</v>
      </c>
      <c r="X166" s="9" t="s">
        <v>263</v>
      </c>
      <c r="Y166" s="10" t="s">
        <v>5682</v>
      </c>
      <c r="Z166" s="9" t="s">
        <v>162</v>
      </c>
      <c r="AA166" s="52" t="s">
        <v>6499</v>
      </c>
      <c r="AB166" s="37" t="s">
        <v>2072</v>
      </c>
      <c r="AC166" s="37" t="s">
        <v>2072</v>
      </c>
      <c r="AD166" s="9" t="s">
        <v>1419</v>
      </c>
      <c r="AE166" s="10" t="s">
        <v>36</v>
      </c>
      <c r="AF166" s="10" t="s">
        <v>6198</v>
      </c>
      <c r="AG166" s="9" t="s">
        <v>263</v>
      </c>
      <c r="AH166" s="10" t="s">
        <v>6198</v>
      </c>
      <c r="AI166" s="10" t="s">
        <v>6198</v>
      </c>
      <c r="AJ166" s="9" t="s">
        <v>263</v>
      </c>
      <c r="AK166" s="9" t="s">
        <v>162</v>
      </c>
      <c r="AL166" s="9">
        <v>127.8</v>
      </c>
      <c r="AM166" s="9">
        <v>174</v>
      </c>
      <c r="AN166" s="10">
        <v>132.1</v>
      </c>
      <c r="AO166" s="9">
        <v>120.7</v>
      </c>
      <c r="AP166" s="9">
        <v>43.5</v>
      </c>
      <c r="AQ166" s="9">
        <v>22</v>
      </c>
      <c r="AR166" s="9">
        <v>26</v>
      </c>
      <c r="AS166" s="9">
        <v>80</v>
      </c>
      <c r="AT166" s="14">
        <v>41.7</v>
      </c>
      <c r="AU166" s="9">
        <v>117</v>
      </c>
      <c r="AV166" s="9">
        <v>96</v>
      </c>
      <c r="AX166" s="9" t="s">
        <v>168</v>
      </c>
      <c r="AY166" s="9" t="s">
        <v>426</v>
      </c>
      <c r="AZ166" s="9" t="s">
        <v>6485</v>
      </c>
      <c r="BB166" s="9" t="s">
        <v>3974</v>
      </c>
      <c r="BC166" s="9" t="s">
        <v>6500</v>
      </c>
      <c r="BD166" s="9" t="s">
        <v>446</v>
      </c>
      <c r="BF166" s="9" t="s">
        <v>322</v>
      </c>
      <c r="BG166" s="9" t="s">
        <v>322</v>
      </c>
      <c r="BH166" s="9" t="s">
        <v>375</v>
      </c>
      <c r="BI166" s="9" t="s">
        <v>375</v>
      </c>
      <c r="BJ166" s="9" t="s">
        <v>375</v>
      </c>
      <c r="BK166" s="9" t="s">
        <v>276</v>
      </c>
      <c r="BN166" s="9" t="s">
        <v>3729</v>
      </c>
      <c r="BO166" s="9" t="s">
        <v>467</v>
      </c>
      <c r="BR166" s="9" t="s">
        <v>162</v>
      </c>
      <c r="BS166" s="9" t="s">
        <v>162</v>
      </c>
      <c r="BT166" s="9" t="s">
        <v>162</v>
      </c>
      <c r="BV166" s="9" t="s">
        <v>6501</v>
      </c>
      <c r="BW166" s="9" t="s">
        <v>162</v>
      </c>
      <c r="BX166" s="9" t="s">
        <v>162</v>
      </c>
      <c r="BZ166" s="9" t="s">
        <v>6502</v>
      </c>
      <c r="CA166" s="9" t="s">
        <v>6503</v>
      </c>
      <c r="CB166" s="9" t="s">
        <v>943</v>
      </c>
      <c r="CD166" s="9" t="s">
        <v>5716</v>
      </c>
      <c r="CE166" s="9" t="s">
        <v>942</v>
      </c>
      <c r="CF166" s="9" t="s">
        <v>162</v>
      </c>
      <c r="CH166" s="9" t="s">
        <v>6504</v>
      </c>
      <c r="CI166" s="9" t="s">
        <v>162</v>
      </c>
      <c r="CJ166" s="9" t="s">
        <v>162</v>
      </c>
      <c r="CL166" s="9" t="s">
        <v>450</v>
      </c>
      <c r="CM166" s="9" t="s">
        <v>306</v>
      </c>
      <c r="CN166" s="9" t="s">
        <v>162</v>
      </c>
      <c r="CP166" s="9" t="s">
        <v>791</v>
      </c>
      <c r="CQ166" s="9" t="s">
        <v>162</v>
      </c>
      <c r="CR166" s="9" t="s">
        <v>162</v>
      </c>
      <c r="CT166" s="9" t="s">
        <v>6505</v>
      </c>
      <c r="CU166" s="9" t="s">
        <v>162</v>
      </c>
      <c r="CV166" s="9" t="s">
        <v>162</v>
      </c>
      <c r="CW166" s="9">
        <v>3</v>
      </c>
      <c r="CX166" s="9" t="s">
        <v>162</v>
      </c>
      <c r="CY166" s="9" t="s">
        <v>263</v>
      </c>
      <c r="CZ166" s="9">
        <v>10</v>
      </c>
      <c r="DA166" s="9">
        <v>30</v>
      </c>
      <c r="DB166" s="9">
        <v>60</v>
      </c>
      <c r="DC166" s="9">
        <v>83.7</v>
      </c>
      <c r="DD166" s="9">
        <v>0.51</v>
      </c>
      <c r="DE166" s="9">
        <v>132</v>
      </c>
      <c r="DF166" s="10">
        <v>244</v>
      </c>
      <c r="DG166" s="9">
        <f t="shared" si="2"/>
        <v>4.9622036013943154</v>
      </c>
      <c r="DH166" s="9">
        <v>48.8</v>
      </c>
      <c r="DI166" s="10">
        <v>10.050000000000001</v>
      </c>
      <c r="DJ166" s="10">
        <v>56.3</v>
      </c>
      <c r="DK166" s="10">
        <v>55.3</v>
      </c>
      <c r="DL166" s="10">
        <v>31.9</v>
      </c>
      <c r="DM166" s="9">
        <v>51.3</v>
      </c>
      <c r="DP166" s="11">
        <v>2</v>
      </c>
      <c r="DT166" s="9">
        <v>13.5</v>
      </c>
    </row>
    <row r="167" spans="1:125" x14ac:dyDescent="0.2">
      <c r="A167" s="36">
        <v>655</v>
      </c>
      <c r="B167" s="17">
        <v>43279</v>
      </c>
      <c r="C167" s="9" t="s">
        <v>95</v>
      </c>
      <c r="D167" s="9">
        <v>41</v>
      </c>
      <c r="E167" s="9" t="s">
        <v>96</v>
      </c>
      <c r="G167" s="9" t="s">
        <v>314</v>
      </c>
      <c r="H167" s="9" t="s">
        <v>6516</v>
      </c>
      <c r="L167" s="9">
        <v>2</v>
      </c>
      <c r="M167" s="9" t="s">
        <v>263</v>
      </c>
      <c r="N167" s="9" t="s">
        <v>263</v>
      </c>
      <c r="O167" s="9" t="s">
        <v>263</v>
      </c>
      <c r="P167" s="9" t="s">
        <v>588</v>
      </c>
      <c r="Q167" s="9" t="s">
        <v>263</v>
      </c>
      <c r="S167" s="9" t="s">
        <v>263</v>
      </c>
      <c r="T167" s="9" t="s">
        <v>263</v>
      </c>
      <c r="U167" s="9" t="s">
        <v>263</v>
      </c>
      <c r="W167" s="9" t="s">
        <v>6517</v>
      </c>
      <c r="X167" s="9" t="s">
        <v>99</v>
      </c>
      <c r="Z167" s="9" t="s">
        <v>6518</v>
      </c>
      <c r="AA167" s="9" t="s">
        <v>96</v>
      </c>
      <c r="AB167" s="9" t="s">
        <v>96</v>
      </c>
      <c r="AC167" s="9" t="s">
        <v>96</v>
      </c>
      <c r="AD167" s="9" t="s">
        <v>96</v>
      </c>
      <c r="AE167" s="10" t="s">
        <v>6519</v>
      </c>
      <c r="AF167" s="10" t="s">
        <v>6519</v>
      </c>
      <c r="AG167" s="9" t="s">
        <v>99</v>
      </c>
      <c r="AH167" s="9" t="s">
        <v>263</v>
      </c>
      <c r="AI167" s="9" t="s">
        <v>99</v>
      </c>
      <c r="AJ167" s="9" t="s">
        <v>99</v>
      </c>
      <c r="AK167" s="10" t="s">
        <v>6520</v>
      </c>
      <c r="AL167" s="9">
        <v>105.1</v>
      </c>
      <c r="AM167" s="9">
        <v>167</v>
      </c>
      <c r="AN167" s="9">
        <v>120</v>
      </c>
      <c r="AO167" s="9">
        <v>123</v>
      </c>
      <c r="AP167" s="9">
        <v>46</v>
      </c>
      <c r="AQ167" s="9">
        <v>10</v>
      </c>
      <c r="AR167" s="9">
        <v>24.6</v>
      </c>
      <c r="AS167" s="9">
        <v>63</v>
      </c>
      <c r="AT167" s="9">
        <v>37.700000000000003</v>
      </c>
      <c r="AU167" s="9">
        <v>124</v>
      </c>
      <c r="AV167" s="9">
        <v>83</v>
      </c>
      <c r="DC167" s="9">
        <v>70.900000000000006</v>
      </c>
      <c r="DD167" s="9">
        <v>0.64</v>
      </c>
      <c r="DE167" s="9">
        <v>129</v>
      </c>
      <c r="DF167" s="10">
        <v>186</v>
      </c>
      <c r="DG167" s="9">
        <f t="shared" si="2"/>
        <v>4.7435085536256416</v>
      </c>
      <c r="DH167" s="9">
        <v>37.200000000000003</v>
      </c>
      <c r="DI167" s="9">
        <v>3.43</v>
      </c>
      <c r="DJ167" s="9">
        <v>29</v>
      </c>
      <c r="DK167" s="9">
        <v>52</v>
      </c>
      <c r="DL167" s="10">
        <v>34</v>
      </c>
      <c r="DM167" s="9">
        <v>57.8</v>
      </c>
      <c r="DU167" s="9">
        <v>7</v>
      </c>
    </row>
    <row r="168" spans="1:125" x14ac:dyDescent="0.2">
      <c r="A168" s="10">
        <v>664</v>
      </c>
      <c r="B168" s="17">
        <v>43286</v>
      </c>
      <c r="C168" s="9" t="s">
        <v>95</v>
      </c>
      <c r="D168" s="9">
        <v>86</v>
      </c>
      <c r="G168" s="9" t="s">
        <v>6546</v>
      </c>
      <c r="J168" s="10" t="s">
        <v>110</v>
      </c>
      <c r="L168" s="9">
        <v>8</v>
      </c>
      <c r="M168" s="9" t="s">
        <v>263</v>
      </c>
      <c r="N168" s="9" t="s">
        <v>263</v>
      </c>
      <c r="O168" s="10" t="s">
        <v>6547</v>
      </c>
      <c r="P168" s="9" t="s">
        <v>263</v>
      </c>
      <c r="Q168" s="9" t="s">
        <v>263</v>
      </c>
      <c r="R168" s="9" t="s">
        <v>588</v>
      </c>
      <c r="S168" s="9" t="s">
        <v>263</v>
      </c>
      <c r="T168" s="9" t="s">
        <v>263</v>
      </c>
      <c r="U168" s="9" t="s">
        <v>99</v>
      </c>
      <c r="W168" s="9" t="s">
        <v>99</v>
      </c>
      <c r="Z168" s="9" t="s">
        <v>6548</v>
      </c>
      <c r="AA168" s="9" t="s">
        <v>96</v>
      </c>
      <c r="AB168" s="9" t="s">
        <v>96</v>
      </c>
      <c r="AC168" s="9" t="s">
        <v>96</v>
      </c>
      <c r="AD168" s="9" t="s">
        <v>96</v>
      </c>
      <c r="AE168" s="9" t="s">
        <v>6549</v>
      </c>
      <c r="AF168" s="9" t="s">
        <v>263</v>
      </c>
      <c r="AG168" s="9" t="s">
        <v>99</v>
      </c>
      <c r="AH168" s="9" t="s">
        <v>263</v>
      </c>
      <c r="AI168" s="9" t="s">
        <v>263</v>
      </c>
      <c r="AJ168" s="9" t="s">
        <v>263</v>
      </c>
      <c r="AK168" s="9" t="s">
        <v>263</v>
      </c>
      <c r="AL168" s="9">
        <v>60.3</v>
      </c>
      <c r="AM168" s="9">
        <v>1.5</v>
      </c>
      <c r="AN168" s="9">
        <v>96</v>
      </c>
      <c r="AO168" s="9">
        <v>97</v>
      </c>
      <c r="AP168" s="9">
        <v>12</v>
      </c>
      <c r="AQ168" s="9">
        <v>12</v>
      </c>
      <c r="AR168" s="9">
        <v>43</v>
      </c>
      <c r="AS168" s="9">
        <v>74</v>
      </c>
      <c r="AT168" s="9">
        <v>26.8</v>
      </c>
      <c r="AU168" s="10">
        <v>139</v>
      </c>
      <c r="AV168" s="10">
        <v>108</v>
      </c>
      <c r="AX168" s="9" t="s">
        <v>6550</v>
      </c>
      <c r="BB168" s="9" t="s">
        <v>6551</v>
      </c>
      <c r="BF168" s="9" t="s">
        <v>6475</v>
      </c>
      <c r="BG168" s="9" t="s">
        <v>6475</v>
      </c>
      <c r="BH168" s="9" t="s">
        <v>263</v>
      </c>
      <c r="BI168" s="9" t="s">
        <v>6552</v>
      </c>
      <c r="BJ168" s="9" t="s">
        <v>6475</v>
      </c>
      <c r="BK168" s="9" t="s">
        <v>6475</v>
      </c>
      <c r="BN168" s="9" t="s">
        <v>6553</v>
      </c>
      <c r="BZ168" s="9" t="s">
        <v>6554</v>
      </c>
      <c r="CL168" s="9" t="s">
        <v>6555</v>
      </c>
      <c r="CP168" s="9" t="s">
        <v>368</v>
      </c>
      <c r="CT168" s="9" t="s">
        <v>263</v>
      </c>
      <c r="CW168" s="9">
        <v>3</v>
      </c>
      <c r="CX168" s="9" t="s">
        <v>368</v>
      </c>
      <c r="CY168" s="9" t="s">
        <v>368</v>
      </c>
      <c r="CZ168" s="9">
        <v>33</v>
      </c>
      <c r="DA168" s="9">
        <v>33</v>
      </c>
      <c r="DB168" s="9">
        <v>33</v>
      </c>
      <c r="DC168" s="9">
        <v>78.5</v>
      </c>
      <c r="DD168" s="9">
        <v>0.71</v>
      </c>
      <c r="DE168" s="9">
        <v>254</v>
      </c>
      <c r="DF168" s="10">
        <v>217</v>
      </c>
      <c r="DG168" s="9">
        <f t="shared" si="2"/>
        <v>4.8714979891644115</v>
      </c>
      <c r="DH168" s="9">
        <v>43.4</v>
      </c>
      <c r="DI168" s="9">
        <v>6.36</v>
      </c>
      <c r="DJ168" s="9">
        <v>10</v>
      </c>
      <c r="DK168" s="9">
        <v>26</v>
      </c>
      <c r="DL168" s="10">
        <v>43.5</v>
      </c>
      <c r="DM168" s="9">
        <v>167.1</v>
      </c>
      <c r="DP168" s="11">
        <v>2</v>
      </c>
      <c r="DR168" s="9">
        <v>3</v>
      </c>
    </row>
    <row r="169" spans="1:125" x14ac:dyDescent="0.2">
      <c r="A169" s="9">
        <v>669</v>
      </c>
      <c r="B169" s="17">
        <v>43286</v>
      </c>
      <c r="C169" s="9" t="s">
        <v>95</v>
      </c>
      <c r="D169" s="9">
        <v>53</v>
      </c>
      <c r="E169" s="9" t="s">
        <v>96</v>
      </c>
      <c r="F169" s="17">
        <v>23754</v>
      </c>
      <c r="G169" s="9" t="s">
        <v>197</v>
      </c>
      <c r="H169" s="9" t="s">
        <v>6565</v>
      </c>
      <c r="I169" s="9">
        <v>12</v>
      </c>
      <c r="J169" s="9" t="s">
        <v>6566</v>
      </c>
      <c r="K169" s="9">
        <v>1989</v>
      </c>
      <c r="L169" s="9">
        <v>2</v>
      </c>
      <c r="Q169" s="9" t="s">
        <v>6567</v>
      </c>
      <c r="AA169" s="9" t="s">
        <v>96</v>
      </c>
      <c r="AB169" s="9" t="s">
        <v>96</v>
      </c>
      <c r="AE169" s="9" t="s">
        <v>99</v>
      </c>
      <c r="AF169" s="9" t="s">
        <v>99</v>
      </c>
      <c r="AG169" s="9" t="s">
        <v>99</v>
      </c>
      <c r="AH169" s="9" t="s">
        <v>99</v>
      </c>
      <c r="AI169" s="9" t="s">
        <v>99</v>
      </c>
      <c r="AJ169" s="9" t="s">
        <v>99</v>
      </c>
      <c r="AK169" s="9" t="s">
        <v>99</v>
      </c>
      <c r="AL169" s="9">
        <v>66</v>
      </c>
      <c r="AM169" s="9">
        <v>1.55</v>
      </c>
      <c r="AN169" s="9">
        <v>93.5</v>
      </c>
      <c r="AO169" s="9">
        <v>109</v>
      </c>
      <c r="AP169" s="9">
        <v>45.6</v>
      </c>
      <c r="AQ169" s="9">
        <v>9</v>
      </c>
      <c r="AR169" s="9">
        <v>21.9</v>
      </c>
      <c r="AS169" s="9">
        <v>59</v>
      </c>
      <c r="AT169" s="9">
        <v>27.5</v>
      </c>
      <c r="AU169" s="9">
        <v>101</v>
      </c>
      <c r="AV169" s="9">
        <v>72</v>
      </c>
      <c r="AX169" s="9" t="s">
        <v>350</v>
      </c>
      <c r="BB169" s="9" t="s">
        <v>176</v>
      </c>
      <c r="BF169" s="9" t="s">
        <v>350</v>
      </c>
      <c r="BG169" s="9" t="s">
        <v>176</v>
      </c>
      <c r="BH169" s="9" t="s">
        <v>350</v>
      </c>
      <c r="BI169" s="9" t="s">
        <v>350</v>
      </c>
      <c r="BK169" s="9" t="s">
        <v>375</v>
      </c>
      <c r="BN169" s="9" t="s">
        <v>176</v>
      </c>
      <c r="BZ169" s="9" t="s">
        <v>176</v>
      </c>
      <c r="CL169" s="9" t="s">
        <v>351</v>
      </c>
      <c r="CP169" s="9" t="s">
        <v>351</v>
      </c>
      <c r="CW169" s="9">
        <v>3</v>
      </c>
      <c r="CX169" s="9" t="s">
        <v>110</v>
      </c>
      <c r="CY169" s="9" t="s">
        <v>99</v>
      </c>
      <c r="DC169" s="9">
        <v>96.4</v>
      </c>
      <c r="DD169" s="9">
        <v>0.42</v>
      </c>
      <c r="DE169" s="10">
        <v>322</v>
      </c>
      <c r="DF169" s="10">
        <v>219</v>
      </c>
      <c r="DG169" s="9">
        <f t="shared" si="2"/>
        <v>4.9787889657165003</v>
      </c>
      <c r="DH169" s="9">
        <v>43.8</v>
      </c>
      <c r="DI169" s="9">
        <v>4.5199999999999996</v>
      </c>
      <c r="DJ169" s="9">
        <v>17</v>
      </c>
      <c r="DK169" s="9">
        <v>19.3</v>
      </c>
      <c r="DL169" s="10">
        <v>43.3</v>
      </c>
      <c r="DM169" s="9">
        <v>234.9</v>
      </c>
      <c r="DP169" s="11">
        <v>3</v>
      </c>
      <c r="DR169" s="9">
        <v>3</v>
      </c>
      <c r="DT169" s="9">
        <v>13.7</v>
      </c>
      <c r="DU169" s="9">
        <v>3.26</v>
      </c>
    </row>
    <row r="170" spans="1:125" x14ac:dyDescent="0.2">
      <c r="A170" s="14">
        <v>675</v>
      </c>
      <c r="B170" s="17">
        <v>43286</v>
      </c>
      <c r="C170" s="9" t="s">
        <v>95</v>
      </c>
      <c r="D170" s="9">
        <v>63</v>
      </c>
      <c r="F170" s="45">
        <v>19940</v>
      </c>
      <c r="G170" s="9" t="s">
        <v>1892</v>
      </c>
      <c r="H170" s="9" t="s">
        <v>6494</v>
      </c>
      <c r="I170" s="9">
        <v>11</v>
      </c>
      <c r="J170" s="9">
        <v>2002</v>
      </c>
      <c r="K170" s="9">
        <v>1994</v>
      </c>
      <c r="L170" s="9">
        <v>6</v>
      </c>
      <c r="M170" s="10" t="s">
        <v>6586</v>
      </c>
      <c r="N170" s="9" t="s">
        <v>99</v>
      </c>
      <c r="O170" s="9" t="s">
        <v>99</v>
      </c>
      <c r="P170" s="9" t="s">
        <v>6587</v>
      </c>
      <c r="Q170" s="9" t="s">
        <v>6588</v>
      </c>
      <c r="S170" s="9" t="s">
        <v>110</v>
      </c>
      <c r="T170" s="9" t="s">
        <v>110</v>
      </c>
      <c r="W170" s="9" t="s">
        <v>6589</v>
      </c>
      <c r="X170" s="9" t="s">
        <v>99</v>
      </c>
      <c r="Z170" s="9" t="s">
        <v>6590</v>
      </c>
      <c r="AA170" s="9" t="s">
        <v>100</v>
      </c>
      <c r="AB170" s="9" t="s">
        <v>100</v>
      </c>
      <c r="AC170" s="9" t="s">
        <v>96</v>
      </c>
      <c r="AD170" s="9" t="s">
        <v>96</v>
      </c>
      <c r="AE170" s="9" t="s">
        <v>118</v>
      </c>
      <c r="AF170" s="9" t="s">
        <v>99</v>
      </c>
      <c r="AG170" s="9" t="s">
        <v>99</v>
      </c>
      <c r="AH170" s="9" t="s">
        <v>99</v>
      </c>
      <c r="AI170" s="9" t="s">
        <v>99</v>
      </c>
      <c r="AJ170" s="9" t="s">
        <v>99</v>
      </c>
      <c r="AK170" s="9" t="s">
        <v>99</v>
      </c>
      <c r="AL170" s="9">
        <v>83.9</v>
      </c>
      <c r="AM170" s="9">
        <v>1.64</v>
      </c>
      <c r="AN170" s="9">
        <v>104</v>
      </c>
      <c r="AO170" s="9">
        <v>114</v>
      </c>
      <c r="AP170" s="9">
        <v>48.8</v>
      </c>
      <c r="AQ170" s="9">
        <v>22.6</v>
      </c>
      <c r="AR170" s="9">
        <v>14</v>
      </c>
      <c r="AS170" s="9">
        <v>78</v>
      </c>
      <c r="AT170" s="9">
        <v>35.4</v>
      </c>
      <c r="AU170" s="9">
        <v>120</v>
      </c>
      <c r="AV170" s="9">
        <v>87</v>
      </c>
      <c r="DC170" s="10">
        <v>109.2</v>
      </c>
      <c r="DE170" s="10">
        <v>222</v>
      </c>
      <c r="DF170" s="10">
        <v>172</v>
      </c>
      <c r="DG170" s="9">
        <f t="shared" si="2"/>
        <v>4.9203377700621287</v>
      </c>
      <c r="DH170" s="9">
        <v>34.4</v>
      </c>
      <c r="DI170" s="9">
        <v>5.28</v>
      </c>
      <c r="DJ170" s="9">
        <v>19</v>
      </c>
      <c r="DK170" s="9">
        <v>19</v>
      </c>
      <c r="DL170" s="10">
        <v>45.3</v>
      </c>
      <c r="DM170" s="9">
        <v>142.30000000000001</v>
      </c>
      <c r="DP170" s="11">
        <v>3</v>
      </c>
      <c r="DQ170" s="9">
        <v>2</v>
      </c>
      <c r="DU170" s="9">
        <v>3.77</v>
      </c>
    </row>
    <row r="171" spans="1:125" x14ac:dyDescent="0.2">
      <c r="A171" s="9" t="s">
        <v>6591</v>
      </c>
      <c r="DC171" s="10">
        <v>303</v>
      </c>
      <c r="DD171" s="9">
        <v>0.5</v>
      </c>
      <c r="DE171" s="10">
        <v>207</v>
      </c>
      <c r="DF171" s="9">
        <v>97</v>
      </c>
      <c r="DG171" s="9">
        <f t="shared" si="2"/>
        <v>5.1442218920063763</v>
      </c>
      <c r="DH171" s="9">
        <v>19.399999999999999</v>
      </c>
      <c r="DI171" s="9">
        <v>2.76</v>
      </c>
      <c r="DL171" s="9">
        <v>60.4</v>
      </c>
      <c r="DM171" s="9">
        <v>127.2</v>
      </c>
    </row>
    <row r="172" spans="1:125" x14ac:dyDescent="0.2">
      <c r="A172" s="14">
        <v>678</v>
      </c>
      <c r="B172" s="8">
        <v>43279</v>
      </c>
      <c r="C172" s="9" t="s">
        <v>107</v>
      </c>
      <c r="D172" s="9">
        <v>72</v>
      </c>
      <c r="E172" s="9" t="s">
        <v>96</v>
      </c>
      <c r="F172" s="8">
        <v>16875</v>
      </c>
      <c r="G172" s="9" t="s">
        <v>314</v>
      </c>
      <c r="H172" s="9" t="s">
        <v>6593</v>
      </c>
      <c r="I172" s="9" t="s">
        <v>162</v>
      </c>
      <c r="J172" s="9" t="s">
        <v>162</v>
      </c>
      <c r="K172" s="9" t="s">
        <v>162</v>
      </c>
      <c r="L172" s="9" t="s">
        <v>162</v>
      </c>
      <c r="M172" s="10" t="s">
        <v>368</v>
      </c>
      <c r="N172" s="9" t="s">
        <v>263</v>
      </c>
      <c r="O172" s="9" t="s">
        <v>263</v>
      </c>
      <c r="P172" s="9" t="s">
        <v>263</v>
      </c>
      <c r="Q172" s="10" t="s">
        <v>369</v>
      </c>
      <c r="R172" s="9" t="s">
        <v>162</v>
      </c>
      <c r="S172" s="9" t="s">
        <v>162</v>
      </c>
      <c r="T172" s="9" t="s">
        <v>162</v>
      </c>
      <c r="U172" s="9" t="s">
        <v>162</v>
      </c>
      <c r="V172" s="9" t="s">
        <v>263</v>
      </c>
      <c r="W172" s="9" t="s">
        <v>263</v>
      </c>
      <c r="X172" s="9" t="s">
        <v>162</v>
      </c>
      <c r="Y172" s="10" t="s">
        <v>6594</v>
      </c>
      <c r="Z172" s="9" t="s">
        <v>162</v>
      </c>
      <c r="AA172" s="9" t="s">
        <v>96</v>
      </c>
      <c r="AB172" s="9" t="s">
        <v>96</v>
      </c>
      <c r="AC172" s="9" t="s">
        <v>96</v>
      </c>
      <c r="AD172" s="9" t="s">
        <v>96</v>
      </c>
      <c r="AE172" s="9" t="s">
        <v>263</v>
      </c>
      <c r="AF172" s="9" t="s">
        <v>263</v>
      </c>
      <c r="AG172" s="9" t="s">
        <v>263</v>
      </c>
      <c r="AH172" s="9" t="s">
        <v>263</v>
      </c>
      <c r="AI172" s="9" t="s">
        <v>263</v>
      </c>
      <c r="AJ172" s="9" t="s">
        <v>263</v>
      </c>
      <c r="AK172" s="9" t="s">
        <v>263</v>
      </c>
      <c r="AL172" s="9">
        <v>86.6</v>
      </c>
      <c r="AM172" s="9">
        <v>177</v>
      </c>
      <c r="AN172" s="10">
        <v>112.5</v>
      </c>
      <c r="AO172" s="9">
        <v>110</v>
      </c>
      <c r="AP172" s="9">
        <v>28.3</v>
      </c>
      <c r="AQ172" s="9">
        <v>14</v>
      </c>
      <c r="AR172" s="9">
        <v>30.4</v>
      </c>
      <c r="AS172" s="9">
        <v>61</v>
      </c>
      <c r="AT172" s="9">
        <v>27.6</v>
      </c>
      <c r="AU172" s="10">
        <v>151</v>
      </c>
      <c r="AV172" s="10">
        <v>99</v>
      </c>
      <c r="AX172" s="9" t="s">
        <v>162</v>
      </c>
      <c r="AY172" s="9" t="s">
        <v>162</v>
      </c>
      <c r="AZ172" s="9" t="s">
        <v>162</v>
      </c>
      <c r="BB172" s="9" t="s">
        <v>162</v>
      </c>
      <c r="BC172" s="9" t="s">
        <v>162</v>
      </c>
      <c r="BD172" s="9" t="s">
        <v>162</v>
      </c>
      <c r="BF172" s="9" t="s">
        <v>162</v>
      </c>
      <c r="BG172" s="9" t="s">
        <v>162</v>
      </c>
      <c r="BH172" s="9" t="s">
        <v>162</v>
      </c>
      <c r="BI172" s="9" t="s">
        <v>162</v>
      </c>
      <c r="BJ172" s="9" t="s">
        <v>162</v>
      </c>
      <c r="BK172" s="9" t="s">
        <v>162</v>
      </c>
      <c r="BN172" s="9" t="s">
        <v>162</v>
      </c>
      <c r="BO172" s="9" t="s">
        <v>162</v>
      </c>
      <c r="BP172" s="9" t="s">
        <v>162</v>
      </c>
      <c r="BR172" s="9" t="s">
        <v>162</v>
      </c>
      <c r="BS172" s="9" t="s">
        <v>162</v>
      </c>
      <c r="BT172" s="9" t="s">
        <v>162</v>
      </c>
      <c r="BV172" s="9" t="s">
        <v>162</v>
      </c>
      <c r="BW172" s="9" t="s">
        <v>162</v>
      </c>
      <c r="BX172" s="9" t="s">
        <v>162</v>
      </c>
      <c r="BZ172" s="9" t="s">
        <v>162</v>
      </c>
      <c r="CA172" s="9" t="s">
        <v>162</v>
      </c>
      <c r="CB172" s="9" t="s">
        <v>162</v>
      </c>
      <c r="CD172" s="9" t="s">
        <v>162</v>
      </c>
      <c r="CE172" s="9" t="s">
        <v>162</v>
      </c>
      <c r="CF172" s="9" t="s">
        <v>162</v>
      </c>
      <c r="CH172" s="9" t="s">
        <v>162</v>
      </c>
      <c r="CI172" s="9" t="s">
        <v>162</v>
      </c>
      <c r="CJ172" s="9" t="s">
        <v>162</v>
      </c>
      <c r="CL172" s="9" t="s">
        <v>162</v>
      </c>
      <c r="CM172" s="9" t="s">
        <v>162</v>
      </c>
      <c r="CN172" s="9" t="s">
        <v>162</v>
      </c>
      <c r="CP172" s="9" t="s">
        <v>162</v>
      </c>
      <c r="CQ172" s="9" t="s">
        <v>162</v>
      </c>
      <c r="CR172" s="9" t="s">
        <v>162</v>
      </c>
      <c r="CT172" s="9" t="s">
        <v>162</v>
      </c>
      <c r="CU172" s="9" t="s">
        <v>162</v>
      </c>
      <c r="CV172" s="9" t="s">
        <v>162</v>
      </c>
      <c r="CW172" s="9">
        <v>3</v>
      </c>
      <c r="CX172" s="9" t="s">
        <v>368</v>
      </c>
      <c r="CY172" s="9" t="s">
        <v>368</v>
      </c>
      <c r="CZ172" s="9" t="s">
        <v>162</v>
      </c>
      <c r="DA172" s="9" t="s">
        <v>162</v>
      </c>
      <c r="DB172" s="9" t="s">
        <v>162</v>
      </c>
      <c r="DC172" s="14">
        <v>289</v>
      </c>
      <c r="DD172" s="9">
        <v>0.65</v>
      </c>
      <c r="DE172" s="9">
        <v>187</v>
      </c>
      <c r="DF172" s="10">
        <v>156</v>
      </c>
      <c r="DG172" s="9">
        <f t="shared" si="2"/>
        <v>5.3581413476809843</v>
      </c>
      <c r="DH172" s="9">
        <v>31.2</v>
      </c>
      <c r="DI172" s="9">
        <v>3.91</v>
      </c>
      <c r="DJ172" s="9">
        <v>23</v>
      </c>
      <c r="DK172" s="9">
        <v>21</v>
      </c>
      <c r="DL172" s="9">
        <v>43.2</v>
      </c>
      <c r="DM172" s="9">
        <v>112.6</v>
      </c>
      <c r="DP172" s="11">
        <v>2</v>
      </c>
      <c r="DT172" s="9">
        <v>13.4</v>
      </c>
      <c r="DU172" s="9">
        <v>3.4</v>
      </c>
    </row>
    <row r="173" spans="1:125" x14ac:dyDescent="0.2">
      <c r="A173" s="14">
        <v>679</v>
      </c>
      <c r="B173" s="8">
        <v>43279</v>
      </c>
      <c r="C173" s="9" t="s">
        <v>95</v>
      </c>
      <c r="D173" s="9">
        <v>54</v>
      </c>
      <c r="E173" s="52" t="s">
        <v>1697</v>
      </c>
      <c r="F173" s="8">
        <v>23355</v>
      </c>
      <c r="G173" s="9" t="s">
        <v>400</v>
      </c>
      <c r="H173" s="9" t="s">
        <v>6255</v>
      </c>
      <c r="I173" s="9" t="s">
        <v>162</v>
      </c>
      <c r="J173" s="167">
        <v>41214</v>
      </c>
      <c r="K173" s="9">
        <v>1996</v>
      </c>
      <c r="L173" s="9">
        <v>1</v>
      </c>
      <c r="M173" s="9" t="s">
        <v>263</v>
      </c>
      <c r="N173" s="9" t="s">
        <v>263</v>
      </c>
      <c r="O173" s="9" t="s">
        <v>263</v>
      </c>
      <c r="P173" s="9" t="s">
        <v>263</v>
      </c>
      <c r="Q173" s="9" t="s">
        <v>263</v>
      </c>
      <c r="R173" s="9" t="s">
        <v>263</v>
      </c>
      <c r="S173" s="9" t="s">
        <v>162</v>
      </c>
      <c r="T173" s="9" t="s">
        <v>162</v>
      </c>
      <c r="U173" s="9" t="s">
        <v>162</v>
      </c>
      <c r="V173" s="9" t="s">
        <v>162</v>
      </c>
      <c r="W173" s="10" t="s">
        <v>6595</v>
      </c>
      <c r="X173" s="9" t="s">
        <v>162</v>
      </c>
      <c r="Y173" s="9" t="s">
        <v>162</v>
      </c>
      <c r="Z173" s="9" t="s">
        <v>162</v>
      </c>
      <c r="AA173" s="52" t="s">
        <v>1697</v>
      </c>
      <c r="AB173" s="9" t="s">
        <v>96</v>
      </c>
      <c r="AC173" s="52" t="s">
        <v>1697</v>
      </c>
      <c r="AD173" s="9" t="s">
        <v>96</v>
      </c>
      <c r="AE173" s="10" t="s">
        <v>406</v>
      </c>
      <c r="AF173" s="9" t="s">
        <v>263</v>
      </c>
      <c r="AG173" s="9" t="s">
        <v>263</v>
      </c>
      <c r="AH173" s="9" t="s">
        <v>263</v>
      </c>
      <c r="AI173" s="9" t="s">
        <v>263</v>
      </c>
      <c r="AJ173" s="9" t="s">
        <v>263</v>
      </c>
      <c r="AK173" s="9" t="s">
        <v>162</v>
      </c>
      <c r="AL173" s="9">
        <v>56.2</v>
      </c>
      <c r="AM173" s="9">
        <v>152</v>
      </c>
      <c r="AN173" s="9">
        <v>83</v>
      </c>
      <c r="AO173" s="9">
        <v>98</v>
      </c>
      <c r="AP173" s="9">
        <v>31.6</v>
      </c>
      <c r="AQ173" s="9">
        <v>2</v>
      </c>
      <c r="AR173" s="9">
        <v>36.5</v>
      </c>
      <c r="AS173" s="9">
        <v>36</v>
      </c>
      <c r="AT173" s="7">
        <v>24.32</v>
      </c>
      <c r="AU173" s="10">
        <v>148</v>
      </c>
      <c r="AV173" s="10">
        <v>86</v>
      </c>
      <c r="AX173" s="9" t="s">
        <v>371</v>
      </c>
      <c r="AY173" s="9" t="s">
        <v>6596</v>
      </c>
      <c r="AZ173" s="9" t="s">
        <v>162</v>
      </c>
      <c r="BB173" s="9" t="s">
        <v>409</v>
      </c>
      <c r="BC173" s="9" t="s">
        <v>492</v>
      </c>
      <c r="BD173" s="9" t="s">
        <v>162</v>
      </c>
      <c r="BF173" s="9" t="s">
        <v>162</v>
      </c>
      <c r="BG173" s="9" t="s">
        <v>162</v>
      </c>
      <c r="BH173" s="9" t="s">
        <v>375</v>
      </c>
      <c r="BI173" s="9" t="s">
        <v>322</v>
      </c>
      <c r="BJ173" s="9" t="s">
        <v>375</v>
      </c>
      <c r="BK173" s="9" t="s">
        <v>375</v>
      </c>
      <c r="BN173" s="9" t="s">
        <v>553</v>
      </c>
      <c r="BO173" s="9" t="s">
        <v>6374</v>
      </c>
      <c r="BP173" s="9" t="s">
        <v>6507</v>
      </c>
      <c r="BR173" s="9" t="s">
        <v>162</v>
      </c>
      <c r="BS173" s="9" t="s">
        <v>162</v>
      </c>
      <c r="BT173" s="9" t="s">
        <v>162</v>
      </c>
      <c r="BV173" s="9" t="s">
        <v>6597</v>
      </c>
      <c r="BW173" s="9" t="s">
        <v>6598</v>
      </c>
      <c r="BX173" s="9" t="s">
        <v>6452</v>
      </c>
      <c r="BZ173" s="9" t="s">
        <v>6508</v>
      </c>
      <c r="CA173" s="9" t="s">
        <v>432</v>
      </c>
      <c r="CB173" s="9" t="s">
        <v>433</v>
      </c>
      <c r="CD173" s="9" t="s">
        <v>162</v>
      </c>
      <c r="CE173" s="9" t="s">
        <v>162</v>
      </c>
      <c r="CF173" s="9" t="s">
        <v>162</v>
      </c>
      <c r="CH173" s="9" t="s">
        <v>162</v>
      </c>
      <c r="CI173" s="9" t="s">
        <v>162</v>
      </c>
      <c r="CJ173" s="9" t="s">
        <v>162</v>
      </c>
      <c r="CL173" s="9" t="s">
        <v>333</v>
      </c>
      <c r="CM173" s="9" t="s">
        <v>6250</v>
      </c>
      <c r="CN173" s="9" t="s">
        <v>162</v>
      </c>
      <c r="CP173" s="9" t="s">
        <v>637</v>
      </c>
      <c r="CQ173" s="9" t="s">
        <v>636</v>
      </c>
      <c r="CR173" s="9" t="s">
        <v>6599</v>
      </c>
      <c r="CT173" s="9" t="s">
        <v>539</v>
      </c>
      <c r="CW173" s="9">
        <v>3</v>
      </c>
      <c r="CX173" s="9" t="s">
        <v>368</v>
      </c>
      <c r="CY173" s="9" t="s">
        <v>368</v>
      </c>
      <c r="CZ173" s="9" t="s">
        <v>162</v>
      </c>
      <c r="DA173" s="9" t="s">
        <v>162</v>
      </c>
      <c r="DB173" s="9" t="s">
        <v>162</v>
      </c>
      <c r="DC173" s="9">
        <v>83.5</v>
      </c>
      <c r="DD173" s="9">
        <v>0.42</v>
      </c>
      <c r="DE173" s="10">
        <v>321</v>
      </c>
      <c r="DF173" s="10">
        <v>178</v>
      </c>
      <c r="DG173" s="9">
        <f t="shared" si="2"/>
        <v>4.8033150910744471</v>
      </c>
      <c r="DH173" s="9">
        <v>35.6</v>
      </c>
      <c r="DI173" s="9">
        <v>4.7699999999999996</v>
      </c>
      <c r="DJ173" s="9">
        <v>16</v>
      </c>
      <c r="DK173" s="9">
        <v>17.7</v>
      </c>
      <c r="DL173" s="9">
        <v>64.099999999999994</v>
      </c>
      <c r="DM173" s="9">
        <v>221.3</v>
      </c>
      <c r="DP173" s="11">
        <v>2</v>
      </c>
      <c r="DQ173" s="9">
        <v>2</v>
      </c>
      <c r="DT173" s="9">
        <v>10</v>
      </c>
      <c r="DU173" s="9">
        <v>3.3</v>
      </c>
    </row>
    <row r="174" spans="1:125" x14ac:dyDescent="0.2">
      <c r="A174" s="14">
        <v>684</v>
      </c>
      <c r="B174" s="17">
        <v>43285</v>
      </c>
      <c r="C174" s="9" t="s">
        <v>107</v>
      </c>
      <c r="D174" s="9">
        <v>51</v>
      </c>
      <c r="E174" s="9" t="s">
        <v>96</v>
      </c>
      <c r="F174" s="17">
        <v>24543</v>
      </c>
      <c r="G174" s="9" t="s">
        <v>6630</v>
      </c>
      <c r="H174" s="9" t="s">
        <v>6494</v>
      </c>
      <c r="M174" s="9" t="s">
        <v>263</v>
      </c>
      <c r="N174" s="9" t="s">
        <v>263</v>
      </c>
      <c r="P174" s="9" t="s">
        <v>99</v>
      </c>
      <c r="Q174" s="9" t="s">
        <v>6631</v>
      </c>
      <c r="R174" s="9" t="s">
        <v>110</v>
      </c>
      <c r="S174" s="9" t="s">
        <v>110</v>
      </c>
      <c r="T174" s="9" t="s">
        <v>99</v>
      </c>
      <c r="U174" s="9" t="s">
        <v>99</v>
      </c>
      <c r="W174" s="9" t="s">
        <v>500</v>
      </c>
      <c r="Y174" s="9" t="s">
        <v>500</v>
      </c>
      <c r="AA174" s="9" t="s">
        <v>96</v>
      </c>
      <c r="AB174" s="37" t="s">
        <v>6632</v>
      </c>
      <c r="AC174" s="9" t="s">
        <v>96</v>
      </c>
      <c r="AD174" s="37" t="s">
        <v>6632</v>
      </c>
      <c r="AE174" s="9" t="s">
        <v>4038</v>
      </c>
      <c r="AF174" s="9" t="s">
        <v>99</v>
      </c>
      <c r="AG174" s="9" t="s">
        <v>99</v>
      </c>
      <c r="AH174" s="9" t="s">
        <v>99</v>
      </c>
      <c r="AI174" s="9" t="s">
        <v>99</v>
      </c>
      <c r="AJ174" s="9" t="s">
        <v>99</v>
      </c>
      <c r="AK174" s="9" t="s">
        <v>99</v>
      </c>
      <c r="AL174" s="9">
        <v>75.7</v>
      </c>
      <c r="AM174" s="9">
        <v>1.71</v>
      </c>
      <c r="AN174" s="9" t="s">
        <v>500</v>
      </c>
      <c r="AO174" s="9" t="s">
        <v>500</v>
      </c>
      <c r="AP174" s="9">
        <v>32.6</v>
      </c>
      <c r="AQ174" s="9">
        <v>7</v>
      </c>
      <c r="AR174" s="9">
        <v>29.9</v>
      </c>
      <c r="AS174" s="9">
        <v>47</v>
      </c>
      <c r="AT174" s="9">
        <v>25.9</v>
      </c>
      <c r="AU174" s="10">
        <v>139</v>
      </c>
      <c r="AV174" s="10">
        <v>89</v>
      </c>
      <c r="AX174" s="9" t="s">
        <v>6633</v>
      </c>
      <c r="BB174" s="9" t="s">
        <v>346</v>
      </c>
      <c r="BF174" s="9" t="s">
        <v>176</v>
      </c>
      <c r="BG174" s="9" t="s">
        <v>4644</v>
      </c>
      <c r="BH174" s="9" t="s">
        <v>595</v>
      </c>
      <c r="BI174" s="9" t="s">
        <v>720</v>
      </c>
      <c r="BJ174" s="9" t="s">
        <v>6634</v>
      </c>
      <c r="BK174" s="9" t="s">
        <v>1172</v>
      </c>
      <c r="BN174" s="9" t="s">
        <v>500</v>
      </c>
      <c r="BZ174" s="9" t="s">
        <v>6635</v>
      </c>
      <c r="CL174" s="9" t="s">
        <v>6636</v>
      </c>
      <c r="CP174" s="9" t="s">
        <v>6476</v>
      </c>
      <c r="CT174" s="9" t="s">
        <v>6637</v>
      </c>
      <c r="CW174" s="9">
        <v>4</v>
      </c>
      <c r="CX174" s="9" t="s">
        <v>99</v>
      </c>
      <c r="DC174" s="10">
        <v>102.5</v>
      </c>
      <c r="DE174" s="10">
        <v>267</v>
      </c>
      <c r="DF174" s="10">
        <v>228</v>
      </c>
      <c r="DG174" s="9">
        <f t="shared" si="2"/>
        <v>5.0296042137664516</v>
      </c>
      <c r="DH174" s="9">
        <v>45.6</v>
      </c>
      <c r="DI174" s="9">
        <v>6.25</v>
      </c>
      <c r="DK174" s="9">
        <v>24</v>
      </c>
      <c r="DL174" s="9">
        <v>48.1</v>
      </c>
      <c r="DM174" s="9">
        <v>173.3</v>
      </c>
      <c r="DP174" s="11">
        <v>2</v>
      </c>
    </row>
    <row r="175" spans="1:125" x14ac:dyDescent="0.2">
      <c r="A175" s="36">
        <v>686</v>
      </c>
      <c r="B175" s="17">
        <v>43286</v>
      </c>
      <c r="C175" s="9" t="s">
        <v>95</v>
      </c>
      <c r="D175" s="9">
        <v>63</v>
      </c>
      <c r="E175" s="9" t="s">
        <v>96</v>
      </c>
      <c r="F175" s="17">
        <v>20196</v>
      </c>
      <c r="G175" s="9" t="s">
        <v>6639</v>
      </c>
      <c r="H175" s="9" t="s">
        <v>6640</v>
      </c>
      <c r="I175" s="9">
        <v>12</v>
      </c>
      <c r="J175" s="9">
        <v>35</v>
      </c>
      <c r="K175" s="9">
        <v>1991</v>
      </c>
      <c r="L175" s="9">
        <v>5</v>
      </c>
      <c r="M175" s="9" t="s">
        <v>263</v>
      </c>
      <c r="N175" s="10" t="s">
        <v>368</v>
      </c>
      <c r="O175" s="10" t="s">
        <v>368</v>
      </c>
      <c r="P175" s="9" t="s">
        <v>99</v>
      </c>
      <c r="Q175" s="9" t="s">
        <v>110</v>
      </c>
      <c r="R175" s="9" t="s">
        <v>110</v>
      </c>
      <c r="S175" s="9" t="s">
        <v>99</v>
      </c>
      <c r="T175" s="9" t="s">
        <v>99</v>
      </c>
      <c r="U175" s="9" t="s">
        <v>500</v>
      </c>
      <c r="W175" s="14" t="s">
        <v>6641</v>
      </c>
      <c r="Y175" s="9" t="s">
        <v>6642</v>
      </c>
      <c r="AA175" s="9" t="s">
        <v>96</v>
      </c>
      <c r="AB175" s="9" t="s">
        <v>96</v>
      </c>
      <c r="AC175" s="9" t="s">
        <v>96</v>
      </c>
      <c r="AD175" s="9" t="s">
        <v>96</v>
      </c>
      <c r="AE175" s="10" t="s">
        <v>118</v>
      </c>
      <c r="AF175" s="10" t="s">
        <v>118</v>
      </c>
      <c r="AG175" s="9" t="s">
        <v>99</v>
      </c>
      <c r="AH175" s="9" t="s">
        <v>99</v>
      </c>
      <c r="AI175" s="9" t="s">
        <v>99</v>
      </c>
      <c r="AJ175" s="9" t="s">
        <v>99</v>
      </c>
      <c r="AK175" s="9" t="s">
        <v>99</v>
      </c>
      <c r="AL175" s="9">
        <v>59.7</v>
      </c>
      <c r="AM175" s="9">
        <v>1.55</v>
      </c>
      <c r="AN175" s="9">
        <v>85</v>
      </c>
      <c r="AO175" s="9">
        <v>94</v>
      </c>
      <c r="AP175" s="9">
        <v>36.299999999999997</v>
      </c>
      <c r="AQ175" s="9">
        <v>26.5</v>
      </c>
      <c r="AR175" s="9">
        <v>8</v>
      </c>
      <c r="AS175" s="9">
        <v>58</v>
      </c>
      <c r="AT175" s="7">
        <v>24.7</v>
      </c>
      <c r="AU175" s="9">
        <v>109</v>
      </c>
      <c r="AV175" s="9">
        <v>58</v>
      </c>
      <c r="AX175" s="9" t="s">
        <v>6473</v>
      </c>
      <c r="BB175" s="9" t="s">
        <v>99</v>
      </c>
      <c r="BF175" s="9" t="s">
        <v>6476</v>
      </c>
      <c r="BG175" s="9" t="s">
        <v>6476</v>
      </c>
      <c r="BH175" s="9" t="s">
        <v>6476</v>
      </c>
      <c r="BI175" s="9" t="s">
        <v>6477</v>
      </c>
      <c r="BJ175" s="9" t="s">
        <v>263</v>
      </c>
      <c r="BK175" s="9" t="s">
        <v>6477</v>
      </c>
      <c r="BN175" s="9" t="s">
        <v>6643</v>
      </c>
      <c r="BZ175" s="9" t="s">
        <v>6644</v>
      </c>
      <c r="CL175" s="9" t="s">
        <v>6645</v>
      </c>
      <c r="CP175" s="9" t="s">
        <v>6481</v>
      </c>
      <c r="CT175" s="9" t="s">
        <v>99</v>
      </c>
      <c r="CW175" s="9">
        <v>2</v>
      </c>
      <c r="CX175" s="9" t="s">
        <v>368</v>
      </c>
      <c r="CY175" s="9" t="s">
        <v>368</v>
      </c>
      <c r="CZ175" s="9">
        <v>30</v>
      </c>
      <c r="DA175" s="9">
        <v>10</v>
      </c>
      <c r="DB175" s="9">
        <v>60</v>
      </c>
      <c r="DC175" s="10">
        <v>99.2</v>
      </c>
      <c r="DD175" s="9">
        <v>0.6</v>
      </c>
      <c r="DE175" s="10">
        <v>256</v>
      </c>
      <c r="DF175" s="10">
        <v>190</v>
      </c>
      <c r="DG175" s="9">
        <f t="shared" si="2"/>
        <v>4.9220810432256563</v>
      </c>
      <c r="DH175" s="9">
        <v>38</v>
      </c>
      <c r="DI175" s="9">
        <v>7.65</v>
      </c>
      <c r="DJ175" s="9">
        <v>19.7</v>
      </c>
      <c r="DK175" s="9">
        <v>27.7</v>
      </c>
      <c r="DL175" s="9">
        <v>40.799999999999997</v>
      </c>
      <c r="DM175" s="9">
        <v>177.2</v>
      </c>
      <c r="DP175" s="11">
        <v>3</v>
      </c>
      <c r="DU175" s="9">
        <v>7</v>
      </c>
    </row>
    <row r="176" spans="1:125" x14ac:dyDescent="0.2">
      <c r="A176" s="14">
        <v>695</v>
      </c>
      <c r="B176" s="17">
        <v>43285</v>
      </c>
      <c r="C176" s="9" t="s">
        <v>107</v>
      </c>
      <c r="D176" s="9">
        <v>63</v>
      </c>
      <c r="E176" s="49" t="s">
        <v>797</v>
      </c>
      <c r="G176" s="9" t="s">
        <v>6668</v>
      </c>
      <c r="H176" s="9" t="s">
        <v>6669</v>
      </c>
      <c r="M176" s="10" t="s">
        <v>6670</v>
      </c>
      <c r="N176" s="9" t="s">
        <v>99</v>
      </c>
      <c r="O176" s="9" t="s">
        <v>99</v>
      </c>
      <c r="P176" s="9" t="s">
        <v>99</v>
      </c>
      <c r="Q176" s="9" t="s">
        <v>646</v>
      </c>
      <c r="R176" s="9" t="s">
        <v>110</v>
      </c>
      <c r="S176" s="9" t="s">
        <v>99</v>
      </c>
      <c r="T176" s="9" t="s">
        <v>99</v>
      </c>
      <c r="U176" s="9" t="s">
        <v>99</v>
      </c>
      <c r="V176" s="9" t="s">
        <v>99</v>
      </c>
      <c r="W176" s="9" t="s">
        <v>99</v>
      </c>
      <c r="X176" s="9" t="s">
        <v>99</v>
      </c>
      <c r="AA176" s="49" t="s">
        <v>797</v>
      </c>
      <c r="AB176" s="49" t="s">
        <v>797</v>
      </c>
      <c r="AC176" s="49" t="s">
        <v>797</v>
      </c>
      <c r="AD176" s="49" t="s">
        <v>797</v>
      </c>
      <c r="AE176" s="9" t="s">
        <v>2227</v>
      </c>
      <c r="AF176" s="9" t="s">
        <v>99</v>
      </c>
      <c r="AG176" s="9" t="s">
        <v>99</v>
      </c>
      <c r="AH176" s="9" t="s">
        <v>99</v>
      </c>
      <c r="AI176" s="9" t="s">
        <v>99</v>
      </c>
      <c r="AJ176" s="9" t="s">
        <v>99</v>
      </c>
      <c r="AK176" s="9" t="s">
        <v>99</v>
      </c>
      <c r="AL176" s="9">
        <v>75.599999999999994</v>
      </c>
      <c r="AM176" s="9">
        <v>1.68</v>
      </c>
      <c r="AN176" s="9">
        <v>97</v>
      </c>
      <c r="AO176" s="9">
        <v>49</v>
      </c>
      <c r="AP176" s="9">
        <v>39.799999999999997</v>
      </c>
      <c r="AQ176" s="9">
        <v>13</v>
      </c>
      <c r="AR176" s="9">
        <v>33.6</v>
      </c>
      <c r="AS176" s="9">
        <v>55</v>
      </c>
      <c r="AT176" s="9">
        <v>36.799999999999997</v>
      </c>
      <c r="AU176" s="9">
        <v>104</v>
      </c>
      <c r="AV176" s="9">
        <v>70</v>
      </c>
      <c r="AX176" s="9" t="s">
        <v>6671</v>
      </c>
      <c r="BB176" s="9" t="s">
        <v>6476</v>
      </c>
      <c r="BF176" s="9" t="s">
        <v>368</v>
      </c>
      <c r="BG176" s="9" t="s">
        <v>6476</v>
      </c>
      <c r="BH176" s="9" t="s">
        <v>6672</v>
      </c>
      <c r="BI176" s="9" t="s">
        <v>6476</v>
      </c>
      <c r="BJ176" s="9" t="s">
        <v>6476</v>
      </c>
      <c r="BK176" s="9" t="s">
        <v>6476</v>
      </c>
      <c r="BL176" s="9" t="s">
        <v>6475</v>
      </c>
      <c r="BZ176" s="9" t="s">
        <v>6673</v>
      </c>
      <c r="CL176" s="9" t="s">
        <v>6674</v>
      </c>
      <c r="CP176" s="9" t="s">
        <v>1054</v>
      </c>
      <c r="CS176" s="9" t="s">
        <v>6675</v>
      </c>
      <c r="CW176" s="9">
        <v>2</v>
      </c>
      <c r="CX176" s="9" t="s">
        <v>263</v>
      </c>
      <c r="CY176" s="9" t="s">
        <v>368</v>
      </c>
      <c r="DC176" s="10">
        <v>177.7</v>
      </c>
      <c r="DD176" s="9">
        <v>0.61</v>
      </c>
      <c r="DE176" s="9">
        <v>175</v>
      </c>
      <c r="DF176" s="10">
        <v>398</v>
      </c>
      <c r="DG176" s="9">
        <f t="shared" si="2"/>
        <v>5.5832743702225214</v>
      </c>
      <c r="DH176" s="9">
        <v>79.599999999999994</v>
      </c>
      <c r="DI176" s="10">
        <v>7.43</v>
      </c>
      <c r="DJ176" s="9">
        <v>19.3</v>
      </c>
      <c r="DK176" s="9">
        <v>24.3</v>
      </c>
      <c r="DL176" s="10">
        <v>34</v>
      </c>
      <c r="DM176" s="9">
        <v>61.4</v>
      </c>
      <c r="DP176" s="11">
        <v>3</v>
      </c>
      <c r="DR176" s="9">
        <v>2</v>
      </c>
      <c r="DU176" s="9">
        <v>4.6500000000000004</v>
      </c>
    </row>
    <row r="177" spans="1:125" x14ac:dyDescent="0.2">
      <c r="A177" s="14">
        <v>702</v>
      </c>
      <c r="B177" s="17">
        <v>43299</v>
      </c>
      <c r="C177" s="9" t="s">
        <v>3955</v>
      </c>
      <c r="D177" s="9">
        <v>62</v>
      </c>
      <c r="E177" s="41" t="s">
        <v>5730</v>
      </c>
      <c r="F177" s="17">
        <v>20444</v>
      </c>
      <c r="G177" s="9" t="s">
        <v>988</v>
      </c>
      <c r="H177" s="9" t="s">
        <v>6702</v>
      </c>
      <c r="M177" s="10" t="s">
        <v>6703</v>
      </c>
      <c r="N177" s="10" t="s">
        <v>588</v>
      </c>
      <c r="O177" s="10" t="s">
        <v>588</v>
      </c>
      <c r="P177" s="10" t="s">
        <v>588</v>
      </c>
      <c r="Q177" s="10" t="s">
        <v>588</v>
      </c>
      <c r="R177" s="10" t="s">
        <v>588</v>
      </c>
      <c r="S177" s="9" t="s">
        <v>6691</v>
      </c>
      <c r="T177" s="9" t="s">
        <v>588</v>
      </c>
      <c r="U177" s="9" t="s">
        <v>588</v>
      </c>
      <c r="V177" s="9" t="s">
        <v>483</v>
      </c>
      <c r="W177" s="9" t="s">
        <v>483</v>
      </c>
      <c r="X177" s="9" t="s">
        <v>483</v>
      </c>
      <c r="Y177" s="9" t="s">
        <v>483</v>
      </c>
      <c r="Z177" s="10" t="s">
        <v>6704</v>
      </c>
      <c r="AA177" s="41" t="s">
        <v>6705</v>
      </c>
      <c r="AB177" s="41" t="s">
        <v>5730</v>
      </c>
      <c r="AC177" s="41" t="s">
        <v>6705</v>
      </c>
      <c r="AD177" s="41" t="s">
        <v>5730</v>
      </c>
      <c r="AE177" s="10" t="s">
        <v>6706</v>
      </c>
      <c r="AF177" s="10" t="s">
        <v>6706</v>
      </c>
      <c r="AG177" s="9" t="s">
        <v>483</v>
      </c>
      <c r="AH177" s="10" t="s">
        <v>1017</v>
      </c>
      <c r="AI177" s="9" t="s">
        <v>483</v>
      </c>
      <c r="AJ177" s="10" t="s">
        <v>2417</v>
      </c>
      <c r="AK177" s="9" t="s">
        <v>483</v>
      </c>
      <c r="AL177" s="9">
        <v>113.6</v>
      </c>
      <c r="AM177" s="9">
        <v>1.68</v>
      </c>
      <c r="AN177" s="9">
        <v>135</v>
      </c>
      <c r="AO177" s="9">
        <v>177</v>
      </c>
      <c r="AP177" s="9">
        <v>38</v>
      </c>
      <c r="AQ177" s="9">
        <v>27</v>
      </c>
      <c r="AR177" s="9">
        <v>27.2</v>
      </c>
      <c r="AS177" s="9">
        <v>86</v>
      </c>
      <c r="AT177" s="14">
        <v>40.200000000000003</v>
      </c>
      <c r="AU177" s="14">
        <v>166</v>
      </c>
      <c r="AV177" s="14">
        <v>97</v>
      </c>
      <c r="AX177" s="9" t="s">
        <v>6537</v>
      </c>
      <c r="AY177" s="9" t="s">
        <v>5738</v>
      </c>
      <c r="AZ177" s="9" t="s">
        <v>6371</v>
      </c>
      <c r="BB177" s="9" t="s">
        <v>3974</v>
      </c>
      <c r="BE177" s="9" t="s">
        <v>6707</v>
      </c>
      <c r="BF177" s="9" t="s">
        <v>635</v>
      </c>
      <c r="BG177" s="9" t="s">
        <v>635</v>
      </c>
      <c r="BH177" s="9" t="s">
        <v>635</v>
      </c>
      <c r="BI177" s="9" t="s">
        <v>635</v>
      </c>
      <c r="BJ177" s="9" t="s">
        <v>483</v>
      </c>
      <c r="BK177" s="9" t="s">
        <v>323</v>
      </c>
      <c r="BN177" s="9" t="s">
        <v>467</v>
      </c>
      <c r="BO177" s="9" t="s">
        <v>430</v>
      </c>
      <c r="BR177" s="9" t="s">
        <v>6708</v>
      </c>
      <c r="BV177" s="9" t="s">
        <v>6709</v>
      </c>
      <c r="BZ177" s="9" t="s">
        <v>4112</v>
      </c>
      <c r="CA177" s="9" t="s">
        <v>6508</v>
      </c>
      <c r="CB177" s="9" t="s">
        <v>471</v>
      </c>
      <c r="CH177" s="9" t="s">
        <v>6710</v>
      </c>
      <c r="CL177" s="9" t="s">
        <v>2726</v>
      </c>
      <c r="CM177" s="9" t="s">
        <v>6711</v>
      </c>
      <c r="CN177" s="9" t="s">
        <v>417</v>
      </c>
      <c r="CP177" s="9" t="s">
        <v>1200</v>
      </c>
      <c r="CT177" s="9" t="s">
        <v>435</v>
      </c>
      <c r="CU177" s="9" t="s">
        <v>909</v>
      </c>
      <c r="CV177" s="9" t="s">
        <v>6712</v>
      </c>
      <c r="CW177" s="9">
        <v>2</v>
      </c>
      <c r="CX177" s="9" t="s">
        <v>483</v>
      </c>
      <c r="CY177" s="9" t="s">
        <v>483</v>
      </c>
      <c r="CZ177" s="9">
        <v>30</v>
      </c>
      <c r="DA177" s="9">
        <v>30</v>
      </c>
      <c r="DB177" s="9">
        <v>40</v>
      </c>
      <c r="DC177" s="10">
        <v>107.8</v>
      </c>
      <c r="DD177" s="9">
        <v>0.56000000000000005</v>
      </c>
      <c r="DE177" s="9">
        <v>183</v>
      </c>
      <c r="DF177" s="9">
        <v>120</v>
      </c>
      <c r="DG177" s="9">
        <f t="shared" si="2"/>
        <v>4.7338847006284714</v>
      </c>
      <c r="DH177" s="9">
        <v>24</v>
      </c>
      <c r="DI177" s="9">
        <v>7.17</v>
      </c>
      <c r="DJ177" s="9">
        <v>22</v>
      </c>
      <c r="DK177" s="9">
        <v>27.3</v>
      </c>
      <c r="DL177" s="10">
        <v>34.700000000000003</v>
      </c>
      <c r="DM177" s="9">
        <v>124.3</v>
      </c>
      <c r="DP177" s="11">
        <v>2</v>
      </c>
      <c r="DQ177" s="9">
        <v>2</v>
      </c>
      <c r="DR177" s="9">
        <v>3</v>
      </c>
      <c r="DU177" s="9">
        <v>6.3</v>
      </c>
    </row>
    <row r="178" spans="1:125" x14ac:dyDescent="0.2">
      <c r="A178" s="14">
        <v>703</v>
      </c>
      <c r="B178" s="17">
        <v>43299</v>
      </c>
      <c r="C178" s="9" t="s">
        <v>3955</v>
      </c>
      <c r="D178" s="9">
        <v>42</v>
      </c>
      <c r="E178" s="9" t="s">
        <v>4163</v>
      </c>
      <c r="F178" s="17">
        <v>27757</v>
      </c>
      <c r="G178" s="9" t="s">
        <v>3703</v>
      </c>
      <c r="H178" s="9" t="s">
        <v>6533</v>
      </c>
      <c r="M178" s="9" t="s">
        <v>483</v>
      </c>
      <c r="N178" s="9" t="s">
        <v>483</v>
      </c>
      <c r="O178" s="9" t="s">
        <v>483</v>
      </c>
      <c r="P178" s="9" t="s">
        <v>483</v>
      </c>
      <c r="Q178" s="9" t="s">
        <v>6713</v>
      </c>
      <c r="R178" s="9" t="s">
        <v>6690</v>
      </c>
      <c r="S178" s="9" t="s">
        <v>483</v>
      </c>
      <c r="T178" s="9" t="s">
        <v>483</v>
      </c>
      <c r="U178" s="9" t="s">
        <v>483</v>
      </c>
      <c r="V178" s="9" t="s">
        <v>483</v>
      </c>
      <c r="W178" s="9" t="s">
        <v>483</v>
      </c>
      <c r="X178" s="9" t="s">
        <v>483</v>
      </c>
      <c r="Y178" s="9" t="s">
        <v>4085</v>
      </c>
      <c r="Z178" s="9" t="s">
        <v>483</v>
      </c>
      <c r="AA178" s="9" t="s">
        <v>5749</v>
      </c>
      <c r="AB178" s="9" t="s">
        <v>6714</v>
      </c>
      <c r="AC178" s="9" t="s">
        <v>6715</v>
      </c>
      <c r="AD178" s="9" t="s">
        <v>5749</v>
      </c>
      <c r="AE178" s="10" t="s">
        <v>1086</v>
      </c>
      <c r="AF178" s="9" t="s">
        <v>483</v>
      </c>
      <c r="AG178" s="9" t="s">
        <v>483</v>
      </c>
      <c r="AH178" s="10" t="s">
        <v>406</v>
      </c>
      <c r="AI178" s="9" t="s">
        <v>483</v>
      </c>
      <c r="AJ178" s="9" t="s">
        <v>483</v>
      </c>
      <c r="AK178" s="9" t="s">
        <v>483</v>
      </c>
      <c r="AL178" s="9">
        <v>104.9</v>
      </c>
      <c r="AM178" s="9">
        <v>1.75</v>
      </c>
      <c r="AN178" s="9">
        <v>120</v>
      </c>
      <c r="AO178" s="9">
        <v>104</v>
      </c>
      <c r="AP178" s="9">
        <v>29.5</v>
      </c>
      <c r="AR178" s="9">
        <v>33.6</v>
      </c>
      <c r="AS178" s="9">
        <v>71</v>
      </c>
      <c r="AT178" s="9">
        <v>34.299999999999997</v>
      </c>
      <c r="AU178" s="10">
        <v>139</v>
      </c>
      <c r="AV178" s="10">
        <v>88</v>
      </c>
      <c r="AX178" s="9" t="s">
        <v>6537</v>
      </c>
      <c r="AY178" s="9" t="s">
        <v>5738</v>
      </c>
      <c r="BB178" s="9" t="s">
        <v>3974</v>
      </c>
      <c r="BC178" s="9" t="s">
        <v>536</v>
      </c>
      <c r="BF178" s="9" t="s">
        <v>635</v>
      </c>
      <c r="BG178" s="9" t="s">
        <v>635</v>
      </c>
      <c r="BH178" s="9" t="s">
        <v>323</v>
      </c>
      <c r="BI178" s="9" t="s">
        <v>325</v>
      </c>
      <c r="BJ178" s="9" t="s">
        <v>635</v>
      </c>
      <c r="BK178" s="9" t="s">
        <v>323</v>
      </c>
      <c r="BN178" s="9" t="s">
        <v>6405</v>
      </c>
      <c r="BO178" s="9" t="s">
        <v>467</v>
      </c>
      <c r="BP178" s="9" t="s">
        <v>430</v>
      </c>
      <c r="BZ178" s="9" t="s">
        <v>432</v>
      </c>
      <c r="CA178" s="9" t="s">
        <v>6508</v>
      </c>
      <c r="CL178" s="9" t="s">
        <v>997</v>
      </c>
      <c r="CM178" s="9" t="s">
        <v>922</v>
      </c>
      <c r="CN178" s="9" t="s">
        <v>449</v>
      </c>
      <c r="CP178" s="9" t="s">
        <v>1200</v>
      </c>
      <c r="CQ178" s="9" t="s">
        <v>451</v>
      </c>
      <c r="CR178" s="9" t="s">
        <v>385</v>
      </c>
      <c r="CT178" s="9" t="s">
        <v>6716</v>
      </c>
      <c r="CU178" s="9" t="s">
        <v>564</v>
      </c>
      <c r="CW178" s="9">
        <v>3</v>
      </c>
      <c r="CX178" s="9" t="s">
        <v>588</v>
      </c>
      <c r="CY178" s="9" t="s">
        <v>483</v>
      </c>
      <c r="CZ178" s="9">
        <v>25</v>
      </c>
      <c r="DA178" s="9">
        <v>25</v>
      </c>
      <c r="DB178" s="9">
        <v>50</v>
      </c>
      <c r="DC178" s="10">
        <v>102.1</v>
      </c>
      <c r="DD178" s="9">
        <v>0.78</v>
      </c>
      <c r="DE178" s="10">
        <v>210</v>
      </c>
      <c r="DF178" s="10">
        <v>275</v>
      </c>
      <c r="DG178" s="9">
        <f t="shared" si="2"/>
        <v>5.121361911418596</v>
      </c>
      <c r="DH178" s="9">
        <v>55</v>
      </c>
      <c r="DI178" s="9">
        <v>6.74</v>
      </c>
      <c r="DJ178" s="9">
        <v>33.700000000000003</v>
      </c>
      <c r="DK178" s="9">
        <v>28</v>
      </c>
      <c r="DL178" s="9">
        <v>40.700000000000003</v>
      </c>
      <c r="DM178" s="9">
        <v>114.3</v>
      </c>
      <c r="DP178" s="11">
        <v>3</v>
      </c>
      <c r="DR178" s="9">
        <v>2</v>
      </c>
    </row>
    <row r="179" spans="1:125" x14ac:dyDescent="0.2">
      <c r="A179" s="14">
        <v>706</v>
      </c>
      <c r="B179" s="17">
        <v>43299</v>
      </c>
      <c r="C179" s="9" t="s">
        <v>3955</v>
      </c>
      <c r="D179" s="9">
        <v>27</v>
      </c>
      <c r="E179" s="9" t="s">
        <v>96</v>
      </c>
      <c r="F179" s="17">
        <v>33303</v>
      </c>
      <c r="G179" s="9" t="s">
        <v>6744</v>
      </c>
      <c r="H179" s="9" t="s">
        <v>6533</v>
      </c>
      <c r="M179" s="9" t="s">
        <v>483</v>
      </c>
      <c r="N179" s="9" t="s">
        <v>483</v>
      </c>
      <c r="O179" s="9" t="s">
        <v>483</v>
      </c>
      <c r="P179" s="9" t="s">
        <v>483</v>
      </c>
      <c r="Q179" s="9" t="s">
        <v>6745</v>
      </c>
      <c r="R179" s="9" t="s">
        <v>588</v>
      </c>
      <c r="S179" s="9" t="s">
        <v>483</v>
      </c>
      <c r="T179" s="9" t="s">
        <v>483</v>
      </c>
      <c r="U179" s="9" t="s">
        <v>483</v>
      </c>
      <c r="V179" s="9" t="s">
        <v>483</v>
      </c>
      <c r="W179" s="9" t="s">
        <v>6746</v>
      </c>
      <c r="X179" s="9" t="s">
        <v>483</v>
      </c>
      <c r="Y179" s="9" t="s">
        <v>6747</v>
      </c>
      <c r="Z179" s="9" t="s">
        <v>483</v>
      </c>
      <c r="AA179" s="35" t="s">
        <v>6748</v>
      </c>
      <c r="AB179" s="35" t="s">
        <v>6748</v>
      </c>
      <c r="AC179" s="35" t="s">
        <v>6748</v>
      </c>
      <c r="AD179" s="35" t="s">
        <v>6748</v>
      </c>
      <c r="AE179" s="10" t="s">
        <v>6749</v>
      </c>
      <c r="AF179" s="10" t="s">
        <v>6750</v>
      </c>
      <c r="AG179" s="9" t="s">
        <v>483</v>
      </c>
      <c r="AH179" s="9" t="s">
        <v>483</v>
      </c>
      <c r="AI179" s="10" t="s">
        <v>1231</v>
      </c>
      <c r="AJ179" s="9" t="s">
        <v>483</v>
      </c>
      <c r="AK179" s="9" t="s">
        <v>483</v>
      </c>
      <c r="AL179" s="9">
        <v>150</v>
      </c>
      <c r="AN179" s="9">
        <v>175.5</v>
      </c>
      <c r="AU179" s="9">
        <v>124</v>
      </c>
      <c r="AV179" s="9">
        <v>96</v>
      </c>
      <c r="AX179" s="9" t="s">
        <v>6537</v>
      </c>
      <c r="AY179" s="9" t="s">
        <v>5738</v>
      </c>
      <c r="BB179" s="9" t="s">
        <v>3974</v>
      </c>
      <c r="BC179" s="9" t="s">
        <v>536</v>
      </c>
      <c r="BE179" s="9" t="s">
        <v>6751</v>
      </c>
      <c r="BF179" s="9" t="s">
        <v>635</v>
      </c>
      <c r="BG179" s="9" t="s">
        <v>635</v>
      </c>
      <c r="BH179" s="9" t="s">
        <v>323</v>
      </c>
      <c r="BI179" s="9" t="s">
        <v>323</v>
      </c>
      <c r="BJ179" s="9" t="s">
        <v>323</v>
      </c>
      <c r="BK179" s="9" t="s">
        <v>323</v>
      </c>
      <c r="BN179" s="9" t="s">
        <v>6752</v>
      </c>
      <c r="BO179" s="9" t="s">
        <v>553</v>
      </c>
      <c r="BP179" s="9" t="s">
        <v>430</v>
      </c>
      <c r="BZ179" s="9" t="s">
        <v>6508</v>
      </c>
      <c r="CA179" s="9" t="s">
        <v>433</v>
      </c>
      <c r="CB179" s="9" t="s">
        <v>432</v>
      </c>
      <c r="CL179" s="9" t="s">
        <v>997</v>
      </c>
      <c r="CM179" s="9" t="s">
        <v>473</v>
      </c>
      <c r="CN179" s="9" t="s">
        <v>6753</v>
      </c>
      <c r="CP179" s="9" t="s">
        <v>1200</v>
      </c>
      <c r="CT179" s="9" t="s">
        <v>1278</v>
      </c>
      <c r="CU179" s="9" t="s">
        <v>564</v>
      </c>
      <c r="CV179" s="9" t="s">
        <v>6754</v>
      </c>
      <c r="CW179" s="9">
        <v>5</v>
      </c>
      <c r="CX179" s="9" t="s">
        <v>483</v>
      </c>
      <c r="CY179" s="9" t="s">
        <v>483</v>
      </c>
      <c r="CZ179" s="9">
        <v>25</v>
      </c>
      <c r="DA179" s="9">
        <v>25</v>
      </c>
      <c r="DB179" s="9">
        <v>50</v>
      </c>
      <c r="DC179" s="10">
        <v>123.4</v>
      </c>
      <c r="DD179" s="9">
        <v>0.49</v>
      </c>
      <c r="DE179" s="9">
        <v>142</v>
      </c>
      <c r="DF179" s="9">
        <v>80</v>
      </c>
      <c r="DG179" s="9">
        <f t="shared" si="2"/>
        <v>4.5987288730725844</v>
      </c>
      <c r="DH179" s="9">
        <v>16</v>
      </c>
      <c r="DI179" s="10">
        <v>9.2200000000000006</v>
      </c>
      <c r="DJ179" s="9">
        <v>36.299999999999997</v>
      </c>
      <c r="DK179" s="9">
        <v>26</v>
      </c>
      <c r="DL179" s="9">
        <v>60</v>
      </c>
      <c r="DM179" s="9">
        <v>66</v>
      </c>
      <c r="DP179" s="11">
        <v>2</v>
      </c>
      <c r="DQ179" s="9">
        <v>2</v>
      </c>
      <c r="DR179" s="30">
        <v>1</v>
      </c>
    </row>
    <row r="180" spans="1:125" x14ac:dyDescent="0.2">
      <c r="A180" s="36">
        <v>707</v>
      </c>
      <c r="B180" s="8">
        <v>43292</v>
      </c>
      <c r="C180" s="9" t="s">
        <v>3955</v>
      </c>
      <c r="D180" s="9">
        <v>29</v>
      </c>
      <c r="E180" s="9" t="s">
        <v>949</v>
      </c>
      <c r="F180" s="17">
        <v>32456</v>
      </c>
      <c r="G180" s="9" t="s">
        <v>6755</v>
      </c>
      <c r="H180" s="9" t="s">
        <v>6756</v>
      </c>
      <c r="M180" s="9" t="s">
        <v>263</v>
      </c>
      <c r="N180" s="9" t="s">
        <v>263</v>
      </c>
      <c r="O180" s="9" t="s">
        <v>263</v>
      </c>
      <c r="P180" s="10" t="s">
        <v>368</v>
      </c>
      <c r="Q180" s="9" t="s">
        <v>369</v>
      </c>
      <c r="R180" s="9" t="s">
        <v>263</v>
      </c>
      <c r="S180" s="9" t="s">
        <v>263</v>
      </c>
      <c r="T180" s="9" t="s">
        <v>263</v>
      </c>
      <c r="U180" s="9" t="s">
        <v>263</v>
      </c>
      <c r="V180" s="9" t="s">
        <v>263</v>
      </c>
      <c r="W180" s="9" t="s">
        <v>263</v>
      </c>
      <c r="X180" s="9" t="s">
        <v>263</v>
      </c>
      <c r="Y180" s="9" t="s">
        <v>268</v>
      </c>
      <c r="Z180" s="9" t="s">
        <v>263</v>
      </c>
      <c r="AA180" s="9" t="s">
        <v>96</v>
      </c>
      <c r="AB180" s="41" t="s">
        <v>151</v>
      </c>
      <c r="AC180" s="9" t="s">
        <v>5750</v>
      </c>
      <c r="AD180" s="41" t="s">
        <v>151</v>
      </c>
      <c r="AE180" s="10" t="s">
        <v>6757</v>
      </c>
      <c r="AF180" s="9" t="s">
        <v>483</v>
      </c>
      <c r="AG180" s="10" t="s">
        <v>6757</v>
      </c>
      <c r="AH180" s="9" t="s">
        <v>263</v>
      </c>
      <c r="AI180" s="9" t="s">
        <v>263</v>
      </c>
      <c r="AJ180" s="10" t="s">
        <v>6758</v>
      </c>
      <c r="AK180" s="9" t="s">
        <v>263</v>
      </c>
      <c r="AL180" s="9">
        <v>80.400000000000006</v>
      </c>
      <c r="AM180" s="9">
        <v>1.68</v>
      </c>
      <c r="AN180" s="9">
        <v>105</v>
      </c>
      <c r="AO180" s="9">
        <v>110</v>
      </c>
      <c r="AP180" s="9">
        <v>27.1</v>
      </c>
      <c r="AQ180" s="9">
        <v>11</v>
      </c>
      <c r="AR180" s="9">
        <v>36.299999999999997</v>
      </c>
      <c r="AS180" s="9">
        <v>44</v>
      </c>
      <c r="AT180" s="9">
        <v>28.5</v>
      </c>
      <c r="AU180" s="9">
        <v>108</v>
      </c>
      <c r="AV180" s="9">
        <v>82</v>
      </c>
      <c r="AX180" s="9" t="s">
        <v>5738</v>
      </c>
      <c r="AY180" s="9" t="s">
        <v>6759</v>
      </c>
      <c r="AZ180" s="9" t="s">
        <v>549</v>
      </c>
      <c r="BB180" s="9" t="s">
        <v>6760</v>
      </c>
      <c r="BC180" s="9" t="s">
        <v>409</v>
      </c>
      <c r="BF180" s="9" t="s">
        <v>375</v>
      </c>
      <c r="BG180" s="9" t="s">
        <v>375</v>
      </c>
      <c r="BH180" s="9" t="s">
        <v>276</v>
      </c>
      <c r="BI180" s="9" t="s">
        <v>322</v>
      </c>
      <c r="BJ180" s="9" t="s">
        <v>322</v>
      </c>
      <c r="BK180" s="9" t="s">
        <v>375</v>
      </c>
      <c r="BN180" s="9" t="s">
        <v>553</v>
      </c>
      <c r="BO180" s="9" t="s">
        <v>6761</v>
      </c>
      <c r="BQ180" s="9" t="s">
        <v>483</v>
      </c>
      <c r="BU180" s="9" t="s">
        <v>483</v>
      </c>
      <c r="BV180" s="9" t="s">
        <v>6762</v>
      </c>
      <c r="BZ180" s="9" t="s">
        <v>6763</v>
      </c>
      <c r="CA180" s="9" t="s">
        <v>6764</v>
      </c>
      <c r="CB180" s="9" t="s">
        <v>432</v>
      </c>
      <c r="CC180" s="9" t="s">
        <v>263</v>
      </c>
      <c r="CG180" s="9" t="s">
        <v>263</v>
      </c>
      <c r="CL180" s="9" t="s">
        <v>6765</v>
      </c>
      <c r="CM180" s="9" t="s">
        <v>6766</v>
      </c>
      <c r="CN180" s="9" t="s">
        <v>6767</v>
      </c>
      <c r="CP180" s="9" t="s">
        <v>384</v>
      </c>
      <c r="CT180" s="9" t="s">
        <v>6768</v>
      </c>
      <c r="CW180" s="9">
        <v>5</v>
      </c>
      <c r="CX180" s="9" t="s">
        <v>588</v>
      </c>
      <c r="CY180" s="9" t="s">
        <v>6769</v>
      </c>
      <c r="DC180" s="9">
        <v>86.4</v>
      </c>
      <c r="DD180" s="9">
        <v>0.91</v>
      </c>
      <c r="DE180" s="9">
        <v>184</v>
      </c>
      <c r="DF180" s="14">
        <v>568</v>
      </c>
      <c r="DG180" s="9">
        <f t="shared" si="2"/>
        <v>5.4005545472655809</v>
      </c>
      <c r="DH180" s="9">
        <v>113.6</v>
      </c>
      <c r="DI180" s="10">
        <v>8.9700000000000006</v>
      </c>
      <c r="DJ180" s="9">
        <v>40.700000000000003</v>
      </c>
      <c r="DK180" s="10">
        <v>37.299999999999997</v>
      </c>
      <c r="DL180" s="10">
        <v>26.7</v>
      </c>
      <c r="DM180" s="9">
        <v>43.7</v>
      </c>
    </row>
    <row r="181" spans="1:125" x14ac:dyDescent="0.2">
      <c r="A181" s="9">
        <v>708</v>
      </c>
      <c r="B181" s="17">
        <v>43292</v>
      </c>
      <c r="C181" s="9" t="s">
        <v>3645</v>
      </c>
      <c r="D181" s="9">
        <v>57</v>
      </c>
      <c r="E181" s="9" t="s">
        <v>949</v>
      </c>
      <c r="F181" s="17">
        <v>22200</v>
      </c>
      <c r="G181" s="9" t="s">
        <v>3703</v>
      </c>
      <c r="H181" s="9" t="s">
        <v>3687</v>
      </c>
      <c r="I181" s="9" t="s">
        <v>1610</v>
      </c>
      <c r="J181" s="9" t="s">
        <v>5275</v>
      </c>
      <c r="K181" s="9" t="s">
        <v>5225</v>
      </c>
      <c r="L181" s="9">
        <v>2</v>
      </c>
      <c r="M181" s="9" t="s">
        <v>483</v>
      </c>
      <c r="N181" s="9" t="s">
        <v>483</v>
      </c>
      <c r="O181" s="9" t="s">
        <v>483</v>
      </c>
      <c r="P181" s="9" t="s">
        <v>483</v>
      </c>
      <c r="Q181" s="9" t="s">
        <v>588</v>
      </c>
      <c r="R181" s="9" t="s">
        <v>4079</v>
      </c>
      <c r="S181" s="9" t="s">
        <v>483</v>
      </c>
      <c r="T181" s="9" t="s">
        <v>588</v>
      </c>
      <c r="U181" s="9" t="s">
        <v>5680</v>
      </c>
      <c r="V181" s="9" t="s">
        <v>483</v>
      </c>
      <c r="W181" s="9" t="s">
        <v>483</v>
      </c>
      <c r="X181" s="9" t="s">
        <v>483</v>
      </c>
      <c r="Y181" s="9" t="s">
        <v>483</v>
      </c>
      <c r="Z181" s="9" t="s">
        <v>483</v>
      </c>
      <c r="AA181" s="9" t="s">
        <v>949</v>
      </c>
      <c r="AB181" s="9" t="s">
        <v>949</v>
      </c>
      <c r="AC181" s="9" t="s">
        <v>949</v>
      </c>
      <c r="AD181" s="9" t="s">
        <v>949</v>
      </c>
      <c r="AE181" s="10" t="s">
        <v>5685</v>
      </c>
      <c r="AF181" s="10" t="s">
        <v>5723</v>
      </c>
      <c r="AG181" s="9" t="s">
        <v>483</v>
      </c>
      <c r="AH181" s="10" t="s">
        <v>6770</v>
      </c>
      <c r="AI181" s="9" t="s">
        <v>483</v>
      </c>
      <c r="AJ181" s="9" t="s">
        <v>483</v>
      </c>
      <c r="AK181" s="10" t="s">
        <v>6771</v>
      </c>
      <c r="AL181" s="9">
        <v>67.099999999999994</v>
      </c>
      <c r="AM181" s="9">
        <v>1.53</v>
      </c>
      <c r="AN181" s="9">
        <v>88</v>
      </c>
      <c r="AO181" s="9">
        <v>98</v>
      </c>
      <c r="AP181" s="9">
        <v>45.3</v>
      </c>
      <c r="AQ181" s="9">
        <v>10</v>
      </c>
      <c r="AR181" s="9">
        <v>22.4</v>
      </c>
      <c r="AS181" s="9">
        <v>65</v>
      </c>
      <c r="AT181" s="9">
        <v>28.7</v>
      </c>
      <c r="AU181" s="10">
        <v>131</v>
      </c>
      <c r="AV181" s="10">
        <v>87</v>
      </c>
      <c r="AX181" s="9" t="s">
        <v>6772</v>
      </c>
      <c r="AY181" s="9" t="s">
        <v>6773</v>
      </c>
      <c r="AZ181" s="9" t="s">
        <v>6405</v>
      </c>
      <c r="BB181" s="9" t="s">
        <v>6774</v>
      </c>
      <c r="BC181" s="9" t="s">
        <v>6775</v>
      </c>
      <c r="BD181" s="9" t="s">
        <v>6723</v>
      </c>
      <c r="BF181" s="9" t="s">
        <v>323</v>
      </c>
      <c r="BG181" s="9" t="s">
        <v>375</v>
      </c>
      <c r="BH181" s="9" t="s">
        <v>375</v>
      </c>
      <c r="BI181" s="9" t="s">
        <v>322</v>
      </c>
      <c r="BJ181" s="9" t="s">
        <v>375</v>
      </c>
      <c r="BK181" s="9" t="s">
        <v>375</v>
      </c>
      <c r="BN181" s="9" t="s">
        <v>4109</v>
      </c>
      <c r="BO181" s="9" t="s">
        <v>6761</v>
      </c>
      <c r="BP181" s="9" t="s">
        <v>411</v>
      </c>
      <c r="BQ181" s="9" t="s">
        <v>483</v>
      </c>
      <c r="BV181" s="9" t="s">
        <v>3982</v>
      </c>
      <c r="CA181" s="9" t="s">
        <v>6776</v>
      </c>
      <c r="CC181" s="9" t="s">
        <v>483</v>
      </c>
      <c r="CG181" s="9" t="s">
        <v>6687</v>
      </c>
      <c r="CH181" s="9" t="s">
        <v>6777</v>
      </c>
      <c r="CL181" s="9" t="s">
        <v>6767</v>
      </c>
      <c r="CM181" s="9" t="s">
        <v>6778</v>
      </c>
      <c r="CN181" s="9" t="s">
        <v>908</v>
      </c>
      <c r="CP181" s="9" t="s">
        <v>451</v>
      </c>
      <c r="CQ181" s="9" t="s">
        <v>385</v>
      </c>
      <c r="CT181" s="9" t="s">
        <v>6779</v>
      </c>
      <c r="CU181" s="9" t="s">
        <v>6780</v>
      </c>
      <c r="CW181" s="9" t="s">
        <v>6781</v>
      </c>
      <c r="CX181" s="9" t="s">
        <v>263</v>
      </c>
      <c r="CY181" s="9" t="s">
        <v>6782</v>
      </c>
      <c r="CZ181" s="9">
        <v>60</v>
      </c>
      <c r="DA181" s="9">
        <v>20</v>
      </c>
      <c r="DB181" s="9">
        <v>20</v>
      </c>
      <c r="DC181" s="9">
        <v>74.900000000000006</v>
      </c>
      <c r="DD181" s="9">
        <v>0.59</v>
      </c>
      <c r="DE181" s="9">
        <v>170</v>
      </c>
      <c r="DF181" s="9">
        <v>97</v>
      </c>
      <c r="DG181" s="9">
        <f t="shared" si="2"/>
        <v>4.4454324345132781</v>
      </c>
      <c r="DH181" s="9">
        <v>19.399999999999999</v>
      </c>
      <c r="DI181" s="9">
        <v>4.21</v>
      </c>
      <c r="DJ181" s="9">
        <v>18.3</v>
      </c>
      <c r="DK181" s="9">
        <v>22</v>
      </c>
      <c r="DL181" s="9">
        <v>45.4</v>
      </c>
      <c r="DM181" s="9">
        <v>105.2</v>
      </c>
      <c r="DP181" s="11">
        <v>2</v>
      </c>
      <c r="DR181" s="9">
        <v>3</v>
      </c>
    </row>
    <row r="182" spans="1:125" x14ac:dyDescent="0.2">
      <c r="A182" s="9">
        <v>709</v>
      </c>
      <c r="B182" s="17">
        <v>43299</v>
      </c>
      <c r="C182" s="9" t="s">
        <v>3955</v>
      </c>
      <c r="D182" s="9">
        <v>23</v>
      </c>
      <c r="E182" s="9" t="s">
        <v>6783</v>
      </c>
      <c r="F182" s="17">
        <v>34818</v>
      </c>
      <c r="G182" s="9" t="s">
        <v>97</v>
      </c>
      <c r="H182" s="9" t="s">
        <v>6784</v>
      </c>
      <c r="M182" s="9" t="s">
        <v>483</v>
      </c>
      <c r="N182" s="9" t="s">
        <v>483</v>
      </c>
      <c r="O182" s="10" t="s">
        <v>588</v>
      </c>
      <c r="P182" s="9" t="s">
        <v>483</v>
      </c>
      <c r="Q182" s="9" t="s">
        <v>6785</v>
      </c>
      <c r="R182" s="9" t="s">
        <v>483</v>
      </c>
      <c r="S182" s="9" t="s">
        <v>588</v>
      </c>
      <c r="T182" s="9" t="s">
        <v>483</v>
      </c>
      <c r="U182" s="9" t="s">
        <v>483</v>
      </c>
      <c r="V182" s="9" t="s">
        <v>483</v>
      </c>
      <c r="W182" s="9" t="s">
        <v>6786</v>
      </c>
      <c r="X182" s="9" t="s">
        <v>588</v>
      </c>
      <c r="Y182" s="9" t="s">
        <v>4085</v>
      </c>
      <c r="Z182" s="9" t="s">
        <v>483</v>
      </c>
      <c r="AA182" s="9" t="s">
        <v>2060</v>
      </c>
      <c r="AB182" s="9" t="s">
        <v>6787</v>
      </c>
      <c r="AC182" s="9" t="s">
        <v>2060</v>
      </c>
      <c r="AD182" s="9" t="s">
        <v>6787</v>
      </c>
      <c r="AE182" s="10" t="s">
        <v>6788</v>
      </c>
      <c r="AF182" s="10" t="s">
        <v>901</v>
      </c>
      <c r="AG182" s="10" t="s">
        <v>442</v>
      </c>
      <c r="AH182" s="9" t="s">
        <v>483</v>
      </c>
      <c r="AI182" s="10" t="s">
        <v>423</v>
      </c>
      <c r="AJ182" s="9" t="s">
        <v>483</v>
      </c>
      <c r="AK182" s="9" t="s">
        <v>483</v>
      </c>
      <c r="AL182" s="9">
        <v>75.2</v>
      </c>
      <c r="AM182" s="9">
        <v>1.82</v>
      </c>
      <c r="AN182" s="9">
        <v>91</v>
      </c>
      <c r="AO182" s="9">
        <v>103</v>
      </c>
      <c r="AP182" s="9">
        <v>24.4</v>
      </c>
      <c r="AQ182" s="9">
        <v>5</v>
      </c>
      <c r="AR182" s="9">
        <v>36.200000000000003</v>
      </c>
      <c r="AS182" s="9">
        <v>39</v>
      </c>
      <c r="AT182" s="9">
        <v>22.8</v>
      </c>
      <c r="AU182" s="10">
        <v>130</v>
      </c>
      <c r="AV182" s="10">
        <v>95</v>
      </c>
      <c r="AX182" s="9" t="s">
        <v>5738</v>
      </c>
      <c r="AY182" s="9" t="s">
        <v>372</v>
      </c>
      <c r="AZ182" s="9" t="s">
        <v>549</v>
      </c>
      <c r="BE182" s="9" t="s">
        <v>6789</v>
      </c>
      <c r="BF182" s="9" t="s">
        <v>323</v>
      </c>
      <c r="BG182" s="9" t="s">
        <v>325</v>
      </c>
      <c r="BH182" s="9" t="s">
        <v>483</v>
      </c>
      <c r="BI182" s="9" t="s">
        <v>323</v>
      </c>
      <c r="BJ182" s="9" t="s">
        <v>635</v>
      </c>
      <c r="BK182" s="9" t="s">
        <v>323</v>
      </c>
      <c r="BN182" s="9" t="s">
        <v>411</v>
      </c>
      <c r="BO182" s="9" t="s">
        <v>6507</v>
      </c>
      <c r="BP182" s="9" t="s">
        <v>553</v>
      </c>
      <c r="BZ182" s="9" t="s">
        <v>6508</v>
      </c>
      <c r="CA182" s="9" t="s">
        <v>432</v>
      </c>
      <c r="CB182" s="9" t="s">
        <v>5716</v>
      </c>
      <c r="CL182" s="9" t="s">
        <v>922</v>
      </c>
      <c r="CM182" s="9" t="s">
        <v>6766</v>
      </c>
      <c r="CN182" s="9" t="s">
        <v>560</v>
      </c>
      <c r="CP182" s="9" t="s">
        <v>1200</v>
      </c>
      <c r="CQ182" s="9" t="s">
        <v>1285</v>
      </c>
      <c r="CR182" s="9" t="s">
        <v>6790</v>
      </c>
      <c r="CT182" s="9" t="s">
        <v>6716</v>
      </c>
      <c r="CU182" s="9" t="s">
        <v>562</v>
      </c>
      <c r="CW182" s="9">
        <v>5</v>
      </c>
      <c r="CX182" s="9" t="s">
        <v>588</v>
      </c>
      <c r="CY182" s="9" t="s">
        <v>588</v>
      </c>
      <c r="CZ182" s="9">
        <v>60</v>
      </c>
      <c r="DA182" s="9">
        <v>20</v>
      </c>
      <c r="DB182" s="9">
        <v>20</v>
      </c>
      <c r="DC182" s="9">
        <v>78.400000000000006</v>
      </c>
      <c r="DD182" s="9">
        <v>0.72</v>
      </c>
      <c r="DE182" s="9">
        <v>188</v>
      </c>
      <c r="DF182" s="10">
        <v>245</v>
      </c>
      <c r="DG182" s="9">
        <f t="shared" si="2"/>
        <v>4.931541068950545</v>
      </c>
      <c r="DH182" s="9">
        <v>49</v>
      </c>
      <c r="DI182" s="9">
        <v>6.14</v>
      </c>
      <c r="DJ182" s="9">
        <v>40</v>
      </c>
      <c r="DK182" s="10">
        <v>46.7</v>
      </c>
      <c r="DL182" s="9">
        <v>68.7</v>
      </c>
      <c r="DM182" s="9">
        <v>70.3</v>
      </c>
    </row>
    <row r="183" spans="1:125" x14ac:dyDescent="0.2">
      <c r="A183" s="14">
        <v>710</v>
      </c>
      <c r="B183" s="17">
        <v>43299</v>
      </c>
      <c r="C183" s="9" t="s">
        <v>95</v>
      </c>
      <c r="D183" s="9">
        <v>54</v>
      </c>
      <c r="E183" s="9" t="s">
        <v>6791</v>
      </c>
      <c r="F183" s="17">
        <v>23218</v>
      </c>
      <c r="G183" s="9" t="s">
        <v>1320</v>
      </c>
      <c r="H183" s="9" t="s">
        <v>6640</v>
      </c>
      <c r="I183" s="9" t="s">
        <v>1321</v>
      </c>
      <c r="J183" s="9" t="s">
        <v>776</v>
      </c>
      <c r="L183" s="9">
        <v>1</v>
      </c>
      <c r="M183" s="10" t="s">
        <v>588</v>
      </c>
      <c r="N183" s="9" t="s">
        <v>483</v>
      </c>
      <c r="O183" s="9" t="s">
        <v>483</v>
      </c>
      <c r="P183" s="9" t="s">
        <v>483</v>
      </c>
      <c r="Q183" s="9" t="s">
        <v>483</v>
      </c>
      <c r="R183" s="9" t="s">
        <v>588</v>
      </c>
      <c r="S183" s="9" t="s">
        <v>6792</v>
      </c>
      <c r="T183" s="9" t="s">
        <v>483</v>
      </c>
      <c r="U183" s="9" t="s">
        <v>483</v>
      </c>
      <c r="V183" s="9" t="s">
        <v>483</v>
      </c>
      <c r="W183" s="9" t="s">
        <v>6793</v>
      </c>
      <c r="X183" s="9" t="s">
        <v>483</v>
      </c>
      <c r="Y183" s="9" t="s">
        <v>6794</v>
      </c>
      <c r="Z183" s="9" t="s">
        <v>483</v>
      </c>
      <c r="AA183" s="49" t="s">
        <v>6211</v>
      </c>
      <c r="AB183" s="41" t="s">
        <v>5730</v>
      </c>
      <c r="AC183" s="49" t="s">
        <v>6212</v>
      </c>
      <c r="AD183" s="41" t="s">
        <v>5730</v>
      </c>
      <c r="AE183" s="9" t="s">
        <v>263</v>
      </c>
      <c r="AF183" s="10" t="s">
        <v>368</v>
      </c>
      <c r="AG183" s="10" t="s">
        <v>4123</v>
      </c>
      <c r="AH183" s="10" t="s">
        <v>3915</v>
      </c>
      <c r="AI183" s="9" t="s">
        <v>483</v>
      </c>
      <c r="AJ183" s="9" t="s">
        <v>483</v>
      </c>
      <c r="AK183" s="9" t="s">
        <v>483</v>
      </c>
      <c r="AL183" s="9">
        <v>68.3</v>
      </c>
      <c r="AM183" s="9">
        <v>1.56</v>
      </c>
      <c r="AN183" s="9">
        <v>96</v>
      </c>
      <c r="AO183" s="9">
        <v>112</v>
      </c>
      <c r="AP183" s="9">
        <v>45.7</v>
      </c>
      <c r="AQ183" s="9">
        <v>9</v>
      </c>
      <c r="AR183" s="9">
        <v>21.7</v>
      </c>
      <c r="AS183" s="9">
        <v>61</v>
      </c>
      <c r="AT183" s="9">
        <v>28.1</v>
      </c>
      <c r="AU183" s="14">
        <v>147</v>
      </c>
      <c r="AV183" s="14">
        <v>104</v>
      </c>
      <c r="AX183" s="9" t="s">
        <v>6485</v>
      </c>
      <c r="AY183" s="9" t="s">
        <v>6486</v>
      </c>
      <c r="BB183" s="9" t="s">
        <v>5714</v>
      </c>
      <c r="BC183" s="9" t="s">
        <v>6795</v>
      </c>
      <c r="BD183" s="9" t="s">
        <v>6796</v>
      </c>
      <c r="BE183" s="9" t="s">
        <v>6797</v>
      </c>
      <c r="BF183" s="9" t="s">
        <v>635</v>
      </c>
      <c r="BG183" s="9" t="s">
        <v>635</v>
      </c>
      <c r="BH183" s="9" t="s">
        <v>635</v>
      </c>
      <c r="BI183" s="9" t="s">
        <v>635</v>
      </c>
      <c r="BJ183" s="9" t="s">
        <v>635</v>
      </c>
      <c r="BK183" s="9" t="s">
        <v>325</v>
      </c>
      <c r="BN183" s="9" t="s">
        <v>467</v>
      </c>
      <c r="BO183" s="9" t="s">
        <v>6405</v>
      </c>
      <c r="BV183" s="9" t="s">
        <v>6798</v>
      </c>
      <c r="BW183" s="9" t="s">
        <v>6799</v>
      </c>
      <c r="BX183" s="9" t="s">
        <v>6800</v>
      </c>
      <c r="BZ183" s="9" t="s">
        <v>380</v>
      </c>
      <c r="CA183" s="9" t="s">
        <v>379</v>
      </c>
      <c r="CH183" s="9" t="s">
        <v>6801</v>
      </c>
      <c r="CL183" s="9" t="s">
        <v>909</v>
      </c>
      <c r="CM183" s="9" t="s">
        <v>922</v>
      </c>
      <c r="CP183" s="9" t="s">
        <v>6802</v>
      </c>
      <c r="CQ183" s="9" t="s">
        <v>451</v>
      </c>
      <c r="CR183" s="9" t="s">
        <v>385</v>
      </c>
      <c r="CT183" s="9" t="s">
        <v>1278</v>
      </c>
      <c r="CU183" s="9" t="s">
        <v>562</v>
      </c>
      <c r="CV183" s="9" t="s">
        <v>6803</v>
      </c>
      <c r="CW183" s="9">
        <v>3</v>
      </c>
      <c r="CX183" s="9" t="s">
        <v>483</v>
      </c>
      <c r="CY183" s="9" t="s">
        <v>483</v>
      </c>
      <c r="CZ183" s="9">
        <v>10</v>
      </c>
      <c r="DA183" s="9">
        <v>30</v>
      </c>
      <c r="DB183" s="9">
        <v>60</v>
      </c>
      <c r="DC183" s="10">
        <v>137.4</v>
      </c>
      <c r="DD183" s="9">
        <v>0.45</v>
      </c>
      <c r="DE183" s="10">
        <v>222</v>
      </c>
      <c r="DF183" s="10">
        <v>202</v>
      </c>
      <c r="DG183" s="9">
        <f t="shared" si="2"/>
        <v>5.1155820385947273</v>
      </c>
      <c r="DH183" s="9">
        <v>40.4</v>
      </c>
      <c r="DI183" s="10">
        <v>6.06</v>
      </c>
      <c r="DJ183" s="9">
        <v>19.3</v>
      </c>
      <c r="DK183" s="9">
        <v>22</v>
      </c>
      <c r="DL183" s="10">
        <v>45.9</v>
      </c>
      <c r="DM183" s="9">
        <v>135.69999999999999</v>
      </c>
    </row>
    <row r="184" spans="1:125" x14ac:dyDescent="0.2">
      <c r="A184" s="14">
        <v>711</v>
      </c>
      <c r="B184" s="17">
        <v>43299</v>
      </c>
      <c r="C184" s="9" t="s">
        <v>107</v>
      </c>
      <c r="D184" s="9">
        <v>19</v>
      </c>
      <c r="E184" s="9" t="s">
        <v>3702</v>
      </c>
      <c r="F184" s="17">
        <v>36055</v>
      </c>
      <c r="G184" s="9" t="s">
        <v>97</v>
      </c>
      <c r="H184" s="9" t="s">
        <v>6640</v>
      </c>
      <c r="M184" s="9" t="s">
        <v>263</v>
      </c>
      <c r="N184" s="10" t="s">
        <v>368</v>
      </c>
      <c r="O184" s="9" t="s">
        <v>263</v>
      </c>
      <c r="P184" s="9" t="s">
        <v>276</v>
      </c>
      <c r="Q184" s="9" t="s">
        <v>6804</v>
      </c>
      <c r="R184" s="9" t="s">
        <v>6805</v>
      </c>
      <c r="S184" s="9" t="s">
        <v>6806</v>
      </c>
      <c r="T184" s="9" t="s">
        <v>6807</v>
      </c>
      <c r="U184" s="9" t="s">
        <v>263</v>
      </c>
      <c r="V184" s="9" t="s">
        <v>263</v>
      </c>
      <c r="W184" s="9" t="s">
        <v>263</v>
      </c>
      <c r="X184" s="9" t="s">
        <v>263</v>
      </c>
      <c r="Y184" s="9" t="s">
        <v>483</v>
      </c>
      <c r="Z184" s="9" t="s">
        <v>483</v>
      </c>
      <c r="AA184" s="35" t="s">
        <v>6748</v>
      </c>
      <c r="AB184" s="35" t="s">
        <v>6748</v>
      </c>
      <c r="AC184" s="35" t="s">
        <v>6748</v>
      </c>
      <c r="AD184" s="35" t="s">
        <v>6748</v>
      </c>
      <c r="AE184" s="10" t="s">
        <v>6749</v>
      </c>
      <c r="AF184" s="10" t="s">
        <v>6750</v>
      </c>
      <c r="AG184" s="9" t="s">
        <v>263</v>
      </c>
      <c r="AH184" s="9" t="s">
        <v>483</v>
      </c>
      <c r="AI184" s="10" t="s">
        <v>1231</v>
      </c>
      <c r="AJ184" s="9" t="s">
        <v>263</v>
      </c>
      <c r="AK184" s="9" t="s">
        <v>263</v>
      </c>
      <c r="AL184" s="9">
        <v>126.3</v>
      </c>
      <c r="AM184" s="9">
        <v>1.76</v>
      </c>
      <c r="AN184" s="9">
        <v>137</v>
      </c>
      <c r="AO184" s="9">
        <v>126</v>
      </c>
      <c r="AP184" s="9">
        <v>47.7</v>
      </c>
      <c r="AQ184" s="9">
        <v>19</v>
      </c>
      <c r="AR184" s="9">
        <v>24.2</v>
      </c>
      <c r="AS184" s="9">
        <v>80</v>
      </c>
      <c r="AT184" s="14">
        <v>40.799999999999997</v>
      </c>
      <c r="AU184" s="9">
        <v>120</v>
      </c>
      <c r="AV184" s="9">
        <v>83</v>
      </c>
      <c r="DC184" s="10">
        <v>122.7</v>
      </c>
      <c r="DD184" s="9">
        <v>0.47</v>
      </c>
      <c r="DE184" s="10">
        <v>210</v>
      </c>
      <c r="DF184" s="10">
        <v>191</v>
      </c>
      <c r="DG184" s="9">
        <f t="shared" si="2"/>
        <v>5.0310078898817476</v>
      </c>
      <c r="DH184" s="9">
        <v>38.200000000000003</v>
      </c>
      <c r="DI184" s="9">
        <v>5.66</v>
      </c>
      <c r="DJ184" s="9">
        <v>13</v>
      </c>
      <c r="DK184" s="9">
        <v>23.7</v>
      </c>
      <c r="DL184" s="10">
        <v>32.700000000000003</v>
      </c>
      <c r="DM184" s="9">
        <v>139.1</v>
      </c>
      <c r="DP184" s="11">
        <v>2</v>
      </c>
      <c r="DR184" s="9">
        <v>2</v>
      </c>
      <c r="DT184" s="9">
        <v>10.8</v>
      </c>
      <c r="DU184" s="9">
        <v>2.4500000000000002</v>
      </c>
    </row>
    <row r="185" spans="1:125" x14ac:dyDescent="0.2">
      <c r="A185" s="36">
        <v>713</v>
      </c>
      <c r="B185" s="17">
        <v>43299</v>
      </c>
      <c r="C185" s="9" t="s">
        <v>107</v>
      </c>
      <c r="D185" s="9">
        <v>75</v>
      </c>
      <c r="E185" s="37" t="s">
        <v>6812</v>
      </c>
      <c r="F185" s="17">
        <v>15686</v>
      </c>
      <c r="G185" s="9" t="s">
        <v>261</v>
      </c>
      <c r="H185" s="9" t="s">
        <v>6533</v>
      </c>
      <c r="M185" s="9" t="s">
        <v>263</v>
      </c>
      <c r="N185" s="10" t="s">
        <v>368</v>
      </c>
      <c r="O185" s="10" t="s">
        <v>588</v>
      </c>
      <c r="P185" s="9" t="s">
        <v>263</v>
      </c>
      <c r="Q185" s="9" t="s">
        <v>6813</v>
      </c>
      <c r="R185" s="9" t="s">
        <v>588</v>
      </c>
      <c r="S185" s="9" t="s">
        <v>263</v>
      </c>
      <c r="T185" s="9" t="s">
        <v>6807</v>
      </c>
      <c r="U185" s="9" t="s">
        <v>263</v>
      </c>
      <c r="V185" s="9" t="s">
        <v>263</v>
      </c>
      <c r="W185" s="9" t="s">
        <v>6814</v>
      </c>
      <c r="X185" s="9" t="s">
        <v>263</v>
      </c>
      <c r="Y185" s="9" t="s">
        <v>6815</v>
      </c>
      <c r="Z185" s="9" t="s">
        <v>483</v>
      </c>
      <c r="AA185" s="37" t="s">
        <v>6812</v>
      </c>
      <c r="AB185" s="37" t="s">
        <v>6812</v>
      </c>
      <c r="AC185" s="37" t="s">
        <v>403</v>
      </c>
      <c r="AD185" s="35" t="s">
        <v>267</v>
      </c>
      <c r="AE185" s="10" t="s">
        <v>6816</v>
      </c>
      <c r="AF185" s="10" t="s">
        <v>6817</v>
      </c>
      <c r="AG185" s="9" t="s">
        <v>263</v>
      </c>
      <c r="AH185" s="9" t="s">
        <v>483</v>
      </c>
      <c r="AI185" s="10" t="s">
        <v>6818</v>
      </c>
      <c r="AJ185" s="10" t="s">
        <v>5791</v>
      </c>
      <c r="AK185" s="9" t="s">
        <v>483</v>
      </c>
      <c r="AL185" s="9">
        <v>85.1</v>
      </c>
      <c r="AM185" s="9">
        <v>1.68</v>
      </c>
      <c r="AN185" s="9">
        <v>104</v>
      </c>
      <c r="AO185" s="9">
        <v>106</v>
      </c>
      <c r="AP185" s="9">
        <v>32.5</v>
      </c>
      <c r="AQ185" s="9">
        <v>19</v>
      </c>
      <c r="AR185" s="9">
        <v>28.2</v>
      </c>
      <c r="AS185" s="9">
        <v>70</v>
      </c>
      <c r="AT185" s="10">
        <v>30.2</v>
      </c>
      <c r="AU185" s="9">
        <v>122</v>
      </c>
      <c r="AV185" s="9">
        <v>80</v>
      </c>
      <c r="AX185" s="9" t="s">
        <v>549</v>
      </c>
      <c r="AY185" s="9" t="s">
        <v>6819</v>
      </c>
      <c r="BB185" s="9" t="s">
        <v>6820</v>
      </c>
      <c r="BC185" s="9" t="s">
        <v>6821</v>
      </c>
      <c r="BE185" s="9" t="s">
        <v>6822</v>
      </c>
      <c r="BF185" s="9" t="s">
        <v>635</v>
      </c>
      <c r="BG185" s="9" t="s">
        <v>323</v>
      </c>
      <c r="BH185" s="9" t="s">
        <v>325</v>
      </c>
      <c r="BI185" s="9" t="s">
        <v>323</v>
      </c>
      <c r="BJ185" s="9" t="s">
        <v>635</v>
      </c>
      <c r="BK185" s="9" t="s">
        <v>325</v>
      </c>
      <c r="BN185" s="9" t="s">
        <v>467</v>
      </c>
      <c r="BO185" s="9" t="s">
        <v>6823</v>
      </c>
      <c r="BP185" s="9" t="s">
        <v>6513</v>
      </c>
      <c r="BZ185" s="9" t="s">
        <v>379</v>
      </c>
      <c r="CA185" s="9" t="s">
        <v>6503</v>
      </c>
      <c r="CB185" s="9" t="s">
        <v>6504</v>
      </c>
      <c r="CL185" s="9" t="s">
        <v>6753</v>
      </c>
      <c r="CM185" s="9" t="s">
        <v>6824</v>
      </c>
      <c r="CN185" s="9" t="s">
        <v>6825</v>
      </c>
      <c r="CP185" s="9" t="s">
        <v>452</v>
      </c>
      <c r="CQ185" s="9" t="s">
        <v>6826</v>
      </c>
      <c r="CT185" s="9" t="s">
        <v>6827</v>
      </c>
      <c r="CW185" s="9">
        <v>3</v>
      </c>
      <c r="CX185" s="9" t="s">
        <v>588</v>
      </c>
      <c r="CY185" s="9" t="s">
        <v>588</v>
      </c>
      <c r="CZ185" s="9">
        <v>50</v>
      </c>
      <c r="DA185" s="9">
        <v>10</v>
      </c>
      <c r="DB185" s="9">
        <v>40</v>
      </c>
      <c r="DC185" s="9">
        <v>80</v>
      </c>
      <c r="DD185" s="9">
        <v>1.34</v>
      </c>
      <c r="DE185" s="10">
        <v>213</v>
      </c>
      <c r="DF185" s="10">
        <v>209</v>
      </c>
      <c r="DG185" s="9">
        <f t="shared" si="2"/>
        <v>4.8621804433193461</v>
      </c>
      <c r="DH185" s="9">
        <v>41.8</v>
      </c>
      <c r="DI185" s="9">
        <v>5.59</v>
      </c>
      <c r="DJ185" s="9">
        <v>21.3</v>
      </c>
      <c r="DK185" s="9">
        <v>34.700000000000003</v>
      </c>
      <c r="DL185" s="10">
        <v>36.1</v>
      </c>
      <c r="DM185" s="9">
        <v>135.1</v>
      </c>
      <c r="DP185" s="11">
        <v>2</v>
      </c>
      <c r="DR185" s="9">
        <v>3</v>
      </c>
    </row>
    <row r="186" spans="1:125" x14ac:dyDescent="0.2">
      <c r="A186" s="36">
        <v>717</v>
      </c>
      <c r="B186" s="17">
        <v>43299</v>
      </c>
      <c r="C186" s="9" t="s">
        <v>95</v>
      </c>
      <c r="D186" s="9">
        <v>78</v>
      </c>
      <c r="E186" s="9" t="s">
        <v>6839</v>
      </c>
      <c r="F186" s="17">
        <v>14455</v>
      </c>
      <c r="G186" s="9" t="s">
        <v>1320</v>
      </c>
      <c r="H186" s="9" t="s">
        <v>6640</v>
      </c>
      <c r="I186" s="9" t="s">
        <v>1610</v>
      </c>
      <c r="J186" s="9" t="s">
        <v>776</v>
      </c>
      <c r="L186" s="9">
        <v>6</v>
      </c>
      <c r="M186" s="9" t="s">
        <v>263</v>
      </c>
      <c r="N186" s="10" t="s">
        <v>588</v>
      </c>
      <c r="O186" s="9" t="s">
        <v>263</v>
      </c>
      <c r="P186" s="9" t="s">
        <v>263</v>
      </c>
      <c r="Q186" s="9" t="s">
        <v>263</v>
      </c>
      <c r="R186" s="9" t="s">
        <v>588</v>
      </c>
      <c r="S186" s="9" t="s">
        <v>263</v>
      </c>
      <c r="T186" s="9" t="s">
        <v>6840</v>
      </c>
      <c r="U186" s="9" t="s">
        <v>6841</v>
      </c>
      <c r="V186" s="9" t="s">
        <v>263</v>
      </c>
      <c r="W186" s="9" t="s">
        <v>263</v>
      </c>
      <c r="X186" s="9" t="s">
        <v>263</v>
      </c>
      <c r="Y186" s="9" t="s">
        <v>483</v>
      </c>
      <c r="Z186" s="9" t="s">
        <v>483</v>
      </c>
      <c r="AA186" s="9" t="s">
        <v>6842</v>
      </c>
      <c r="AB186" s="9" t="s">
        <v>6842</v>
      </c>
      <c r="AC186" s="9" t="s">
        <v>6842</v>
      </c>
      <c r="AD186" s="9" t="s">
        <v>6842</v>
      </c>
      <c r="AE186" s="10" t="s">
        <v>5792</v>
      </c>
      <c r="AF186" s="9" t="s">
        <v>263</v>
      </c>
      <c r="AG186" s="10" t="s">
        <v>36</v>
      </c>
      <c r="AH186" s="10" t="s">
        <v>5792</v>
      </c>
      <c r="AI186" s="9" t="s">
        <v>263</v>
      </c>
      <c r="AJ186" s="9" t="s">
        <v>263</v>
      </c>
      <c r="AK186" s="10" t="s">
        <v>6843</v>
      </c>
      <c r="AL186" s="9">
        <v>56.5</v>
      </c>
      <c r="AM186" s="9">
        <v>1.45</v>
      </c>
      <c r="AN186" s="9">
        <v>97</v>
      </c>
      <c r="AO186" s="9">
        <v>94</v>
      </c>
      <c r="AP186" s="9">
        <v>44.1</v>
      </c>
      <c r="AQ186" s="9">
        <v>12</v>
      </c>
      <c r="AR186" s="9">
        <v>21</v>
      </c>
      <c r="AS186" s="9">
        <v>74</v>
      </c>
      <c r="AT186" s="9">
        <v>26.9</v>
      </c>
      <c r="AU186" s="14">
        <v>150</v>
      </c>
      <c r="AV186" s="14">
        <v>96</v>
      </c>
      <c r="DC186" s="9">
        <v>93.7</v>
      </c>
      <c r="DD186" s="9">
        <v>0.36</v>
      </c>
      <c r="DE186" s="10">
        <v>202</v>
      </c>
      <c r="DF186" s="10">
        <v>186</v>
      </c>
      <c r="DG186" s="9">
        <f t="shared" si="2"/>
        <v>4.8829224314787885</v>
      </c>
      <c r="DH186" s="9">
        <v>37.200000000000003</v>
      </c>
      <c r="DI186" s="10">
        <v>6.12</v>
      </c>
      <c r="DJ186" s="9">
        <v>15.3</v>
      </c>
      <c r="DK186" s="9">
        <v>25.7</v>
      </c>
      <c r="DL186" s="10">
        <v>34.1</v>
      </c>
      <c r="DM186" s="9">
        <v>130.69999999999999</v>
      </c>
      <c r="DP186" s="11">
        <v>3</v>
      </c>
      <c r="DR186" s="9">
        <v>3</v>
      </c>
    </row>
    <row r="187" spans="1:125" x14ac:dyDescent="0.2">
      <c r="A187" s="36">
        <v>722</v>
      </c>
      <c r="B187" s="17">
        <v>43300</v>
      </c>
      <c r="C187" s="9" t="s">
        <v>3645</v>
      </c>
      <c r="D187" s="9">
        <v>60</v>
      </c>
      <c r="E187" s="37" t="s">
        <v>6877</v>
      </c>
      <c r="F187" s="17">
        <v>20877</v>
      </c>
      <c r="G187" s="9" t="s">
        <v>6878</v>
      </c>
      <c r="H187" s="9" t="s">
        <v>6533</v>
      </c>
      <c r="I187" s="9">
        <v>11</v>
      </c>
      <c r="J187" s="9">
        <v>51</v>
      </c>
      <c r="K187" s="9">
        <v>1981</v>
      </c>
      <c r="L187" s="9">
        <v>4</v>
      </c>
      <c r="M187" s="9" t="s">
        <v>483</v>
      </c>
      <c r="N187" s="9" t="s">
        <v>483</v>
      </c>
      <c r="O187" s="9" t="s">
        <v>483</v>
      </c>
      <c r="P187" s="10" t="s">
        <v>6879</v>
      </c>
      <c r="Q187" s="10" t="s">
        <v>6880</v>
      </c>
      <c r="R187" s="9" t="s">
        <v>588</v>
      </c>
      <c r="S187" s="9" t="s">
        <v>6881</v>
      </c>
      <c r="T187" s="9" t="s">
        <v>6882</v>
      </c>
      <c r="U187" s="9" t="s">
        <v>483</v>
      </c>
      <c r="V187" s="9" t="s">
        <v>483</v>
      </c>
      <c r="W187" s="9" t="s">
        <v>6883</v>
      </c>
      <c r="X187" s="9" t="s">
        <v>483</v>
      </c>
      <c r="Y187" s="9" t="s">
        <v>6884</v>
      </c>
      <c r="Z187" s="9" t="s">
        <v>483</v>
      </c>
      <c r="AA187" s="35" t="s">
        <v>6748</v>
      </c>
      <c r="AB187" s="49" t="s">
        <v>6885</v>
      </c>
      <c r="AC187" s="9" t="s">
        <v>3702</v>
      </c>
      <c r="AD187" s="37" t="s">
        <v>2072</v>
      </c>
      <c r="AE187" s="9" t="s">
        <v>483</v>
      </c>
      <c r="AF187" s="9" t="s">
        <v>483</v>
      </c>
      <c r="AG187" s="9" t="s">
        <v>2930</v>
      </c>
      <c r="AH187" s="9" t="s">
        <v>483</v>
      </c>
      <c r="AI187" s="9" t="s">
        <v>483</v>
      </c>
      <c r="AJ187" s="9" t="s">
        <v>483</v>
      </c>
      <c r="AK187" s="9" t="s">
        <v>483</v>
      </c>
      <c r="AL187" s="9">
        <v>58.5</v>
      </c>
      <c r="AM187" s="9">
        <v>1.47</v>
      </c>
      <c r="AP187" s="9">
        <v>44.6</v>
      </c>
      <c r="AQ187" s="9">
        <v>10</v>
      </c>
      <c r="AR187" s="9">
        <v>20.5</v>
      </c>
      <c r="AS187" s="9">
        <v>63</v>
      </c>
      <c r="AT187" s="9">
        <v>26.7</v>
      </c>
      <c r="AU187" s="9">
        <v>100</v>
      </c>
      <c r="AV187" s="9">
        <v>67</v>
      </c>
      <c r="DC187" s="9">
        <v>83.3</v>
      </c>
      <c r="DD187" s="9">
        <v>0.31</v>
      </c>
      <c r="DE187" s="10">
        <v>245</v>
      </c>
      <c r="DF187" s="10">
        <v>253</v>
      </c>
      <c r="DG187" s="9">
        <f t="shared" si="2"/>
        <v>4.9779190189501588</v>
      </c>
      <c r="DH187" s="9">
        <v>50.6</v>
      </c>
      <c r="DI187" s="9">
        <v>5.65</v>
      </c>
      <c r="DJ187" s="9">
        <v>19.7</v>
      </c>
      <c r="DK187" s="10">
        <v>36.299999999999997</v>
      </c>
      <c r="DL187" s="10">
        <v>36.299999999999997</v>
      </c>
      <c r="DM187" s="9">
        <v>158.1</v>
      </c>
    </row>
    <row r="188" spans="1:125" x14ac:dyDescent="0.2">
      <c r="A188" s="14">
        <v>726</v>
      </c>
      <c r="B188" s="17">
        <v>43300</v>
      </c>
      <c r="C188" s="9" t="s">
        <v>3645</v>
      </c>
      <c r="D188" s="9">
        <v>42</v>
      </c>
      <c r="E188" s="9" t="s">
        <v>5749</v>
      </c>
      <c r="F188" s="17">
        <v>27682</v>
      </c>
      <c r="G188" s="9" t="s">
        <v>1320</v>
      </c>
      <c r="H188" s="9" t="s">
        <v>6533</v>
      </c>
      <c r="I188" s="9">
        <v>11</v>
      </c>
      <c r="K188" s="9">
        <v>2002</v>
      </c>
      <c r="L188" s="9">
        <v>4</v>
      </c>
      <c r="M188" s="9" t="s">
        <v>483</v>
      </c>
      <c r="N188" s="9" t="s">
        <v>483</v>
      </c>
      <c r="O188" s="9" t="s">
        <v>483</v>
      </c>
      <c r="P188" s="9" t="s">
        <v>483</v>
      </c>
      <c r="Q188" s="9" t="s">
        <v>483</v>
      </c>
      <c r="R188" s="9" t="s">
        <v>588</v>
      </c>
      <c r="S188" s="9" t="s">
        <v>483</v>
      </c>
      <c r="T188" s="9" t="s">
        <v>483</v>
      </c>
      <c r="U188" s="9" t="s">
        <v>483</v>
      </c>
      <c r="V188" s="9" t="s">
        <v>483</v>
      </c>
      <c r="W188" s="14" t="s">
        <v>6901</v>
      </c>
      <c r="X188" s="9" t="s">
        <v>483</v>
      </c>
      <c r="Y188" s="9" t="s">
        <v>483</v>
      </c>
      <c r="Z188" s="14" t="s">
        <v>6902</v>
      </c>
      <c r="AA188" s="9" t="s">
        <v>96</v>
      </c>
      <c r="AB188" s="9" t="s">
        <v>96</v>
      </c>
      <c r="AC188" s="9" t="s">
        <v>96</v>
      </c>
      <c r="AD188" s="9" t="s">
        <v>96</v>
      </c>
      <c r="AE188" s="9" t="s">
        <v>1086</v>
      </c>
      <c r="AF188" s="9" t="s">
        <v>406</v>
      </c>
      <c r="AG188" s="9" t="s">
        <v>483</v>
      </c>
      <c r="AH188" s="9" t="s">
        <v>483</v>
      </c>
      <c r="AI188" s="9" t="s">
        <v>6198</v>
      </c>
      <c r="AJ188" s="9" t="s">
        <v>5694</v>
      </c>
      <c r="AK188" s="9" t="s">
        <v>6903</v>
      </c>
      <c r="AL188" s="9">
        <v>84.3</v>
      </c>
      <c r="AM188" s="9">
        <v>1.57</v>
      </c>
      <c r="AN188" s="9">
        <v>99</v>
      </c>
      <c r="AO188" s="9">
        <v>116</v>
      </c>
      <c r="AP188" s="9">
        <v>52.8</v>
      </c>
      <c r="AQ188" s="9">
        <v>11</v>
      </c>
      <c r="AR188" s="9">
        <v>19.7</v>
      </c>
      <c r="AS188" s="9">
        <v>66</v>
      </c>
      <c r="AT188" s="9">
        <v>34.200000000000003</v>
      </c>
      <c r="AU188" s="9">
        <v>113</v>
      </c>
      <c r="AV188" s="9">
        <v>71</v>
      </c>
      <c r="AX188" s="9" t="s">
        <v>6485</v>
      </c>
      <c r="AY188" s="9" t="s">
        <v>6371</v>
      </c>
      <c r="BB188" s="9" t="s">
        <v>3974</v>
      </c>
      <c r="BF188" s="9" t="s">
        <v>635</v>
      </c>
      <c r="BG188" s="9" t="s">
        <v>323</v>
      </c>
      <c r="BH188" s="9" t="s">
        <v>323</v>
      </c>
      <c r="BI188" s="9" t="s">
        <v>323</v>
      </c>
      <c r="BJ188" s="9" t="s">
        <v>323</v>
      </c>
      <c r="BK188" s="9" t="s">
        <v>323</v>
      </c>
      <c r="BN188" s="9" t="s">
        <v>430</v>
      </c>
      <c r="BO188" s="9" t="s">
        <v>6866</v>
      </c>
      <c r="BP188" s="9" t="s">
        <v>6513</v>
      </c>
      <c r="BZ188" s="9" t="s">
        <v>6904</v>
      </c>
      <c r="CA188" s="9" t="s">
        <v>432</v>
      </c>
      <c r="CB188" s="9" t="s">
        <v>6508</v>
      </c>
      <c r="CL188" s="9" t="s">
        <v>922</v>
      </c>
      <c r="CM188" s="9" t="s">
        <v>6905</v>
      </c>
      <c r="CP188" s="9" t="s">
        <v>6906</v>
      </c>
      <c r="CQ188" s="9" t="s">
        <v>6907</v>
      </c>
      <c r="CT188" s="9" t="s">
        <v>1278</v>
      </c>
      <c r="CW188" s="9">
        <v>3</v>
      </c>
      <c r="CX188" s="9" t="s">
        <v>483</v>
      </c>
      <c r="CY188" s="9" t="s">
        <v>483</v>
      </c>
      <c r="CZ188" s="9">
        <v>80</v>
      </c>
      <c r="DA188" s="9">
        <v>10</v>
      </c>
      <c r="DB188" s="9">
        <v>10</v>
      </c>
      <c r="DC188" s="10">
        <v>104.1</v>
      </c>
      <c r="DD188" s="9" t="s">
        <v>6908</v>
      </c>
      <c r="DE188" s="9">
        <v>192</v>
      </c>
      <c r="DF188" s="10">
        <v>248</v>
      </c>
      <c r="DG188" s="9">
        <f t="shared" si="2"/>
        <v>5.0793903608929529</v>
      </c>
      <c r="DH188" s="9">
        <v>49.6</v>
      </c>
      <c r="DI188" s="10">
        <v>7.3</v>
      </c>
      <c r="DJ188" s="10">
        <v>40.700000000000003</v>
      </c>
      <c r="DK188" s="10">
        <v>58.3</v>
      </c>
      <c r="DP188" s="11">
        <v>2</v>
      </c>
      <c r="DR188" s="9">
        <v>2</v>
      </c>
      <c r="DU188" s="9">
        <v>10</v>
      </c>
    </row>
    <row r="189" spans="1:125" x14ac:dyDescent="0.2">
      <c r="A189" s="36">
        <v>731</v>
      </c>
      <c r="B189" s="17">
        <v>43285</v>
      </c>
      <c r="C189" s="9" t="s">
        <v>95</v>
      </c>
      <c r="D189" s="9">
        <v>48</v>
      </c>
      <c r="E189" s="9" t="s">
        <v>96</v>
      </c>
      <c r="F189" s="17">
        <v>25633</v>
      </c>
      <c r="G189" s="9" t="s">
        <v>234</v>
      </c>
      <c r="H189" s="9" t="s">
        <v>6940</v>
      </c>
      <c r="I189" s="9">
        <v>12</v>
      </c>
      <c r="K189" s="9">
        <v>2005</v>
      </c>
      <c r="L189" s="45">
        <v>43106</v>
      </c>
      <c r="M189" s="9" t="s">
        <v>263</v>
      </c>
      <c r="N189" s="9" t="s">
        <v>263</v>
      </c>
      <c r="O189" s="9" t="s">
        <v>263</v>
      </c>
      <c r="P189" s="9" t="s">
        <v>368</v>
      </c>
      <c r="Q189" s="9" t="s">
        <v>263</v>
      </c>
      <c r="R189" s="9" t="s">
        <v>110</v>
      </c>
      <c r="S189" s="9" t="s">
        <v>110</v>
      </c>
      <c r="T189" s="9" t="s">
        <v>99</v>
      </c>
      <c r="U189" s="9" t="s">
        <v>2439</v>
      </c>
      <c r="AA189" s="9" t="s">
        <v>96</v>
      </c>
      <c r="AB189" s="14" t="s">
        <v>6941</v>
      </c>
      <c r="AC189" s="9" t="s">
        <v>96</v>
      </c>
      <c r="AD189" s="9" t="s">
        <v>96</v>
      </c>
      <c r="AE189" s="9" t="s">
        <v>6495</v>
      </c>
      <c r="AF189" s="9" t="s">
        <v>263</v>
      </c>
      <c r="AG189" s="9" t="s">
        <v>263</v>
      </c>
      <c r="AH189" s="9" t="s">
        <v>263</v>
      </c>
      <c r="AI189" s="9" t="s">
        <v>6942</v>
      </c>
      <c r="AJ189" s="9" t="s">
        <v>6942</v>
      </c>
      <c r="AK189" s="9" t="s">
        <v>263</v>
      </c>
      <c r="AL189" s="9">
        <v>79.8</v>
      </c>
      <c r="AM189" s="9">
        <v>1.58</v>
      </c>
      <c r="AN189" s="9">
        <v>116</v>
      </c>
      <c r="AO189" s="9">
        <v>125</v>
      </c>
      <c r="AP189" s="9">
        <v>52.5</v>
      </c>
      <c r="AQ189" s="9">
        <v>11</v>
      </c>
      <c r="AR189" s="9">
        <v>19</v>
      </c>
      <c r="AS189" s="9">
        <v>67</v>
      </c>
      <c r="AT189" s="9">
        <v>32.700000000000003</v>
      </c>
      <c r="AU189" s="9">
        <v>104</v>
      </c>
      <c r="AV189" s="9">
        <v>74</v>
      </c>
      <c r="AX189" s="9" t="s">
        <v>6943</v>
      </c>
      <c r="BB189" s="9" t="s">
        <v>368</v>
      </c>
      <c r="BF189" s="9" t="s">
        <v>6475</v>
      </c>
      <c r="BG189" s="9" t="s">
        <v>6476</v>
      </c>
      <c r="BH189" s="9" t="s">
        <v>6477</v>
      </c>
      <c r="BI189" s="9" t="s">
        <v>263</v>
      </c>
      <c r="BJ189" s="9" t="s">
        <v>263</v>
      </c>
      <c r="BK189" s="9" t="s">
        <v>6477</v>
      </c>
      <c r="BN189" s="9" t="s">
        <v>6944</v>
      </c>
      <c r="BZ189" s="9" t="s">
        <v>6945</v>
      </c>
      <c r="CL189" s="9" t="s">
        <v>6946</v>
      </c>
      <c r="CP189" s="9" t="s">
        <v>6947</v>
      </c>
      <c r="CT189" s="9" t="s">
        <v>6948</v>
      </c>
      <c r="CW189" s="9">
        <v>2</v>
      </c>
      <c r="CX189" s="9" t="s">
        <v>263</v>
      </c>
      <c r="CY189" s="9" t="s">
        <v>263</v>
      </c>
      <c r="CZ189" s="9">
        <v>50</v>
      </c>
      <c r="DA189" s="9">
        <v>10</v>
      </c>
      <c r="DB189" s="9">
        <v>40</v>
      </c>
      <c r="DC189" s="9">
        <v>82.3</v>
      </c>
      <c r="DD189" s="9">
        <v>0.48</v>
      </c>
      <c r="DE189" s="10">
        <v>302</v>
      </c>
      <c r="DF189" s="10">
        <v>319</v>
      </c>
      <c r="DG189" s="9">
        <f t="shared" si="2"/>
        <v>5.0877811052339341</v>
      </c>
      <c r="DH189" s="9">
        <v>63.8</v>
      </c>
      <c r="DI189" s="10">
        <v>7.67</v>
      </c>
      <c r="DJ189" s="10">
        <v>49</v>
      </c>
      <c r="DK189" s="9">
        <v>30</v>
      </c>
      <c r="DL189" s="10">
        <v>47.4</v>
      </c>
      <c r="DM189" s="9">
        <v>190.8</v>
      </c>
      <c r="DP189" s="11">
        <v>3</v>
      </c>
      <c r="DU189" s="9">
        <v>3.65</v>
      </c>
    </row>
    <row r="190" spans="1:125" x14ac:dyDescent="0.2">
      <c r="A190" s="9">
        <v>737</v>
      </c>
      <c r="B190" s="17">
        <v>43286</v>
      </c>
      <c r="C190" s="9" t="s">
        <v>95</v>
      </c>
      <c r="D190" s="9">
        <v>46</v>
      </c>
      <c r="E190" s="9" t="s">
        <v>96</v>
      </c>
      <c r="G190" s="9" t="s">
        <v>6982</v>
      </c>
      <c r="H190" s="9" t="s">
        <v>263</v>
      </c>
      <c r="J190" s="9" t="s">
        <v>500</v>
      </c>
      <c r="L190" s="9">
        <v>1</v>
      </c>
      <c r="M190" s="10" t="s">
        <v>6983</v>
      </c>
      <c r="N190" s="10" t="s">
        <v>368</v>
      </c>
      <c r="P190" s="9" t="s">
        <v>263</v>
      </c>
      <c r="Q190" s="9" t="s">
        <v>263</v>
      </c>
      <c r="S190" s="9" t="s">
        <v>368</v>
      </c>
      <c r="T190" s="9" t="s">
        <v>368</v>
      </c>
      <c r="U190" s="9" t="s">
        <v>6984</v>
      </c>
      <c r="W190" s="9" t="s">
        <v>500</v>
      </c>
      <c r="X190" s="9" t="s">
        <v>263</v>
      </c>
      <c r="Y190" s="10" t="s">
        <v>6985</v>
      </c>
      <c r="AA190" s="9" t="s">
        <v>96</v>
      </c>
      <c r="AB190" s="9" t="s">
        <v>96</v>
      </c>
      <c r="AC190" s="9" t="s">
        <v>96</v>
      </c>
      <c r="AD190" s="9" t="s">
        <v>96</v>
      </c>
      <c r="AE190" s="9" t="s">
        <v>6986</v>
      </c>
      <c r="AF190" s="9" t="s">
        <v>6986</v>
      </c>
      <c r="AG190" s="9" t="s">
        <v>263</v>
      </c>
      <c r="AH190" s="9" t="s">
        <v>6987</v>
      </c>
      <c r="AI190" s="9" t="s">
        <v>263</v>
      </c>
      <c r="AJ190" s="9" t="s">
        <v>263</v>
      </c>
      <c r="AK190" s="9" t="s">
        <v>263</v>
      </c>
      <c r="AL190" s="9">
        <v>91</v>
      </c>
      <c r="AM190" s="9">
        <v>1.67</v>
      </c>
      <c r="AN190" s="9">
        <v>117</v>
      </c>
      <c r="AO190" s="9">
        <v>128</v>
      </c>
      <c r="AP190" s="9">
        <v>52.3</v>
      </c>
      <c r="AQ190" s="9">
        <v>11</v>
      </c>
      <c r="AR190" s="9">
        <v>20.3</v>
      </c>
      <c r="AS190" s="9">
        <v>68</v>
      </c>
      <c r="AT190" s="9">
        <v>34.700000000000003</v>
      </c>
      <c r="AU190" s="9">
        <v>112</v>
      </c>
      <c r="AV190" s="9">
        <v>78</v>
      </c>
      <c r="AY190" s="9" t="s">
        <v>6988</v>
      </c>
      <c r="BC190" s="9" t="s">
        <v>6989</v>
      </c>
      <c r="BF190" s="9" t="s">
        <v>494</v>
      </c>
      <c r="BG190" s="9" t="s">
        <v>322</v>
      </c>
      <c r="BH190" s="9" t="s">
        <v>6990</v>
      </c>
      <c r="BI190" s="9" t="s">
        <v>375</v>
      </c>
      <c r="BJ190" s="9" t="s">
        <v>322</v>
      </c>
      <c r="BK190" s="9" t="s">
        <v>494</v>
      </c>
      <c r="BM190" s="9" t="s">
        <v>6475</v>
      </c>
      <c r="CA190" s="9" t="s">
        <v>6991</v>
      </c>
      <c r="CL190" s="9" t="s">
        <v>6992</v>
      </c>
      <c r="CP190" s="9" t="s">
        <v>6993</v>
      </c>
      <c r="CT190" s="9" t="s">
        <v>6994</v>
      </c>
      <c r="CW190" s="9">
        <v>3</v>
      </c>
      <c r="CX190" s="9" t="s">
        <v>368</v>
      </c>
      <c r="CY190" s="9" t="s">
        <v>368</v>
      </c>
      <c r="CZ190" s="9">
        <v>10</v>
      </c>
      <c r="DA190" s="9">
        <v>50</v>
      </c>
      <c r="DB190" s="9">
        <v>40</v>
      </c>
      <c r="DC190" s="10">
        <v>128.69999999999999</v>
      </c>
      <c r="DD190" s="9">
        <v>0.49</v>
      </c>
      <c r="DE190" s="10">
        <v>206</v>
      </c>
      <c r="DF190" s="9">
        <v>114</v>
      </c>
      <c r="DG190" s="9">
        <f t="shared" si="2"/>
        <v>4.7968412814982884</v>
      </c>
      <c r="DH190" s="9">
        <v>22.8</v>
      </c>
      <c r="DI190" s="10">
        <v>6.5</v>
      </c>
      <c r="DJ190" s="10">
        <v>52.7</v>
      </c>
      <c r="DK190" s="10">
        <v>39.299999999999997</v>
      </c>
      <c r="DL190" s="9">
        <v>66</v>
      </c>
      <c r="DM190" s="9">
        <v>117.2</v>
      </c>
      <c r="DP190" s="11">
        <v>2</v>
      </c>
      <c r="DR190" s="9">
        <v>2</v>
      </c>
      <c r="DU190" s="9">
        <v>4.0999999999999996</v>
      </c>
    </row>
    <row r="191" spans="1:125" x14ac:dyDescent="0.2">
      <c r="A191" s="9">
        <v>739</v>
      </c>
      <c r="B191" s="17">
        <v>43285</v>
      </c>
      <c r="C191" s="9" t="s">
        <v>95</v>
      </c>
      <c r="D191" s="9">
        <v>64</v>
      </c>
      <c r="E191" s="52" t="s">
        <v>1697</v>
      </c>
      <c r="G191" s="9" t="s">
        <v>6968</v>
      </c>
      <c r="H191" s="9" t="s">
        <v>6998</v>
      </c>
      <c r="J191" s="9" t="s">
        <v>500</v>
      </c>
      <c r="L191" s="9" t="s">
        <v>500</v>
      </c>
      <c r="M191" s="9" t="s">
        <v>263</v>
      </c>
      <c r="N191" s="9" t="s">
        <v>99</v>
      </c>
      <c r="O191" s="9" t="s">
        <v>263</v>
      </c>
      <c r="P191" s="10" t="s">
        <v>368</v>
      </c>
      <c r="Q191" s="10" t="s">
        <v>368</v>
      </c>
      <c r="S191" s="9" t="s">
        <v>368</v>
      </c>
      <c r="T191" s="9" t="s">
        <v>263</v>
      </c>
      <c r="U191" s="9" t="s">
        <v>500</v>
      </c>
      <c r="W191" s="9" t="s">
        <v>500</v>
      </c>
      <c r="X191" s="9" t="s">
        <v>263</v>
      </c>
      <c r="Y191" s="10" t="s">
        <v>3598</v>
      </c>
      <c r="AA191" s="52" t="s">
        <v>1697</v>
      </c>
      <c r="AB191" s="52" t="s">
        <v>1697</v>
      </c>
      <c r="AC191" s="52" t="s">
        <v>1697</v>
      </c>
      <c r="AD191" s="52" t="s">
        <v>1697</v>
      </c>
      <c r="AE191" s="9" t="s">
        <v>6999</v>
      </c>
      <c r="AF191" s="9" t="s">
        <v>7000</v>
      </c>
      <c r="AG191" s="9" t="s">
        <v>263</v>
      </c>
      <c r="AH191" s="9" t="s">
        <v>7001</v>
      </c>
      <c r="AI191" s="9" t="s">
        <v>263</v>
      </c>
      <c r="AJ191" s="9" t="s">
        <v>263</v>
      </c>
      <c r="AK191" s="9" t="s">
        <v>263</v>
      </c>
      <c r="AL191" s="9">
        <v>75.7</v>
      </c>
      <c r="AM191" s="9">
        <v>1.69</v>
      </c>
      <c r="AN191" s="9">
        <v>90</v>
      </c>
      <c r="AO191" s="9">
        <v>103</v>
      </c>
      <c r="AP191" s="9">
        <v>35</v>
      </c>
      <c r="AQ191" s="9">
        <v>12</v>
      </c>
      <c r="AR191" s="9">
        <v>33.299999999999997</v>
      </c>
      <c r="AS191" s="9">
        <v>55</v>
      </c>
      <c r="AT191" s="9">
        <v>26.5</v>
      </c>
      <c r="AU191" s="10">
        <v>200</v>
      </c>
      <c r="AV191" s="10">
        <v>111</v>
      </c>
      <c r="AY191" s="9" t="s">
        <v>500</v>
      </c>
      <c r="BC191" s="9" t="s">
        <v>500</v>
      </c>
      <c r="BF191" s="9" t="s">
        <v>500</v>
      </c>
      <c r="BG191" s="9" t="s">
        <v>500</v>
      </c>
      <c r="BH191" s="9" t="s">
        <v>500</v>
      </c>
      <c r="BI191" s="9" t="s">
        <v>500</v>
      </c>
      <c r="BJ191" s="9" t="s">
        <v>500</v>
      </c>
      <c r="BK191" s="9" t="s">
        <v>500</v>
      </c>
      <c r="BL191" s="9" t="s">
        <v>500</v>
      </c>
      <c r="BM191" s="9" t="s">
        <v>500</v>
      </c>
      <c r="BN191" s="9" t="s">
        <v>500</v>
      </c>
      <c r="BZ191" s="9" t="s">
        <v>500</v>
      </c>
      <c r="CK191" s="9" t="s">
        <v>500</v>
      </c>
      <c r="CP191" s="9" t="s">
        <v>500</v>
      </c>
      <c r="CT191" s="9" t="s">
        <v>500</v>
      </c>
      <c r="CW191" s="9" t="s">
        <v>500</v>
      </c>
      <c r="CX191" s="9" t="s">
        <v>500</v>
      </c>
      <c r="CY191" s="9" t="s">
        <v>500</v>
      </c>
      <c r="CZ191" s="9" t="s">
        <v>500</v>
      </c>
      <c r="DA191" s="9" t="s">
        <v>500</v>
      </c>
      <c r="DB191" s="9" t="s">
        <v>500</v>
      </c>
      <c r="DC191" s="9">
        <v>88</v>
      </c>
      <c r="DD191" s="9">
        <v>0.53</v>
      </c>
      <c r="DE191" s="9">
        <v>190</v>
      </c>
      <c r="DF191" s="9">
        <v>82</v>
      </c>
      <c r="DG191" s="9">
        <f t="shared" si="2"/>
        <v>4.4420280308712297</v>
      </c>
      <c r="DH191" s="9">
        <v>16.399999999999999</v>
      </c>
      <c r="DI191" s="9">
        <v>4.91</v>
      </c>
      <c r="DJ191" s="9">
        <v>17.7</v>
      </c>
      <c r="DK191" s="9">
        <v>17</v>
      </c>
      <c r="DL191" s="9">
        <v>38.299999999999997</v>
      </c>
      <c r="DM191" s="9">
        <v>135.30000000000001</v>
      </c>
      <c r="DP191" s="11">
        <v>3</v>
      </c>
      <c r="DR191" s="9">
        <v>3</v>
      </c>
    </row>
    <row r="192" spans="1:125" x14ac:dyDescent="0.2">
      <c r="A192" s="14">
        <v>741</v>
      </c>
      <c r="B192" s="17">
        <v>43300</v>
      </c>
      <c r="C192" s="9" t="s">
        <v>95</v>
      </c>
      <c r="D192" s="9">
        <v>71</v>
      </c>
      <c r="E192" s="9" t="s">
        <v>5024</v>
      </c>
      <c r="F192" s="17">
        <v>17112</v>
      </c>
      <c r="I192" s="9">
        <v>12</v>
      </c>
      <c r="J192" s="9">
        <v>48</v>
      </c>
      <c r="L192" s="9">
        <v>5</v>
      </c>
      <c r="M192" s="10" t="s">
        <v>368</v>
      </c>
      <c r="N192" s="10" t="s">
        <v>368</v>
      </c>
      <c r="O192" s="9" t="s">
        <v>263</v>
      </c>
      <c r="P192" s="10" t="s">
        <v>635</v>
      </c>
      <c r="Q192" s="9" t="s">
        <v>483</v>
      </c>
      <c r="R192" s="9" t="s">
        <v>483</v>
      </c>
      <c r="S192" s="9" t="s">
        <v>483</v>
      </c>
      <c r="T192" s="9" t="s">
        <v>7002</v>
      </c>
      <c r="U192" s="9" t="s">
        <v>7003</v>
      </c>
      <c r="V192" s="9" t="s">
        <v>263</v>
      </c>
      <c r="W192" s="9" t="s">
        <v>483</v>
      </c>
      <c r="X192" s="9" t="s">
        <v>483</v>
      </c>
      <c r="Y192" s="9" t="s">
        <v>483</v>
      </c>
      <c r="Z192" s="9" t="s">
        <v>483</v>
      </c>
      <c r="AA192" s="9" t="s">
        <v>96</v>
      </c>
      <c r="AB192" s="9" t="s">
        <v>7004</v>
      </c>
      <c r="AC192" s="9" t="s">
        <v>96</v>
      </c>
      <c r="AD192" s="9" t="s">
        <v>96</v>
      </c>
      <c r="AE192" s="9" t="s">
        <v>35</v>
      </c>
      <c r="AF192" s="9" t="s">
        <v>36</v>
      </c>
      <c r="AG192" s="9" t="s">
        <v>263</v>
      </c>
      <c r="AH192" s="9" t="s">
        <v>36</v>
      </c>
      <c r="AI192" s="9" t="s">
        <v>483</v>
      </c>
      <c r="AJ192" s="9" t="s">
        <v>483</v>
      </c>
      <c r="AK192" s="9" t="s">
        <v>483</v>
      </c>
      <c r="AL192" s="9">
        <v>67</v>
      </c>
      <c r="AM192" s="9">
        <v>1.6</v>
      </c>
      <c r="AN192" s="9">
        <v>103</v>
      </c>
      <c r="AO192" s="9">
        <v>110</v>
      </c>
      <c r="AP192" s="9">
        <v>42.4</v>
      </c>
      <c r="AQ192" s="9">
        <v>9</v>
      </c>
      <c r="AR192" s="9">
        <v>23.1</v>
      </c>
      <c r="AS192" s="9">
        <v>60</v>
      </c>
      <c r="AT192" s="9">
        <v>26.2</v>
      </c>
      <c r="AU192" s="10">
        <v>143</v>
      </c>
      <c r="AV192" s="10">
        <v>84</v>
      </c>
      <c r="DC192" s="10">
        <v>141.6</v>
      </c>
      <c r="DD192" s="9">
        <v>0.51</v>
      </c>
      <c r="DE192" s="9">
        <v>176</v>
      </c>
      <c r="DF192" s="10">
        <v>152</v>
      </c>
      <c r="DG192" s="9">
        <f t="shared" si="2"/>
        <v>4.9884433510529478</v>
      </c>
      <c r="DH192" s="9">
        <v>30.4</v>
      </c>
      <c r="DI192" s="9">
        <v>3.38</v>
      </c>
      <c r="DL192" s="9">
        <v>57.9</v>
      </c>
      <c r="DM192" s="9">
        <v>87.7</v>
      </c>
      <c r="DP192" s="11">
        <v>2</v>
      </c>
      <c r="DR192" s="9">
        <v>3</v>
      </c>
      <c r="DT192" s="9">
        <v>14.2</v>
      </c>
      <c r="DU192" s="9">
        <v>2.38</v>
      </c>
    </row>
    <row r="193" spans="1:156" x14ac:dyDescent="0.2">
      <c r="A193" s="36">
        <v>750</v>
      </c>
      <c r="B193" s="17">
        <v>43286</v>
      </c>
      <c r="C193" s="9" t="s">
        <v>107</v>
      </c>
      <c r="D193" s="9">
        <v>58</v>
      </c>
      <c r="E193" s="9" t="s">
        <v>96</v>
      </c>
      <c r="F193" s="17">
        <v>23906</v>
      </c>
      <c r="G193" s="9" t="s">
        <v>3703</v>
      </c>
      <c r="H193" s="9" t="s">
        <v>7042</v>
      </c>
      <c r="M193" s="9" t="s">
        <v>7043</v>
      </c>
      <c r="N193" s="9" t="s">
        <v>7044</v>
      </c>
      <c r="O193" s="9" t="s">
        <v>7045</v>
      </c>
      <c r="P193" s="9" t="s">
        <v>588</v>
      </c>
      <c r="Q193" s="9" t="s">
        <v>588</v>
      </c>
      <c r="R193" s="9" t="s">
        <v>588</v>
      </c>
      <c r="S193" s="9" t="s">
        <v>483</v>
      </c>
      <c r="T193" s="9" t="s">
        <v>588</v>
      </c>
      <c r="U193" s="9" t="s">
        <v>7046</v>
      </c>
      <c r="V193" s="9" t="s">
        <v>483</v>
      </c>
      <c r="W193" s="9" t="s">
        <v>483</v>
      </c>
      <c r="X193" s="9" t="s">
        <v>483</v>
      </c>
      <c r="Z193" s="9" t="s">
        <v>7047</v>
      </c>
      <c r="AA193" s="9" t="s">
        <v>96</v>
      </c>
      <c r="AB193" s="9" t="s">
        <v>96</v>
      </c>
      <c r="AC193" s="9" t="s">
        <v>96</v>
      </c>
      <c r="AD193" s="9" t="s">
        <v>96</v>
      </c>
      <c r="AE193" s="9" t="s">
        <v>6996</v>
      </c>
      <c r="AF193" s="9" t="s">
        <v>7001</v>
      </c>
      <c r="AG193" s="9" t="s">
        <v>7048</v>
      </c>
      <c r="AH193" s="9" t="s">
        <v>7001</v>
      </c>
      <c r="AI193" s="9" t="s">
        <v>7049</v>
      </c>
      <c r="AJ193" s="9" t="s">
        <v>263</v>
      </c>
      <c r="AK193" s="9" t="s">
        <v>263</v>
      </c>
      <c r="AL193" s="9">
        <v>85.2</v>
      </c>
      <c r="AM193" s="9">
        <v>1.63</v>
      </c>
      <c r="AN193" s="9">
        <v>102</v>
      </c>
      <c r="AO193" s="9">
        <v>109</v>
      </c>
      <c r="AP193" s="9">
        <v>38.6</v>
      </c>
      <c r="AQ193" s="9">
        <v>17</v>
      </c>
      <c r="AR193" s="9">
        <v>33.6</v>
      </c>
      <c r="AS193" s="9">
        <v>51</v>
      </c>
      <c r="AT193" s="9">
        <v>32.1</v>
      </c>
      <c r="AU193" s="14">
        <v>199</v>
      </c>
      <c r="AV193" s="14">
        <v>116</v>
      </c>
      <c r="AX193" s="9" t="s">
        <v>6473</v>
      </c>
      <c r="BB193" s="9" t="s">
        <v>7050</v>
      </c>
      <c r="BF193" s="9" t="s">
        <v>6475</v>
      </c>
      <c r="BG193" s="9" t="s">
        <v>6476</v>
      </c>
      <c r="BH193" s="9" t="s">
        <v>500</v>
      </c>
      <c r="BI193" s="9" t="s">
        <v>500</v>
      </c>
      <c r="BJ193" s="9" t="s">
        <v>500</v>
      </c>
      <c r="BK193" s="9" t="s">
        <v>500</v>
      </c>
      <c r="BN193" s="9" t="s">
        <v>7051</v>
      </c>
      <c r="BZ193" s="9" t="s">
        <v>7052</v>
      </c>
      <c r="CL193" s="9" t="s">
        <v>7053</v>
      </c>
      <c r="CP193" s="9" t="s">
        <v>368</v>
      </c>
      <c r="CQ193" s="9" t="s">
        <v>7054</v>
      </c>
      <c r="CT193" s="9" t="s">
        <v>500</v>
      </c>
      <c r="CW193" s="9">
        <v>3</v>
      </c>
      <c r="CX193" s="9" t="s">
        <v>263</v>
      </c>
      <c r="CY193" s="9" t="s">
        <v>368</v>
      </c>
      <c r="CZ193" s="9">
        <v>10</v>
      </c>
      <c r="DA193" s="9">
        <v>10</v>
      </c>
      <c r="DB193" s="9">
        <v>80</v>
      </c>
      <c r="DC193" s="9">
        <v>86.5</v>
      </c>
      <c r="DD193" s="9">
        <v>1.3</v>
      </c>
      <c r="DE193" s="9">
        <v>173</v>
      </c>
      <c r="DF193" s="10">
        <v>226</v>
      </c>
      <c r="DG193" s="9">
        <f t="shared" si="2"/>
        <v>4.9403397066050596</v>
      </c>
      <c r="DH193" s="9">
        <v>45.2</v>
      </c>
      <c r="DI193" s="10">
        <v>8.18</v>
      </c>
      <c r="DJ193" s="9">
        <v>18.3</v>
      </c>
      <c r="DK193" s="9">
        <v>19.3</v>
      </c>
      <c r="DL193" s="10">
        <v>33.1</v>
      </c>
      <c r="DM193" s="9">
        <v>94.7</v>
      </c>
      <c r="DP193" s="11">
        <v>2</v>
      </c>
      <c r="DQ193" s="9">
        <v>2</v>
      </c>
      <c r="DR193" s="9">
        <v>3</v>
      </c>
      <c r="DU193" s="9">
        <v>7</v>
      </c>
    </row>
    <row r="194" spans="1:156" x14ac:dyDescent="0.2">
      <c r="A194" s="14" t="s">
        <v>7113</v>
      </c>
      <c r="B194" s="8">
        <v>43416</v>
      </c>
      <c r="C194" s="9" t="s">
        <v>675</v>
      </c>
      <c r="D194" s="9">
        <v>42</v>
      </c>
      <c r="E194" s="9" t="s">
        <v>96</v>
      </c>
      <c r="F194" s="17">
        <v>27870</v>
      </c>
      <c r="M194" s="9" t="s">
        <v>3537</v>
      </c>
      <c r="N194" s="9" t="s">
        <v>3537</v>
      </c>
      <c r="P194" s="9" t="s">
        <v>99</v>
      </c>
      <c r="Q194" s="9" t="s">
        <v>110</v>
      </c>
      <c r="Y194" s="9" t="s">
        <v>7114</v>
      </c>
      <c r="Z194" s="9" t="s">
        <v>3338</v>
      </c>
      <c r="AA194" s="9" t="s">
        <v>100</v>
      </c>
      <c r="AB194" s="9" t="s">
        <v>100</v>
      </c>
      <c r="AC194" s="9" t="s">
        <v>100</v>
      </c>
      <c r="AD194" s="9" t="s">
        <v>100</v>
      </c>
      <c r="AE194" s="9" t="s">
        <v>125</v>
      </c>
      <c r="AF194" s="9" t="s">
        <v>7115</v>
      </c>
      <c r="AG194" s="9" t="s">
        <v>118</v>
      </c>
      <c r="AH194" s="9" t="s">
        <v>7116</v>
      </c>
      <c r="AI194" s="9" t="s">
        <v>99</v>
      </c>
      <c r="AJ194" s="9" t="s">
        <v>99</v>
      </c>
      <c r="AK194" s="9" t="s">
        <v>99</v>
      </c>
      <c r="AL194" s="9">
        <v>90</v>
      </c>
      <c r="AM194" s="9">
        <v>175</v>
      </c>
      <c r="AN194" s="10">
        <v>107</v>
      </c>
      <c r="AO194" s="9">
        <v>120</v>
      </c>
      <c r="AT194" s="9">
        <v>29.4</v>
      </c>
      <c r="AU194" s="10">
        <v>130</v>
      </c>
      <c r="AV194" s="10">
        <v>87</v>
      </c>
      <c r="DC194" s="10">
        <v>179</v>
      </c>
      <c r="DD194" s="9">
        <v>0.93</v>
      </c>
      <c r="DE194" s="9">
        <v>166</v>
      </c>
      <c r="DF194" s="9">
        <v>84</v>
      </c>
      <c r="DG194" s="9">
        <f t="shared" si="2"/>
        <v>4.8091013023420341</v>
      </c>
      <c r="DH194" s="9">
        <v>16.8</v>
      </c>
      <c r="DI194" s="10">
        <v>9.09</v>
      </c>
      <c r="DL194" s="9">
        <v>63.3</v>
      </c>
      <c r="DM194" s="9">
        <v>85.9</v>
      </c>
      <c r="DP194" s="11">
        <v>2</v>
      </c>
      <c r="DQ194" s="9">
        <v>2</v>
      </c>
      <c r="DR194" s="9">
        <v>3</v>
      </c>
      <c r="DT194" s="9">
        <v>13.4</v>
      </c>
      <c r="DU194" s="9">
        <v>7</v>
      </c>
    </row>
    <row r="195" spans="1:156" x14ac:dyDescent="0.2">
      <c r="A195" s="14" t="s">
        <v>7119</v>
      </c>
      <c r="B195" s="8">
        <v>43417</v>
      </c>
      <c r="C195" s="9" t="s">
        <v>3955</v>
      </c>
      <c r="N195" s="9" t="s">
        <v>99</v>
      </c>
      <c r="O195" s="9" t="s">
        <v>835</v>
      </c>
      <c r="AL195" s="9">
        <v>89</v>
      </c>
      <c r="AM195" s="9">
        <v>169</v>
      </c>
      <c r="AT195" s="9">
        <v>31</v>
      </c>
      <c r="AU195" s="9">
        <v>122</v>
      </c>
      <c r="AV195" s="9">
        <v>88</v>
      </c>
      <c r="DC195" s="10">
        <v>104.4</v>
      </c>
      <c r="DD195" s="9">
        <v>0.9</v>
      </c>
      <c r="DE195" s="9">
        <v>198</v>
      </c>
      <c r="DF195" s="10">
        <v>243</v>
      </c>
      <c r="DG195" s="9">
        <f t="shared" ref="DG195:DG227" si="3">LN(DF195*DC195)/2</f>
        <v>5.070645559394543</v>
      </c>
      <c r="DH195" s="9">
        <v>48.6</v>
      </c>
      <c r="DI195" s="9">
        <v>7.09</v>
      </c>
      <c r="DL195" s="9">
        <v>56</v>
      </c>
      <c r="DM195" s="9">
        <v>93.4</v>
      </c>
      <c r="DP195" s="11">
        <v>3</v>
      </c>
      <c r="DQ195" s="9">
        <v>2</v>
      </c>
      <c r="DR195" s="9">
        <v>2</v>
      </c>
      <c r="DT195" s="9">
        <v>15</v>
      </c>
      <c r="DU195" s="9">
        <v>4.42</v>
      </c>
    </row>
    <row r="196" spans="1:156" x14ac:dyDescent="0.2">
      <c r="A196" s="14" t="s">
        <v>7120</v>
      </c>
      <c r="B196" s="8">
        <v>43417</v>
      </c>
      <c r="C196" s="9" t="s">
        <v>196</v>
      </c>
      <c r="D196" s="9">
        <v>43</v>
      </c>
      <c r="E196" s="9" t="s">
        <v>96</v>
      </c>
      <c r="F196" s="17">
        <v>27551</v>
      </c>
      <c r="G196" s="9" t="s">
        <v>3079</v>
      </c>
      <c r="H196" s="9" t="s">
        <v>2241</v>
      </c>
      <c r="I196" s="9">
        <v>11</v>
      </c>
      <c r="J196" s="9" t="s">
        <v>7121</v>
      </c>
      <c r="L196" s="9" t="s">
        <v>99</v>
      </c>
      <c r="M196" s="9" t="s">
        <v>7122</v>
      </c>
      <c r="N196" s="9" t="s">
        <v>99</v>
      </c>
      <c r="O196" s="9" t="s">
        <v>110</v>
      </c>
      <c r="P196" s="9" t="s">
        <v>99</v>
      </c>
      <c r="Q196" s="9" t="s">
        <v>110</v>
      </c>
      <c r="S196" s="9" t="s">
        <v>110</v>
      </c>
      <c r="T196" s="9" t="s">
        <v>110</v>
      </c>
      <c r="U196" s="9" t="s">
        <v>2418</v>
      </c>
      <c r="W196" s="9" t="s">
        <v>1046</v>
      </c>
      <c r="Y196" s="9" t="s">
        <v>7123</v>
      </c>
      <c r="Z196" s="9" t="s">
        <v>2949</v>
      </c>
      <c r="AA196" s="9" t="s">
        <v>100</v>
      </c>
      <c r="AB196" s="9" t="s">
        <v>100</v>
      </c>
      <c r="AC196" s="9" t="s">
        <v>7124</v>
      </c>
      <c r="AD196" s="9" t="s">
        <v>100</v>
      </c>
      <c r="AE196" s="9" t="s">
        <v>123</v>
      </c>
      <c r="AF196" s="9" t="s">
        <v>123</v>
      </c>
      <c r="AG196" s="9" t="s">
        <v>7125</v>
      </c>
      <c r="AH196" s="9" t="s">
        <v>99</v>
      </c>
      <c r="AI196" s="9" t="s">
        <v>99</v>
      </c>
      <c r="AJ196" s="9" t="s">
        <v>99</v>
      </c>
      <c r="AK196" s="9" t="s">
        <v>7126</v>
      </c>
      <c r="AL196" s="9">
        <v>87.2</v>
      </c>
      <c r="AM196" s="9">
        <v>162</v>
      </c>
      <c r="AN196" s="9">
        <v>106</v>
      </c>
      <c r="AO196" s="9">
        <v>112</v>
      </c>
      <c r="AT196" s="9">
        <v>33</v>
      </c>
      <c r="AU196" s="9">
        <v>90</v>
      </c>
      <c r="AV196" s="9">
        <v>77</v>
      </c>
      <c r="AX196" s="9" t="s">
        <v>7127</v>
      </c>
      <c r="AY196" s="9" t="s">
        <v>2896</v>
      </c>
      <c r="AZ196" s="9" t="s">
        <v>3151</v>
      </c>
      <c r="BB196" s="9" t="s">
        <v>346</v>
      </c>
      <c r="BC196" s="9" t="s">
        <v>3778</v>
      </c>
      <c r="BF196" s="9" t="s">
        <v>1099</v>
      </c>
      <c r="BG196" s="9" t="s">
        <v>7128</v>
      </c>
      <c r="BH196" s="9" t="s">
        <v>7129</v>
      </c>
      <c r="BI196" s="9" t="s">
        <v>1099</v>
      </c>
      <c r="BJ196" s="9" t="s">
        <v>7130</v>
      </c>
      <c r="BK196" s="9" t="s">
        <v>1172</v>
      </c>
      <c r="BN196" s="9" t="s">
        <v>2637</v>
      </c>
      <c r="BO196" s="9" t="s">
        <v>7131</v>
      </c>
      <c r="BZ196" s="9" t="s">
        <v>2911</v>
      </c>
      <c r="CA196" s="14" t="s">
        <v>7132</v>
      </c>
      <c r="CD196" s="9" t="s">
        <v>578</v>
      </c>
      <c r="CH196" s="9" t="s">
        <v>7133</v>
      </c>
      <c r="CL196" s="9" t="s">
        <v>3158</v>
      </c>
      <c r="CM196" s="9" t="s">
        <v>2558</v>
      </c>
      <c r="CP196" s="9" t="s">
        <v>715</v>
      </c>
      <c r="CQ196" s="9" t="s">
        <v>716</v>
      </c>
      <c r="CT196" s="9" t="s">
        <v>363</v>
      </c>
      <c r="CU196" s="9" t="s">
        <v>7134</v>
      </c>
      <c r="CW196" s="9">
        <v>3</v>
      </c>
      <c r="CX196" s="9" t="s">
        <v>110</v>
      </c>
      <c r="CY196" s="9" t="s">
        <v>99</v>
      </c>
      <c r="CZ196" s="9">
        <v>20</v>
      </c>
      <c r="DA196" s="9">
        <v>10</v>
      </c>
      <c r="DB196" s="9">
        <v>30</v>
      </c>
      <c r="DC196" s="10">
        <v>181.7</v>
      </c>
      <c r="DD196" s="9">
        <v>0.69</v>
      </c>
      <c r="DE196" s="10">
        <v>201</v>
      </c>
      <c r="DF196" s="10">
        <v>170</v>
      </c>
      <c r="DG196" s="9">
        <f t="shared" si="3"/>
        <v>5.1690777062261937</v>
      </c>
      <c r="DH196" s="9">
        <v>13.2</v>
      </c>
      <c r="DI196" s="9">
        <v>4.99</v>
      </c>
      <c r="DL196" s="9">
        <v>75.599999999999994</v>
      </c>
      <c r="DM196" s="9">
        <v>112.2</v>
      </c>
      <c r="DP196" s="11">
        <v>2</v>
      </c>
      <c r="DQ196" s="9">
        <v>3</v>
      </c>
      <c r="DR196" s="9">
        <v>2</v>
      </c>
      <c r="DU196" s="9">
        <v>4</v>
      </c>
    </row>
    <row r="197" spans="1:156" x14ac:dyDescent="0.2">
      <c r="A197" s="14" t="s">
        <v>7138</v>
      </c>
      <c r="B197" s="8">
        <v>43420</v>
      </c>
      <c r="C197" s="9" t="s">
        <v>3645</v>
      </c>
      <c r="D197" s="9">
        <v>53</v>
      </c>
      <c r="W197" s="9" t="s">
        <v>7139</v>
      </c>
      <c r="AE197" s="9" t="s">
        <v>99</v>
      </c>
      <c r="AF197" s="9" t="s">
        <v>99</v>
      </c>
      <c r="AL197" s="9">
        <v>65.099999999999994</v>
      </c>
      <c r="AM197" s="9">
        <v>159</v>
      </c>
      <c r="AN197" s="9">
        <v>84</v>
      </c>
      <c r="AO197" s="9">
        <v>100</v>
      </c>
      <c r="AT197" s="9">
        <v>25.7</v>
      </c>
      <c r="AU197" s="9">
        <v>110</v>
      </c>
      <c r="AV197" s="9">
        <v>75</v>
      </c>
      <c r="DC197" s="10">
        <v>100</v>
      </c>
      <c r="DD197" s="9">
        <v>0.86</v>
      </c>
      <c r="DE197" s="9">
        <v>181</v>
      </c>
      <c r="DF197" s="10">
        <v>206</v>
      </c>
      <c r="DG197" s="9">
        <f t="shared" si="3"/>
        <v>4.9665231773888365</v>
      </c>
      <c r="DH197" s="9">
        <v>41.2</v>
      </c>
      <c r="DI197" s="9">
        <v>5.18</v>
      </c>
      <c r="DL197" s="9">
        <v>72.099999999999994</v>
      </c>
      <c r="DM197" s="9">
        <v>67.7</v>
      </c>
      <c r="DP197" s="11">
        <v>2</v>
      </c>
      <c r="DQ197" s="9">
        <v>2</v>
      </c>
      <c r="DR197" s="9">
        <v>3</v>
      </c>
      <c r="DT197" s="9">
        <v>16.2</v>
      </c>
      <c r="DU197" s="9">
        <v>4.8499999999999996</v>
      </c>
    </row>
    <row r="198" spans="1:156" x14ac:dyDescent="0.2">
      <c r="A198" s="14" t="s">
        <v>7140</v>
      </c>
      <c r="B198" s="8">
        <v>43421</v>
      </c>
      <c r="C198" s="9" t="s">
        <v>107</v>
      </c>
      <c r="D198" s="9">
        <v>65</v>
      </c>
      <c r="AL198" s="9">
        <v>91.7</v>
      </c>
      <c r="AM198" s="9">
        <v>170</v>
      </c>
      <c r="AN198" s="9">
        <v>115</v>
      </c>
      <c r="AT198" s="9">
        <v>31.7</v>
      </c>
      <c r="AU198" s="9">
        <v>123</v>
      </c>
      <c r="AV198" s="9">
        <v>85</v>
      </c>
      <c r="DC198" s="10">
        <v>134.9</v>
      </c>
      <c r="DD198" s="9">
        <v>0.9</v>
      </c>
      <c r="DE198" s="9">
        <v>214</v>
      </c>
      <c r="DF198" s="14">
        <v>696</v>
      </c>
      <c r="DG198" s="9">
        <f t="shared" si="3"/>
        <v>5.7249417117740649</v>
      </c>
      <c r="DI198" s="10">
        <v>10.16</v>
      </c>
      <c r="DL198" s="10">
        <v>40.200000000000003</v>
      </c>
      <c r="DN198" s="14" t="s">
        <v>7141</v>
      </c>
      <c r="DP198" s="11">
        <v>2</v>
      </c>
      <c r="DQ198" s="9">
        <v>2</v>
      </c>
      <c r="DR198" s="9">
        <v>2</v>
      </c>
      <c r="DT198" s="9">
        <v>9.6</v>
      </c>
      <c r="DU198" s="9">
        <v>4.45</v>
      </c>
    </row>
    <row r="199" spans="1:156" x14ac:dyDescent="0.2">
      <c r="A199" s="37" t="s">
        <v>7142</v>
      </c>
      <c r="B199" s="8">
        <v>43422</v>
      </c>
      <c r="C199" s="9" t="s">
        <v>95</v>
      </c>
      <c r="D199" s="9">
        <v>67</v>
      </c>
      <c r="N199" s="9" t="s">
        <v>7143</v>
      </c>
      <c r="W199" s="9" t="s">
        <v>7144</v>
      </c>
      <c r="Y199" s="9" t="s">
        <v>7145</v>
      </c>
      <c r="AL199" s="9">
        <v>77.599999999999994</v>
      </c>
      <c r="AM199" s="9">
        <v>155</v>
      </c>
      <c r="AN199" s="9">
        <v>88</v>
      </c>
      <c r="AU199" s="9">
        <v>125</v>
      </c>
      <c r="AV199" s="9">
        <v>93</v>
      </c>
      <c r="DC199" s="9">
        <v>97.5</v>
      </c>
      <c r="DD199" s="9">
        <v>1.06</v>
      </c>
      <c r="DE199" s="9">
        <v>197</v>
      </c>
      <c r="DF199" s="9">
        <v>142</v>
      </c>
      <c r="DG199" s="9">
        <f t="shared" si="3"/>
        <v>4.7678397178025307</v>
      </c>
      <c r="DH199" s="9">
        <v>28.4</v>
      </c>
      <c r="DI199" s="9">
        <v>5.71</v>
      </c>
      <c r="DL199" s="9">
        <v>57.6</v>
      </c>
      <c r="DM199" s="9">
        <v>111</v>
      </c>
      <c r="DP199" s="11">
        <v>2</v>
      </c>
      <c r="DQ199" s="9">
        <v>2</v>
      </c>
      <c r="DR199" s="9">
        <v>3</v>
      </c>
      <c r="DU199" s="9">
        <v>3.76</v>
      </c>
    </row>
    <row r="200" spans="1:156" x14ac:dyDescent="0.2">
      <c r="A200" s="14" t="s">
        <v>7149</v>
      </c>
      <c r="B200" s="8">
        <v>43425</v>
      </c>
      <c r="C200" s="9" t="s">
        <v>107</v>
      </c>
      <c r="D200" s="9">
        <v>52</v>
      </c>
      <c r="AL200" s="9">
        <v>79</v>
      </c>
      <c r="AM200" s="9">
        <v>160</v>
      </c>
      <c r="AN200" s="9">
        <v>97</v>
      </c>
      <c r="AU200" s="9">
        <v>117</v>
      </c>
      <c r="AV200" s="9">
        <v>83</v>
      </c>
      <c r="DC200" s="14">
        <v>309.89999999999998</v>
      </c>
      <c r="DD200" s="9">
        <v>0.82</v>
      </c>
      <c r="DE200" s="9">
        <v>166</v>
      </c>
      <c r="DF200" s="14">
        <v>304</v>
      </c>
      <c r="DG200" s="9">
        <f t="shared" si="3"/>
        <v>5.7266386830999618</v>
      </c>
      <c r="DH200" s="9">
        <v>60.8</v>
      </c>
      <c r="DI200" s="9">
        <v>5.12</v>
      </c>
      <c r="DL200" s="9">
        <v>49.8</v>
      </c>
      <c r="DM200" s="9">
        <v>55.4</v>
      </c>
      <c r="DP200" s="11">
        <v>3</v>
      </c>
      <c r="DQ200" s="9">
        <v>3</v>
      </c>
      <c r="DR200" s="9">
        <v>2</v>
      </c>
      <c r="DT200" s="9">
        <v>18</v>
      </c>
      <c r="DU200" s="9">
        <v>2.65</v>
      </c>
    </row>
    <row r="201" spans="1:156" x14ac:dyDescent="0.2">
      <c r="A201" s="14" t="s">
        <v>7153</v>
      </c>
      <c r="B201" s="8">
        <v>43428</v>
      </c>
      <c r="C201" s="9" t="s">
        <v>3955</v>
      </c>
      <c r="D201" s="9">
        <v>65</v>
      </c>
      <c r="AL201" s="9">
        <v>80.5</v>
      </c>
      <c r="AM201" s="9">
        <v>169</v>
      </c>
      <c r="AN201" s="9">
        <v>104</v>
      </c>
      <c r="AT201" s="9">
        <v>28.1</v>
      </c>
      <c r="AU201" s="10">
        <v>151</v>
      </c>
      <c r="AV201" s="10">
        <v>89</v>
      </c>
      <c r="DC201" s="10">
        <v>153.4</v>
      </c>
      <c r="DD201" s="9">
        <v>1.1000000000000001</v>
      </c>
      <c r="DE201" s="9">
        <v>194</v>
      </c>
      <c r="DF201" s="10">
        <v>157</v>
      </c>
      <c r="DG201" s="9">
        <f t="shared" si="3"/>
        <v>5.0446473471407316</v>
      </c>
      <c r="DH201" s="9">
        <v>31.4</v>
      </c>
      <c r="DI201" s="9">
        <v>6.82</v>
      </c>
      <c r="DN201" s="14" t="s">
        <v>7154</v>
      </c>
      <c r="DP201" s="11">
        <v>3</v>
      </c>
      <c r="DQ201" s="9">
        <v>3</v>
      </c>
      <c r="DR201" s="9">
        <v>3</v>
      </c>
      <c r="DT201" s="9">
        <v>14.8</v>
      </c>
      <c r="DU201" s="9">
        <v>5.4</v>
      </c>
    </row>
    <row r="202" spans="1:156" x14ac:dyDescent="0.2">
      <c r="A202" s="14" t="s">
        <v>7156</v>
      </c>
      <c r="B202" s="8">
        <v>43430</v>
      </c>
      <c r="C202" s="9" t="s">
        <v>107</v>
      </c>
      <c r="D202" s="9">
        <v>47</v>
      </c>
      <c r="AL202" s="9">
        <v>98</v>
      </c>
      <c r="AM202" s="9">
        <v>160</v>
      </c>
      <c r="AN202" s="10">
        <v>109</v>
      </c>
      <c r="AU202" s="10">
        <v>138</v>
      </c>
      <c r="AV202" s="10">
        <v>96</v>
      </c>
      <c r="DC202" s="10">
        <v>123.9</v>
      </c>
      <c r="DD202" s="9">
        <v>0.84</v>
      </c>
      <c r="DE202" s="9">
        <v>234</v>
      </c>
      <c r="DF202" s="9">
        <v>102</v>
      </c>
      <c r="DG202" s="9">
        <f t="shared" si="3"/>
        <v>4.722223800959684</v>
      </c>
      <c r="DH202" s="9">
        <v>20.399999999999999</v>
      </c>
      <c r="DI202" s="9">
        <v>5.6</v>
      </c>
      <c r="DP202" s="11">
        <v>2</v>
      </c>
      <c r="DQ202" s="9">
        <v>2</v>
      </c>
      <c r="DR202" s="9">
        <v>2</v>
      </c>
      <c r="DT202" s="9">
        <v>13</v>
      </c>
      <c r="DU202" s="9">
        <v>4</v>
      </c>
    </row>
    <row r="203" spans="1:156" x14ac:dyDescent="0.2">
      <c r="A203" s="14" t="s">
        <v>7161</v>
      </c>
      <c r="B203" s="8">
        <v>43427</v>
      </c>
      <c r="C203" s="9" t="s">
        <v>95</v>
      </c>
      <c r="D203" s="9">
        <v>38</v>
      </c>
      <c r="N203" s="9" t="s">
        <v>588</v>
      </c>
      <c r="AL203" s="9">
        <v>78.7</v>
      </c>
      <c r="AM203" s="9">
        <v>157</v>
      </c>
      <c r="AN203" s="9">
        <v>103.2</v>
      </c>
      <c r="AU203" s="10">
        <v>136</v>
      </c>
      <c r="AV203" s="10">
        <v>93</v>
      </c>
      <c r="DC203" s="10">
        <v>104.6</v>
      </c>
      <c r="DD203" s="9">
        <v>0.66</v>
      </c>
      <c r="DE203" s="9">
        <v>214</v>
      </c>
      <c r="DF203" s="10">
        <v>192</v>
      </c>
      <c r="DG203" s="9">
        <f t="shared" si="3"/>
        <v>4.9538194618293021</v>
      </c>
      <c r="DH203" s="9">
        <v>38.4</v>
      </c>
      <c r="DI203" s="9">
        <v>5.14</v>
      </c>
      <c r="DL203" s="9" t="s">
        <v>7162</v>
      </c>
      <c r="DP203" s="11">
        <v>2</v>
      </c>
      <c r="DQ203" s="9">
        <v>3</v>
      </c>
      <c r="DR203" s="9">
        <v>3</v>
      </c>
      <c r="DT203" s="9">
        <v>16.2</v>
      </c>
      <c r="DU203" s="9">
        <v>3.9</v>
      </c>
    </row>
    <row r="204" spans="1:156" x14ac:dyDescent="0.2">
      <c r="A204" s="9" t="s">
        <v>7194</v>
      </c>
      <c r="B204" s="8"/>
      <c r="C204" s="9" t="s">
        <v>675</v>
      </c>
      <c r="D204" s="9">
        <v>39</v>
      </c>
      <c r="AL204" s="9">
        <v>98.9</v>
      </c>
      <c r="AN204" s="9">
        <v>105</v>
      </c>
      <c r="AT204" s="30">
        <v>25</v>
      </c>
      <c r="AU204" s="9">
        <v>130</v>
      </c>
      <c r="AV204" s="9">
        <v>80</v>
      </c>
      <c r="DG204" s="9" t="e">
        <f t="shared" si="3"/>
        <v>#NUM!</v>
      </c>
      <c r="DP204" s="29">
        <v>3</v>
      </c>
      <c r="DQ204" s="9">
        <v>2</v>
      </c>
      <c r="DR204" s="9">
        <v>2</v>
      </c>
    </row>
    <row r="205" spans="1:156" x14ac:dyDescent="0.2">
      <c r="A205" s="9" t="s">
        <v>7195</v>
      </c>
      <c r="B205" s="8"/>
      <c r="C205" s="9" t="s">
        <v>196</v>
      </c>
      <c r="AL205" s="9">
        <v>72</v>
      </c>
      <c r="AN205" s="9">
        <v>95</v>
      </c>
      <c r="AT205" s="30">
        <v>25</v>
      </c>
      <c r="AU205" s="9">
        <v>130</v>
      </c>
      <c r="AV205" s="9">
        <v>82</v>
      </c>
      <c r="DG205" s="9" t="e">
        <f t="shared" si="3"/>
        <v>#NUM!</v>
      </c>
      <c r="DP205" s="29">
        <v>2</v>
      </c>
      <c r="DQ205" s="9">
        <v>3</v>
      </c>
    </row>
    <row r="206" spans="1:156" x14ac:dyDescent="0.2">
      <c r="A206" s="9" t="s">
        <v>7196</v>
      </c>
      <c r="B206" s="8"/>
      <c r="C206" s="9" t="s">
        <v>196</v>
      </c>
      <c r="AL206" s="9">
        <v>84.9</v>
      </c>
      <c r="AN206" s="9">
        <v>110.2</v>
      </c>
      <c r="AT206" s="30">
        <v>25</v>
      </c>
      <c r="AU206" s="9">
        <v>134</v>
      </c>
      <c r="AV206" s="9">
        <v>73</v>
      </c>
      <c r="DG206" s="9" t="e">
        <f t="shared" si="3"/>
        <v>#NUM!</v>
      </c>
      <c r="DP206" s="29">
        <v>2</v>
      </c>
      <c r="DQ206" s="9">
        <v>2</v>
      </c>
      <c r="DR206" s="9">
        <v>2</v>
      </c>
    </row>
    <row r="207" spans="1:156" x14ac:dyDescent="0.2">
      <c r="A207" s="9" t="s">
        <v>7197</v>
      </c>
      <c r="B207" s="8"/>
      <c r="C207" s="9" t="s">
        <v>196</v>
      </c>
      <c r="AL207" s="9">
        <v>80.900000000000006</v>
      </c>
      <c r="AN207" s="9">
        <v>96.5</v>
      </c>
      <c r="AT207" s="30">
        <v>25</v>
      </c>
      <c r="AU207" s="9">
        <v>109</v>
      </c>
      <c r="AV207" s="9">
        <v>69</v>
      </c>
      <c r="DG207" s="9" t="e">
        <f t="shared" si="3"/>
        <v>#NUM!</v>
      </c>
      <c r="DP207" s="31">
        <v>1</v>
      </c>
      <c r="DQ207" s="9">
        <v>2</v>
      </c>
      <c r="DR207" s="30">
        <v>1</v>
      </c>
    </row>
    <row r="208" spans="1:156" s="171" customFormat="1" x14ac:dyDescent="0.2">
      <c r="A208" s="74" t="s">
        <v>7323</v>
      </c>
      <c r="B208" s="170">
        <v>43795</v>
      </c>
      <c r="C208" s="62" t="s">
        <v>196</v>
      </c>
      <c r="D208" s="62">
        <v>53</v>
      </c>
      <c r="E208" s="62" t="s">
        <v>2267</v>
      </c>
      <c r="F208" s="170">
        <v>24097</v>
      </c>
      <c r="G208" s="62"/>
      <c r="H208" s="62"/>
      <c r="I208" s="62"/>
      <c r="J208" s="62">
        <v>2015</v>
      </c>
      <c r="K208" s="62"/>
      <c r="L208" s="62"/>
      <c r="M208" s="62"/>
      <c r="N208" s="62"/>
      <c r="O208" s="62" t="s">
        <v>7324</v>
      </c>
      <c r="P208" s="62"/>
      <c r="Q208" s="62"/>
      <c r="R208" s="62" t="s">
        <v>7325</v>
      </c>
      <c r="S208" s="62" t="s">
        <v>99</v>
      </c>
      <c r="T208" s="62" t="s">
        <v>99</v>
      </c>
      <c r="U208" s="62"/>
      <c r="V208" s="62"/>
      <c r="W208" s="62"/>
      <c r="X208" s="62"/>
      <c r="Y208" s="62"/>
      <c r="Z208" s="62"/>
      <c r="AA208" s="62" t="s">
        <v>2267</v>
      </c>
      <c r="AB208" s="62" t="s">
        <v>2267</v>
      </c>
      <c r="AC208" s="62" t="s">
        <v>2267</v>
      </c>
      <c r="AD208" s="62" t="s">
        <v>2267</v>
      </c>
      <c r="AE208" s="62" t="s">
        <v>7326</v>
      </c>
      <c r="AF208" s="62" t="s">
        <v>7327</v>
      </c>
      <c r="AG208" s="62"/>
      <c r="AH208" s="62" t="s">
        <v>246</v>
      </c>
      <c r="AI208" s="62"/>
      <c r="AJ208" s="62"/>
      <c r="AK208" s="62"/>
      <c r="AL208" s="62">
        <v>84.7</v>
      </c>
      <c r="AM208" s="62">
        <v>165</v>
      </c>
      <c r="AN208" s="62">
        <v>105</v>
      </c>
      <c r="AO208" s="62">
        <v>112</v>
      </c>
      <c r="AP208" s="62">
        <v>44.7</v>
      </c>
      <c r="AQ208" s="62">
        <v>10</v>
      </c>
      <c r="AR208" s="62">
        <v>24.2</v>
      </c>
      <c r="AS208" s="62">
        <v>63</v>
      </c>
      <c r="AT208" s="62">
        <v>31.1</v>
      </c>
      <c r="AU208" s="62">
        <v>110</v>
      </c>
      <c r="AV208" s="62">
        <v>62</v>
      </c>
      <c r="AW208" s="62"/>
      <c r="AX208" s="62" t="s">
        <v>350</v>
      </c>
      <c r="AY208" s="62"/>
      <c r="AZ208" s="62"/>
      <c r="BA208" s="62"/>
      <c r="BB208" s="62" t="s">
        <v>750</v>
      </c>
      <c r="BC208" s="62"/>
      <c r="BD208" s="62"/>
      <c r="BE208" s="62"/>
      <c r="BF208" s="62" t="s">
        <v>707</v>
      </c>
      <c r="BG208" s="62" t="s">
        <v>350</v>
      </c>
      <c r="BH208" s="62" t="s">
        <v>350</v>
      </c>
      <c r="BI208" s="62" t="s">
        <v>350</v>
      </c>
      <c r="BJ208" s="62" t="s">
        <v>350</v>
      </c>
      <c r="BK208" s="62" t="s">
        <v>1979</v>
      </c>
      <c r="BL208" s="62"/>
      <c r="BM208" s="62"/>
      <c r="BN208" s="62" t="s">
        <v>180</v>
      </c>
      <c r="BO208" s="62" t="s">
        <v>179</v>
      </c>
      <c r="BP208" s="62" t="s">
        <v>219</v>
      </c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48">
        <v>120.7</v>
      </c>
      <c r="DD208" s="62">
        <v>1.1200000000000001</v>
      </c>
      <c r="DE208" s="48">
        <v>311</v>
      </c>
      <c r="DF208" s="62">
        <v>125</v>
      </c>
      <c r="DG208" s="9">
        <f t="shared" si="3"/>
        <v>4.8108109327028936</v>
      </c>
      <c r="DH208" s="62">
        <v>25</v>
      </c>
      <c r="DI208" s="48">
        <v>6.12</v>
      </c>
      <c r="DJ208" s="62"/>
      <c r="DK208" s="62"/>
      <c r="DL208" s="48">
        <v>50</v>
      </c>
      <c r="DM208" s="62">
        <v>236</v>
      </c>
      <c r="DN208" s="62"/>
      <c r="DO208" s="62"/>
      <c r="DP208" s="62">
        <v>1</v>
      </c>
      <c r="DQ208" s="62"/>
      <c r="DR208" s="62">
        <v>2</v>
      </c>
      <c r="DS208" s="62"/>
      <c r="DT208" s="62"/>
      <c r="DU208" s="62">
        <v>3</v>
      </c>
      <c r="DV208" s="62"/>
      <c r="DW208" s="62"/>
      <c r="DX208" s="62"/>
      <c r="DY208" s="62"/>
      <c r="DZ208" s="62"/>
      <c r="EA208" s="62"/>
      <c r="EB208" s="62"/>
      <c r="EC208" s="62"/>
      <c r="ED208" s="62"/>
      <c r="EE208" s="62"/>
      <c r="EF208" s="62"/>
      <c r="EG208" s="62"/>
      <c r="EH208" s="62"/>
      <c r="EI208" s="62"/>
      <c r="EJ208" s="62"/>
      <c r="EK208" s="62"/>
      <c r="EL208" s="62"/>
      <c r="EM208" s="62"/>
      <c r="EN208" s="62"/>
      <c r="EO208" s="62"/>
      <c r="EP208" s="62"/>
      <c r="EQ208" s="62"/>
      <c r="ER208" s="62"/>
      <c r="ES208" s="62"/>
      <c r="ET208" s="62"/>
      <c r="EU208" s="62"/>
      <c r="EV208" s="62"/>
      <c r="EW208" s="62"/>
      <c r="EX208" s="62"/>
      <c r="EY208" s="62"/>
      <c r="EZ208" s="62"/>
    </row>
    <row r="209" spans="1:125" customFormat="1" x14ac:dyDescent="0.2">
      <c r="A209" s="144" t="s">
        <v>7542</v>
      </c>
      <c r="B209" s="127">
        <v>43804</v>
      </c>
      <c r="C209" s="127" t="s">
        <v>675</v>
      </c>
      <c r="D209" s="127">
        <v>45</v>
      </c>
      <c r="E209" s="127" t="s">
        <v>100</v>
      </c>
      <c r="F209" s="127">
        <v>27072</v>
      </c>
      <c r="G209" s="127" t="s">
        <v>837</v>
      </c>
      <c r="H209" s="127" t="s">
        <v>7543</v>
      </c>
      <c r="I209" s="127"/>
      <c r="J209" s="127"/>
      <c r="K209" s="127"/>
      <c r="L209" s="127"/>
      <c r="M209" s="127" t="s">
        <v>99</v>
      </c>
      <c r="N209" s="127" t="s">
        <v>99</v>
      </c>
      <c r="O209" s="127" t="s">
        <v>99</v>
      </c>
      <c r="P209" s="127" t="s">
        <v>99</v>
      </c>
      <c r="Q209" s="127" t="s">
        <v>99</v>
      </c>
      <c r="R209" s="127" t="s">
        <v>110</v>
      </c>
      <c r="S209" s="127" t="s">
        <v>99</v>
      </c>
      <c r="T209" s="127" t="s">
        <v>99</v>
      </c>
      <c r="U209" s="127" t="s">
        <v>99</v>
      </c>
      <c r="V209" s="127" t="s">
        <v>99</v>
      </c>
      <c r="W209" s="127" t="s">
        <v>99</v>
      </c>
      <c r="X209" s="127" t="s">
        <v>99</v>
      </c>
      <c r="Y209" s="127" t="s">
        <v>99</v>
      </c>
      <c r="Z209" s="127" t="s">
        <v>99</v>
      </c>
      <c r="AA209" s="127" t="s">
        <v>100</v>
      </c>
      <c r="AB209" s="127" t="s">
        <v>100</v>
      </c>
      <c r="AC209" s="127" t="s">
        <v>100</v>
      </c>
      <c r="AD209" s="127" t="s">
        <v>100</v>
      </c>
      <c r="AE209" s="127" t="s">
        <v>99</v>
      </c>
      <c r="AF209" s="127" t="s">
        <v>7520</v>
      </c>
      <c r="AG209" s="127" t="s">
        <v>99</v>
      </c>
      <c r="AH209" s="129" t="s">
        <v>99</v>
      </c>
      <c r="AI209" s="127" t="s">
        <v>7544</v>
      </c>
      <c r="AJ209" s="9" t="s">
        <v>99</v>
      </c>
      <c r="AK209" s="9" t="s">
        <v>99</v>
      </c>
      <c r="AL209" s="9">
        <v>96.6</v>
      </c>
      <c r="AM209" s="9">
        <v>174</v>
      </c>
      <c r="AN209" s="173">
        <v>105</v>
      </c>
      <c r="AO209" s="9">
        <v>111</v>
      </c>
      <c r="AP209" s="9">
        <v>30.3</v>
      </c>
      <c r="AQ209" s="9">
        <v>16</v>
      </c>
      <c r="AR209" s="9">
        <v>32.5</v>
      </c>
      <c r="AS209" s="9">
        <v>66</v>
      </c>
      <c r="AT209" s="9">
        <v>31.9</v>
      </c>
      <c r="AU209" s="173">
        <v>129</v>
      </c>
      <c r="AV209" s="173">
        <v>91</v>
      </c>
      <c r="AW209" s="9"/>
      <c r="AX209" s="9" t="s">
        <v>7545</v>
      </c>
      <c r="AY209" s="9"/>
      <c r="AZ209" s="9"/>
      <c r="BA209" s="9"/>
      <c r="BB209" s="9" t="s">
        <v>7545</v>
      </c>
      <c r="BC209" s="9"/>
      <c r="BD209" s="9"/>
      <c r="BE209" s="9"/>
      <c r="BF209" s="9" t="s">
        <v>7545</v>
      </c>
      <c r="BG209" s="9" t="s">
        <v>7479</v>
      </c>
      <c r="BH209" s="9" t="s">
        <v>7483</v>
      </c>
      <c r="BI209" s="9" t="s">
        <v>7483</v>
      </c>
      <c r="BJ209" s="9" t="s">
        <v>7545</v>
      </c>
      <c r="BK209" s="9" t="s">
        <v>7493</v>
      </c>
      <c r="BL209" s="9"/>
      <c r="BM209" s="9"/>
      <c r="BN209" s="9" t="s">
        <v>7495</v>
      </c>
      <c r="BO209" s="9"/>
      <c r="BP209" s="9"/>
      <c r="BQ209" s="9"/>
      <c r="BR209" s="9" t="s">
        <v>99</v>
      </c>
      <c r="BS209" s="9"/>
      <c r="BT209" s="9"/>
      <c r="BU209" s="9"/>
      <c r="BV209" s="9" t="s">
        <v>99</v>
      </c>
      <c r="BW209" s="9"/>
      <c r="BX209" s="9"/>
      <c r="BY209" s="9"/>
      <c r="BZ209" s="9" t="s">
        <v>7479</v>
      </c>
      <c r="CA209" s="9"/>
      <c r="CB209" s="9"/>
      <c r="CC209" s="9"/>
      <c r="CD209" s="9" t="s">
        <v>99</v>
      </c>
      <c r="CE209" s="9"/>
      <c r="CF209" s="9"/>
      <c r="CG209" s="9"/>
      <c r="CH209" s="9" t="s">
        <v>99</v>
      </c>
      <c r="CI209" s="9"/>
      <c r="CJ209" s="9"/>
      <c r="CK209" s="9"/>
      <c r="CL209" s="9" t="s">
        <v>7546</v>
      </c>
      <c r="CM209" s="9"/>
      <c r="CN209" s="9"/>
      <c r="CO209" s="9"/>
      <c r="CP209" s="9" t="s">
        <v>7503</v>
      </c>
      <c r="CQ209" s="9"/>
      <c r="CR209" s="9"/>
      <c r="CS209" s="9"/>
      <c r="CT209" s="9" t="s">
        <v>7493</v>
      </c>
      <c r="CU209" s="9"/>
      <c r="CV209" s="9"/>
      <c r="CW209" s="9">
        <v>3</v>
      </c>
      <c r="CX209" s="9" t="s">
        <v>99</v>
      </c>
      <c r="CY209" s="9" t="s">
        <v>110</v>
      </c>
      <c r="CZ209" s="9">
        <v>25</v>
      </c>
      <c r="DA209" s="9">
        <v>20</v>
      </c>
      <c r="DB209" s="9">
        <v>55</v>
      </c>
      <c r="DC209" s="173">
        <v>101.8</v>
      </c>
      <c r="DD209" s="9">
        <v>1.05</v>
      </c>
      <c r="DE209" s="9">
        <v>174</v>
      </c>
      <c r="DF209" s="9">
        <v>73</v>
      </c>
      <c r="DG209" s="9">
        <f t="shared" si="3"/>
        <v>4.4567347726324069</v>
      </c>
      <c r="DH209" s="9">
        <v>14.6</v>
      </c>
      <c r="DI209" s="9">
        <v>7.2</v>
      </c>
      <c r="DJ209" s="9"/>
      <c r="DK209" s="9"/>
      <c r="DL209" s="9">
        <v>42.8</v>
      </c>
      <c r="DM209" s="9">
        <v>116.6</v>
      </c>
      <c r="DN209" s="9"/>
      <c r="DO209" s="9"/>
      <c r="DR209">
        <v>3</v>
      </c>
      <c r="DU209">
        <v>4.8</v>
      </c>
    </row>
    <row r="210" spans="1:125" customFormat="1" x14ac:dyDescent="0.2">
      <c r="A210" s="172" t="s">
        <v>7547</v>
      </c>
      <c r="B210" s="127">
        <v>43804</v>
      </c>
      <c r="C210" s="127" t="s">
        <v>675</v>
      </c>
      <c r="D210" s="127">
        <v>27</v>
      </c>
      <c r="E210" s="127" t="s">
        <v>100</v>
      </c>
      <c r="F210" s="127">
        <v>33998</v>
      </c>
      <c r="G210" s="127" t="s">
        <v>7471</v>
      </c>
      <c r="H210" s="127" t="s">
        <v>1727</v>
      </c>
      <c r="I210" s="127"/>
      <c r="J210" s="127"/>
      <c r="K210" s="127"/>
      <c r="L210" s="127"/>
      <c r="M210" s="127" t="s">
        <v>99</v>
      </c>
      <c r="N210" s="127" t="s">
        <v>99</v>
      </c>
      <c r="O210" s="127" t="s">
        <v>99</v>
      </c>
      <c r="P210" s="127" t="s">
        <v>99</v>
      </c>
      <c r="Q210" s="127" t="s">
        <v>7548</v>
      </c>
      <c r="R210" s="127" t="s">
        <v>7549</v>
      </c>
      <c r="S210" s="127" t="s">
        <v>110</v>
      </c>
      <c r="T210" s="127" t="s">
        <v>110</v>
      </c>
      <c r="U210" s="127" t="s">
        <v>99</v>
      </c>
      <c r="V210" s="127" t="s">
        <v>99</v>
      </c>
      <c r="W210" s="127" t="s">
        <v>7473</v>
      </c>
      <c r="X210" s="127"/>
      <c r="Y210" s="127"/>
      <c r="Z210" s="127"/>
      <c r="AA210" s="127" t="s">
        <v>5481</v>
      </c>
      <c r="AB210" s="127" t="s">
        <v>7550</v>
      </c>
      <c r="AC210" s="127" t="s">
        <v>7550</v>
      </c>
      <c r="AD210" s="127" t="s">
        <v>7550</v>
      </c>
      <c r="AE210" s="127" t="s">
        <v>7520</v>
      </c>
      <c r="AF210" s="127" t="s">
        <v>99</v>
      </c>
      <c r="AG210" s="127" t="s">
        <v>99</v>
      </c>
      <c r="AH210" s="129" t="s">
        <v>99</v>
      </c>
      <c r="AI210" s="127" t="s">
        <v>99</v>
      </c>
      <c r="AJ210" s="9" t="s">
        <v>99</v>
      </c>
      <c r="AK210" s="9" t="s">
        <v>99</v>
      </c>
      <c r="AL210" s="9">
        <v>89.2</v>
      </c>
      <c r="AM210" s="9">
        <v>162</v>
      </c>
      <c r="AN210" s="173">
        <v>105</v>
      </c>
      <c r="AO210" s="9">
        <v>108</v>
      </c>
      <c r="AP210" s="9">
        <v>32.5</v>
      </c>
      <c r="AQ210" s="9">
        <v>15</v>
      </c>
      <c r="AR210" s="9">
        <v>33.799999999999997</v>
      </c>
      <c r="AS210" s="9">
        <v>53</v>
      </c>
      <c r="AT210" s="9">
        <v>33.799999999999997</v>
      </c>
      <c r="AU210" s="173">
        <v>132</v>
      </c>
      <c r="AV210" s="173">
        <v>87</v>
      </c>
      <c r="AW210" s="9"/>
      <c r="AX210" s="9" t="s">
        <v>7451</v>
      </c>
      <c r="AY210" s="9"/>
      <c r="AZ210" s="9"/>
      <c r="BA210" s="9"/>
      <c r="BB210" s="9" t="s">
        <v>7451</v>
      </c>
      <c r="BC210" s="9"/>
      <c r="BD210" s="9"/>
      <c r="BE210" s="9"/>
      <c r="BF210" s="9" t="s">
        <v>7451</v>
      </c>
      <c r="BG210" s="9" t="s">
        <v>7495</v>
      </c>
      <c r="BH210" s="9" t="s">
        <v>7508</v>
      </c>
      <c r="BI210" s="9" t="s">
        <v>7495</v>
      </c>
      <c r="BJ210" s="9" t="s">
        <v>7495</v>
      </c>
      <c r="BK210" s="9" t="s">
        <v>7482</v>
      </c>
      <c r="BL210" s="9"/>
      <c r="BM210" s="9"/>
      <c r="BN210" s="9" t="s">
        <v>7545</v>
      </c>
      <c r="BO210" s="9"/>
      <c r="BP210" s="9"/>
      <c r="BQ210" s="9"/>
      <c r="BR210" s="9" t="s">
        <v>7473</v>
      </c>
      <c r="BS210" s="9"/>
      <c r="BT210" s="9"/>
      <c r="BU210" s="9"/>
      <c r="BV210" s="9" t="s">
        <v>7473</v>
      </c>
      <c r="BW210" s="9"/>
      <c r="BX210" s="9"/>
      <c r="BY210" s="9"/>
      <c r="BZ210" s="9" t="s">
        <v>7545</v>
      </c>
      <c r="CA210" s="9"/>
      <c r="CB210" s="9"/>
      <c r="CC210" s="9"/>
      <c r="CD210" s="9" t="s">
        <v>7473</v>
      </c>
      <c r="CE210" s="9"/>
      <c r="CF210" s="9"/>
      <c r="CG210" s="9"/>
      <c r="CH210" s="9" t="s">
        <v>7473</v>
      </c>
      <c r="CI210" s="9"/>
      <c r="CJ210" s="9"/>
      <c r="CK210" s="9"/>
      <c r="CL210" s="9" t="s">
        <v>7551</v>
      </c>
      <c r="CM210" s="9"/>
      <c r="CN210" s="9"/>
      <c r="CO210" s="9"/>
      <c r="CP210" s="9" t="s">
        <v>7503</v>
      </c>
      <c r="CQ210" s="9"/>
      <c r="CR210" s="9"/>
      <c r="CS210" s="9"/>
      <c r="CT210" s="9" t="s">
        <v>7545</v>
      </c>
      <c r="CU210" s="9"/>
      <c r="CV210" s="9"/>
      <c r="CW210" s="9">
        <v>3</v>
      </c>
      <c r="CX210" s="9" t="s">
        <v>99</v>
      </c>
      <c r="CY210" s="9" t="s">
        <v>110</v>
      </c>
      <c r="CZ210" s="9">
        <v>40</v>
      </c>
      <c r="DA210" s="9">
        <v>40</v>
      </c>
      <c r="DB210" s="9">
        <v>20</v>
      </c>
      <c r="DC210" s="9">
        <v>90.9</v>
      </c>
      <c r="DD210" s="9">
        <v>1.29</v>
      </c>
      <c r="DE210" s="9">
        <v>182</v>
      </c>
      <c r="DF210" s="9">
        <v>209</v>
      </c>
      <c r="DG210" s="9">
        <f t="shared" si="3"/>
        <v>4.9260471265741224</v>
      </c>
      <c r="DH210" s="9">
        <v>41.8</v>
      </c>
      <c r="DI210" s="9">
        <v>8.39</v>
      </c>
      <c r="DJ210" s="9"/>
      <c r="DK210" s="9"/>
      <c r="DL210" s="9">
        <v>43.2</v>
      </c>
      <c r="DM210" s="9">
        <v>97</v>
      </c>
      <c r="DN210" s="9"/>
      <c r="DO210" s="9"/>
      <c r="DP210" s="53">
        <v>3</v>
      </c>
      <c r="DR210">
        <v>3</v>
      </c>
    </row>
    <row r="211" spans="1:125" customFormat="1" x14ac:dyDescent="0.2">
      <c r="A211" s="172" t="s">
        <v>7577</v>
      </c>
      <c r="B211" s="127">
        <v>43804</v>
      </c>
      <c r="C211" s="127" t="s">
        <v>675</v>
      </c>
      <c r="D211" s="127">
        <v>47</v>
      </c>
      <c r="E211" s="127" t="s">
        <v>100</v>
      </c>
      <c r="F211" s="127">
        <v>26318</v>
      </c>
      <c r="G211" s="127" t="s">
        <v>837</v>
      </c>
      <c r="H211" s="127" t="s">
        <v>7578</v>
      </c>
      <c r="I211" s="127"/>
      <c r="J211" s="127"/>
      <c r="K211" s="127"/>
      <c r="L211" s="127"/>
      <c r="M211" s="127" t="s">
        <v>99</v>
      </c>
      <c r="N211" s="127" t="s">
        <v>7579</v>
      </c>
      <c r="O211" s="127" t="s">
        <v>7580</v>
      </c>
      <c r="P211" s="127" t="s">
        <v>99</v>
      </c>
      <c r="Q211" s="127" t="s">
        <v>99</v>
      </c>
      <c r="R211" s="127" t="s">
        <v>110</v>
      </c>
      <c r="S211" s="127" t="s">
        <v>110</v>
      </c>
      <c r="T211" s="127" t="s">
        <v>7581</v>
      </c>
      <c r="U211" s="127" t="s">
        <v>7582</v>
      </c>
      <c r="V211" s="127" t="s">
        <v>99</v>
      </c>
      <c r="W211" s="127" t="s">
        <v>99</v>
      </c>
      <c r="X211" s="127" t="s">
        <v>99</v>
      </c>
      <c r="Y211" s="127" t="s">
        <v>99</v>
      </c>
      <c r="Z211" s="127" t="s">
        <v>7583</v>
      </c>
      <c r="AA211" s="127" t="s">
        <v>5481</v>
      </c>
      <c r="AB211" s="127" t="s">
        <v>1738</v>
      </c>
      <c r="AC211" s="127" t="s">
        <v>7584</v>
      </c>
      <c r="AD211" s="127" t="s">
        <v>1738</v>
      </c>
      <c r="AE211" s="127" t="s">
        <v>7574</v>
      </c>
      <c r="AF211" s="127" t="s">
        <v>7585</v>
      </c>
      <c r="AG211" s="127" t="s">
        <v>99</v>
      </c>
      <c r="AH211" s="129" t="s">
        <v>99</v>
      </c>
      <c r="AI211" s="127" t="s">
        <v>99</v>
      </c>
      <c r="AJ211" s="9" t="s">
        <v>99</v>
      </c>
      <c r="AK211" s="9"/>
      <c r="AL211" s="9">
        <v>80.2</v>
      </c>
      <c r="AM211" s="9">
        <v>167.5</v>
      </c>
      <c r="AN211" s="173">
        <v>95</v>
      </c>
      <c r="AO211" s="9">
        <v>104</v>
      </c>
      <c r="AP211" s="9">
        <v>28.6</v>
      </c>
      <c r="AQ211" s="9">
        <v>13</v>
      </c>
      <c r="AR211" s="9">
        <v>33.4</v>
      </c>
      <c r="AS211" s="9">
        <v>52</v>
      </c>
      <c r="AT211" s="9">
        <v>28.6</v>
      </c>
      <c r="AU211" s="9">
        <v>126</v>
      </c>
      <c r="AV211" s="9">
        <v>78</v>
      </c>
      <c r="AW211" s="9"/>
      <c r="AX211" s="9" t="s">
        <v>7586</v>
      </c>
      <c r="AY211" s="9" t="s">
        <v>7587</v>
      </c>
      <c r="AZ211" s="9"/>
      <c r="BA211" s="9" t="s">
        <v>351</v>
      </c>
      <c r="BB211" s="9" t="s">
        <v>1130</v>
      </c>
      <c r="BC211" s="9" t="s">
        <v>2603</v>
      </c>
      <c r="BD211" s="9"/>
      <c r="BE211" s="9" t="s">
        <v>350</v>
      </c>
      <c r="BF211" s="9" t="s">
        <v>7588</v>
      </c>
      <c r="BG211" s="9">
        <v>2</v>
      </c>
      <c r="BH211" s="9" t="s">
        <v>7589</v>
      </c>
      <c r="BI211" s="9">
        <v>1</v>
      </c>
      <c r="BJ211" s="9">
        <v>1</v>
      </c>
      <c r="BK211" s="9" t="s">
        <v>216</v>
      </c>
      <c r="BL211" s="9" t="s">
        <v>350</v>
      </c>
      <c r="BM211" s="9"/>
      <c r="BN211" s="9" t="s">
        <v>7590</v>
      </c>
      <c r="BO211" s="9" t="s">
        <v>7591</v>
      </c>
      <c r="BP211" s="9" t="s">
        <v>7592</v>
      </c>
      <c r="BQ211" s="9"/>
      <c r="BR211" s="9"/>
      <c r="BS211" s="9"/>
      <c r="BT211" s="9"/>
      <c r="BU211" s="9"/>
      <c r="BV211" s="9"/>
      <c r="BW211" s="9"/>
      <c r="BX211" s="9"/>
      <c r="BY211" s="9" t="s">
        <v>176</v>
      </c>
      <c r="BZ211" s="9" t="s">
        <v>357</v>
      </c>
      <c r="CA211" s="9" t="s">
        <v>822</v>
      </c>
      <c r="CB211" s="9" t="s">
        <v>708</v>
      </c>
      <c r="CC211" s="9"/>
      <c r="CD211" s="9"/>
      <c r="CE211" s="9"/>
      <c r="CF211" s="9"/>
      <c r="CG211" s="9"/>
      <c r="CH211" s="9"/>
      <c r="CI211" s="9"/>
      <c r="CJ211" s="9"/>
      <c r="CK211" s="9" t="s">
        <v>351</v>
      </c>
      <c r="CL211" s="9" t="s">
        <v>825</v>
      </c>
      <c r="CM211" s="9" t="s">
        <v>2590</v>
      </c>
      <c r="CN211" s="9" t="s">
        <v>1181</v>
      </c>
      <c r="CO211" s="9" t="s">
        <v>351</v>
      </c>
      <c r="CP211" s="9" t="s">
        <v>715</v>
      </c>
      <c r="CQ211" s="9" t="s">
        <v>361</v>
      </c>
      <c r="CR211" s="9" t="s">
        <v>7593</v>
      </c>
      <c r="CS211" s="9"/>
      <c r="CT211" s="9" t="s">
        <v>7594</v>
      </c>
      <c r="CU211" s="9"/>
      <c r="CV211" s="9"/>
      <c r="CW211" s="9" t="s">
        <v>7595</v>
      </c>
      <c r="CX211" s="9" t="s">
        <v>99</v>
      </c>
      <c r="CY211" s="9" t="s">
        <v>110</v>
      </c>
      <c r="CZ211" s="9">
        <v>40</v>
      </c>
      <c r="DA211" s="9">
        <v>10</v>
      </c>
      <c r="DB211" s="9">
        <v>50</v>
      </c>
      <c r="DC211" s="9">
        <v>84.6</v>
      </c>
      <c r="DD211" s="9">
        <v>0.93</v>
      </c>
      <c r="DE211" s="9">
        <v>164</v>
      </c>
      <c r="DF211" s="173">
        <v>158</v>
      </c>
      <c r="DG211" s="9">
        <f t="shared" si="3"/>
        <v>4.750264649819572</v>
      </c>
      <c r="DH211" s="9">
        <v>31.6</v>
      </c>
      <c r="DI211" s="9">
        <v>6.82</v>
      </c>
      <c r="DJ211" s="9"/>
      <c r="DK211" s="9"/>
      <c r="DL211" s="173">
        <v>36</v>
      </c>
      <c r="DM211" s="9">
        <v>96.4</v>
      </c>
      <c r="DN211" s="9"/>
      <c r="DO211" s="9"/>
      <c r="DP211" s="53">
        <v>3</v>
      </c>
      <c r="DR211">
        <v>2</v>
      </c>
    </row>
    <row r="212" spans="1:125" customFormat="1" x14ac:dyDescent="0.2">
      <c r="A212" s="144" t="s">
        <v>7657</v>
      </c>
      <c r="B212" s="127">
        <v>43804</v>
      </c>
      <c r="C212" s="127" t="s">
        <v>675</v>
      </c>
      <c r="D212" s="127">
        <v>28</v>
      </c>
      <c r="E212" s="127" t="s">
        <v>100</v>
      </c>
      <c r="F212" s="127">
        <v>33549</v>
      </c>
      <c r="G212" s="127" t="s">
        <v>1648</v>
      </c>
      <c r="H212" s="127" t="s">
        <v>7658</v>
      </c>
      <c r="I212" s="127"/>
      <c r="J212" s="127"/>
      <c r="K212" s="127"/>
      <c r="L212" s="127"/>
      <c r="M212" s="127" t="s">
        <v>99</v>
      </c>
      <c r="N212" s="127" t="s">
        <v>99</v>
      </c>
      <c r="O212" s="127" t="s">
        <v>7659</v>
      </c>
      <c r="P212" s="127" t="s">
        <v>7660</v>
      </c>
      <c r="Q212" s="127" t="s">
        <v>6121</v>
      </c>
      <c r="R212" s="127" t="s">
        <v>7661</v>
      </c>
      <c r="S212" s="127" t="s">
        <v>99</v>
      </c>
      <c r="T212" s="127" t="s">
        <v>99</v>
      </c>
      <c r="U212" s="127" t="s">
        <v>99</v>
      </c>
      <c r="V212" s="127" t="s">
        <v>99</v>
      </c>
      <c r="W212" s="127" t="s">
        <v>7662</v>
      </c>
      <c r="X212" s="127" t="s">
        <v>99</v>
      </c>
      <c r="Y212" s="127" t="s">
        <v>99</v>
      </c>
      <c r="Z212" s="127" t="s">
        <v>99</v>
      </c>
      <c r="AA212" s="127" t="s">
        <v>100</v>
      </c>
      <c r="AB212" s="127" t="s">
        <v>100</v>
      </c>
      <c r="AC212" s="127" t="s">
        <v>100</v>
      </c>
      <c r="AD212" s="127" t="s">
        <v>100</v>
      </c>
      <c r="AE212" s="127" t="s">
        <v>7630</v>
      </c>
      <c r="AF212" s="127" t="s">
        <v>99</v>
      </c>
      <c r="AG212" s="127" t="s">
        <v>6074</v>
      </c>
      <c r="AH212" s="129"/>
      <c r="AI212" s="127" t="s">
        <v>3194</v>
      </c>
      <c r="AJ212" s="9" t="s">
        <v>3194</v>
      </c>
      <c r="AK212" s="9" t="s">
        <v>99</v>
      </c>
      <c r="AL212" s="9">
        <v>137.1</v>
      </c>
      <c r="AM212" s="9">
        <v>1.73</v>
      </c>
      <c r="AN212" s="9">
        <v>130</v>
      </c>
      <c r="AO212" s="9">
        <v>136</v>
      </c>
      <c r="AP212" s="9">
        <v>43.7</v>
      </c>
      <c r="AQ212" s="9">
        <v>23</v>
      </c>
      <c r="AR212" s="9">
        <v>26.1</v>
      </c>
      <c r="AS212" s="9">
        <v>80</v>
      </c>
      <c r="AT212" s="14">
        <v>45.8</v>
      </c>
      <c r="AU212" s="173">
        <v>152</v>
      </c>
      <c r="AV212" s="9">
        <v>83</v>
      </c>
      <c r="AW212" s="9"/>
      <c r="AX212" s="9" t="s">
        <v>7663</v>
      </c>
      <c r="AY212" s="9" t="s">
        <v>7664</v>
      </c>
      <c r="AZ212" s="9" t="s">
        <v>3844</v>
      </c>
      <c r="BA212" s="9"/>
      <c r="BB212" s="9" t="s">
        <v>7665</v>
      </c>
      <c r="BC212" s="9" t="s">
        <v>7666</v>
      </c>
      <c r="BD212" s="9"/>
      <c r="BE212" s="9"/>
      <c r="BF212" s="9" t="s">
        <v>5441</v>
      </c>
      <c r="BG212" s="9" t="s">
        <v>213</v>
      </c>
      <c r="BH212" s="9" t="s">
        <v>213</v>
      </c>
      <c r="BI212" s="9" t="s">
        <v>213</v>
      </c>
      <c r="BJ212" s="9"/>
      <c r="BK212" s="9" t="s">
        <v>707</v>
      </c>
      <c r="BL212" s="9"/>
      <c r="BM212" s="9"/>
      <c r="BN212" s="9" t="s">
        <v>7667</v>
      </c>
      <c r="BO212" s="9" t="s">
        <v>5286</v>
      </c>
      <c r="BP212" s="9" t="s">
        <v>178</v>
      </c>
      <c r="BQ212" s="9"/>
      <c r="BR212" s="9"/>
      <c r="BS212" s="9"/>
      <c r="BT212" s="9"/>
      <c r="BU212" s="9"/>
      <c r="BV212" s="9"/>
      <c r="BW212" s="9"/>
      <c r="BX212" s="9"/>
      <c r="BY212" s="9"/>
      <c r="BZ212" s="9" t="s">
        <v>7638</v>
      </c>
      <c r="CA212" s="9" t="s">
        <v>182</v>
      </c>
      <c r="CB212" s="9" t="s">
        <v>357</v>
      </c>
      <c r="CC212" s="9"/>
      <c r="CD212" s="9"/>
      <c r="CE212" s="9"/>
      <c r="CF212" s="9"/>
      <c r="CG212" s="9"/>
      <c r="CH212" s="9"/>
      <c r="CI212" s="9"/>
      <c r="CJ212" s="9"/>
      <c r="CK212" s="9"/>
      <c r="CL212" s="9" t="s">
        <v>7668</v>
      </c>
      <c r="CM212" s="9" t="s">
        <v>7669</v>
      </c>
      <c r="CN212" s="9"/>
      <c r="CO212" s="9"/>
      <c r="CP212" s="9" t="s">
        <v>890</v>
      </c>
      <c r="CQ212" s="9" t="s">
        <v>7670</v>
      </c>
      <c r="CR212" s="9" t="s">
        <v>2892</v>
      </c>
      <c r="CS212" s="9"/>
      <c r="CT212" s="9" t="s">
        <v>7671</v>
      </c>
      <c r="CU212" s="9"/>
      <c r="CV212" s="9"/>
      <c r="CW212" s="9">
        <v>3</v>
      </c>
      <c r="CX212" s="9" t="s">
        <v>5490</v>
      </c>
      <c r="CY212" s="9" t="s">
        <v>99</v>
      </c>
      <c r="CZ212" s="9">
        <v>20</v>
      </c>
      <c r="DA212" s="9">
        <v>30</v>
      </c>
      <c r="DB212" s="9">
        <v>50</v>
      </c>
      <c r="DC212" s="173">
        <v>116.8</v>
      </c>
      <c r="DD212" s="9">
        <v>0.91</v>
      </c>
      <c r="DE212" s="173">
        <v>258</v>
      </c>
      <c r="DF212" s="173">
        <v>279</v>
      </c>
      <c r="DG212" s="9">
        <f t="shared" si="3"/>
        <v>5.1958374261077465</v>
      </c>
      <c r="DH212" s="9">
        <v>55.8</v>
      </c>
      <c r="DI212" s="173">
        <v>7.39</v>
      </c>
      <c r="DJ212" s="9"/>
      <c r="DK212" s="9"/>
      <c r="DL212" s="173">
        <v>42.8</v>
      </c>
      <c r="DM212" s="9">
        <v>159.4</v>
      </c>
      <c r="DN212" s="9"/>
      <c r="DO212" s="9"/>
      <c r="DP212" s="174">
        <v>1</v>
      </c>
      <c r="DR212">
        <v>1</v>
      </c>
      <c r="DU212">
        <v>4.3</v>
      </c>
    </row>
    <row r="213" spans="1:125" customFormat="1" x14ac:dyDescent="0.2">
      <c r="A213" s="144" t="s">
        <v>7680</v>
      </c>
      <c r="B213" s="127">
        <v>43805</v>
      </c>
      <c r="C213" s="127" t="s">
        <v>196</v>
      </c>
      <c r="D213" s="127">
        <v>42</v>
      </c>
      <c r="E213" s="127" t="s">
        <v>100</v>
      </c>
      <c r="F213" s="127">
        <v>27947</v>
      </c>
      <c r="G213" s="127" t="s">
        <v>2955</v>
      </c>
      <c r="H213" s="127"/>
      <c r="I213" s="127" t="s">
        <v>4856</v>
      </c>
      <c r="J213" s="127"/>
      <c r="K213" s="127">
        <v>2007</v>
      </c>
      <c r="L213" s="127">
        <v>2</v>
      </c>
      <c r="M213" s="127" t="s">
        <v>99</v>
      </c>
      <c r="N213" s="127" t="s">
        <v>7681</v>
      </c>
      <c r="O213" s="127" t="s">
        <v>99</v>
      </c>
      <c r="P213" s="127" t="s">
        <v>99</v>
      </c>
      <c r="Q213" s="127" t="s">
        <v>99</v>
      </c>
      <c r="R213" s="127" t="s">
        <v>5490</v>
      </c>
      <c r="S213" s="127" t="s">
        <v>99</v>
      </c>
      <c r="T213" s="127" t="s">
        <v>5490</v>
      </c>
      <c r="U213" s="127"/>
      <c r="V213" s="127" t="s">
        <v>99</v>
      </c>
      <c r="W213" s="127" t="s">
        <v>7682</v>
      </c>
      <c r="X213" s="127"/>
      <c r="Y213" s="127"/>
      <c r="Z213" s="127"/>
      <c r="AA213" s="127" t="s">
        <v>2234</v>
      </c>
      <c r="AB213" s="127" t="s">
        <v>100</v>
      </c>
      <c r="AC213" s="127" t="s">
        <v>100</v>
      </c>
      <c r="AD213" s="127" t="s">
        <v>100</v>
      </c>
      <c r="AE213" s="127" t="s">
        <v>7683</v>
      </c>
      <c r="AF213" s="127" t="s">
        <v>5482</v>
      </c>
      <c r="AG213" s="127" t="s">
        <v>99</v>
      </c>
      <c r="AH213" s="129" t="s">
        <v>5482</v>
      </c>
      <c r="AI213" s="127" t="s">
        <v>99</v>
      </c>
      <c r="AJ213" s="9" t="s">
        <v>99</v>
      </c>
      <c r="AK213" s="9" t="s">
        <v>99</v>
      </c>
      <c r="AL213" s="9">
        <v>113.9</v>
      </c>
      <c r="AM213" s="9">
        <v>167</v>
      </c>
      <c r="AN213" s="173">
        <v>117</v>
      </c>
      <c r="AO213" s="9">
        <v>130.5</v>
      </c>
      <c r="AP213" s="9">
        <v>56.9</v>
      </c>
      <c r="AQ213" s="9">
        <v>12</v>
      </c>
      <c r="AR213" s="9">
        <v>18.8</v>
      </c>
      <c r="AS213" s="9">
        <v>72</v>
      </c>
      <c r="AT213" s="14">
        <v>40.799999999999997</v>
      </c>
      <c r="AU213" s="9">
        <v>124</v>
      </c>
      <c r="AV213" s="9">
        <v>84</v>
      </c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173">
        <v>104.9</v>
      </c>
      <c r="DD213" s="9">
        <v>0.71</v>
      </c>
      <c r="DE213" s="9">
        <v>171</v>
      </c>
      <c r="DF213" s="9">
        <v>116</v>
      </c>
      <c r="DG213" s="9">
        <f t="shared" si="3"/>
        <v>4.7032988532543083</v>
      </c>
      <c r="DH213" s="9">
        <v>23.2</v>
      </c>
      <c r="DI213" s="9">
        <v>5.0599999999999996</v>
      </c>
      <c r="DJ213" s="9"/>
      <c r="DK213" s="9"/>
      <c r="DL213" s="173">
        <v>46.3</v>
      </c>
      <c r="DM213" s="9">
        <v>101.5</v>
      </c>
      <c r="DN213" s="9"/>
      <c r="DO213" s="9"/>
      <c r="DU213">
        <v>4.1100000000000003</v>
      </c>
    </row>
    <row r="214" spans="1:125" customFormat="1" x14ac:dyDescent="0.2">
      <c r="A214" s="144" t="s">
        <v>7725</v>
      </c>
      <c r="B214" s="127">
        <v>43805</v>
      </c>
      <c r="C214" s="127" t="s">
        <v>675</v>
      </c>
      <c r="D214" s="127">
        <v>38</v>
      </c>
      <c r="E214" s="127" t="s">
        <v>100</v>
      </c>
      <c r="F214" s="127">
        <v>29721</v>
      </c>
      <c r="G214" s="127" t="s">
        <v>837</v>
      </c>
      <c r="H214" s="127" t="s">
        <v>7726</v>
      </c>
      <c r="I214" s="127"/>
      <c r="J214" s="127"/>
      <c r="K214" s="127"/>
      <c r="L214" s="127"/>
      <c r="M214" s="127" t="s">
        <v>99</v>
      </c>
      <c r="N214" s="127" t="s">
        <v>99</v>
      </c>
      <c r="O214" s="127" t="s">
        <v>99</v>
      </c>
      <c r="P214" s="127" t="s">
        <v>99</v>
      </c>
      <c r="Q214" s="127" t="s">
        <v>7727</v>
      </c>
      <c r="R214" s="127" t="s">
        <v>7728</v>
      </c>
      <c r="S214" s="127" t="s">
        <v>5490</v>
      </c>
      <c r="T214" s="127" t="s">
        <v>6122</v>
      </c>
      <c r="U214" s="127" t="s">
        <v>7444</v>
      </c>
      <c r="V214" s="127" t="s">
        <v>99</v>
      </c>
      <c r="W214" s="127" t="s">
        <v>7617</v>
      </c>
      <c r="X214" s="127" t="s">
        <v>99</v>
      </c>
      <c r="Y214" s="127" t="s">
        <v>99</v>
      </c>
      <c r="Z214" s="127" t="s">
        <v>99</v>
      </c>
      <c r="AA214" s="127" t="s">
        <v>100</v>
      </c>
      <c r="AB214" s="127" t="s">
        <v>100</v>
      </c>
      <c r="AC214" s="127" t="s">
        <v>100</v>
      </c>
      <c r="AD214" s="127" t="s">
        <v>100</v>
      </c>
      <c r="AE214" s="127" t="s">
        <v>6126</v>
      </c>
      <c r="AF214" s="127" t="s">
        <v>99</v>
      </c>
      <c r="AG214" s="127" t="s">
        <v>99</v>
      </c>
      <c r="AH214" s="129" t="s">
        <v>5482</v>
      </c>
      <c r="AI214" s="127" t="s">
        <v>99</v>
      </c>
      <c r="AJ214" s="9" t="s">
        <v>99</v>
      </c>
      <c r="AK214" s="9" t="s">
        <v>99</v>
      </c>
      <c r="AL214" s="9">
        <v>87.2</v>
      </c>
      <c r="AM214" s="9">
        <v>167</v>
      </c>
      <c r="AN214" s="9">
        <v>100.8</v>
      </c>
      <c r="AO214" s="9">
        <v>108</v>
      </c>
      <c r="AP214" s="9">
        <v>34.9</v>
      </c>
      <c r="AQ214" s="9">
        <v>15</v>
      </c>
      <c r="AR214" s="9">
        <v>30.7</v>
      </c>
      <c r="AS214" s="9">
        <v>57</v>
      </c>
      <c r="AT214" s="9">
        <v>31.3</v>
      </c>
      <c r="AU214" s="9">
        <v>102</v>
      </c>
      <c r="AV214" s="9">
        <v>63</v>
      </c>
      <c r="AW214" s="9" t="s">
        <v>351</v>
      </c>
      <c r="AX214" s="9" t="s">
        <v>1128</v>
      </c>
      <c r="AY214" s="9" t="s">
        <v>364</v>
      </c>
      <c r="AZ214" s="9" t="s">
        <v>7708</v>
      </c>
      <c r="BA214" s="9" t="s">
        <v>351</v>
      </c>
      <c r="BB214" s="9" t="s">
        <v>5595</v>
      </c>
      <c r="BC214" s="9"/>
      <c r="BD214" s="9"/>
      <c r="BE214" s="9" t="s">
        <v>351</v>
      </c>
      <c r="BF214" s="9" t="s">
        <v>2653</v>
      </c>
      <c r="BG214" s="9" t="s">
        <v>176</v>
      </c>
      <c r="BH214" s="9" t="s">
        <v>1979</v>
      </c>
      <c r="BI214" s="9" t="s">
        <v>1979</v>
      </c>
      <c r="BJ214" s="9" t="s">
        <v>5412</v>
      </c>
      <c r="BK214" s="9" t="s">
        <v>5412</v>
      </c>
      <c r="BL214" s="9" t="s">
        <v>351</v>
      </c>
      <c r="BM214" s="9"/>
      <c r="BN214" s="9" t="s">
        <v>180</v>
      </c>
      <c r="BO214" s="9" t="s">
        <v>7729</v>
      </c>
      <c r="BP214" s="9" t="s">
        <v>179</v>
      </c>
      <c r="BQ214" s="9"/>
      <c r="BR214" s="9"/>
      <c r="BS214" s="9"/>
      <c r="BT214" s="9"/>
      <c r="BU214" s="9"/>
      <c r="BV214" s="9" t="s">
        <v>7730</v>
      </c>
      <c r="BW214" s="9"/>
      <c r="BX214" s="9"/>
      <c r="BY214" s="9" t="s">
        <v>351</v>
      </c>
      <c r="BZ214" s="9" t="s">
        <v>822</v>
      </c>
      <c r="CA214" s="9" t="s">
        <v>183</v>
      </c>
      <c r="CB214" s="9" t="s">
        <v>182</v>
      </c>
      <c r="CC214" s="9"/>
      <c r="CD214" s="9"/>
      <c r="CE214" s="9"/>
      <c r="CF214" s="9"/>
      <c r="CG214" s="9"/>
      <c r="CH214" s="9"/>
      <c r="CI214" s="9"/>
      <c r="CJ214" s="9"/>
      <c r="CK214" s="9"/>
      <c r="CL214" s="9" t="s">
        <v>1181</v>
      </c>
      <c r="CM214" s="9" t="s">
        <v>2590</v>
      </c>
      <c r="CN214" s="9"/>
      <c r="CO214" s="9"/>
      <c r="CP214" s="9" t="s">
        <v>362</v>
      </c>
      <c r="CQ214" s="9"/>
      <c r="CR214" s="9"/>
      <c r="CS214" s="9" t="s">
        <v>351</v>
      </c>
      <c r="CT214" s="9" t="s">
        <v>1729</v>
      </c>
      <c r="CU214" s="9"/>
      <c r="CV214" s="9"/>
      <c r="CW214" s="9">
        <v>5</v>
      </c>
      <c r="CX214" s="9" t="s">
        <v>5490</v>
      </c>
      <c r="CY214" s="9" t="s">
        <v>5490</v>
      </c>
      <c r="CZ214" s="9">
        <v>25</v>
      </c>
      <c r="DA214" s="9">
        <v>50</v>
      </c>
      <c r="DB214" s="9">
        <v>25</v>
      </c>
      <c r="DC214" s="10">
        <v>100.9</v>
      </c>
      <c r="DD214" s="10">
        <v>1.56</v>
      </c>
      <c r="DE214" s="9">
        <v>166</v>
      </c>
      <c r="DF214" s="10">
        <v>186</v>
      </c>
      <c r="DG214" s="9">
        <f t="shared" si="3"/>
        <v>4.9199383005363826</v>
      </c>
      <c r="DH214" s="9">
        <v>37.200000000000003</v>
      </c>
      <c r="DI214" s="10">
        <v>7.37</v>
      </c>
      <c r="DL214" s="10">
        <v>25.7</v>
      </c>
      <c r="DM214" s="9">
        <v>103.1</v>
      </c>
      <c r="DN214" s="9"/>
      <c r="DO214" s="9"/>
      <c r="DR214">
        <v>3</v>
      </c>
      <c r="DU214">
        <v>4.5</v>
      </c>
    </row>
    <row r="215" spans="1:125" customFormat="1" x14ac:dyDescent="0.2">
      <c r="A215" s="157" t="s">
        <v>7746</v>
      </c>
      <c r="B215" s="127"/>
      <c r="C215" s="127" t="s">
        <v>675</v>
      </c>
      <c r="D215" s="127">
        <v>48</v>
      </c>
      <c r="E215" s="127" t="s">
        <v>109</v>
      </c>
      <c r="F215" s="127">
        <v>26097</v>
      </c>
      <c r="G215" s="127" t="s">
        <v>837</v>
      </c>
      <c r="H215" s="127"/>
      <c r="I215" s="127"/>
      <c r="J215" s="127"/>
      <c r="K215" s="127"/>
      <c r="L215" s="127"/>
      <c r="M215" s="127" t="s">
        <v>99</v>
      </c>
      <c r="N215" s="127" t="s">
        <v>99</v>
      </c>
      <c r="O215" s="127" t="s">
        <v>7747</v>
      </c>
      <c r="P215" s="127" t="s">
        <v>7748</v>
      </c>
      <c r="Q215" s="127" t="s">
        <v>7749</v>
      </c>
      <c r="R215" s="127" t="s">
        <v>5490</v>
      </c>
      <c r="S215" s="127" t="s">
        <v>5490</v>
      </c>
      <c r="T215" s="127" t="s">
        <v>99</v>
      </c>
      <c r="U215" s="127" t="s">
        <v>99</v>
      </c>
      <c r="V215" s="127" t="s">
        <v>99</v>
      </c>
      <c r="W215" s="127" t="s">
        <v>7682</v>
      </c>
      <c r="X215" s="127"/>
      <c r="Y215" s="127"/>
      <c r="Z215" s="127"/>
      <c r="AA215" s="127" t="s">
        <v>109</v>
      </c>
      <c r="AB215" s="127" t="s">
        <v>109</v>
      </c>
      <c r="AC215" s="127" t="s">
        <v>109</v>
      </c>
      <c r="AD215" s="127" t="s">
        <v>109</v>
      </c>
      <c r="AE215" s="127" t="s">
        <v>7520</v>
      </c>
      <c r="AF215" s="127" t="s">
        <v>99</v>
      </c>
      <c r="AG215" s="127" t="s">
        <v>99</v>
      </c>
      <c r="AH215" s="129" t="s">
        <v>99</v>
      </c>
      <c r="AI215" s="127" t="s">
        <v>99</v>
      </c>
      <c r="AJ215" s="9" t="s">
        <v>99</v>
      </c>
      <c r="AK215" s="9" t="s">
        <v>99</v>
      </c>
      <c r="AL215" s="9">
        <v>80.099999999999994</v>
      </c>
      <c r="AM215" s="9">
        <v>167</v>
      </c>
      <c r="AN215" s="9">
        <v>106</v>
      </c>
      <c r="AO215" s="9">
        <v>103</v>
      </c>
      <c r="AP215" s="9">
        <v>32.799999999999997</v>
      </c>
      <c r="AQ215" s="9">
        <v>15</v>
      </c>
      <c r="AR215" s="9">
        <v>30.4</v>
      </c>
      <c r="AS215" s="9">
        <v>55</v>
      </c>
      <c r="AT215" s="9">
        <v>28.7</v>
      </c>
      <c r="AU215" s="9">
        <v>124</v>
      </c>
      <c r="AV215" s="9">
        <v>77</v>
      </c>
      <c r="AW215" s="9"/>
      <c r="AX215" s="9" t="s">
        <v>7495</v>
      </c>
      <c r="AY215" s="9"/>
      <c r="AZ215" s="9"/>
      <c r="BA215" s="9"/>
      <c r="BB215" s="9" t="s">
        <v>7451</v>
      </c>
      <c r="BC215" s="9"/>
      <c r="BD215" s="9"/>
      <c r="BE215" s="9"/>
      <c r="BF215" s="9" t="s">
        <v>7508</v>
      </c>
      <c r="BG215" s="9" t="s">
        <v>7451</v>
      </c>
      <c r="BH215" s="9" t="s">
        <v>7451</v>
      </c>
      <c r="BI215" s="9" t="s">
        <v>7451</v>
      </c>
      <c r="BJ215" s="9" t="s">
        <v>7493</v>
      </c>
      <c r="BK215" s="9" t="s">
        <v>7723</v>
      </c>
      <c r="BL215" s="9"/>
      <c r="BM215" s="9"/>
      <c r="BN215" s="9" t="s">
        <v>7495</v>
      </c>
      <c r="BO215" s="9"/>
      <c r="BP215" s="9"/>
      <c r="BQ215" s="9"/>
      <c r="BR215" s="9" t="s">
        <v>7682</v>
      </c>
      <c r="BS215" s="9"/>
      <c r="BT215" s="9"/>
      <c r="BU215" s="9"/>
      <c r="BV215" s="9" t="s">
        <v>7682</v>
      </c>
      <c r="BW215" s="9"/>
      <c r="BX215" s="9"/>
      <c r="BY215" s="9"/>
      <c r="BZ215" s="9" t="s">
        <v>7493</v>
      </c>
      <c r="CA215" s="9"/>
      <c r="CB215" s="9"/>
      <c r="CC215" s="9" t="s">
        <v>7682</v>
      </c>
      <c r="CD215" s="9"/>
      <c r="CE215" s="9"/>
      <c r="CF215" s="9"/>
      <c r="CG215" s="9"/>
      <c r="CH215" s="9" t="s">
        <v>7682</v>
      </c>
      <c r="CI215" s="9"/>
      <c r="CJ215" s="9"/>
      <c r="CK215" s="9"/>
      <c r="CL215" s="9" t="s">
        <v>7724</v>
      </c>
      <c r="CM215" s="9"/>
      <c r="CN215" s="9"/>
      <c r="CO215" s="9"/>
      <c r="CP215" s="9" t="s">
        <v>7750</v>
      </c>
      <c r="CQ215" s="9"/>
      <c r="CR215" s="9"/>
      <c r="CS215" s="9"/>
      <c r="CT215" s="9" t="s">
        <v>7751</v>
      </c>
      <c r="CU215" s="9"/>
      <c r="CV215" s="9"/>
      <c r="CW215" s="9">
        <v>3</v>
      </c>
      <c r="CX215" s="9" t="s">
        <v>99</v>
      </c>
      <c r="CY215" s="9" t="s">
        <v>5490</v>
      </c>
      <c r="CZ215" s="9">
        <v>25</v>
      </c>
      <c r="DA215" s="9">
        <v>10</v>
      </c>
      <c r="DB215" s="9">
        <v>65</v>
      </c>
      <c r="DC215" s="9">
        <v>95.4</v>
      </c>
      <c r="DD215" s="9">
        <v>0.97</v>
      </c>
      <c r="DE215" s="9">
        <v>171</v>
      </c>
      <c r="DF215" s="10">
        <v>180</v>
      </c>
      <c r="DG215" s="9">
        <f t="shared" si="3"/>
        <v>4.8755177146722257</v>
      </c>
      <c r="DH215" s="9">
        <v>36</v>
      </c>
      <c r="DI215" s="9">
        <v>5.59</v>
      </c>
      <c r="DJ215" s="9"/>
      <c r="DK215" s="9"/>
      <c r="DL215" s="10">
        <v>28.8</v>
      </c>
      <c r="DM215" s="9">
        <v>106.2</v>
      </c>
      <c r="DN215" s="9"/>
      <c r="DO215" s="9"/>
      <c r="DP215" s="53">
        <v>3</v>
      </c>
      <c r="DR215">
        <v>3</v>
      </c>
    </row>
    <row r="216" spans="1:125" customFormat="1" x14ac:dyDescent="0.2">
      <c r="A216" s="144" t="s">
        <v>7756</v>
      </c>
      <c r="B216" s="127">
        <v>43805</v>
      </c>
      <c r="C216" s="127" t="s">
        <v>675</v>
      </c>
      <c r="D216" s="127">
        <v>50</v>
      </c>
      <c r="E216" s="127" t="s">
        <v>100</v>
      </c>
      <c r="F216" s="127">
        <v>25190</v>
      </c>
      <c r="G216" s="127" t="s">
        <v>7685</v>
      </c>
      <c r="H216" s="127"/>
      <c r="I216" s="127"/>
      <c r="J216" s="127"/>
      <c r="K216" s="127"/>
      <c r="L216" s="127"/>
      <c r="M216" s="127" t="s">
        <v>7757</v>
      </c>
      <c r="N216" s="127" t="s">
        <v>7758</v>
      </c>
      <c r="O216" s="127" t="s">
        <v>5490</v>
      </c>
      <c r="P216" s="127" t="s">
        <v>5490</v>
      </c>
      <c r="Q216" s="127" t="s">
        <v>6121</v>
      </c>
      <c r="R216" s="127" t="s">
        <v>5490</v>
      </c>
      <c r="S216" s="127" t="s">
        <v>5490</v>
      </c>
      <c r="T216" s="127" t="s">
        <v>99</v>
      </c>
      <c r="U216" s="127" t="s">
        <v>7759</v>
      </c>
      <c r="V216" s="127" t="s">
        <v>7760</v>
      </c>
      <c r="W216" s="127" t="s">
        <v>7682</v>
      </c>
      <c r="X216" s="127"/>
      <c r="Y216" s="127"/>
      <c r="Z216" s="127"/>
      <c r="AA216" s="127" t="s">
        <v>100</v>
      </c>
      <c r="AB216" s="127" t="s">
        <v>840</v>
      </c>
      <c r="AC216" s="127" t="s">
        <v>100</v>
      </c>
      <c r="AD216" s="127" t="s">
        <v>840</v>
      </c>
      <c r="AE216" s="127" t="s">
        <v>99</v>
      </c>
      <c r="AF216" s="127" t="s">
        <v>99</v>
      </c>
      <c r="AG216" s="127" t="s">
        <v>7761</v>
      </c>
      <c r="AH216" s="129" t="s">
        <v>5482</v>
      </c>
      <c r="AI216" s="127" t="s">
        <v>99</v>
      </c>
      <c r="AJ216" s="9" t="s">
        <v>99</v>
      </c>
      <c r="AK216" s="9" t="s">
        <v>99</v>
      </c>
      <c r="AL216" s="9">
        <v>86.8</v>
      </c>
      <c r="AM216" s="9">
        <v>176</v>
      </c>
      <c r="AN216" s="9">
        <v>106</v>
      </c>
      <c r="AO216" s="9">
        <v>102</v>
      </c>
      <c r="AP216" s="9">
        <v>28.6</v>
      </c>
      <c r="AQ216" s="9">
        <v>11</v>
      </c>
      <c r="AR216" s="9">
        <v>32.6</v>
      </c>
      <c r="AS216" s="9">
        <v>60</v>
      </c>
      <c r="AT216" s="9">
        <v>28</v>
      </c>
      <c r="AU216" s="9">
        <v>127</v>
      </c>
      <c r="AV216" s="9">
        <v>74</v>
      </c>
      <c r="AW216" s="9"/>
      <c r="AX216" s="9" t="s">
        <v>7451</v>
      </c>
      <c r="AY216" s="9"/>
      <c r="AZ216" s="9"/>
      <c r="BA216" s="9"/>
      <c r="BB216" s="9" t="s">
        <v>7451</v>
      </c>
      <c r="BC216" s="9"/>
      <c r="BD216" s="9"/>
      <c r="BE216" s="9"/>
      <c r="BF216" s="9" t="s">
        <v>7451</v>
      </c>
      <c r="BG216" s="9" t="s">
        <v>7751</v>
      </c>
      <c r="BH216" s="9" t="s">
        <v>7493</v>
      </c>
      <c r="BI216" s="9" t="s">
        <v>7495</v>
      </c>
      <c r="BJ216" s="9" t="s">
        <v>7495</v>
      </c>
      <c r="BK216" s="9" t="s">
        <v>7762</v>
      </c>
      <c r="BL216" s="9"/>
      <c r="BM216" s="9"/>
      <c r="BN216" s="9" t="s">
        <v>7508</v>
      </c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 t="s">
        <v>7495</v>
      </c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 t="s">
        <v>7763</v>
      </c>
      <c r="CM216" s="9"/>
      <c r="CN216" s="9"/>
      <c r="CO216" s="9"/>
      <c r="CP216" s="9" t="s">
        <v>7698</v>
      </c>
      <c r="CQ216" s="9"/>
      <c r="CR216" s="9"/>
      <c r="CS216" s="9"/>
      <c r="CT216" s="9" t="s">
        <v>7508</v>
      </c>
      <c r="CU216" s="9"/>
      <c r="CV216" s="9"/>
      <c r="CW216" s="9">
        <v>3</v>
      </c>
      <c r="CX216" s="9" t="s">
        <v>99</v>
      </c>
      <c r="CY216" s="9" t="s">
        <v>99</v>
      </c>
      <c r="CZ216" s="9">
        <v>30</v>
      </c>
      <c r="DA216" s="9">
        <v>30</v>
      </c>
      <c r="DB216" s="9">
        <v>40</v>
      </c>
      <c r="DC216" s="14">
        <v>276.8</v>
      </c>
      <c r="DD216" s="9">
        <v>1.26</v>
      </c>
      <c r="DE216" s="9">
        <v>171</v>
      </c>
      <c r="DF216" s="9">
        <v>125</v>
      </c>
      <c r="DG216" s="9">
        <f t="shared" si="3"/>
        <v>5.2258044805229078</v>
      </c>
      <c r="DH216" s="9">
        <v>25</v>
      </c>
      <c r="DI216" s="9">
        <v>4.66</v>
      </c>
      <c r="DJ216" s="9"/>
      <c r="DK216" s="9"/>
      <c r="DL216" s="10">
        <v>34.700000000000003</v>
      </c>
      <c r="DM216" s="9">
        <v>111.3</v>
      </c>
      <c r="DN216" s="9"/>
      <c r="DO216" s="9"/>
      <c r="DP216" s="53">
        <v>3</v>
      </c>
      <c r="DR216">
        <v>3</v>
      </c>
      <c r="DU216">
        <v>3.7</v>
      </c>
    </row>
    <row r="217" spans="1:125" customFormat="1" x14ac:dyDescent="0.2">
      <c r="A217" s="144" t="s">
        <v>7830</v>
      </c>
      <c r="B217" s="128">
        <v>43805</v>
      </c>
      <c r="C217" s="127" t="s">
        <v>675</v>
      </c>
      <c r="D217" s="127">
        <v>29</v>
      </c>
      <c r="E217" s="127" t="s">
        <v>100</v>
      </c>
      <c r="F217" s="128">
        <v>32972</v>
      </c>
      <c r="G217" s="127" t="s">
        <v>837</v>
      </c>
      <c r="H217" s="127" t="s">
        <v>7831</v>
      </c>
      <c r="I217" s="127"/>
      <c r="J217" s="127"/>
      <c r="K217" s="127"/>
      <c r="L217" s="127"/>
      <c r="M217" s="127" t="s">
        <v>99</v>
      </c>
      <c r="N217" s="127" t="s">
        <v>99</v>
      </c>
      <c r="O217" s="127" t="s">
        <v>99</v>
      </c>
      <c r="P217" s="127" t="s">
        <v>99</v>
      </c>
      <c r="Q217" s="127" t="s">
        <v>99</v>
      </c>
      <c r="R217" s="127" t="s">
        <v>5406</v>
      </c>
      <c r="S217" s="127" t="s">
        <v>5490</v>
      </c>
      <c r="T217" s="127" t="s">
        <v>5451</v>
      </c>
      <c r="U217" s="127" t="s">
        <v>7832</v>
      </c>
      <c r="V217" s="127" t="s">
        <v>99</v>
      </c>
      <c r="W217" s="127" t="s">
        <v>7734</v>
      </c>
      <c r="X217" s="127" t="s">
        <v>99</v>
      </c>
      <c r="Y217" s="127" t="s">
        <v>99</v>
      </c>
      <c r="Z217" s="127" t="s">
        <v>99</v>
      </c>
      <c r="AA217" s="127" t="s">
        <v>100</v>
      </c>
      <c r="AB217" s="127" t="s">
        <v>100</v>
      </c>
      <c r="AC217" s="127" t="s">
        <v>100</v>
      </c>
      <c r="AD217" s="127" t="s">
        <v>100</v>
      </c>
      <c r="AE217" s="127" t="s">
        <v>7650</v>
      </c>
      <c r="AF217" s="127" t="s">
        <v>6075</v>
      </c>
      <c r="AG217" s="127" t="s">
        <v>7574</v>
      </c>
      <c r="AH217" s="129" t="s">
        <v>6074</v>
      </c>
      <c r="AI217" s="127" t="s">
        <v>99</v>
      </c>
      <c r="AJ217" s="9" t="s">
        <v>99</v>
      </c>
      <c r="AK217" s="9" t="s">
        <v>99</v>
      </c>
      <c r="AL217" s="9">
        <v>82.9</v>
      </c>
      <c r="AM217" s="9">
        <v>169</v>
      </c>
      <c r="AN217" s="9">
        <v>97</v>
      </c>
      <c r="AO217" s="9">
        <v>110</v>
      </c>
      <c r="AP217" s="9">
        <v>34.6</v>
      </c>
      <c r="AQ217" s="9">
        <v>12</v>
      </c>
      <c r="AR217" s="9">
        <v>31.1</v>
      </c>
      <c r="AS217" s="9">
        <v>51</v>
      </c>
      <c r="AT217" s="9">
        <v>29</v>
      </c>
      <c r="AU217" s="10">
        <v>137</v>
      </c>
      <c r="AV217" s="10">
        <v>99</v>
      </c>
      <c r="AW217" s="9" t="s">
        <v>351</v>
      </c>
      <c r="AX217" s="9" t="s">
        <v>592</v>
      </c>
      <c r="AY217" s="9" t="s">
        <v>573</v>
      </c>
      <c r="AZ217" s="9"/>
      <c r="BA217" s="9" t="s">
        <v>351</v>
      </c>
      <c r="BB217" s="9" t="s">
        <v>750</v>
      </c>
      <c r="BC217" s="9"/>
      <c r="BD217" s="9"/>
      <c r="BE217" s="9" t="s">
        <v>351</v>
      </c>
      <c r="BF217" s="9" t="s">
        <v>7602</v>
      </c>
      <c r="BG217" s="9" t="s">
        <v>350</v>
      </c>
      <c r="BH217" s="9" t="s">
        <v>351</v>
      </c>
      <c r="BI217" s="9" t="s">
        <v>350</v>
      </c>
      <c r="BJ217" s="9" t="s">
        <v>351</v>
      </c>
      <c r="BK217" s="9" t="s">
        <v>5412</v>
      </c>
      <c r="BL217" s="9" t="s">
        <v>350</v>
      </c>
      <c r="BM217" s="9"/>
      <c r="BN217" s="9" t="s">
        <v>179</v>
      </c>
      <c r="BO217" s="9" t="s">
        <v>125</v>
      </c>
      <c r="BP217" s="9" t="s">
        <v>219</v>
      </c>
      <c r="BQ217" s="9"/>
      <c r="BR217" s="9"/>
      <c r="BS217" s="9"/>
      <c r="BT217" s="9"/>
      <c r="BU217" s="9"/>
      <c r="BV217" s="9"/>
      <c r="BW217" s="9"/>
      <c r="BX217" s="9"/>
      <c r="BY217" s="9" t="s">
        <v>350</v>
      </c>
      <c r="BZ217" s="9" t="s">
        <v>1730</v>
      </c>
      <c r="CA217" s="9" t="s">
        <v>182</v>
      </c>
      <c r="CB217" s="9" t="s">
        <v>183</v>
      </c>
      <c r="CC217" s="9"/>
      <c r="CD217" s="9"/>
      <c r="CE217" s="9"/>
      <c r="CF217" s="9"/>
      <c r="CG217" s="9"/>
      <c r="CH217" s="9"/>
      <c r="CI217" s="9"/>
      <c r="CJ217" s="9"/>
      <c r="CK217" s="9" t="s">
        <v>351</v>
      </c>
      <c r="CL217" s="9" t="s">
        <v>1181</v>
      </c>
      <c r="CM217" s="9" t="s">
        <v>2590</v>
      </c>
      <c r="CN217" s="9" t="s">
        <v>980</v>
      </c>
      <c r="CO217" s="9"/>
      <c r="CP217" s="9" t="s">
        <v>362</v>
      </c>
      <c r="CQ217" s="9"/>
      <c r="CR217" s="9"/>
      <c r="CS217" s="9" t="s">
        <v>350</v>
      </c>
      <c r="CT217" s="9" t="s">
        <v>2411</v>
      </c>
      <c r="CU217" s="9" t="s">
        <v>1729</v>
      </c>
      <c r="CV217" s="9"/>
      <c r="CW217" s="9">
        <v>3</v>
      </c>
      <c r="CX217" s="9" t="s">
        <v>5490</v>
      </c>
      <c r="CY217" s="9"/>
      <c r="CZ217" s="9"/>
      <c r="DA217" s="9"/>
      <c r="DB217" s="9"/>
      <c r="DC217" s="139">
        <v>101</v>
      </c>
      <c r="DD217" s="53">
        <v>0.73</v>
      </c>
      <c r="DE217" s="53">
        <v>180</v>
      </c>
      <c r="DF217" s="139">
        <v>247</v>
      </c>
      <c r="DG217" s="9">
        <f t="shared" si="3"/>
        <v>5.0622544267346186</v>
      </c>
      <c r="DH217" s="53">
        <v>49.4</v>
      </c>
      <c r="DI217" s="139">
        <v>7.61</v>
      </c>
      <c r="DL217" s="139">
        <v>35.200000000000003</v>
      </c>
      <c r="DM217" s="53">
        <v>95.4</v>
      </c>
      <c r="DN217" s="9"/>
      <c r="DO217" s="9"/>
      <c r="DU217">
        <v>9.4</v>
      </c>
    </row>
    <row r="218" spans="1:125" s="33" customFormat="1" x14ac:dyDescent="0.2">
      <c r="A218" s="157" t="s">
        <v>7900</v>
      </c>
      <c r="B218" s="179">
        <v>43802</v>
      </c>
      <c r="C218" s="140" t="s">
        <v>196</v>
      </c>
      <c r="D218" s="140">
        <v>62</v>
      </c>
      <c r="E218" s="140" t="s">
        <v>100</v>
      </c>
      <c r="F218" s="179">
        <v>20908</v>
      </c>
      <c r="G218" s="140" t="s">
        <v>500</v>
      </c>
      <c r="H218" s="140" t="s">
        <v>7901</v>
      </c>
      <c r="I218" s="140" t="s">
        <v>500</v>
      </c>
      <c r="J218" s="140" t="s">
        <v>500</v>
      </c>
      <c r="K218" s="179">
        <v>30466</v>
      </c>
      <c r="L218" s="140">
        <v>5</v>
      </c>
      <c r="M218" s="140" t="s">
        <v>99</v>
      </c>
      <c r="N218" s="140" t="s">
        <v>99</v>
      </c>
      <c r="O218" s="140" t="s">
        <v>99</v>
      </c>
      <c r="P218" s="140" t="s">
        <v>99</v>
      </c>
      <c r="Q218" s="140" t="s">
        <v>99</v>
      </c>
      <c r="R218" s="140" t="s">
        <v>99</v>
      </c>
      <c r="S218" s="140" t="s">
        <v>99</v>
      </c>
      <c r="T218" s="140" t="s">
        <v>99</v>
      </c>
      <c r="U218" s="140" t="s">
        <v>99</v>
      </c>
      <c r="V218" s="140" t="s">
        <v>7902</v>
      </c>
      <c r="W218" s="140" t="s">
        <v>99</v>
      </c>
      <c r="X218" s="140" t="s">
        <v>99</v>
      </c>
      <c r="Y218" s="140" t="s">
        <v>99</v>
      </c>
      <c r="Z218" s="140" t="s">
        <v>7903</v>
      </c>
      <c r="AA218" s="140" t="s">
        <v>100</v>
      </c>
      <c r="AB218" s="140" t="s">
        <v>100</v>
      </c>
      <c r="AC218" s="140" t="s">
        <v>100</v>
      </c>
      <c r="AD218" s="140" t="s">
        <v>100</v>
      </c>
      <c r="AE218" s="140" t="s">
        <v>99</v>
      </c>
      <c r="AF218" s="140" t="s">
        <v>110</v>
      </c>
      <c r="AG218" s="140" t="s">
        <v>99</v>
      </c>
      <c r="AH218" s="180" t="s">
        <v>99</v>
      </c>
      <c r="AI218" s="140" t="s">
        <v>99</v>
      </c>
      <c r="AJ218" s="30" t="s">
        <v>99</v>
      </c>
      <c r="AK218" s="30" t="s">
        <v>99</v>
      </c>
      <c r="AL218" s="30">
        <v>70.8</v>
      </c>
      <c r="AM218" s="30">
        <v>147</v>
      </c>
      <c r="AN218" s="30">
        <v>93</v>
      </c>
      <c r="AO218" s="30">
        <v>111</v>
      </c>
      <c r="AP218" s="30">
        <v>45.9</v>
      </c>
      <c r="AQ218" s="30">
        <v>12</v>
      </c>
      <c r="AR218" s="30">
        <v>23.7</v>
      </c>
      <c r="AS218" s="30">
        <v>75</v>
      </c>
      <c r="AT218" s="30">
        <v>32.799999999999997</v>
      </c>
      <c r="AU218" s="10">
        <v>131</v>
      </c>
      <c r="AV218" s="30">
        <v>68</v>
      </c>
      <c r="AW218" s="30" t="s">
        <v>110</v>
      </c>
      <c r="AX218" s="30" t="s">
        <v>5826</v>
      </c>
      <c r="AY218" s="30" t="s">
        <v>500</v>
      </c>
      <c r="AZ218" s="30" t="s">
        <v>500</v>
      </c>
      <c r="BA218" s="30" t="s">
        <v>110</v>
      </c>
      <c r="BB218" s="30" t="s">
        <v>7904</v>
      </c>
      <c r="BC218" s="30" t="s">
        <v>500</v>
      </c>
      <c r="BD218" s="30" t="s">
        <v>500</v>
      </c>
      <c r="BE218" s="30" t="s">
        <v>110</v>
      </c>
      <c r="BF218" s="30" t="s">
        <v>350</v>
      </c>
      <c r="BG218" s="30" t="s">
        <v>1979</v>
      </c>
      <c r="BH218" s="30" t="s">
        <v>99</v>
      </c>
      <c r="BI218" s="30" t="s">
        <v>99</v>
      </c>
      <c r="BJ218" s="30" t="s">
        <v>1979</v>
      </c>
      <c r="BK218" s="30" t="s">
        <v>5510</v>
      </c>
      <c r="BL218" s="30" t="s">
        <v>110</v>
      </c>
      <c r="BM218" s="30" t="s">
        <v>176</v>
      </c>
      <c r="BN218" s="30" t="s">
        <v>500</v>
      </c>
      <c r="BO218" s="30" t="s">
        <v>500</v>
      </c>
      <c r="BP218" s="30" t="s">
        <v>500</v>
      </c>
      <c r="BQ218" s="30" t="s">
        <v>99</v>
      </c>
      <c r="BR218" s="30" t="s">
        <v>500</v>
      </c>
      <c r="BS218" s="30" t="s">
        <v>500</v>
      </c>
      <c r="BT218" s="30" t="s">
        <v>500</v>
      </c>
      <c r="BU218" s="30" t="s">
        <v>99</v>
      </c>
      <c r="BV218" s="30" t="s">
        <v>500</v>
      </c>
      <c r="BW218" s="30" t="s">
        <v>500</v>
      </c>
      <c r="BX218" s="30" t="s">
        <v>500</v>
      </c>
      <c r="BY218" s="30" t="s">
        <v>351</v>
      </c>
      <c r="BZ218" s="30" t="s">
        <v>500</v>
      </c>
      <c r="CA218" s="30" t="s">
        <v>500</v>
      </c>
      <c r="CB218" s="30" t="s">
        <v>500</v>
      </c>
      <c r="CC218" s="30" t="s">
        <v>99</v>
      </c>
      <c r="CD218" s="30" t="s">
        <v>500</v>
      </c>
      <c r="CE218" s="30" t="s">
        <v>500</v>
      </c>
      <c r="CF218" s="30" t="s">
        <v>500</v>
      </c>
      <c r="CG218" s="30" t="s">
        <v>99</v>
      </c>
      <c r="CH218" s="30" t="s">
        <v>500</v>
      </c>
      <c r="CI218" s="30" t="s">
        <v>500</v>
      </c>
      <c r="CJ218" s="30" t="s">
        <v>500</v>
      </c>
      <c r="CK218" s="30" t="s">
        <v>350</v>
      </c>
      <c r="CL218" s="30" t="s">
        <v>500</v>
      </c>
      <c r="CM218" s="30" t="s">
        <v>500</v>
      </c>
      <c r="CN218" s="30" t="s">
        <v>500</v>
      </c>
      <c r="CO218" s="30" t="s">
        <v>500</v>
      </c>
      <c r="CP218" s="30" t="s">
        <v>500</v>
      </c>
      <c r="CQ218" s="30" t="s">
        <v>500</v>
      </c>
      <c r="CR218" s="30" t="s">
        <v>500</v>
      </c>
      <c r="CS218" s="30" t="s">
        <v>500</v>
      </c>
      <c r="CT218" s="30" t="s">
        <v>500</v>
      </c>
      <c r="CU218" s="30" t="s">
        <v>500</v>
      </c>
      <c r="CV218" s="30" t="s">
        <v>500</v>
      </c>
      <c r="CW218" s="30">
        <v>4</v>
      </c>
      <c r="CX218" s="30" t="s">
        <v>110</v>
      </c>
      <c r="CY218" s="30" t="s">
        <v>99</v>
      </c>
      <c r="CZ218" s="30">
        <v>15</v>
      </c>
      <c r="DA218" s="30">
        <v>10</v>
      </c>
      <c r="DB218" s="30" t="s">
        <v>500</v>
      </c>
      <c r="DC218" s="30">
        <v>76.7</v>
      </c>
      <c r="DD218" s="30">
        <v>1.03</v>
      </c>
      <c r="DE218" s="30">
        <v>152</v>
      </c>
      <c r="DF218" s="10">
        <v>181</v>
      </c>
      <c r="DG218" s="9">
        <f t="shared" si="3"/>
        <v>4.7691993698195185</v>
      </c>
      <c r="DH218" s="30">
        <v>36.200000000000003</v>
      </c>
      <c r="DI218" s="30">
        <v>5.37</v>
      </c>
      <c r="DJ218" s="30"/>
      <c r="DK218" s="30"/>
      <c r="DL218" s="10">
        <v>44.4</v>
      </c>
      <c r="DM218" s="30">
        <v>71.400000000000006</v>
      </c>
      <c r="DN218" s="30"/>
      <c r="DO218" s="30"/>
      <c r="DR218" s="33">
        <v>3</v>
      </c>
    </row>
    <row r="219" spans="1:125" s="33" customFormat="1" x14ac:dyDescent="0.2">
      <c r="A219" s="163" t="s">
        <v>7914</v>
      </c>
      <c r="B219" s="182">
        <v>43802</v>
      </c>
      <c r="C219" s="162" t="s">
        <v>675</v>
      </c>
      <c r="D219" s="162">
        <v>27</v>
      </c>
      <c r="E219" s="162" t="s">
        <v>100</v>
      </c>
      <c r="F219" s="32">
        <v>33640</v>
      </c>
      <c r="G219" s="162" t="s">
        <v>837</v>
      </c>
      <c r="H219" s="162" t="s">
        <v>7106</v>
      </c>
      <c r="I219" s="162" t="s">
        <v>500</v>
      </c>
      <c r="J219" s="162" t="s">
        <v>500</v>
      </c>
      <c r="K219" s="162" t="s">
        <v>500</v>
      </c>
      <c r="L219" s="162" t="s">
        <v>500</v>
      </c>
      <c r="M219" s="162" t="s">
        <v>99</v>
      </c>
      <c r="N219" s="162" t="s">
        <v>99</v>
      </c>
      <c r="O219" s="162" t="s">
        <v>99</v>
      </c>
      <c r="P219" s="162" t="s">
        <v>7915</v>
      </c>
      <c r="Q219" s="162" t="s">
        <v>690</v>
      </c>
      <c r="R219" s="162" t="s">
        <v>7916</v>
      </c>
      <c r="S219" s="162" t="s">
        <v>5451</v>
      </c>
      <c r="T219" s="162" t="s">
        <v>7917</v>
      </c>
      <c r="U219" s="162" t="s">
        <v>99</v>
      </c>
      <c r="V219" s="162" t="s">
        <v>99</v>
      </c>
      <c r="W219" s="162" t="s">
        <v>99</v>
      </c>
      <c r="X219" s="162" t="s">
        <v>99</v>
      </c>
      <c r="Y219" s="162" t="s">
        <v>99</v>
      </c>
      <c r="Z219" s="162" t="s">
        <v>5942</v>
      </c>
      <c r="AA219" s="162" t="s">
        <v>100</v>
      </c>
      <c r="AB219" s="162" t="s">
        <v>100</v>
      </c>
      <c r="AC219" s="162" t="s">
        <v>100</v>
      </c>
      <c r="AD219" s="162" t="s">
        <v>100</v>
      </c>
      <c r="AE219" s="162" t="s">
        <v>99</v>
      </c>
      <c r="AF219" s="162" t="s">
        <v>343</v>
      </c>
      <c r="AG219" s="162" t="s">
        <v>7318</v>
      </c>
      <c r="AH219" s="145" t="s">
        <v>99</v>
      </c>
      <c r="AI219" s="162" t="s">
        <v>99</v>
      </c>
      <c r="AJ219" s="60" t="s">
        <v>99</v>
      </c>
      <c r="AK219" s="60" t="s">
        <v>99</v>
      </c>
      <c r="AL219" s="60">
        <v>74.3</v>
      </c>
      <c r="AM219" s="60">
        <v>167</v>
      </c>
      <c r="AN219" s="60">
        <v>90</v>
      </c>
      <c r="AO219" s="60">
        <v>97</v>
      </c>
      <c r="AP219" s="60">
        <v>28</v>
      </c>
      <c r="AQ219" s="60">
        <v>10</v>
      </c>
      <c r="AR219" s="60">
        <v>35.700000000000003</v>
      </c>
      <c r="AS219" s="60">
        <v>39</v>
      </c>
      <c r="AT219" s="60">
        <v>26.6</v>
      </c>
      <c r="AU219" s="60">
        <v>129</v>
      </c>
      <c r="AV219" s="60">
        <v>76</v>
      </c>
      <c r="AW219" s="60" t="s">
        <v>350</v>
      </c>
      <c r="AX219" s="60" t="s">
        <v>1128</v>
      </c>
      <c r="AY219" s="60" t="s">
        <v>2937</v>
      </c>
      <c r="AZ219" s="60" t="s">
        <v>3844</v>
      </c>
      <c r="BA219" s="60" t="s">
        <v>351</v>
      </c>
      <c r="BB219" s="60" t="s">
        <v>7918</v>
      </c>
      <c r="BC219" s="60" t="s">
        <v>2053</v>
      </c>
      <c r="BD219" s="60" t="s">
        <v>1080</v>
      </c>
      <c r="BE219" s="60" t="s">
        <v>110</v>
      </c>
      <c r="BF219" s="60" t="s">
        <v>212</v>
      </c>
      <c r="BG219" s="60" t="s">
        <v>707</v>
      </c>
      <c r="BH219" s="60" t="s">
        <v>213</v>
      </c>
      <c r="BI219" s="60" t="s">
        <v>176</v>
      </c>
      <c r="BJ219" s="60" t="s">
        <v>5441</v>
      </c>
      <c r="BK219" s="60" t="s">
        <v>682</v>
      </c>
      <c r="BL219" s="60" t="s">
        <v>110</v>
      </c>
      <c r="BM219" s="60" t="s">
        <v>350</v>
      </c>
      <c r="BN219" s="60" t="s">
        <v>179</v>
      </c>
      <c r="BO219" s="60" t="s">
        <v>219</v>
      </c>
      <c r="BP219" s="60" t="s">
        <v>180</v>
      </c>
      <c r="BQ219" s="60" t="s">
        <v>99</v>
      </c>
      <c r="BR219" s="60" t="s">
        <v>500</v>
      </c>
      <c r="BS219" s="60" t="s">
        <v>500</v>
      </c>
      <c r="BT219" s="60" t="s">
        <v>500</v>
      </c>
      <c r="BU219" s="60" t="s">
        <v>99</v>
      </c>
      <c r="BV219" s="60" t="s">
        <v>500</v>
      </c>
      <c r="BW219" s="60" t="s">
        <v>500</v>
      </c>
      <c r="BX219" s="60" t="s">
        <v>500</v>
      </c>
      <c r="BY219" s="60" t="s">
        <v>351</v>
      </c>
      <c r="BZ219" s="60" t="s">
        <v>7919</v>
      </c>
      <c r="CA219" s="60" t="s">
        <v>709</v>
      </c>
      <c r="CB219" s="60" t="s">
        <v>821</v>
      </c>
      <c r="CC219" s="60" t="s">
        <v>99</v>
      </c>
      <c r="CD219" s="60" t="s">
        <v>500</v>
      </c>
      <c r="CE219" s="60" t="s">
        <v>500</v>
      </c>
      <c r="CF219" s="60" t="s">
        <v>500</v>
      </c>
      <c r="CG219" s="60" t="s">
        <v>99</v>
      </c>
      <c r="CH219" s="60" t="s">
        <v>500</v>
      </c>
      <c r="CI219" s="60" t="s">
        <v>500</v>
      </c>
      <c r="CJ219" s="60" t="s">
        <v>500</v>
      </c>
      <c r="CK219" s="60" t="s">
        <v>176</v>
      </c>
      <c r="CL219" s="60" t="s">
        <v>1181</v>
      </c>
      <c r="CM219" s="60" t="s">
        <v>825</v>
      </c>
      <c r="CN219" s="60" t="s">
        <v>7920</v>
      </c>
      <c r="CO219" s="60" t="s">
        <v>176</v>
      </c>
      <c r="CP219" s="60" t="s">
        <v>362</v>
      </c>
      <c r="CQ219" s="60" t="s">
        <v>716</v>
      </c>
      <c r="CR219" s="60" t="s">
        <v>361</v>
      </c>
      <c r="CS219" s="60" t="s">
        <v>350</v>
      </c>
      <c r="CT219" s="60" t="s">
        <v>5305</v>
      </c>
      <c r="CU219" s="60" t="s">
        <v>5199</v>
      </c>
      <c r="CV219" s="60" t="s">
        <v>500</v>
      </c>
      <c r="CW219" s="60">
        <v>3</v>
      </c>
      <c r="CX219" s="60" t="s">
        <v>99</v>
      </c>
      <c r="CY219" s="60" t="s">
        <v>110</v>
      </c>
      <c r="CZ219" s="178">
        <v>60</v>
      </c>
      <c r="DA219" s="31">
        <v>20</v>
      </c>
      <c r="DB219" s="31">
        <v>20</v>
      </c>
      <c r="DC219" s="33">
        <v>86.7</v>
      </c>
      <c r="DD219" s="33">
        <v>1.22</v>
      </c>
      <c r="DE219" s="108">
        <v>223</v>
      </c>
      <c r="DF219" s="108">
        <v>214</v>
      </c>
      <c r="DG219" s="9">
        <f t="shared" si="3"/>
        <v>4.9142149494041742</v>
      </c>
      <c r="DH219" s="33">
        <v>42.8</v>
      </c>
      <c r="DI219" s="108">
        <v>8.51</v>
      </c>
      <c r="DL219" s="108">
        <v>40.200000000000003</v>
      </c>
      <c r="DM219" s="33">
        <v>140</v>
      </c>
    </row>
    <row r="220" spans="1:125" s="33" customFormat="1" x14ac:dyDescent="0.2">
      <c r="A220" s="164" t="s">
        <v>7921</v>
      </c>
      <c r="B220" s="32">
        <v>43802</v>
      </c>
      <c r="C220" s="162" t="s">
        <v>196</v>
      </c>
      <c r="D220" s="162">
        <v>52</v>
      </c>
      <c r="E220" s="162" t="s">
        <v>100</v>
      </c>
      <c r="F220" s="32">
        <v>24612</v>
      </c>
      <c r="G220" s="162" t="s">
        <v>2495</v>
      </c>
      <c r="H220" s="162" t="s">
        <v>5515</v>
      </c>
      <c r="I220" s="162" t="s">
        <v>236</v>
      </c>
      <c r="J220" s="162" t="s">
        <v>2857</v>
      </c>
      <c r="K220" s="145" t="s">
        <v>7922</v>
      </c>
      <c r="L220" s="31">
        <v>6</v>
      </c>
      <c r="M220" s="162" t="s">
        <v>99</v>
      </c>
      <c r="N220" s="162" t="s">
        <v>99</v>
      </c>
      <c r="O220" s="162" t="s">
        <v>7923</v>
      </c>
      <c r="P220" s="162" t="s">
        <v>99</v>
      </c>
      <c r="Q220" s="162" t="s">
        <v>99</v>
      </c>
      <c r="R220" s="162" t="s">
        <v>110</v>
      </c>
      <c r="S220" s="162" t="s">
        <v>110</v>
      </c>
      <c r="T220" s="162" t="s">
        <v>99</v>
      </c>
      <c r="U220" s="162" t="s">
        <v>99</v>
      </c>
      <c r="V220" s="162" t="s">
        <v>99</v>
      </c>
      <c r="W220" s="162" t="s">
        <v>7924</v>
      </c>
      <c r="X220" s="162" t="s">
        <v>99</v>
      </c>
      <c r="Y220" s="162" t="s">
        <v>2949</v>
      </c>
      <c r="Z220" s="162" t="s">
        <v>99</v>
      </c>
      <c r="AA220" s="162" t="s">
        <v>204</v>
      </c>
      <c r="AB220" s="162" t="s">
        <v>100</v>
      </c>
      <c r="AC220" s="162" t="s">
        <v>204</v>
      </c>
      <c r="AD220" s="162" t="s">
        <v>100</v>
      </c>
      <c r="AE220" s="162" t="s">
        <v>7925</v>
      </c>
      <c r="AF220" s="162" t="s">
        <v>99</v>
      </c>
      <c r="AG220" s="162" t="s">
        <v>1127</v>
      </c>
      <c r="AH220" s="145" t="s">
        <v>1127</v>
      </c>
      <c r="AI220" s="162" t="s">
        <v>99</v>
      </c>
      <c r="AJ220" s="60" t="s">
        <v>99</v>
      </c>
      <c r="AK220" s="60" t="s">
        <v>99</v>
      </c>
      <c r="AL220" s="60">
        <v>75.599999999999994</v>
      </c>
      <c r="AM220" s="60">
        <v>152</v>
      </c>
      <c r="AN220" s="60">
        <v>94</v>
      </c>
      <c r="AO220" s="60">
        <v>110</v>
      </c>
      <c r="AP220" s="60">
        <v>50.2</v>
      </c>
      <c r="AQ220" s="60">
        <v>11</v>
      </c>
      <c r="AR220" s="60">
        <v>20.9</v>
      </c>
      <c r="AS220" s="60">
        <v>70</v>
      </c>
      <c r="AT220" s="60">
        <v>32.700000000000003</v>
      </c>
      <c r="AU220" s="60">
        <v>104</v>
      </c>
      <c r="AV220" s="60">
        <v>76</v>
      </c>
      <c r="AW220" s="60" t="s">
        <v>176</v>
      </c>
      <c r="AX220" s="60" t="s">
        <v>7926</v>
      </c>
      <c r="AY220" s="60" t="s">
        <v>7927</v>
      </c>
      <c r="AZ220" s="60" t="s">
        <v>1128</v>
      </c>
      <c r="BA220" s="60" t="s">
        <v>350</v>
      </c>
      <c r="BB220" s="60" t="s">
        <v>2938</v>
      </c>
      <c r="BC220" s="60" t="s">
        <v>1080</v>
      </c>
      <c r="BD220" s="60" t="s">
        <v>500</v>
      </c>
      <c r="BE220" s="60" t="s">
        <v>110</v>
      </c>
      <c r="BF220" s="60" t="s">
        <v>7904</v>
      </c>
      <c r="BG220" s="60" t="s">
        <v>1469</v>
      </c>
      <c r="BH220" s="60" t="s">
        <v>99</v>
      </c>
      <c r="BI220" s="60" t="s">
        <v>707</v>
      </c>
      <c r="BJ220" s="60" t="s">
        <v>99</v>
      </c>
      <c r="BK220" s="60" t="s">
        <v>7904</v>
      </c>
      <c r="BL220" s="60" t="s">
        <v>110</v>
      </c>
      <c r="BM220" s="60" t="s">
        <v>212</v>
      </c>
      <c r="BN220" s="60" t="s">
        <v>180</v>
      </c>
      <c r="BO220" s="60" t="s">
        <v>219</v>
      </c>
      <c r="BP220" s="60" t="s">
        <v>125</v>
      </c>
      <c r="BQ220" s="60" t="s">
        <v>99</v>
      </c>
      <c r="BR220" s="60" t="s">
        <v>500</v>
      </c>
      <c r="BS220" s="60" t="s">
        <v>500</v>
      </c>
      <c r="BT220" s="60" t="s">
        <v>500</v>
      </c>
      <c r="BU220" s="60" t="s">
        <v>350</v>
      </c>
      <c r="BV220" s="60" t="s">
        <v>857</v>
      </c>
      <c r="BW220" s="60" t="s">
        <v>500</v>
      </c>
      <c r="BX220" s="60" t="s">
        <v>500</v>
      </c>
      <c r="BY220" s="60" t="s">
        <v>351</v>
      </c>
      <c r="BZ220" s="60" t="s">
        <v>182</v>
      </c>
      <c r="CA220" s="60" t="s">
        <v>183</v>
      </c>
      <c r="CB220" s="60" t="s">
        <v>1137</v>
      </c>
      <c r="CC220" s="60" t="s">
        <v>350</v>
      </c>
      <c r="CD220" s="60" t="s">
        <v>7928</v>
      </c>
      <c r="CE220" s="60" t="s">
        <v>821</v>
      </c>
      <c r="CF220" s="60" t="s">
        <v>500</v>
      </c>
      <c r="CG220" s="60" t="s">
        <v>110</v>
      </c>
      <c r="CH220" s="60" t="s">
        <v>5474</v>
      </c>
      <c r="CI220" s="60" t="s">
        <v>500</v>
      </c>
      <c r="CJ220" s="60" t="s">
        <v>500</v>
      </c>
      <c r="CK220" s="60" t="s">
        <v>176</v>
      </c>
      <c r="CL220" s="60" t="s">
        <v>579</v>
      </c>
      <c r="CM220" s="60" t="s">
        <v>980</v>
      </c>
      <c r="CN220" s="60" t="s">
        <v>4827</v>
      </c>
      <c r="CO220" s="60" t="s">
        <v>176</v>
      </c>
      <c r="CP220" s="60" t="s">
        <v>716</v>
      </c>
      <c r="CQ220" s="60" t="s">
        <v>361</v>
      </c>
      <c r="CR220" s="60" t="s">
        <v>500</v>
      </c>
      <c r="CS220" s="60" t="s">
        <v>350</v>
      </c>
      <c r="CT220" s="60" t="s">
        <v>363</v>
      </c>
      <c r="CU220" s="60" t="s">
        <v>500</v>
      </c>
      <c r="CV220" s="60" t="s">
        <v>500</v>
      </c>
      <c r="CW220" s="60">
        <v>3</v>
      </c>
      <c r="CX220" s="60" t="s">
        <v>99</v>
      </c>
      <c r="CY220" s="60" t="s">
        <v>2756</v>
      </c>
      <c r="CZ220" s="178">
        <v>30</v>
      </c>
      <c r="DA220" s="31">
        <v>10</v>
      </c>
      <c r="DB220" s="31">
        <v>40</v>
      </c>
      <c r="DC220" s="33">
        <v>84.2</v>
      </c>
      <c r="DD220" s="33">
        <v>1.1000000000000001</v>
      </c>
      <c r="DE220" s="108">
        <v>214</v>
      </c>
      <c r="DF220" s="108">
        <v>152</v>
      </c>
      <c r="DG220" s="9">
        <f t="shared" si="3"/>
        <v>4.728537721047279</v>
      </c>
      <c r="DH220" s="33">
        <v>30.4</v>
      </c>
      <c r="DI220" s="33">
        <v>4.68</v>
      </c>
      <c r="DL220" s="108">
        <v>46.3</v>
      </c>
      <c r="DM220" s="33">
        <v>137.30000000000001</v>
      </c>
    </row>
    <row r="221" spans="1:125" x14ac:dyDescent="0.2">
      <c r="A221" s="189" t="s">
        <v>7966</v>
      </c>
      <c r="C221" s="9" t="s">
        <v>95</v>
      </c>
      <c r="D221" s="6">
        <v>54</v>
      </c>
      <c r="E221" s="9" t="s">
        <v>100</v>
      </c>
      <c r="AL221" s="6">
        <v>105.3</v>
      </c>
      <c r="AN221" s="6">
        <v>127</v>
      </c>
      <c r="AO221" s="6">
        <v>147</v>
      </c>
      <c r="AP221" s="6">
        <v>52.6</v>
      </c>
      <c r="AQ221" s="6"/>
      <c r="AR221" s="6">
        <v>44.7</v>
      </c>
      <c r="AT221" s="16">
        <v>50.78</v>
      </c>
      <c r="AU221" s="15">
        <v>132</v>
      </c>
      <c r="AV221" s="15">
        <v>84</v>
      </c>
      <c r="DC221" s="15">
        <v>114</v>
      </c>
      <c r="DE221" s="15">
        <v>243</v>
      </c>
      <c r="DF221" s="15">
        <v>156</v>
      </c>
      <c r="DG221" s="9">
        <f t="shared" si="3"/>
        <v>4.8930272278220164</v>
      </c>
      <c r="DP221" s="193">
        <v>3</v>
      </c>
      <c r="DQ221" s="6" t="s">
        <v>112</v>
      </c>
      <c r="DR221" s="6">
        <v>2</v>
      </c>
    </row>
    <row r="222" spans="1:125" x14ac:dyDescent="0.2">
      <c r="A222" s="191" t="s">
        <v>7968</v>
      </c>
      <c r="C222" s="9" t="s">
        <v>95</v>
      </c>
      <c r="D222" s="6">
        <v>49</v>
      </c>
      <c r="E222" s="9" t="s">
        <v>100</v>
      </c>
      <c r="AL222" s="6">
        <v>69.400000000000006</v>
      </c>
      <c r="AN222" s="6">
        <v>92</v>
      </c>
      <c r="AO222" s="6">
        <v>100</v>
      </c>
      <c r="AP222" s="6">
        <v>37.700000000000003</v>
      </c>
      <c r="AQ222" s="6">
        <v>9</v>
      </c>
      <c r="AR222" s="6">
        <v>27.8</v>
      </c>
      <c r="AS222" s="6">
        <v>58</v>
      </c>
      <c r="AT222" s="6">
        <v>28.5</v>
      </c>
      <c r="AU222" s="6">
        <v>111</v>
      </c>
      <c r="AV222" s="6">
        <v>83</v>
      </c>
      <c r="DC222" s="15">
        <v>122</v>
      </c>
      <c r="DD222" s="6">
        <v>0.7</v>
      </c>
      <c r="DE222" s="15">
        <v>258</v>
      </c>
      <c r="DF222" s="16">
        <v>532</v>
      </c>
      <c r="DG222" s="9">
        <f t="shared" si="3"/>
        <v>5.5403322670374502</v>
      </c>
      <c r="DH222" s="6">
        <v>106</v>
      </c>
      <c r="DL222" s="6">
        <v>33.299999999999997</v>
      </c>
      <c r="DM222" s="6">
        <v>119</v>
      </c>
      <c r="DN222" s="6"/>
      <c r="DP222" s="192">
        <v>3</v>
      </c>
      <c r="DQ222" s="6"/>
      <c r="DR222" s="6"/>
    </row>
    <row r="223" spans="1:125" x14ac:dyDescent="0.2">
      <c r="A223" s="191" t="s">
        <v>7969</v>
      </c>
      <c r="C223" s="9" t="s">
        <v>95</v>
      </c>
      <c r="D223" s="6">
        <v>55</v>
      </c>
      <c r="E223" s="9" t="s">
        <v>100</v>
      </c>
      <c r="AL223" s="6">
        <v>106</v>
      </c>
      <c r="AN223" s="6">
        <v>119</v>
      </c>
      <c r="AO223" s="6">
        <v>143</v>
      </c>
      <c r="AP223" s="6">
        <v>57.4</v>
      </c>
      <c r="AQ223" s="6">
        <v>15</v>
      </c>
      <c r="AR223" s="6">
        <v>18.899999999999999</v>
      </c>
      <c r="AS223" s="6">
        <v>80</v>
      </c>
      <c r="AT223" s="6">
        <v>45</v>
      </c>
      <c r="AU223" s="6"/>
      <c r="AV223" s="6"/>
      <c r="DC223" s="15">
        <v>109</v>
      </c>
      <c r="DD223" s="6">
        <v>0.7</v>
      </c>
      <c r="DE223" s="6">
        <v>173</v>
      </c>
      <c r="DF223" s="15">
        <v>186</v>
      </c>
      <c r="DG223" s="9">
        <f t="shared" si="3"/>
        <v>4.9585472779711726</v>
      </c>
      <c r="DH223" s="6">
        <v>37</v>
      </c>
      <c r="DJ223" s="6">
        <v>17</v>
      </c>
      <c r="DK223" s="6">
        <v>14</v>
      </c>
      <c r="DL223" s="6">
        <v>46</v>
      </c>
      <c r="DM223" s="6">
        <v>90</v>
      </c>
      <c r="DN223" s="6"/>
      <c r="DP223" s="192">
        <v>2</v>
      </c>
      <c r="DQ223" s="6" t="s">
        <v>112</v>
      </c>
      <c r="DR223" s="6">
        <v>2</v>
      </c>
    </row>
    <row r="224" spans="1:125" x14ac:dyDescent="0.2">
      <c r="A224" s="189" t="s">
        <v>7970</v>
      </c>
      <c r="B224" s="8">
        <v>42323</v>
      </c>
      <c r="C224" s="9" t="s">
        <v>95</v>
      </c>
      <c r="D224" s="6">
        <v>47</v>
      </c>
      <c r="E224" s="9" t="s">
        <v>1123</v>
      </c>
      <c r="F224" s="17">
        <v>24764</v>
      </c>
      <c r="I224" s="9">
        <v>12</v>
      </c>
      <c r="J224" s="9" t="s">
        <v>99</v>
      </c>
      <c r="M224" s="9" t="s">
        <v>7971</v>
      </c>
      <c r="N224" s="9" t="s">
        <v>99</v>
      </c>
      <c r="O224" s="9" t="s">
        <v>3933</v>
      </c>
      <c r="P224" s="9" t="s">
        <v>99</v>
      </c>
      <c r="Q224" s="9" t="s">
        <v>99</v>
      </c>
      <c r="R224" s="9" t="s">
        <v>110</v>
      </c>
      <c r="AA224" s="9" t="s">
        <v>1123</v>
      </c>
      <c r="AB224" s="9" t="s">
        <v>1123</v>
      </c>
      <c r="AC224" s="9" t="s">
        <v>1123</v>
      </c>
      <c r="AD224" s="9" t="s">
        <v>1123</v>
      </c>
      <c r="AE224" s="9" t="s">
        <v>118</v>
      </c>
      <c r="AF224" s="9" t="s">
        <v>99</v>
      </c>
      <c r="AG224" s="9" t="s">
        <v>7972</v>
      </c>
      <c r="AH224" s="9" t="s">
        <v>99</v>
      </c>
      <c r="AI224" s="9" t="s">
        <v>99</v>
      </c>
      <c r="AJ224" s="9" t="s">
        <v>99</v>
      </c>
      <c r="AL224" s="6">
        <v>88.7</v>
      </c>
      <c r="AN224" s="6">
        <v>107</v>
      </c>
      <c r="AO224" s="6">
        <v>125</v>
      </c>
      <c r="AP224" s="6">
        <v>51.9</v>
      </c>
      <c r="AQ224" s="6">
        <v>11</v>
      </c>
      <c r="AR224" s="6">
        <v>20.3</v>
      </c>
      <c r="AS224" s="6">
        <v>67</v>
      </c>
      <c r="AT224" s="6">
        <v>33.799999999999997</v>
      </c>
      <c r="AU224" s="6">
        <v>127</v>
      </c>
      <c r="AV224" s="6">
        <v>78</v>
      </c>
      <c r="DC224" s="15">
        <v>113</v>
      </c>
      <c r="DE224" s="15">
        <v>257</v>
      </c>
      <c r="DF224" s="15">
        <v>200</v>
      </c>
      <c r="DG224" s="9">
        <f t="shared" si="3"/>
        <v>5.012852592630189</v>
      </c>
      <c r="DP224" s="193"/>
      <c r="DQ224" s="6"/>
      <c r="DR224" s="19">
        <v>1</v>
      </c>
    </row>
    <row r="225" spans="1:122" x14ac:dyDescent="0.2">
      <c r="A225" s="189" t="s">
        <v>7973</v>
      </c>
      <c r="C225" s="9" t="s">
        <v>95</v>
      </c>
      <c r="D225" s="6">
        <v>23</v>
      </c>
      <c r="E225" s="9" t="s">
        <v>100</v>
      </c>
      <c r="F225" s="17">
        <v>33673</v>
      </c>
      <c r="I225" s="9">
        <v>12</v>
      </c>
      <c r="J225" s="9" t="s">
        <v>99</v>
      </c>
      <c r="M225" s="9" t="s">
        <v>99</v>
      </c>
      <c r="N225" s="9" t="s">
        <v>99</v>
      </c>
      <c r="O225" s="9" t="s">
        <v>99</v>
      </c>
      <c r="P225" s="9" t="s">
        <v>99</v>
      </c>
      <c r="Q225" s="9" t="s">
        <v>99</v>
      </c>
      <c r="R225" s="9" t="s">
        <v>110</v>
      </c>
      <c r="AA225" s="9" t="s">
        <v>100</v>
      </c>
      <c r="AB225" s="9" t="s">
        <v>100</v>
      </c>
      <c r="AC225" s="9" t="s">
        <v>100</v>
      </c>
      <c r="AD225" s="14" t="s">
        <v>840</v>
      </c>
      <c r="AE225" s="9" t="s">
        <v>571</v>
      </c>
      <c r="AF225" s="9" t="s">
        <v>118</v>
      </c>
      <c r="AG225" s="9" t="s">
        <v>99</v>
      </c>
      <c r="AH225" s="9" t="s">
        <v>1079</v>
      </c>
      <c r="AI225" s="9" t="s">
        <v>125</v>
      </c>
      <c r="AL225" s="6">
        <v>81.7</v>
      </c>
      <c r="AN225" s="6">
        <v>106</v>
      </c>
      <c r="AO225" s="6">
        <v>118</v>
      </c>
      <c r="AP225" s="6">
        <v>51.4</v>
      </c>
      <c r="AQ225" s="6">
        <v>8</v>
      </c>
      <c r="AR225" s="6">
        <v>21.1</v>
      </c>
      <c r="AS225" s="6">
        <v>60</v>
      </c>
      <c r="AT225" s="6">
        <v>37.299999999999997</v>
      </c>
      <c r="AU225" s="6">
        <v>96</v>
      </c>
      <c r="AV225" s="6">
        <v>76</v>
      </c>
      <c r="DC225" s="15">
        <v>105</v>
      </c>
      <c r="DE225" s="6">
        <v>140</v>
      </c>
      <c r="DF225" s="15">
        <v>173</v>
      </c>
      <c r="DG225" s="9">
        <f t="shared" si="3"/>
        <v>4.9036259723276512</v>
      </c>
      <c r="DP225" s="193">
        <v>3</v>
      </c>
      <c r="DQ225" s="6" t="s">
        <v>111</v>
      </c>
      <c r="DR225" s="6"/>
    </row>
    <row r="226" spans="1:122" x14ac:dyDescent="0.2">
      <c r="A226" s="191" t="s">
        <v>7974</v>
      </c>
      <c r="C226" s="9" t="s">
        <v>95</v>
      </c>
      <c r="D226" s="6">
        <v>44</v>
      </c>
      <c r="E226" s="9" t="s">
        <v>100</v>
      </c>
      <c r="AL226" s="6">
        <v>74.5</v>
      </c>
      <c r="AN226" s="6">
        <v>89</v>
      </c>
      <c r="AO226" s="6">
        <v>103</v>
      </c>
      <c r="AP226" s="6">
        <v>47.2</v>
      </c>
      <c r="AQ226" s="6">
        <v>9</v>
      </c>
      <c r="AR226" s="6">
        <v>22.3</v>
      </c>
      <c r="AS226" s="6">
        <v>61</v>
      </c>
      <c r="AT226" s="6">
        <v>30.6</v>
      </c>
      <c r="AU226" s="6">
        <v>108</v>
      </c>
      <c r="AV226" s="6">
        <v>69</v>
      </c>
      <c r="DC226" s="82">
        <v>98</v>
      </c>
      <c r="DE226" s="15">
        <v>202</v>
      </c>
      <c r="DF226" s="15">
        <v>217</v>
      </c>
      <c r="DG226" s="9">
        <f t="shared" si="3"/>
        <v>4.9824324161055156</v>
      </c>
      <c r="DO226" s="6"/>
      <c r="DP226" s="192">
        <v>2</v>
      </c>
      <c r="DR226" s="87">
        <v>1</v>
      </c>
    </row>
    <row r="227" spans="1:122" x14ac:dyDescent="0.2">
      <c r="A227" s="14"/>
      <c r="C227" s="9" t="s">
        <v>107</v>
      </c>
      <c r="D227" s="9">
        <v>50</v>
      </c>
      <c r="E227" s="9" t="s">
        <v>96</v>
      </c>
      <c r="G227" s="9" t="s">
        <v>7975</v>
      </c>
      <c r="H227" s="9" t="s">
        <v>7976</v>
      </c>
      <c r="M227" s="9" t="s">
        <v>7977</v>
      </c>
      <c r="N227" s="9" t="s">
        <v>3873</v>
      </c>
      <c r="O227" s="9" t="s">
        <v>99</v>
      </c>
      <c r="P227" s="9" t="s">
        <v>99</v>
      </c>
      <c r="Q227" s="9" t="s">
        <v>110</v>
      </c>
      <c r="R227" s="9" t="s">
        <v>110</v>
      </c>
      <c r="S227" s="9" t="s">
        <v>99</v>
      </c>
      <c r="T227" s="9" t="s">
        <v>110</v>
      </c>
      <c r="U227" s="9" t="s">
        <v>99</v>
      </c>
      <c r="W227" s="9" t="s">
        <v>99</v>
      </c>
      <c r="Y227" s="9" t="s">
        <v>99</v>
      </c>
      <c r="AA227" s="9" t="s">
        <v>7978</v>
      </c>
      <c r="AB227" s="14" t="s">
        <v>2225</v>
      </c>
      <c r="AC227" s="9" t="s">
        <v>7979</v>
      </c>
      <c r="AD227" s="9" t="s">
        <v>99</v>
      </c>
      <c r="AE227" s="9" t="s">
        <v>99</v>
      </c>
      <c r="AF227" s="9" t="s">
        <v>99</v>
      </c>
      <c r="AG227" s="9" t="s">
        <v>99</v>
      </c>
      <c r="AH227" s="9" t="s">
        <v>99</v>
      </c>
      <c r="AI227" s="9" t="s">
        <v>7980</v>
      </c>
      <c r="AL227" s="9">
        <v>80.5</v>
      </c>
      <c r="AM227" s="9">
        <v>165</v>
      </c>
      <c r="AP227" s="9">
        <v>35.799999999999997</v>
      </c>
      <c r="AQ227" s="9">
        <v>16</v>
      </c>
      <c r="AR227" s="9">
        <v>28</v>
      </c>
      <c r="AS227" s="9">
        <v>59</v>
      </c>
      <c r="AT227" s="9">
        <v>29.6</v>
      </c>
      <c r="AU227" s="9">
        <v>130</v>
      </c>
      <c r="AV227" s="9">
        <v>80</v>
      </c>
      <c r="AX227" s="9" t="s">
        <v>729</v>
      </c>
      <c r="AY227" s="9" t="s">
        <v>2567</v>
      </c>
      <c r="AZ227" s="9" t="s">
        <v>7981</v>
      </c>
      <c r="BB227" s="9" t="s">
        <v>1080</v>
      </c>
      <c r="BC227" s="9" t="s">
        <v>7982</v>
      </c>
      <c r="BF227" s="9" t="s">
        <v>7983</v>
      </c>
      <c r="BG227" s="9" t="s">
        <v>2769</v>
      </c>
      <c r="BH227" s="9" t="s">
        <v>175</v>
      </c>
      <c r="BI227" s="9" t="s">
        <v>1173</v>
      </c>
      <c r="BJ227" s="9" t="s">
        <v>1173</v>
      </c>
      <c r="BK227" s="9" t="s">
        <v>852</v>
      </c>
      <c r="BN227" s="9" t="s">
        <v>179</v>
      </c>
      <c r="BO227" s="9" t="s">
        <v>2770</v>
      </c>
      <c r="BP227" s="9" t="s">
        <v>7984</v>
      </c>
      <c r="BR227" s="9" t="s">
        <v>99</v>
      </c>
      <c r="BV227" s="9" t="s">
        <v>99</v>
      </c>
      <c r="BZ227" s="9" t="s">
        <v>709</v>
      </c>
      <c r="CA227" s="9" t="s">
        <v>183</v>
      </c>
      <c r="CB227" s="9" t="s">
        <v>7985</v>
      </c>
      <c r="CD227" s="9" t="s">
        <v>99</v>
      </c>
      <c r="CH227" s="9" t="s">
        <v>99</v>
      </c>
      <c r="CL227" s="9" t="s">
        <v>825</v>
      </c>
      <c r="CM227" s="9" t="s">
        <v>980</v>
      </c>
      <c r="CN227" s="9" t="s">
        <v>1181</v>
      </c>
      <c r="CP227" s="9" t="s">
        <v>716</v>
      </c>
      <c r="CT227" s="9" t="s">
        <v>7986</v>
      </c>
      <c r="CU227" s="9" t="s">
        <v>849</v>
      </c>
      <c r="CV227" s="9" t="s">
        <v>2615</v>
      </c>
      <c r="CW227" s="9">
        <v>3</v>
      </c>
      <c r="CX227" s="9" t="s">
        <v>110</v>
      </c>
      <c r="CY227" s="9" t="s">
        <v>2756</v>
      </c>
      <c r="DG227" s="9" t="e">
        <f t="shared" si="3"/>
        <v>#NUM!</v>
      </c>
    </row>
  </sheetData>
  <mergeCells count="9">
    <mergeCell ref="AW1:CV1"/>
    <mergeCell ref="CW1:DB1"/>
    <mergeCell ref="DC1:DM1"/>
    <mergeCell ref="A1:H1"/>
    <mergeCell ref="I1:L1"/>
    <mergeCell ref="M1:T1"/>
    <mergeCell ref="U1:Z1"/>
    <mergeCell ref="AA1:AK1"/>
    <mergeCell ref="AL1:A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A166"/>
  <sheetViews>
    <sheetView workbookViewId="0">
      <selection activeCell="DW1" sqref="DW1:DY1048576"/>
    </sheetView>
  </sheetViews>
  <sheetFormatPr baseColWidth="10" defaultColWidth="11.5" defaultRowHeight="15" x14ac:dyDescent="0.2"/>
  <cols>
    <col min="1" max="1" width="10.33203125" style="9" customWidth="1"/>
    <col min="2" max="2" width="13.5" style="9" customWidth="1"/>
    <col min="3" max="3" width="11.5" style="9"/>
    <col min="4" max="4" width="8.83203125" style="9" customWidth="1"/>
    <col min="5" max="5" width="11.5" style="9"/>
    <col min="6" max="6" width="13.33203125" style="9" customWidth="1"/>
    <col min="7" max="7" width="11.5" style="9"/>
    <col min="8" max="8" width="22.6640625" style="9" customWidth="1"/>
    <col min="9" max="9" width="13.1640625" style="9" customWidth="1"/>
    <col min="10" max="24" width="11.5" style="9"/>
    <col min="25" max="25" width="22.83203125" style="9" customWidth="1"/>
    <col min="26" max="26" width="23" style="9" customWidth="1"/>
    <col min="27" max="100" width="11.5" style="9"/>
    <col min="101" max="101" width="13.6640625" style="9" customWidth="1"/>
    <col min="102" max="119" width="11.5" style="9"/>
    <col min="120" max="120" width="11.5" style="11"/>
    <col min="121" max="126" width="11.5" style="9"/>
    <col min="127" max="127" width="11.5" style="6"/>
    <col min="128" max="16384" width="11.5" style="9"/>
  </cols>
  <sheetData>
    <row r="1" spans="1:138" s="1" customFormat="1" x14ac:dyDescent="0.2">
      <c r="A1" s="249" t="s">
        <v>0</v>
      </c>
      <c r="B1" s="249"/>
      <c r="C1" s="249"/>
      <c r="D1" s="249"/>
      <c r="E1" s="249"/>
      <c r="F1" s="249"/>
      <c r="G1" s="249"/>
      <c r="H1" s="249"/>
      <c r="I1" s="249" t="s">
        <v>1</v>
      </c>
      <c r="J1" s="249"/>
      <c r="K1" s="249"/>
      <c r="L1" s="249"/>
      <c r="M1" s="249" t="s">
        <v>2</v>
      </c>
      <c r="N1" s="249"/>
      <c r="O1" s="249"/>
      <c r="P1" s="249"/>
      <c r="Q1" s="249"/>
      <c r="R1" s="249"/>
      <c r="S1" s="249"/>
      <c r="T1" s="249"/>
      <c r="U1" s="249" t="s">
        <v>3</v>
      </c>
      <c r="V1" s="249"/>
      <c r="W1" s="249"/>
      <c r="X1" s="249"/>
      <c r="Y1" s="249"/>
      <c r="Z1" s="249"/>
      <c r="AA1" s="249" t="s">
        <v>4</v>
      </c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 t="s">
        <v>5</v>
      </c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 t="s">
        <v>6</v>
      </c>
      <c r="AX1" s="249"/>
      <c r="AY1" s="249"/>
      <c r="AZ1" s="249"/>
      <c r="BA1" s="249"/>
      <c r="BB1" s="249"/>
      <c r="BC1" s="249"/>
      <c r="BD1" s="249"/>
      <c r="BE1" s="249"/>
      <c r="BF1" s="249"/>
      <c r="BG1" s="249"/>
      <c r="BH1" s="249"/>
      <c r="BI1" s="249"/>
      <c r="BJ1" s="249"/>
      <c r="BK1" s="249"/>
      <c r="BL1" s="249"/>
      <c r="BM1" s="249"/>
      <c r="BN1" s="249"/>
      <c r="BO1" s="249"/>
      <c r="BP1" s="249"/>
      <c r="BQ1" s="249"/>
      <c r="BR1" s="249"/>
      <c r="BS1" s="249"/>
      <c r="BT1" s="249"/>
      <c r="BU1" s="249"/>
      <c r="BV1" s="249"/>
      <c r="BW1" s="249"/>
      <c r="BX1" s="249"/>
      <c r="BY1" s="249"/>
      <c r="BZ1" s="249"/>
      <c r="CA1" s="249"/>
      <c r="CB1" s="249"/>
      <c r="CC1" s="249"/>
      <c r="CD1" s="249"/>
      <c r="CE1" s="249"/>
      <c r="CF1" s="249"/>
      <c r="CG1" s="249"/>
      <c r="CH1" s="249"/>
      <c r="CI1" s="249"/>
      <c r="CJ1" s="249"/>
      <c r="CK1" s="249"/>
      <c r="CL1" s="249"/>
      <c r="CM1" s="249"/>
      <c r="CN1" s="249"/>
      <c r="CO1" s="249"/>
      <c r="CP1" s="249"/>
      <c r="CQ1" s="249"/>
      <c r="CR1" s="249"/>
      <c r="CS1" s="249"/>
      <c r="CT1" s="249"/>
      <c r="CU1" s="249"/>
      <c r="CV1" s="249"/>
      <c r="CW1" s="249" t="s">
        <v>7</v>
      </c>
      <c r="CX1" s="249"/>
      <c r="CY1" s="249"/>
      <c r="CZ1" s="249"/>
      <c r="DA1" s="249"/>
      <c r="DB1" s="249"/>
      <c r="DC1" s="249" t="s">
        <v>8</v>
      </c>
      <c r="DD1" s="249"/>
      <c r="DE1" s="249"/>
      <c r="DF1" s="249"/>
      <c r="DG1" s="249"/>
      <c r="DH1" s="249"/>
      <c r="DI1" s="249"/>
      <c r="DJ1" s="249"/>
      <c r="DK1" s="249"/>
      <c r="DL1" s="249"/>
      <c r="DM1" s="249"/>
      <c r="DP1" s="2"/>
    </row>
    <row r="2" spans="1:138" s="3" customFormat="1" x14ac:dyDescent="0.2">
      <c r="A2" s="3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  <c r="AD2" s="3" t="s">
        <v>38</v>
      </c>
      <c r="AE2" s="3" t="s">
        <v>21</v>
      </c>
      <c r="AF2" s="3" t="s">
        <v>22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43</v>
      </c>
      <c r="AL2" s="3" t="s">
        <v>44</v>
      </c>
      <c r="AM2" s="3" t="s">
        <v>45</v>
      </c>
      <c r="AN2" s="3" t="s">
        <v>46</v>
      </c>
      <c r="AO2" s="3" t="s">
        <v>47</v>
      </c>
      <c r="AP2" s="3" t="s">
        <v>48</v>
      </c>
      <c r="AQ2" s="3" t="s">
        <v>49</v>
      </c>
      <c r="AR2" s="3" t="s">
        <v>50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>
        <v>1</v>
      </c>
      <c r="AY2" s="3">
        <v>2</v>
      </c>
      <c r="AZ2" s="3">
        <v>3</v>
      </c>
      <c r="BA2" s="3" t="s">
        <v>56</v>
      </c>
      <c r="BB2" s="3">
        <v>1</v>
      </c>
      <c r="BC2" s="3">
        <v>2</v>
      </c>
      <c r="BD2" s="3">
        <v>3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>
        <v>1</v>
      </c>
      <c r="BO2" s="3">
        <v>2</v>
      </c>
      <c r="BP2" s="3">
        <v>3</v>
      </c>
      <c r="BQ2" s="3" t="s">
        <v>66</v>
      </c>
      <c r="BR2" s="3">
        <v>1</v>
      </c>
      <c r="BS2" s="3">
        <v>2</v>
      </c>
      <c r="BT2" s="3">
        <v>3</v>
      </c>
      <c r="BU2" s="3" t="s">
        <v>67</v>
      </c>
      <c r="BV2" s="3">
        <v>1</v>
      </c>
      <c r="BW2" s="3">
        <v>2</v>
      </c>
      <c r="BX2" s="3">
        <v>3</v>
      </c>
      <c r="BY2" s="3" t="s">
        <v>68</v>
      </c>
      <c r="BZ2" s="3">
        <v>1</v>
      </c>
      <c r="CA2" s="3">
        <v>2</v>
      </c>
      <c r="CB2" s="3">
        <v>3</v>
      </c>
      <c r="CC2" s="3" t="s">
        <v>66</v>
      </c>
      <c r="CD2" s="3">
        <v>1</v>
      </c>
      <c r="CE2" s="3">
        <v>2</v>
      </c>
      <c r="CF2" s="3">
        <v>3</v>
      </c>
      <c r="CG2" s="3" t="s">
        <v>67</v>
      </c>
      <c r="CH2" s="3">
        <v>1</v>
      </c>
      <c r="CI2" s="3">
        <v>2</v>
      </c>
      <c r="CJ2" s="3">
        <v>3</v>
      </c>
      <c r="CK2" s="3" t="s">
        <v>69</v>
      </c>
      <c r="CL2" s="3">
        <v>1</v>
      </c>
      <c r="CM2" s="3">
        <v>2</v>
      </c>
      <c r="CN2" s="3">
        <v>3</v>
      </c>
      <c r="CO2" s="3" t="s">
        <v>70</v>
      </c>
      <c r="CP2" s="3">
        <v>1</v>
      </c>
      <c r="CQ2" s="3">
        <v>2</v>
      </c>
      <c r="CR2" s="3">
        <v>3</v>
      </c>
      <c r="CS2" s="3" t="s">
        <v>71</v>
      </c>
      <c r="CT2" s="3">
        <v>1</v>
      </c>
      <c r="CU2" s="3">
        <v>2</v>
      </c>
      <c r="CV2" s="3">
        <v>3</v>
      </c>
      <c r="CW2" s="3" t="s">
        <v>72</v>
      </c>
      <c r="CX2" s="3" t="s">
        <v>73</v>
      </c>
      <c r="CY2" s="3" t="s">
        <v>74</v>
      </c>
      <c r="CZ2" s="4" t="s">
        <v>75</v>
      </c>
      <c r="DA2" s="3" t="s">
        <v>76</v>
      </c>
      <c r="DB2" s="3" t="s">
        <v>77</v>
      </c>
      <c r="DC2" s="3" t="s">
        <v>78</v>
      </c>
      <c r="DD2" s="3" t="s">
        <v>79</v>
      </c>
      <c r="DE2" s="3" t="s">
        <v>80</v>
      </c>
      <c r="DF2" s="3" t="s">
        <v>81</v>
      </c>
      <c r="DG2" s="3" t="s">
        <v>82</v>
      </c>
      <c r="DH2" s="3" t="s">
        <v>83</v>
      </c>
      <c r="DI2" s="3" t="s">
        <v>84</v>
      </c>
      <c r="DJ2" s="3" t="s">
        <v>85</v>
      </c>
      <c r="DK2" s="3" t="s">
        <v>86</v>
      </c>
      <c r="DL2" s="3" t="s">
        <v>87</v>
      </c>
      <c r="DM2" s="3" t="s">
        <v>88</v>
      </c>
      <c r="DN2" s="3" t="s">
        <v>89</v>
      </c>
      <c r="DO2" s="3" t="s">
        <v>90</v>
      </c>
      <c r="DP2" s="5">
        <v>150</v>
      </c>
      <c r="DQ2" s="3">
        <v>822</v>
      </c>
      <c r="DR2" s="3">
        <v>513</v>
      </c>
      <c r="DS2" s="3">
        <v>2019</v>
      </c>
      <c r="DT2" s="3" t="s">
        <v>91</v>
      </c>
      <c r="DU2" s="3" t="s">
        <v>92</v>
      </c>
      <c r="DV2" s="3" t="s">
        <v>93</v>
      </c>
    </row>
    <row r="3" spans="1:138" x14ac:dyDescent="0.2">
      <c r="A3" s="7" t="s">
        <v>94</v>
      </c>
      <c r="B3" s="8">
        <v>42208</v>
      </c>
      <c r="C3" s="9" t="s">
        <v>95</v>
      </c>
      <c r="D3" s="9">
        <v>23</v>
      </c>
      <c r="E3" s="9" t="s">
        <v>96</v>
      </c>
      <c r="F3" s="8"/>
      <c r="G3" s="9" t="s">
        <v>97</v>
      </c>
      <c r="H3" s="9" t="s">
        <v>98</v>
      </c>
      <c r="K3" s="8"/>
      <c r="L3" s="9">
        <v>0</v>
      </c>
      <c r="M3" s="9" t="s">
        <v>99</v>
      </c>
      <c r="N3" s="9" t="s">
        <v>99</v>
      </c>
      <c r="O3" s="9" t="s">
        <v>99</v>
      </c>
      <c r="P3" s="9" t="s">
        <v>99</v>
      </c>
      <c r="Q3" s="9" t="s">
        <v>99</v>
      </c>
      <c r="R3" s="7" t="s">
        <v>99</v>
      </c>
      <c r="U3" s="9" t="s">
        <v>99</v>
      </c>
      <c r="V3" s="9" t="s">
        <v>99</v>
      </c>
      <c r="X3" s="9" t="s">
        <v>99</v>
      </c>
      <c r="Y3" s="9" t="s">
        <v>99</v>
      </c>
      <c r="Z3" s="9" t="s">
        <v>99</v>
      </c>
      <c r="AA3" s="9" t="s">
        <v>100</v>
      </c>
      <c r="AB3" s="9" t="s">
        <v>100</v>
      </c>
      <c r="AC3" s="9" t="s">
        <v>96</v>
      </c>
      <c r="AD3" s="9" t="s">
        <v>96</v>
      </c>
      <c r="AE3" s="10" t="s">
        <v>101</v>
      </c>
      <c r="AF3" s="10" t="s">
        <v>102</v>
      </c>
      <c r="AG3" s="9" t="s">
        <v>99</v>
      </c>
      <c r="AH3" s="9" t="s">
        <v>99</v>
      </c>
      <c r="AI3" s="10" t="s">
        <v>103</v>
      </c>
      <c r="AJ3" s="10" t="s">
        <v>104</v>
      </c>
      <c r="AL3" s="9">
        <v>38</v>
      </c>
      <c r="AM3" s="9">
        <v>154</v>
      </c>
      <c r="AN3" s="9">
        <v>57</v>
      </c>
      <c r="AO3" s="9">
        <v>78</v>
      </c>
      <c r="AP3" s="9">
        <v>15.2</v>
      </c>
      <c r="AQ3" s="9">
        <v>1</v>
      </c>
      <c r="AR3" s="9">
        <v>30</v>
      </c>
      <c r="AS3" s="9">
        <v>18</v>
      </c>
      <c r="AT3" s="7">
        <v>16</v>
      </c>
      <c r="DC3" s="9">
        <v>73</v>
      </c>
      <c r="DD3" s="9">
        <v>0.74</v>
      </c>
      <c r="DE3" s="9">
        <v>138</v>
      </c>
      <c r="DF3" s="9">
        <v>53</v>
      </c>
      <c r="DG3" s="9">
        <f>LN(DF3*DC3)/2</f>
        <v>4.1303756773502567</v>
      </c>
      <c r="DH3" s="9">
        <v>17.600000000000001</v>
      </c>
      <c r="DI3" s="9">
        <v>3.65</v>
      </c>
      <c r="DL3" s="9">
        <v>85.9</v>
      </c>
      <c r="DQ3" s="6"/>
      <c r="DT3" s="9">
        <v>11</v>
      </c>
      <c r="DU3" s="9">
        <v>3</v>
      </c>
    </row>
    <row r="4" spans="1:138" s="33" customFormat="1" x14ac:dyDescent="0.2">
      <c r="A4" s="30" t="s">
        <v>338</v>
      </c>
      <c r="B4" s="32">
        <v>43795</v>
      </c>
      <c r="C4" s="31" t="s">
        <v>196</v>
      </c>
      <c r="D4" s="31">
        <v>40</v>
      </c>
      <c r="E4" s="31" t="s">
        <v>100</v>
      </c>
      <c r="F4" s="32">
        <v>29022</v>
      </c>
      <c r="G4" s="31" t="s">
        <v>339</v>
      </c>
      <c r="H4" s="31" t="s">
        <v>340</v>
      </c>
      <c r="I4" s="31" t="s">
        <v>236</v>
      </c>
      <c r="J4" s="31"/>
      <c r="K4" s="31"/>
      <c r="L4" s="31"/>
      <c r="M4" s="31" t="s">
        <v>99</v>
      </c>
      <c r="N4" s="31" t="s">
        <v>99</v>
      </c>
      <c r="O4" s="31" t="s">
        <v>99</v>
      </c>
      <c r="P4" s="31" t="s">
        <v>341</v>
      </c>
      <c r="Q4" s="31" t="s">
        <v>342</v>
      </c>
      <c r="R4" s="31" t="s">
        <v>99</v>
      </c>
      <c r="S4" s="31" t="s">
        <v>99</v>
      </c>
      <c r="T4" s="31" t="s">
        <v>99</v>
      </c>
      <c r="U4" s="31" t="s">
        <v>99</v>
      </c>
      <c r="V4" s="31" t="s">
        <v>99</v>
      </c>
      <c r="W4" s="31" t="s">
        <v>99</v>
      </c>
      <c r="X4" s="31" t="s">
        <v>99</v>
      </c>
      <c r="Y4" s="31" t="s">
        <v>99</v>
      </c>
      <c r="Z4" s="31" t="s">
        <v>99</v>
      </c>
      <c r="AA4" s="31" t="s">
        <v>100</v>
      </c>
      <c r="AB4" s="31" t="s">
        <v>100</v>
      </c>
      <c r="AC4" s="31" t="s">
        <v>100</v>
      </c>
      <c r="AD4" s="31" t="s">
        <v>100</v>
      </c>
      <c r="AE4" s="31" t="s">
        <v>99</v>
      </c>
      <c r="AF4" s="31" t="s">
        <v>99</v>
      </c>
      <c r="AG4" s="31" t="s">
        <v>343</v>
      </c>
      <c r="AH4" s="31" t="s">
        <v>99</v>
      </c>
      <c r="AI4" s="31" t="s">
        <v>99</v>
      </c>
      <c r="AJ4" s="31" t="s">
        <v>99</v>
      </c>
      <c r="AK4" s="31" t="s">
        <v>99</v>
      </c>
      <c r="AL4" s="31">
        <v>57.1</v>
      </c>
      <c r="AM4" s="31">
        <v>160</v>
      </c>
      <c r="AN4" s="31">
        <v>77</v>
      </c>
      <c r="AO4" s="31">
        <v>92</v>
      </c>
      <c r="AP4" s="31">
        <v>31.9</v>
      </c>
      <c r="AQ4" s="31">
        <v>5</v>
      </c>
      <c r="AR4" s="31">
        <v>28.3</v>
      </c>
      <c r="AS4" s="31">
        <v>37</v>
      </c>
      <c r="AT4" s="31">
        <v>22.3</v>
      </c>
      <c r="AU4" s="31">
        <v>103</v>
      </c>
      <c r="AV4" s="31">
        <v>69</v>
      </c>
      <c r="AW4" s="31"/>
      <c r="AX4" s="31" t="s">
        <v>344</v>
      </c>
      <c r="AY4" s="31" t="s">
        <v>345</v>
      </c>
      <c r="AZ4" s="31"/>
      <c r="BA4" s="31"/>
      <c r="BB4" s="31" t="s">
        <v>346</v>
      </c>
      <c r="BC4" s="31" t="s">
        <v>347</v>
      </c>
      <c r="BD4" s="31" t="s">
        <v>348</v>
      </c>
      <c r="BE4" s="31"/>
      <c r="BF4" s="31" t="s">
        <v>176</v>
      </c>
      <c r="BG4" s="31" t="s">
        <v>176</v>
      </c>
      <c r="BH4" s="31" t="s">
        <v>349</v>
      </c>
      <c r="BI4" s="31" t="s">
        <v>350</v>
      </c>
      <c r="BJ4" s="31"/>
      <c r="BK4" s="31"/>
      <c r="BL4" s="31" t="s">
        <v>351</v>
      </c>
      <c r="BM4" s="31"/>
      <c r="BN4" s="31" t="s">
        <v>352</v>
      </c>
      <c r="BO4" s="31" t="s">
        <v>353</v>
      </c>
      <c r="BP4" s="31" t="s">
        <v>354</v>
      </c>
      <c r="BQ4" s="31"/>
      <c r="BR4" s="31"/>
      <c r="BS4" s="31"/>
      <c r="BT4" s="31"/>
      <c r="BU4" s="31"/>
      <c r="BV4" s="31"/>
      <c r="BW4" s="31"/>
      <c r="BX4" s="31"/>
      <c r="BY4" s="31"/>
      <c r="BZ4" s="31" t="s">
        <v>355</v>
      </c>
      <c r="CA4" s="31" t="s">
        <v>356</v>
      </c>
      <c r="CB4" s="31" t="s">
        <v>357</v>
      </c>
      <c r="CC4" s="31"/>
      <c r="CD4" s="31"/>
      <c r="CE4" s="31"/>
      <c r="CF4" s="31"/>
      <c r="CG4" s="31"/>
      <c r="CH4" s="31"/>
      <c r="CI4" s="31"/>
      <c r="CJ4" s="31"/>
      <c r="CK4" s="31"/>
      <c r="CL4" s="31" t="s">
        <v>358</v>
      </c>
      <c r="CM4" s="31" t="s">
        <v>359</v>
      </c>
      <c r="CN4" s="31" t="s">
        <v>360</v>
      </c>
      <c r="CO4" s="31"/>
      <c r="CP4" s="31" t="s">
        <v>361</v>
      </c>
      <c r="CQ4" s="31" t="s">
        <v>362</v>
      </c>
      <c r="CR4" s="31"/>
      <c r="CS4" s="31"/>
      <c r="CT4" s="31" t="s">
        <v>363</v>
      </c>
      <c r="CU4" s="31" t="s">
        <v>364</v>
      </c>
      <c r="CV4" s="31"/>
      <c r="CW4" s="31">
        <v>3</v>
      </c>
      <c r="CX4" s="31"/>
      <c r="CY4" s="31" t="s">
        <v>110</v>
      </c>
      <c r="CZ4" s="31">
        <v>30</v>
      </c>
      <c r="DA4" s="31">
        <v>20</v>
      </c>
      <c r="DB4" s="31">
        <v>50</v>
      </c>
      <c r="DC4" s="31">
        <v>84.5</v>
      </c>
      <c r="DD4" s="31">
        <v>0.86</v>
      </c>
      <c r="DE4" s="31">
        <v>176</v>
      </c>
      <c r="DF4" s="31">
        <v>55</v>
      </c>
      <c r="DG4" s="9">
        <f t="shared" ref="DG4:DG67" si="0">LN(DF4*DC4)/2</f>
        <v>4.2220423597977996</v>
      </c>
      <c r="DH4" s="31">
        <v>11</v>
      </c>
      <c r="DI4" s="31">
        <v>4.4400000000000004</v>
      </c>
      <c r="DJ4" s="31"/>
      <c r="DK4" s="31"/>
      <c r="DL4" s="31">
        <v>65.7</v>
      </c>
      <c r="DM4" s="31">
        <v>99.3</v>
      </c>
      <c r="DN4" s="31"/>
      <c r="DO4" s="31"/>
      <c r="DP4" s="31">
        <v>3</v>
      </c>
      <c r="DQ4" s="31"/>
      <c r="DR4" s="31">
        <v>3</v>
      </c>
      <c r="DS4" s="31"/>
      <c r="DT4" s="31"/>
      <c r="DU4" s="31"/>
      <c r="DV4" s="31"/>
    </row>
    <row r="5" spans="1:138" x14ac:dyDescent="0.2">
      <c r="A5" s="7" t="s">
        <v>365</v>
      </c>
      <c r="B5" s="8">
        <v>43277</v>
      </c>
      <c r="C5" s="9" t="s">
        <v>95</v>
      </c>
      <c r="D5" s="9">
        <v>31</v>
      </c>
      <c r="E5" s="9" t="s">
        <v>96</v>
      </c>
      <c r="F5" s="8">
        <v>31917</v>
      </c>
      <c r="G5" s="9" t="s">
        <v>366</v>
      </c>
      <c r="H5" s="9" t="s">
        <v>367</v>
      </c>
      <c r="I5" s="9" t="s">
        <v>162</v>
      </c>
      <c r="J5" s="9" t="s">
        <v>162</v>
      </c>
      <c r="K5" s="9" t="s">
        <v>162</v>
      </c>
      <c r="L5" s="9" t="s">
        <v>162</v>
      </c>
      <c r="M5" s="9" t="s">
        <v>263</v>
      </c>
      <c r="N5" s="9" t="s">
        <v>263</v>
      </c>
      <c r="O5" s="9" t="s">
        <v>263</v>
      </c>
      <c r="P5" s="10" t="s">
        <v>368</v>
      </c>
      <c r="Q5" s="10" t="s">
        <v>369</v>
      </c>
      <c r="R5" s="7" t="s">
        <v>263</v>
      </c>
      <c r="S5" s="9" t="s">
        <v>263</v>
      </c>
      <c r="T5" s="9" t="s">
        <v>263</v>
      </c>
      <c r="U5" s="9" t="s">
        <v>263</v>
      </c>
      <c r="V5" s="9" t="s">
        <v>263</v>
      </c>
      <c r="W5" s="9" t="s">
        <v>263</v>
      </c>
      <c r="X5" s="9" t="s">
        <v>263</v>
      </c>
      <c r="Y5" s="9" t="s">
        <v>162</v>
      </c>
      <c r="Z5" s="9" t="s">
        <v>162</v>
      </c>
      <c r="AA5" s="9" t="s">
        <v>96</v>
      </c>
      <c r="AB5" s="9" t="s">
        <v>96</v>
      </c>
      <c r="AC5" s="9" t="s">
        <v>96</v>
      </c>
      <c r="AD5" s="9" t="s">
        <v>96</v>
      </c>
      <c r="AE5" s="9" t="s">
        <v>263</v>
      </c>
      <c r="AF5" s="9" t="s">
        <v>263</v>
      </c>
      <c r="AG5" s="10" t="s">
        <v>370</v>
      </c>
      <c r="AH5" s="9" t="s">
        <v>263</v>
      </c>
      <c r="AI5" s="9" t="s">
        <v>263</v>
      </c>
      <c r="AJ5" s="9" t="s">
        <v>263</v>
      </c>
      <c r="AK5" s="9" t="s">
        <v>263</v>
      </c>
      <c r="AL5" s="9">
        <v>60.2</v>
      </c>
      <c r="AM5" s="9" t="s">
        <v>162</v>
      </c>
      <c r="AN5" s="9">
        <v>76</v>
      </c>
      <c r="AO5" s="9">
        <v>102</v>
      </c>
      <c r="AP5" s="9">
        <v>36.5</v>
      </c>
      <c r="AQ5" s="9">
        <v>4</v>
      </c>
      <c r="AR5" s="9">
        <v>23.5</v>
      </c>
      <c r="AS5" s="9">
        <v>27</v>
      </c>
      <c r="AT5" s="7">
        <v>21.8</v>
      </c>
      <c r="AU5" s="9">
        <v>92</v>
      </c>
      <c r="AV5" s="9">
        <v>66</v>
      </c>
      <c r="AX5" s="9" t="s">
        <v>371</v>
      </c>
      <c r="AY5" s="9" t="s">
        <v>372</v>
      </c>
      <c r="AZ5" s="9" t="s">
        <v>373</v>
      </c>
      <c r="BB5" s="9" t="s">
        <v>374</v>
      </c>
      <c r="BC5" s="9" t="s">
        <v>162</v>
      </c>
      <c r="BD5" s="9" t="s">
        <v>162</v>
      </c>
      <c r="BF5" s="9" t="s">
        <v>375</v>
      </c>
      <c r="BG5" s="9" t="s">
        <v>375</v>
      </c>
      <c r="BH5" s="9" t="s">
        <v>276</v>
      </c>
      <c r="BI5" s="9" t="s">
        <v>322</v>
      </c>
      <c r="BJ5" s="9" t="s">
        <v>375</v>
      </c>
      <c r="BK5" s="9" t="s">
        <v>276</v>
      </c>
      <c r="BN5" s="9" t="s">
        <v>376</v>
      </c>
      <c r="BO5" s="9" t="s">
        <v>377</v>
      </c>
      <c r="BP5" s="9" t="s">
        <v>378</v>
      </c>
      <c r="BR5" s="9" t="s">
        <v>162</v>
      </c>
      <c r="BS5" s="9" t="s">
        <v>162</v>
      </c>
      <c r="BT5" s="9" t="s">
        <v>162</v>
      </c>
      <c r="BV5" s="9" t="s">
        <v>162</v>
      </c>
      <c r="BW5" s="9" t="s">
        <v>162</v>
      </c>
      <c r="BX5" s="9" t="s">
        <v>162</v>
      </c>
      <c r="BZ5" s="9" t="s">
        <v>379</v>
      </c>
      <c r="CA5" s="9" t="s">
        <v>380</v>
      </c>
      <c r="CB5" s="9" t="s">
        <v>381</v>
      </c>
      <c r="CD5" s="9" t="s">
        <v>162</v>
      </c>
      <c r="CE5" s="9" t="s">
        <v>162</v>
      </c>
      <c r="CF5" s="9" t="s">
        <v>162</v>
      </c>
      <c r="CH5" s="9" t="s">
        <v>162</v>
      </c>
      <c r="CI5" s="9" t="s">
        <v>162</v>
      </c>
      <c r="CJ5" s="9" t="s">
        <v>162</v>
      </c>
      <c r="CL5" s="9" t="s">
        <v>333</v>
      </c>
      <c r="CM5" s="9" t="s">
        <v>382</v>
      </c>
      <c r="CN5" s="9" t="s">
        <v>383</v>
      </c>
      <c r="CP5" s="9" t="s">
        <v>384</v>
      </c>
      <c r="CQ5" s="9" t="s">
        <v>385</v>
      </c>
      <c r="CR5" s="9" t="s">
        <v>162</v>
      </c>
      <c r="CT5" s="9" t="s">
        <v>336</v>
      </c>
      <c r="CU5" s="9" t="s">
        <v>162</v>
      </c>
      <c r="CV5" s="9" t="s">
        <v>162</v>
      </c>
      <c r="CW5" s="9">
        <v>3</v>
      </c>
      <c r="CX5" s="9" t="s">
        <v>368</v>
      </c>
      <c r="CY5" s="9" t="s">
        <v>368</v>
      </c>
      <c r="CZ5" s="9" t="s">
        <v>162</v>
      </c>
      <c r="DA5" s="9" t="s">
        <v>162</v>
      </c>
      <c r="DB5" s="9" t="s">
        <v>162</v>
      </c>
      <c r="DC5" s="9">
        <v>71.099999999999994</v>
      </c>
      <c r="DD5" s="9">
        <v>0.92</v>
      </c>
      <c r="DE5" s="9">
        <v>150</v>
      </c>
      <c r="DF5" s="34" t="s">
        <v>386</v>
      </c>
      <c r="DG5" s="9" t="e">
        <f t="shared" si="0"/>
        <v>#VALUE!</v>
      </c>
      <c r="DH5" s="9">
        <v>34.4</v>
      </c>
      <c r="DI5" s="9">
        <v>6.34</v>
      </c>
      <c r="DJ5" s="9">
        <v>17</v>
      </c>
      <c r="DK5" s="9">
        <v>19</v>
      </c>
      <c r="DL5" s="9">
        <v>33.6</v>
      </c>
      <c r="DM5" s="9">
        <v>82</v>
      </c>
      <c r="DP5" s="11">
        <v>2</v>
      </c>
      <c r="DQ5" s="9">
        <v>3</v>
      </c>
      <c r="DR5" s="9">
        <v>2</v>
      </c>
      <c r="DT5" s="9">
        <v>11</v>
      </c>
      <c r="DU5" s="9">
        <v>8.4</v>
      </c>
    </row>
    <row r="6" spans="1:138" x14ac:dyDescent="0.2">
      <c r="A6" s="7" t="s">
        <v>420</v>
      </c>
      <c r="B6" s="8">
        <v>43277</v>
      </c>
      <c r="C6" s="9" t="s">
        <v>95</v>
      </c>
      <c r="D6" s="9">
        <v>25</v>
      </c>
      <c r="E6" s="9" t="s">
        <v>96</v>
      </c>
      <c r="F6" s="8">
        <v>33922</v>
      </c>
      <c r="G6" s="9" t="s">
        <v>314</v>
      </c>
      <c r="H6" s="9" t="s">
        <v>421</v>
      </c>
      <c r="I6" s="9">
        <v>82</v>
      </c>
      <c r="J6" s="9" t="s">
        <v>162</v>
      </c>
      <c r="K6" s="9" t="s">
        <v>162</v>
      </c>
      <c r="L6" s="9" t="s">
        <v>162</v>
      </c>
      <c r="M6" s="9" t="s">
        <v>263</v>
      </c>
      <c r="N6" s="9" t="s">
        <v>263</v>
      </c>
      <c r="O6" s="9" t="s">
        <v>263</v>
      </c>
      <c r="P6" s="9" t="s">
        <v>263</v>
      </c>
      <c r="Q6" s="9" t="s">
        <v>162</v>
      </c>
      <c r="R6" s="7" t="s">
        <v>263</v>
      </c>
      <c r="S6" s="9" t="s">
        <v>263</v>
      </c>
      <c r="T6" s="9" t="s">
        <v>263</v>
      </c>
      <c r="U6" s="9" t="s">
        <v>263</v>
      </c>
      <c r="V6" s="9" t="s">
        <v>263</v>
      </c>
      <c r="W6" s="9" t="s">
        <v>422</v>
      </c>
      <c r="X6" s="9" t="s">
        <v>263</v>
      </c>
      <c r="Y6" s="9" t="s">
        <v>162</v>
      </c>
      <c r="Z6" s="9" t="s">
        <v>162</v>
      </c>
      <c r="AA6" s="9" t="s">
        <v>96</v>
      </c>
      <c r="AB6" s="9" t="s">
        <v>96</v>
      </c>
      <c r="AC6" s="9" t="s">
        <v>96</v>
      </c>
      <c r="AD6" s="9" t="s">
        <v>96</v>
      </c>
      <c r="AE6" s="9" t="s">
        <v>263</v>
      </c>
      <c r="AF6" s="9" t="s">
        <v>263</v>
      </c>
      <c r="AG6" s="10" t="s">
        <v>423</v>
      </c>
      <c r="AH6" s="10" t="s">
        <v>424</v>
      </c>
      <c r="AI6" s="10" t="s">
        <v>425</v>
      </c>
      <c r="AJ6" s="9" t="s">
        <v>263</v>
      </c>
      <c r="AK6" s="9" t="s">
        <v>162</v>
      </c>
      <c r="AL6" s="9">
        <v>52</v>
      </c>
      <c r="AM6" s="9" t="s">
        <v>162</v>
      </c>
      <c r="AN6" s="9">
        <v>77</v>
      </c>
      <c r="AO6" s="9">
        <v>99</v>
      </c>
      <c r="AP6" s="9">
        <v>27.9</v>
      </c>
      <c r="AQ6" s="9">
        <v>3</v>
      </c>
      <c r="AR6" s="9">
        <v>28.7</v>
      </c>
      <c r="AS6" s="9">
        <v>19</v>
      </c>
      <c r="AT6" s="7">
        <v>19</v>
      </c>
      <c r="AU6" s="9">
        <v>81</v>
      </c>
      <c r="AV6" s="9">
        <v>59</v>
      </c>
      <c r="AX6" s="9" t="s">
        <v>426</v>
      </c>
      <c r="AY6" s="9" t="s">
        <v>427</v>
      </c>
      <c r="AZ6" s="9" t="s">
        <v>428</v>
      </c>
      <c r="BB6" s="9" t="s">
        <v>429</v>
      </c>
      <c r="BC6" s="9" t="s">
        <v>162</v>
      </c>
      <c r="BD6" s="9" t="s">
        <v>162</v>
      </c>
      <c r="BF6" s="9" t="s">
        <v>322</v>
      </c>
      <c r="BG6" s="9" t="s">
        <v>325</v>
      </c>
      <c r="BH6" s="9" t="s">
        <v>322</v>
      </c>
      <c r="BI6" s="9" t="s">
        <v>325</v>
      </c>
      <c r="BJ6" s="9" t="s">
        <v>322</v>
      </c>
      <c r="BK6" s="9" t="s">
        <v>375</v>
      </c>
      <c r="BN6" s="9" t="s">
        <v>376</v>
      </c>
      <c r="BO6" s="9" t="s">
        <v>430</v>
      </c>
      <c r="BP6" s="9" t="s">
        <v>377</v>
      </c>
      <c r="BR6" s="9" t="s">
        <v>162</v>
      </c>
      <c r="BS6" s="9" t="s">
        <v>162</v>
      </c>
      <c r="BT6" s="9" t="s">
        <v>162</v>
      </c>
      <c r="BV6" s="9" t="s">
        <v>162</v>
      </c>
      <c r="BW6" s="9" t="s">
        <v>162</v>
      </c>
      <c r="BX6" s="9" t="s">
        <v>162</v>
      </c>
      <c r="BZ6" s="9" t="s">
        <v>431</v>
      </c>
      <c r="CA6" s="9" t="s">
        <v>432</v>
      </c>
      <c r="CB6" s="9" t="s">
        <v>433</v>
      </c>
      <c r="CD6" s="9" t="s">
        <v>162</v>
      </c>
      <c r="CE6" s="9" t="s">
        <v>162</v>
      </c>
      <c r="CF6" s="9" t="s">
        <v>162</v>
      </c>
      <c r="CH6" s="9" t="s">
        <v>162</v>
      </c>
      <c r="CI6" s="9" t="s">
        <v>162</v>
      </c>
      <c r="CJ6" s="9" t="s">
        <v>162</v>
      </c>
      <c r="CL6" s="9" t="s">
        <v>333</v>
      </c>
      <c r="CM6" s="9" t="s">
        <v>434</v>
      </c>
      <c r="CN6" s="9" t="s">
        <v>162</v>
      </c>
      <c r="CP6" s="9" t="s">
        <v>162</v>
      </c>
      <c r="CQ6" s="9" t="s">
        <v>162</v>
      </c>
      <c r="CR6" s="9" t="s">
        <v>162</v>
      </c>
      <c r="CT6" s="9" t="s">
        <v>435</v>
      </c>
      <c r="CU6" s="9" t="s">
        <v>436</v>
      </c>
      <c r="CV6" s="9" t="s">
        <v>162</v>
      </c>
      <c r="CW6" s="9">
        <v>4</v>
      </c>
      <c r="CX6" s="9" t="s">
        <v>368</v>
      </c>
      <c r="CY6" s="9" t="s">
        <v>368</v>
      </c>
      <c r="CZ6" s="9">
        <v>20</v>
      </c>
      <c r="DA6" s="9">
        <v>20</v>
      </c>
      <c r="DB6" s="9">
        <v>60</v>
      </c>
      <c r="DC6" s="9">
        <v>79.599999999999994</v>
      </c>
      <c r="DD6" s="9">
        <v>1.06</v>
      </c>
      <c r="DE6" s="9">
        <v>179</v>
      </c>
      <c r="DF6" s="34" t="s">
        <v>437</v>
      </c>
      <c r="DG6" s="9" t="e">
        <f t="shared" si="0"/>
        <v>#VALUE!</v>
      </c>
      <c r="DH6" s="9">
        <v>33</v>
      </c>
      <c r="DI6" s="9">
        <v>5.41</v>
      </c>
      <c r="DJ6" s="9">
        <v>18.3</v>
      </c>
      <c r="DK6" s="9">
        <v>23.7</v>
      </c>
      <c r="DL6" s="9">
        <v>65.8</v>
      </c>
      <c r="DM6" s="9">
        <v>80.2</v>
      </c>
      <c r="DU6" s="9">
        <v>8.3000000000000007</v>
      </c>
    </row>
    <row r="7" spans="1:138" s="14" customFormat="1" x14ac:dyDescent="0.2">
      <c r="A7" s="9" t="s">
        <v>438</v>
      </c>
      <c r="B7" s="38"/>
      <c r="C7" s="39"/>
      <c r="D7" s="39"/>
      <c r="E7" s="39"/>
      <c r="F7" s="38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9" t="e">
        <f t="shared" si="0"/>
        <v>#NUM!</v>
      </c>
      <c r="DH7" s="39"/>
      <c r="DI7" s="39"/>
      <c r="DJ7" s="39"/>
      <c r="DK7" s="39"/>
      <c r="DL7" s="39"/>
      <c r="DM7" s="39"/>
      <c r="DN7" s="39"/>
      <c r="DO7" s="39"/>
      <c r="DP7" s="40">
        <v>3</v>
      </c>
      <c r="DQ7" s="39">
        <v>2</v>
      </c>
      <c r="DR7" s="39">
        <v>2</v>
      </c>
      <c r="DS7" s="39"/>
      <c r="DT7" s="39">
        <v>14.4</v>
      </c>
      <c r="DU7" s="39">
        <v>7.63</v>
      </c>
      <c r="DV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</row>
    <row r="8" spans="1:138" x14ac:dyDescent="0.2">
      <c r="A8" s="7" t="s">
        <v>439</v>
      </c>
      <c r="B8" s="8">
        <v>43277</v>
      </c>
      <c r="C8" s="9" t="s">
        <v>95</v>
      </c>
      <c r="D8" s="9">
        <v>27</v>
      </c>
      <c r="E8" s="41" t="s">
        <v>440</v>
      </c>
      <c r="F8" s="8">
        <v>33372</v>
      </c>
      <c r="G8" s="9" t="s">
        <v>400</v>
      </c>
      <c r="H8" s="9" t="s">
        <v>162</v>
      </c>
      <c r="I8" s="8">
        <v>38209</v>
      </c>
      <c r="J8" s="9" t="s">
        <v>162</v>
      </c>
      <c r="K8" s="9" t="s">
        <v>162</v>
      </c>
      <c r="L8" s="9" t="s">
        <v>162</v>
      </c>
      <c r="M8" s="9" t="s">
        <v>263</v>
      </c>
      <c r="N8" s="9" t="s">
        <v>263</v>
      </c>
      <c r="O8" s="9" t="s">
        <v>263</v>
      </c>
      <c r="P8" s="10" t="s">
        <v>368</v>
      </c>
      <c r="Q8" s="10" t="s">
        <v>369</v>
      </c>
      <c r="R8" s="7" t="s">
        <v>263</v>
      </c>
      <c r="S8" s="9" t="s">
        <v>263</v>
      </c>
      <c r="T8" s="9" t="s">
        <v>263</v>
      </c>
      <c r="U8" s="9" t="s">
        <v>263</v>
      </c>
      <c r="V8" s="9" t="s">
        <v>263</v>
      </c>
      <c r="W8" s="9" t="s">
        <v>263</v>
      </c>
      <c r="X8" s="9" t="s">
        <v>263</v>
      </c>
      <c r="Y8" s="9" t="s">
        <v>162</v>
      </c>
      <c r="Z8" s="9" t="s">
        <v>162</v>
      </c>
      <c r="AA8" s="41" t="s">
        <v>441</v>
      </c>
      <c r="AB8" s="41" t="s">
        <v>441</v>
      </c>
      <c r="AC8" s="41" t="s">
        <v>441</v>
      </c>
      <c r="AD8" s="41" t="s">
        <v>441</v>
      </c>
      <c r="AE8" s="10" t="s">
        <v>442</v>
      </c>
      <c r="AF8" s="10" t="s">
        <v>443</v>
      </c>
      <c r="AG8" s="10" t="s">
        <v>442</v>
      </c>
      <c r="AH8" s="9" t="s">
        <v>263</v>
      </c>
      <c r="AI8" s="9" t="s">
        <v>263</v>
      </c>
      <c r="AJ8" s="10" t="s">
        <v>425</v>
      </c>
      <c r="AK8" s="10" t="s">
        <v>444</v>
      </c>
      <c r="AL8" s="9">
        <v>63.4</v>
      </c>
      <c r="AM8" s="9" t="s">
        <v>162</v>
      </c>
      <c r="AN8" s="9">
        <v>75</v>
      </c>
      <c r="AO8" s="9">
        <v>95</v>
      </c>
      <c r="AP8" s="9">
        <v>30.2</v>
      </c>
      <c r="AQ8" s="9">
        <v>4</v>
      </c>
      <c r="AR8" s="9">
        <v>29.7</v>
      </c>
      <c r="AS8" s="9">
        <v>25</v>
      </c>
      <c r="AT8" s="7">
        <v>21.9</v>
      </c>
      <c r="AU8" s="9">
        <v>90</v>
      </c>
      <c r="AV8" s="9">
        <v>69</v>
      </c>
      <c r="AX8" s="9" t="s">
        <v>373</v>
      </c>
      <c r="AY8" s="9" t="s">
        <v>445</v>
      </c>
      <c r="AZ8" s="9" t="s">
        <v>162</v>
      </c>
      <c r="BB8" s="9" t="s">
        <v>446</v>
      </c>
      <c r="BC8" s="9" t="s">
        <v>162</v>
      </c>
      <c r="BD8" s="9" t="s">
        <v>162</v>
      </c>
      <c r="BF8" s="9" t="s">
        <v>375</v>
      </c>
      <c r="BG8" s="9" t="s">
        <v>375</v>
      </c>
      <c r="BH8" s="9" t="s">
        <v>375</v>
      </c>
      <c r="BI8" s="9" t="s">
        <v>375</v>
      </c>
      <c r="BJ8" s="9" t="s">
        <v>322</v>
      </c>
      <c r="BK8" s="9" t="s">
        <v>375</v>
      </c>
      <c r="BN8" s="9" t="s">
        <v>447</v>
      </c>
      <c r="BO8" s="9" t="s">
        <v>377</v>
      </c>
      <c r="BP8" s="9" t="s">
        <v>448</v>
      </c>
      <c r="BR8" s="9" t="s">
        <v>162</v>
      </c>
      <c r="BS8" s="9" t="s">
        <v>162</v>
      </c>
      <c r="BT8" s="9" t="s">
        <v>162</v>
      </c>
      <c r="BV8" s="9" t="s">
        <v>162</v>
      </c>
      <c r="BW8" s="9" t="s">
        <v>162</v>
      </c>
      <c r="BX8" s="9" t="s">
        <v>162</v>
      </c>
      <c r="BZ8" s="9" t="s">
        <v>431</v>
      </c>
      <c r="CA8" s="9" t="s">
        <v>380</v>
      </c>
      <c r="CB8" s="9" t="s">
        <v>162</v>
      </c>
      <c r="CD8" s="9" t="s">
        <v>162</v>
      </c>
      <c r="CE8" s="9" t="s">
        <v>162</v>
      </c>
      <c r="CF8" s="9" t="s">
        <v>162</v>
      </c>
      <c r="CH8" s="9" t="s">
        <v>162</v>
      </c>
      <c r="CI8" s="9" t="s">
        <v>162</v>
      </c>
      <c r="CJ8" s="9" t="s">
        <v>162</v>
      </c>
      <c r="CL8" s="9" t="s">
        <v>449</v>
      </c>
      <c r="CM8" s="9" t="s">
        <v>450</v>
      </c>
      <c r="CN8" s="9" t="s">
        <v>162</v>
      </c>
      <c r="CP8" s="9" t="s">
        <v>451</v>
      </c>
      <c r="CQ8" s="9" t="s">
        <v>452</v>
      </c>
      <c r="CR8" s="9" t="s">
        <v>162</v>
      </c>
      <c r="CT8" s="9" t="s">
        <v>453</v>
      </c>
      <c r="CU8" s="9" t="s">
        <v>435</v>
      </c>
      <c r="CV8" s="9" t="s">
        <v>162</v>
      </c>
      <c r="CW8" s="9">
        <v>3</v>
      </c>
      <c r="CX8" s="9" t="s">
        <v>263</v>
      </c>
      <c r="CY8" s="9" t="s">
        <v>368</v>
      </c>
      <c r="CZ8" s="9" t="s">
        <v>162</v>
      </c>
      <c r="DA8" s="9" t="s">
        <v>162</v>
      </c>
      <c r="DB8" s="9" t="s">
        <v>162</v>
      </c>
      <c r="DC8" s="9">
        <v>76.5</v>
      </c>
      <c r="DD8" s="9">
        <v>0.77</v>
      </c>
      <c r="DE8" s="9">
        <v>158</v>
      </c>
      <c r="DF8" s="9">
        <v>78</v>
      </c>
      <c r="DG8" s="9">
        <f t="shared" si="0"/>
        <v>4.3469997837610412</v>
      </c>
      <c r="DH8" s="9">
        <v>15.6</v>
      </c>
      <c r="DI8" s="9">
        <v>3.85</v>
      </c>
      <c r="DJ8" s="9">
        <v>14.7</v>
      </c>
      <c r="DK8" s="9">
        <v>25.7</v>
      </c>
      <c r="DL8" s="9">
        <v>53.2</v>
      </c>
      <c r="DM8" s="9">
        <v>89.2</v>
      </c>
      <c r="DP8" s="11">
        <v>3</v>
      </c>
      <c r="DQ8" s="9">
        <v>3</v>
      </c>
      <c r="DR8" s="9">
        <v>2</v>
      </c>
      <c r="DU8" s="9">
        <v>6.6</v>
      </c>
    </row>
    <row r="9" spans="1:138" x14ac:dyDescent="0.2">
      <c r="A9" s="30" t="s">
        <v>454</v>
      </c>
      <c r="B9" s="8">
        <v>43277</v>
      </c>
      <c r="C9" s="9" t="s">
        <v>95</v>
      </c>
      <c r="D9" s="9">
        <v>31</v>
      </c>
      <c r="E9" s="9" t="s">
        <v>96</v>
      </c>
      <c r="F9" s="8">
        <v>31636</v>
      </c>
      <c r="G9" s="9" t="s">
        <v>314</v>
      </c>
      <c r="H9" s="9" t="s">
        <v>455</v>
      </c>
      <c r="I9" s="9" t="s">
        <v>162</v>
      </c>
      <c r="J9" s="10">
        <v>1998</v>
      </c>
      <c r="K9" s="42">
        <v>43009</v>
      </c>
      <c r="L9" s="9">
        <v>3</v>
      </c>
      <c r="M9" s="9" t="s">
        <v>263</v>
      </c>
      <c r="N9" s="9" t="s">
        <v>263</v>
      </c>
      <c r="O9" s="9" t="s">
        <v>263</v>
      </c>
      <c r="P9" s="9" t="s">
        <v>263</v>
      </c>
      <c r="Q9" s="10" t="s">
        <v>456</v>
      </c>
      <c r="R9" s="7" t="s">
        <v>263</v>
      </c>
      <c r="S9" s="9" t="s">
        <v>263</v>
      </c>
      <c r="T9" s="9" t="s">
        <v>263</v>
      </c>
      <c r="U9" s="30" t="s">
        <v>457</v>
      </c>
      <c r="V9" s="9" t="s">
        <v>263</v>
      </c>
      <c r="W9" s="14" t="s">
        <v>458</v>
      </c>
      <c r="X9" s="9" t="s">
        <v>263</v>
      </c>
      <c r="Y9" s="30" t="s">
        <v>459</v>
      </c>
      <c r="Z9" s="30" t="s">
        <v>460</v>
      </c>
      <c r="AA9" s="9" t="s">
        <v>96</v>
      </c>
      <c r="AB9" s="41" t="s">
        <v>461</v>
      </c>
      <c r="AC9" s="9" t="s">
        <v>96</v>
      </c>
      <c r="AD9" s="41" t="s">
        <v>461</v>
      </c>
      <c r="AE9" s="10" t="s">
        <v>462</v>
      </c>
      <c r="AF9" s="10" t="s">
        <v>423</v>
      </c>
      <c r="AG9" s="9" t="s">
        <v>162</v>
      </c>
      <c r="AH9" s="10" t="s">
        <v>463</v>
      </c>
      <c r="AI9" s="10" t="s">
        <v>423</v>
      </c>
      <c r="AJ9" s="9" t="s">
        <v>162</v>
      </c>
      <c r="AK9" s="10" t="s">
        <v>464</v>
      </c>
      <c r="AL9" s="9">
        <v>62.7</v>
      </c>
      <c r="AM9" s="9" t="s">
        <v>162</v>
      </c>
      <c r="AN9" s="9">
        <v>75</v>
      </c>
      <c r="AO9" s="9">
        <v>101</v>
      </c>
      <c r="AP9" s="9">
        <v>36.299999999999997</v>
      </c>
      <c r="AQ9" s="9">
        <v>5</v>
      </c>
      <c r="AR9" s="9">
        <v>25.8</v>
      </c>
      <c r="AS9" s="9">
        <v>33</v>
      </c>
      <c r="AT9" s="7">
        <v>23</v>
      </c>
      <c r="AU9" s="9">
        <v>90</v>
      </c>
      <c r="AV9" s="9">
        <v>56</v>
      </c>
      <c r="AX9" s="9" t="s">
        <v>426</v>
      </c>
      <c r="AY9" s="9" t="s">
        <v>445</v>
      </c>
      <c r="AZ9" s="9" t="s">
        <v>428</v>
      </c>
      <c r="BB9" s="9" t="s">
        <v>374</v>
      </c>
      <c r="BC9" s="9" t="s">
        <v>162</v>
      </c>
      <c r="BD9" s="9" t="s">
        <v>162</v>
      </c>
      <c r="BF9" s="9" t="s">
        <v>375</v>
      </c>
      <c r="BG9" s="9" t="s">
        <v>375</v>
      </c>
      <c r="BH9" s="9" t="s">
        <v>375</v>
      </c>
      <c r="BI9" s="9" t="s">
        <v>375</v>
      </c>
      <c r="BJ9" s="9" t="s">
        <v>322</v>
      </c>
      <c r="BK9" s="9" t="s">
        <v>375</v>
      </c>
      <c r="BN9" s="9" t="s">
        <v>465</v>
      </c>
      <c r="BO9" s="9" t="s">
        <v>466</v>
      </c>
      <c r="BP9" s="9" t="s">
        <v>467</v>
      </c>
      <c r="BR9" s="9" t="s">
        <v>468</v>
      </c>
      <c r="BS9" s="9" t="s">
        <v>162</v>
      </c>
      <c r="BT9" s="9" t="s">
        <v>162</v>
      </c>
      <c r="BV9" s="9" t="s">
        <v>469</v>
      </c>
      <c r="BW9" s="9" t="s">
        <v>162</v>
      </c>
      <c r="BX9" s="9" t="s">
        <v>162</v>
      </c>
      <c r="BZ9" s="9" t="s">
        <v>470</v>
      </c>
      <c r="CA9" s="9" t="s">
        <v>471</v>
      </c>
      <c r="CB9" s="9" t="s">
        <v>432</v>
      </c>
      <c r="CD9" s="9" t="s">
        <v>162</v>
      </c>
      <c r="CE9" s="9" t="s">
        <v>162</v>
      </c>
      <c r="CF9" s="9" t="s">
        <v>162</v>
      </c>
      <c r="CH9" s="9" t="s">
        <v>162</v>
      </c>
      <c r="CI9" s="9" t="s">
        <v>162</v>
      </c>
      <c r="CJ9" s="9" t="s">
        <v>162</v>
      </c>
      <c r="CL9" s="9" t="s">
        <v>472</v>
      </c>
      <c r="CM9" s="9" t="s">
        <v>473</v>
      </c>
      <c r="CN9" s="9" t="s">
        <v>474</v>
      </c>
      <c r="CP9" s="9" t="s">
        <v>384</v>
      </c>
      <c r="CQ9" s="9" t="s">
        <v>475</v>
      </c>
      <c r="CT9" s="9" t="s">
        <v>476</v>
      </c>
      <c r="CU9" s="9" t="s">
        <v>477</v>
      </c>
      <c r="CV9" s="9" t="s">
        <v>478</v>
      </c>
      <c r="CW9" s="9" t="s">
        <v>479</v>
      </c>
      <c r="CX9" s="9" t="s">
        <v>263</v>
      </c>
      <c r="CY9" s="9" t="s">
        <v>263</v>
      </c>
      <c r="CZ9" s="9">
        <v>40</v>
      </c>
      <c r="DA9" s="9">
        <v>20</v>
      </c>
      <c r="DB9" s="9">
        <v>20</v>
      </c>
      <c r="DC9" s="9">
        <v>72.900000000000006</v>
      </c>
      <c r="DD9" s="9">
        <v>0.62</v>
      </c>
      <c r="DE9" s="34">
        <v>200</v>
      </c>
      <c r="DF9" s="9">
        <v>83</v>
      </c>
      <c r="DG9" s="9">
        <f t="shared" si="0"/>
        <v>4.3539646234056049</v>
      </c>
      <c r="DH9" s="9">
        <v>16.600000000000001</v>
      </c>
      <c r="DI9" s="9">
        <v>4.74</v>
      </c>
      <c r="DJ9" s="9">
        <v>9</v>
      </c>
      <c r="DK9" s="9">
        <v>17.7</v>
      </c>
      <c r="DL9" s="9">
        <v>53.3</v>
      </c>
      <c r="DM9" s="9">
        <v>130.1</v>
      </c>
    </row>
    <row r="10" spans="1:138" x14ac:dyDescent="0.2">
      <c r="A10" s="7" t="s">
        <v>480</v>
      </c>
      <c r="B10" s="17">
        <v>43277</v>
      </c>
      <c r="C10" s="9" t="s">
        <v>95</v>
      </c>
      <c r="D10" s="9">
        <v>20</v>
      </c>
      <c r="E10" s="9" t="s">
        <v>96</v>
      </c>
      <c r="G10" s="9" t="s">
        <v>481</v>
      </c>
      <c r="H10" s="9" t="s">
        <v>482</v>
      </c>
      <c r="J10" s="9" t="s">
        <v>483</v>
      </c>
      <c r="M10" s="9" t="s">
        <v>483</v>
      </c>
      <c r="N10" s="9" t="s">
        <v>483</v>
      </c>
      <c r="O10" s="9" t="s">
        <v>483</v>
      </c>
      <c r="P10" s="9" t="s">
        <v>484</v>
      </c>
      <c r="Q10" s="9" t="s">
        <v>485</v>
      </c>
      <c r="R10" s="7" t="s">
        <v>99</v>
      </c>
      <c r="S10" s="9" t="s">
        <v>99</v>
      </c>
      <c r="T10" s="9" t="s">
        <v>99</v>
      </c>
      <c r="U10" s="9" t="s">
        <v>99</v>
      </c>
      <c r="W10" s="9" t="s">
        <v>99</v>
      </c>
      <c r="Y10" s="9" t="s">
        <v>99</v>
      </c>
      <c r="AA10" s="9" t="s">
        <v>100</v>
      </c>
      <c r="AB10" s="9" t="s">
        <v>100</v>
      </c>
      <c r="AC10" s="9" t="s">
        <v>96</v>
      </c>
      <c r="AD10" s="9" t="s">
        <v>96</v>
      </c>
      <c r="AE10" s="10" t="s">
        <v>486</v>
      </c>
      <c r="AF10" s="9" t="s">
        <v>263</v>
      </c>
      <c r="AG10" s="9" t="s">
        <v>263</v>
      </c>
      <c r="AH10" s="10" t="s">
        <v>487</v>
      </c>
      <c r="AI10" s="9" t="s">
        <v>99</v>
      </c>
      <c r="AJ10" s="9" t="s">
        <v>99</v>
      </c>
      <c r="AK10" s="9" t="s">
        <v>99</v>
      </c>
      <c r="AL10" s="9">
        <v>46.1</v>
      </c>
      <c r="AN10" s="9">
        <v>71</v>
      </c>
      <c r="AO10" s="9">
        <v>91</v>
      </c>
      <c r="AP10" s="9">
        <v>27.6</v>
      </c>
      <c r="AQ10" s="9">
        <v>3</v>
      </c>
      <c r="AR10" s="9">
        <v>26.5</v>
      </c>
      <c r="AS10" s="9">
        <v>18</v>
      </c>
      <c r="AT10" s="7">
        <v>19.2</v>
      </c>
      <c r="AU10" s="9">
        <v>104</v>
      </c>
      <c r="AV10" s="9">
        <v>63</v>
      </c>
      <c r="AW10" s="43"/>
      <c r="AX10" s="43" t="s">
        <v>488</v>
      </c>
      <c r="AY10" s="43" t="s">
        <v>489</v>
      </c>
      <c r="AZ10" s="43" t="s">
        <v>490</v>
      </c>
      <c r="BA10" s="43"/>
      <c r="BB10" s="43" t="s">
        <v>491</v>
      </c>
      <c r="BC10" s="43" t="s">
        <v>492</v>
      </c>
      <c r="BD10" s="43"/>
      <c r="BF10" s="43" t="s">
        <v>493</v>
      </c>
      <c r="BG10" s="43" t="s">
        <v>494</v>
      </c>
      <c r="BH10" s="43" t="s">
        <v>495</v>
      </c>
      <c r="BI10" s="43" t="s">
        <v>493</v>
      </c>
      <c r="BJ10" s="43" t="s">
        <v>496</v>
      </c>
      <c r="BK10" s="43" t="s">
        <v>494</v>
      </c>
      <c r="BM10" s="9" t="s">
        <v>497</v>
      </c>
      <c r="BN10" s="9" t="s">
        <v>498</v>
      </c>
      <c r="BO10" s="9" t="s">
        <v>499</v>
      </c>
      <c r="BQ10" s="9" t="s">
        <v>500</v>
      </c>
      <c r="BU10" s="9" t="s">
        <v>500</v>
      </c>
      <c r="BZ10" s="9" t="s">
        <v>501</v>
      </c>
      <c r="CA10" s="9" t="s">
        <v>502</v>
      </c>
      <c r="CB10" s="9" t="s">
        <v>503</v>
      </c>
      <c r="CC10" s="9" t="s">
        <v>500</v>
      </c>
      <c r="CG10" s="9" t="s">
        <v>500</v>
      </c>
      <c r="CI10" s="9" t="s">
        <v>504</v>
      </c>
      <c r="CJ10" s="9" t="s">
        <v>505</v>
      </c>
      <c r="CL10" s="9" t="s">
        <v>500</v>
      </c>
      <c r="CT10" s="9" t="s">
        <v>506</v>
      </c>
      <c r="CW10" s="9">
        <v>3</v>
      </c>
      <c r="CX10" s="9" t="s">
        <v>500</v>
      </c>
      <c r="CY10" s="9" t="s">
        <v>263</v>
      </c>
      <c r="DC10" s="9">
        <v>79.900000000000006</v>
      </c>
      <c r="DD10" s="9">
        <v>0.6</v>
      </c>
      <c r="DE10" s="9">
        <v>148</v>
      </c>
      <c r="DF10" s="35"/>
      <c r="DG10" s="9" t="e">
        <f t="shared" si="0"/>
        <v>#NUM!</v>
      </c>
      <c r="DI10" s="9">
        <v>5.16</v>
      </c>
      <c r="DJ10" s="9">
        <v>11.3</v>
      </c>
      <c r="DK10" s="9">
        <v>15.7</v>
      </c>
      <c r="DL10" s="9">
        <v>49</v>
      </c>
      <c r="DM10" s="9">
        <v>92.6</v>
      </c>
      <c r="DT10" s="9">
        <v>14.2</v>
      </c>
      <c r="DU10" s="9">
        <v>10</v>
      </c>
    </row>
    <row r="11" spans="1:138" x14ac:dyDescent="0.2">
      <c r="A11" s="7" t="s">
        <v>540</v>
      </c>
      <c r="B11" s="17">
        <v>43287</v>
      </c>
      <c r="C11" s="9" t="s">
        <v>95</v>
      </c>
      <c r="D11" s="9">
        <v>20</v>
      </c>
      <c r="E11" s="9" t="s">
        <v>96</v>
      </c>
      <c r="F11" s="8">
        <v>35667</v>
      </c>
      <c r="G11" s="9" t="s">
        <v>97</v>
      </c>
      <c r="H11" s="9" t="s">
        <v>541</v>
      </c>
      <c r="I11" s="9">
        <v>2008</v>
      </c>
      <c r="J11" s="9" t="s">
        <v>162</v>
      </c>
      <c r="K11" s="9" t="s">
        <v>162</v>
      </c>
      <c r="L11" s="9" t="s">
        <v>162</v>
      </c>
      <c r="M11" s="9" t="s">
        <v>263</v>
      </c>
      <c r="N11" s="9" t="s">
        <v>263</v>
      </c>
      <c r="O11" s="9" t="s">
        <v>263</v>
      </c>
      <c r="P11" s="10" t="s">
        <v>368</v>
      </c>
      <c r="Q11" s="10" t="s">
        <v>369</v>
      </c>
      <c r="R11" s="7" t="s">
        <v>263</v>
      </c>
      <c r="S11" s="9" t="s">
        <v>542</v>
      </c>
      <c r="T11" s="9" t="s">
        <v>543</v>
      </c>
      <c r="U11" s="9" t="s">
        <v>263</v>
      </c>
      <c r="V11" s="9" t="s">
        <v>263</v>
      </c>
      <c r="W11" s="10" t="s">
        <v>544</v>
      </c>
      <c r="X11" s="9" t="s">
        <v>368</v>
      </c>
      <c r="Y11" s="9" t="s">
        <v>162</v>
      </c>
      <c r="Z11" s="9" t="s">
        <v>545</v>
      </c>
      <c r="AA11" s="9" t="s">
        <v>96</v>
      </c>
      <c r="AB11" s="35" t="s">
        <v>155</v>
      </c>
      <c r="AC11" s="9" t="s">
        <v>96</v>
      </c>
      <c r="AD11" s="37" t="s">
        <v>546</v>
      </c>
      <c r="AE11" s="10" t="s">
        <v>547</v>
      </c>
      <c r="AF11" s="9" t="s">
        <v>263</v>
      </c>
      <c r="AG11" s="10" t="s">
        <v>548</v>
      </c>
      <c r="AH11" s="9" t="s">
        <v>263</v>
      </c>
      <c r="AI11" s="10" t="s">
        <v>425</v>
      </c>
      <c r="AJ11" s="9" t="s">
        <v>263</v>
      </c>
      <c r="AL11" s="9">
        <v>61.7</v>
      </c>
      <c r="AM11" s="9">
        <v>1.64</v>
      </c>
      <c r="AN11" s="30">
        <v>83.1</v>
      </c>
      <c r="AO11" s="9">
        <v>104.7</v>
      </c>
      <c r="AP11" s="9">
        <v>39.4</v>
      </c>
      <c r="AQ11" s="9">
        <v>4</v>
      </c>
      <c r="AR11" s="9">
        <v>21.6</v>
      </c>
      <c r="AS11" s="9">
        <v>24</v>
      </c>
      <c r="AT11" s="30">
        <v>22.9</v>
      </c>
      <c r="AU11" s="9">
        <v>87</v>
      </c>
      <c r="AV11" s="9">
        <v>65</v>
      </c>
      <c r="AX11" s="9" t="s">
        <v>372</v>
      </c>
      <c r="AY11" s="9" t="s">
        <v>549</v>
      </c>
      <c r="AZ11" s="9" t="s">
        <v>550</v>
      </c>
      <c r="BB11" s="9" t="s">
        <v>374</v>
      </c>
      <c r="BC11" s="9" t="s">
        <v>492</v>
      </c>
      <c r="BD11" s="9" t="s">
        <v>551</v>
      </c>
      <c r="BF11" s="9" t="s">
        <v>322</v>
      </c>
      <c r="BG11" s="9" t="s">
        <v>375</v>
      </c>
      <c r="BH11" s="9" t="s">
        <v>322</v>
      </c>
      <c r="BI11" s="9" t="s">
        <v>322</v>
      </c>
      <c r="BJ11" s="9" t="s">
        <v>322</v>
      </c>
      <c r="BK11" s="9" t="s">
        <v>276</v>
      </c>
      <c r="BN11" s="9" t="s">
        <v>552</v>
      </c>
      <c r="BO11" s="9" t="s">
        <v>553</v>
      </c>
      <c r="BP11" s="9" t="s">
        <v>377</v>
      </c>
      <c r="BR11" s="9" t="s">
        <v>162</v>
      </c>
      <c r="BS11" s="9" t="s">
        <v>162</v>
      </c>
      <c r="BT11" s="9" t="s">
        <v>162</v>
      </c>
      <c r="BV11" s="9" t="s">
        <v>554</v>
      </c>
      <c r="BW11" s="9" t="s">
        <v>467</v>
      </c>
      <c r="BX11" s="9" t="s">
        <v>555</v>
      </c>
      <c r="BZ11" s="9" t="s">
        <v>556</v>
      </c>
      <c r="CA11" s="9" t="s">
        <v>557</v>
      </c>
      <c r="CB11" s="9" t="s">
        <v>558</v>
      </c>
      <c r="CD11" s="9" t="s">
        <v>162</v>
      </c>
      <c r="CE11" s="9" t="s">
        <v>162</v>
      </c>
      <c r="CF11" s="9" t="s">
        <v>162</v>
      </c>
      <c r="CH11" s="9" t="s">
        <v>559</v>
      </c>
      <c r="CI11" s="9" t="s">
        <v>162</v>
      </c>
      <c r="CJ11" s="9" t="s">
        <v>162</v>
      </c>
      <c r="CK11" s="9" t="s">
        <v>162</v>
      </c>
      <c r="CL11" s="9" t="s">
        <v>333</v>
      </c>
      <c r="CM11" s="9" t="s">
        <v>473</v>
      </c>
      <c r="CN11" s="9" t="s">
        <v>560</v>
      </c>
      <c r="CP11" s="9" t="s">
        <v>384</v>
      </c>
      <c r="CQ11" s="9" t="s">
        <v>475</v>
      </c>
      <c r="CR11" s="9" t="s">
        <v>561</v>
      </c>
      <c r="CT11" s="9" t="s">
        <v>562</v>
      </c>
      <c r="CU11" s="9" t="s">
        <v>563</v>
      </c>
      <c r="CV11" s="9" t="s">
        <v>564</v>
      </c>
      <c r="CW11" s="9">
        <v>4</v>
      </c>
      <c r="CX11" s="9" t="s">
        <v>263</v>
      </c>
      <c r="CY11" s="9" t="s">
        <v>263</v>
      </c>
      <c r="CZ11" s="9">
        <v>25</v>
      </c>
      <c r="DA11" s="9">
        <v>25</v>
      </c>
      <c r="DB11" s="9">
        <v>50</v>
      </c>
      <c r="DC11" s="9">
        <v>73.7</v>
      </c>
      <c r="DD11" s="9">
        <v>0.51</v>
      </c>
      <c r="DE11" s="9">
        <v>160</v>
      </c>
      <c r="DF11" s="9">
        <v>142</v>
      </c>
      <c r="DG11" s="9">
        <f t="shared" si="0"/>
        <v>4.6279149283982761</v>
      </c>
      <c r="DH11" s="9">
        <v>28.4</v>
      </c>
      <c r="DI11" s="9">
        <v>4.21</v>
      </c>
      <c r="DJ11" s="9">
        <v>11</v>
      </c>
      <c r="DK11" s="9">
        <v>13.3</v>
      </c>
      <c r="DL11" s="9">
        <v>52.7</v>
      </c>
      <c r="DM11" s="9">
        <v>78.900000000000006</v>
      </c>
      <c r="DQ11" s="9">
        <v>2</v>
      </c>
      <c r="DU11" s="9">
        <v>7</v>
      </c>
    </row>
    <row r="12" spans="1:138" x14ac:dyDescent="0.2">
      <c r="A12" s="7" t="s">
        <v>743</v>
      </c>
      <c r="B12" s="8">
        <v>43308</v>
      </c>
      <c r="C12" s="9" t="s">
        <v>95</v>
      </c>
      <c r="D12" s="9">
        <v>20</v>
      </c>
      <c r="E12" s="9" t="s">
        <v>96</v>
      </c>
      <c r="F12" s="17">
        <v>35793</v>
      </c>
      <c r="G12" s="9" t="s">
        <v>744</v>
      </c>
      <c r="H12" s="9" t="s">
        <v>745</v>
      </c>
      <c r="J12" s="9" t="s">
        <v>500</v>
      </c>
      <c r="K12" s="9" t="s">
        <v>500</v>
      </c>
      <c r="L12" s="9" t="s">
        <v>500</v>
      </c>
      <c r="M12" s="9" t="s">
        <v>99</v>
      </c>
      <c r="N12" s="9" t="s">
        <v>99</v>
      </c>
      <c r="O12" s="9" t="s">
        <v>99</v>
      </c>
      <c r="P12" s="47" t="s">
        <v>99</v>
      </c>
      <c r="Q12" s="10" t="s">
        <v>746</v>
      </c>
      <c r="R12" s="7" t="s">
        <v>500</v>
      </c>
      <c r="S12" s="9" t="s">
        <v>500</v>
      </c>
      <c r="T12" s="9" t="s">
        <v>500</v>
      </c>
      <c r="U12" s="9" t="s">
        <v>500</v>
      </c>
      <c r="V12" s="9" t="s">
        <v>500</v>
      </c>
      <c r="W12" s="9" t="s">
        <v>500</v>
      </c>
      <c r="X12" s="9" t="s">
        <v>500</v>
      </c>
      <c r="Y12" s="9" t="s">
        <v>500</v>
      </c>
      <c r="Z12" s="9" t="s">
        <v>500</v>
      </c>
      <c r="AA12" s="9" t="s">
        <v>100</v>
      </c>
      <c r="AB12" s="35" t="s">
        <v>155</v>
      </c>
      <c r="AC12" s="9" t="s">
        <v>100</v>
      </c>
      <c r="AD12" s="9" t="s">
        <v>100</v>
      </c>
      <c r="AE12" s="9" t="s">
        <v>99</v>
      </c>
      <c r="AF12" s="9" t="s">
        <v>110</v>
      </c>
      <c r="AG12" s="9" t="s">
        <v>99</v>
      </c>
      <c r="AH12" s="9" t="s">
        <v>99</v>
      </c>
      <c r="AI12" s="9" t="s">
        <v>99</v>
      </c>
      <c r="AJ12" s="9" t="s">
        <v>99</v>
      </c>
      <c r="AK12" s="9" t="s">
        <v>99</v>
      </c>
      <c r="AL12" s="9">
        <v>62.8</v>
      </c>
      <c r="AM12" s="9">
        <v>164</v>
      </c>
      <c r="AN12" s="9">
        <v>77</v>
      </c>
      <c r="AO12" s="9">
        <v>104</v>
      </c>
      <c r="AP12" s="9">
        <v>37.799999999999997</v>
      </c>
      <c r="AQ12" s="9">
        <v>4</v>
      </c>
      <c r="AR12" s="9">
        <v>25</v>
      </c>
      <c r="AS12" s="9">
        <v>28</v>
      </c>
      <c r="AT12" s="7">
        <v>23.3</v>
      </c>
      <c r="AU12" s="9">
        <v>101</v>
      </c>
      <c r="AV12" s="9">
        <v>74</v>
      </c>
      <c r="AX12" s="9" t="s">
        <v>747</v>
      </c>
      <c r="AY12" s="9" t="s">
        <v>748</v>
      </c>
      <c r="BA12" s="9" t="s">
        <v>176</v>
      </c>
      <c r="BB12" s="9" t="s">
        <v>749</v>
      </c>
      <c r="BC12" s="9" t="s">
        <v>750</v>
      </c>
      <c r="BF12" s="9" t="s">
        <v>176</v>
      </c>
      <c r="BG12" s="9" t="s">
        <v>350</v>
      </c>
      <c r="BH12" s="9" t="s">
        <v>655</v>
      </c>
      <c r="BI12" s="9" t="s">
        <v>176</v>
      </c>
      <c r="BJ12" s="9" t="s">
        <v>176</v>
      </c>
      <c r="BK12" s="9" t="s">
        <v>655</v>
      </c>
      <c r="BM12" s="9" t="s">
        <v>176</v>
      </c>
      <c r="BN12" s="9" t="s">
        <v>178</v>
      </c>
      <c r="BO12" s="9" t="s">
        <v>179</v>
      </c>
      <c r="BP12" s="9" t="s">
        <v>751</v>
      </c>
      <c r="BZ12" s="9" t="s">
        <v>752</v>
      </c>
      <c r="CA12" s="9" t="s">
        <v>183</v>
      </c>
      <c r="CK12" s="9" t="s">
        <v>176</v>
      </c>
      <c r="CL12" s="9" t="s">
        <v>735</v>
      </c>
      <c r="CM12" s="9" t="s">
        <v>753</v>
      </c>
      <c r="CN12" s="9" t="s">
        <v>754</v>
      </c>
      <c r="CP12" s="9" t="s">
        <v>755</v>
      </c>
      <c r="CQ12" s="9" t="s">
        <v>756</v>
      </c>
      <c r="CR12" s="47" t="s">
        <v>757</v>
      </c>
      <c r="CT12" s="9" t="s">
        <v>758</v>
      </c>
      <c r="CW12" s="9">
        <v>4</v>
      </c>
      <c r="CX12" s="9" t="s">
        <v>110</v>
      </c>
      <c r="CY12" s="9" t="s">
        <v>110</v>
      </c>
      <c r="CZ12" s="9">
        <v>40</v>
      </c>
      <c r="DA12" s="9">
        <v>20</v>
      </c>
      <c r="DB12" s="9">
        <v>40</v>
      </c>
      <c r="DC12" s="9">
        <v>69.5</v>
      </c>
      <c r="DD12" s="9">
        <v>0.57999999999999996</v>
      </c>
      <c r="DE12" s="9">
        <v>137</v>
      </c>
      <c r="DF12" s="9">
        <v>47</v>
      </c>
      <c r="DG12" s="9">
        <f t="shared" si="0"/>
        <v>4.0457371771404027</v>
      </c>
      <c r="DH12" s="9">
        <v>9.4</v>
      </c>
      <c r="DI12" s="9">
        <v>57.5</v>
      </c>
      <c r="DL12" s="9">
        <v>57.5</v>
      </c>
      <c r="DM12" s="9">
        <v>70.099999999999994</v>
      </c>
      <c r="DP12" s="11">
        <v>2</v>
      </c>
      <c r="DR12" s="9">
        <v>2</v>
      </c>
      <c r="DT12" s="9">
        <v>10</v>
      </c>
      <c r="DU12" s="9">
        <v>6.71</v>
      </c>
    </row>
    <row r="13" spans="1:138" x14ac:dyDescent="0.2">
      <c r="A13" s="7" t="s">
        <v>812</v>
      </c>
      <c r="B13" s="8">
        <v>43308</v>
      </c>
      <c r="C13" s="9" t="s">
        <v>95</v>
      </c>
      <c r="D13" s="9">
        <v>45</v>
      </c>
      <c r="E13" s="35" t="s">
        <v>109</v>
      </c>
      <c r="F13" s="8">
        <v>26835</v>
      </c>
      <c r="G13" s="9" t="s">
        <v>813</v>
      </c>
      <c r="I13" s="9">
        <v>13</v>
      </c>
      <c r="J13" s="9" t="s">
        <v>99</v>
      </c>
      <c r="K13" s="8">
        <v>2009</v>
      </c>
      <c r="L13" s="9">
        <v>3</v>
      </c>
      <c r="M13" s="9" t="s">
        <v>99</v>
      </c>
      <c r="N13" s="9" t="s">
        <v>99</v>
      </c>
      <c r="O13" s="9" t="s">
        <v>99</v>
      </c>
      <c r="P13" s="9" t="s">
        <v>99</v>
      </c>
      <c r="Q13" s="10" t="s">
        <v>814</v>
      </c>
      <c r="R13" s="7" t="s">
        <v>99</v>
      </c>
      <c r="S13" s="9" t="s">
        <v>99</v>
      </c>
      <c r="T13" s="9" t="s">
        <v>99</v>
      </c>
      <c r="U13" s="9" t="s">
        <v>99</v>
      </c>
      <c r="V13" s="9" t="s">
        <v>99</v>
      </c>
      <c r="W13" s="9" t="s">
        <v>99</v>
      </c>
      <c r="X13" s="9" t="s">
        <v>99</v>
      </c>
      <c r="Y13" s="9" t="s">
        <v>99</v>
      </c>
      <c r="Z13" s="9" t="s">
        <v>815</v>
      </c>
      <c r="AA13" s="35" t="s">
        <v>109</v>
      </c>
      <c r="AB13" s="37" t="s">
        <v>816</v>
      </c>
      <c r="AC13" s="35" t="s">
        <v>109</v>
      </c>
      <c r="AD13" s="37" t="s">
        <v>816</v>
      </c>
      <c r="AE13" s="9" t="s">
        <v>99</v>
      </c>
      <c r="AF13" s="9" t="s">
        <v>99</v>
      </c>
      <c r="AG13" s="9" t="s">
        <v>99</v>
      </c>
      <c r="AH13" s="9" t="s">
        <v>99</v>
      </c>
      <c r="AI13" s="9" t="s">
        <v>99</v>
      </c>
      <c r="AJ13" s="9" t="s">
        <v>99</v>
      </c>
      <c r="AK13" s="9" t="s">
        <v>99</v>
      </c>
      <c r="AL13" s="9">
        <v>59.2</v>
      </c>
      <c r="AM13" s="9">
        <v>163</v>
      </c>
      <c r="AN13" s="9">
        <v>84</v>
      </c>
      <c r="AO13" s="9">
        <v>95</v>
      </c>
      <c r="AP13" s="9">
        <v>36</v>
      </c>
      <c r="AQ13" s="9">
        <v>5</v>
      </c>
      <c r="AR13" s="9">
        <v>24.5</v>
      </c>
      <c r="AS13" s="9">
        <v>38</v>
      </c>
      <c r="AT13" s="7">
        <v>22.3</v>
      </c>
      <c r="AU13" s="9">
        <v>119</v>
      </c>
      <c r="AV13" s="9">
        <v>73</v>
      </c>
      <c r="AW13" s="9" t="s">
        <v>176</v>
      </c>
      <c r="AX13" s="9" t="s">
        <v>817</v>
      </c>
      <c r="AY13" s="9" t="s">
        <v>748</v>
      </c>
      <c r="BA13" s="9" t="s">
        <v>818</v>
      </c>
      <c r="BB13" s="9" t="s">
        <v>750</v>
      </c>
      <c r="BC13" s="9" t="s">
        <v>749</v>
      </c>
      <c r="BF13" s="9" t="s">
        <v>819</v>
      </c>
      <c r="BG13" s="9" t="s">
        <v>350</v>
      </c>
      <c r="BH13" s="9" t="s">
        <v>350</v>
      </c>
      <c r="BI13" s="9" t="s">
        <v>176</v>
      </c>
      <c r="BJ13" s="9" t="s">
        <v>176</v>
      </c>
      <c r="BK13" s="9" t="s">
        <v>350</v>
      </c>
      <c r="BM13" s="9" t="s">
        <v>820</v>
      </c>
      <c r="BQ13" s="9" t="s">
        <v>110</v>
      </c>
      <c r="BY13" s="9" t="s">
        <v>350</v>
      </c>
      <c r="BZ13" s="9" t="s">
        <v>821</v>
      </c>
      <c r="CA13" s="9" t="s">
        <v>752</v>
      </c>
      <c r="CB13" s="9" t="s">
        <v>822</v>
      </c>
      <c r="CC13" s="9" t="s">
        <v>99</v>
      </c>
      <c r="CG13" s="9" t="s">
        <v>99</v>
      </c>
      <c r="CL13" s="9" t="s">
        <v>823</v>
      </c>
      <c r="CM13" s="9" t="s">
        <v>824</v>
      </c>
      <c r="CN13" s="9" t="s">
        <v>825</v>
      </c>
      <c r="CO13" s="9" t="s">
        <v>176</v>
      </c>
      <c r="CP13" s="9" t="s">
        <v>826</v>
      </c>
      <c r="CQ13" s="9" t="s">
        <v>757</v>
      </c>
      <c r="CR13" s="9" t="s">
        <v>362</v>
      </c>
      <c r="CS13" s="9" t="s">
        <v>827</v>
      </c>
      <c r="CT13" s="9" t="s">
        <v>828</v>
      </c>
      <c r="CU13" s="9" t="s">
        <v>829</v>
      </c>
      <c r="CV13" s="9" t="s">
        <v>830</v>
      </c>
      <c r="CW13" s="45">
        <v>43193</v>
      </c>
      <c r="CX13" s="9" t="s">
        <v>99</v>
      </c>
      <c r="CY13" s="9" t="s">
        <v>99</v>
      </c>
      <c r="CZ13" s="9">
        <v>30</v>
      </c>
      <c r="DA13" s="9">
        <v>20</v>
      </c>
      <c r="DB13" s="9">
        <v>50</v>
      </c>
      <c r="DC13" s="9">
        <v>88.1</v>
      </c>
      <c r="DD13" s="9">
        <v>0.62</v>
      </c>
      <c r="DE13" s="10">
        <v>201</v>
      </c>
      <c r="DF13" s="9">
        <v>128</v>
      </c>
      <c r="DG13" s="9">
        <f t="shared" si="0"/>
        <v>4.6652513984308754</v>
      </c>
      <c r="DH13" s="9">
        <v>25.6</v>
      </c>
      <c r="DI13" s="9">
        <v>3.97</v>
      </c>
      <c r="DP13" s="11">
        <v>2</v>
      </c>
      <c r="DR13" s="30">
        <v>1</v>
      </c>
      <c r="DT13" s="9">
        <v>14.7</v>
      </c>
      <c r="DU13" s="9">
        <v>5</v>
      </c>
    </row>
    <row r="14" spans="1:138" x14ac:dyDescent="0.2">
      <c r="A14" s="7" t="s">
        <v>999</v>
      </c>
      <c r="B14" s="8">
        <v>43308</v>
      </c>
      <c r="C14" s="9" t="s">
        <v>95</v>
      </c>
      <c r="D14" s="9">
        <v>37</v>
      </c>
      <c r="E14" s="9" t="s">
        <v>100</v>
      </c>
      <c r="F14" s="8">
        <v>29443</v>
      </c>
      <c r="G14" s="9" t="s">
        <v>585</v>
      </c>
      <c r="H14" s="9" t="s">
        <v>1000</v>
      </c>
      <c r="K14" s="9">
        <v>2013</v>
      </c>
      <c r="L14" s="9">
        <v>2</v>
      </c>
      <c r="M14" s="9" t="s">
        <v>263</v>
      </c>
      <c r="N14" s="9" t="s">
        <v>263</v>
      </c>
      <c r="O14" s="9" t="s">
        <v>263</v>
      </c>
      <c r="P14" s="9" t="s">
        <v>263</v>
      </c>
      <c r="R14" s="7" t="s">
        <v>483</v>
      </c>
      <c r="S14" s="9" t="s">
        <v>483</v>
      </c>
      <c r="T14" s="9" t="s">
        <v>483</v>
      </c>
      <c r="U14" s="9" t="s">
        <v>483</v>
      </c>
      <c r="V14" s="9" t="s">
        <v>483</v>
      </c>
      <c r="W14" s="9" t="s">
        <v>483</v>
      </c>
      <c r="X14" s="9" t="s">
        <v>483</v>
      </c>
      <c r="AA14" s="9" t="s">
        <v>100</v>
      </c>
      <c r="AB14" s="52" t="s">
        <v>1001</v>
      </c>
      <c r="AC14" s="9" t="s">
        <v>100</v>
      </c>
      <c r="AD14" s="9" t="s">
        <v>100</v>
      </c>
      <c r="AE14" s="9" t="s">
        <v>483</v>
      </c>
      <c r="AF14" s="10" t="s">
        <v>1002</v>
      </c>
      <c r="AG14" s="10" t="s">
        <v>1003</v>
      </c>
      <c r="AH14" s="9" t="s">
        <v>263</v>
      </c>
      <c r="AI14" s="9" t="s">
        <v>263</v>
      </c>
      <c r="AJ14" s="9" t="s">
        <v>263</v>
      </c>
      <c r="AK14" s="9" t="s">
        <v>263</v>
      </c>
      <c r="AL14" s="9">
        <v>63.3</v>
      </c>
      <c r="AM14" s="9">
        <v>168</v>
      </c>
      <c r="AN14" s="9">
        <v>74</v>
      </c>
      <c r="AO14" s="9">
        <v>103</v>
      </c>
      <c r="AP14" s="9">
        <v>34.200000000000003</v>
      </c>
      <c r="AQ14" s="9">
        <v>5</v>
      </c>
      <c r="AR14" s="9">
        <v>26.8</v>
      </c>
      <c r="AS14" s="9">
        <v>33</v>
      </c>
      <c r="AT14" s="7">
        <v>22.3</v>
      </c>
      <c r="AU14" s="9">
        <v>111</v>
      </c>
      <c r="AV14" s="9">
        <v>70</v>
      </c>
      <c r="AX14" s="9" t="s">
        <v>917</v>
      </c>
      <c r="AY14" s="9" t="s">
        <v>389</v>
      </c>
      <c r="AZ14" s="9" t="s">
        <v>168</v>
      </c>
      <c r="BF14" s="9" t="s">
        <v>635</v>
      </c>
      <c r="BG14" s="9" t="s">
        <v>265</v>
      </c>
      <c r="BH14" s="9" t="s">
        <v>323</v>
      </c>
      <c r="BI14" s="9" t="s">
        <v>323</v>
      </c>
      <c r="BJ14" s="9" t="s">
        <v>635</v>
      </c>
      <c r="BK14" s="9" t="s">
        <v>1004</v>
      </c>
      <c r="BN14" s="9" t="s">
        <v>396</v>
      </c>
      <c r="BO14" s="9" t="s">
        <v>394</v>
      </c>
      <c r="BP14" s="9" t="s">
        <v>1005</v>
      </c>
      <c r="BR14" s="9" t="s">
        <v>483</v>
      </c>
      <c r="BV14" s="9" t="s">
        <v>325</v>
      </c>
      <c r="BZ14" s="9" t="s">
        <v>332</v>
      </c>
      <c r="CA14" s="9" t="s">
        <v>1006</v>
      </c>
      <c r="CB14" s="9" t="s">
        <v>415</v>
      </c>
      <c r="CD14" s="9" t="s">
        <v>483</v>
      </c>
      <c r="CH14" s="9" t="s">
        <v>483</v>
      </c>
      <c r="CL14" s="9" t="s">
        <v>333</v>
      </c>
      <c r="CM14" s="9" t="s">
        <v>1007</v>
      </c>
      <c r="CN14" s="9" t="s">
        <v>955</v>
      </c>
      <c r="CP14" s="9" t="s">
        <v>1008</v>
      </c>
      <c r="CQ14" s="9" t="s">
        <v>1009</v>
      </c>
      <c r="CR14" s="9" t="s">
        <v>791</v>
      </c>
      <c r="CT14" s="9" t="s">
        <v>1010</v>
      </c>
      <c r="CU14" s="9" t="s">
        <v>539</v>
      </c>
      <c r="CV14" s="9" t="s">
        <v>1011</v>
      </c>
      <c r="CW14" s="9">
        <v>4</v>
      </c>
      <c r="CX14" s="9" t="s">
        <v>588</v>
      </c>
      <c r="CY14" s="9" t="s">
        <v>588</v>
      </c>
      <c r="DC14" s="9">
        <v>78.7</v>
      </c>
      <c r="DD14" s="9">
        <v>0.41</v>
      </c>
      <c r="DE14" s="9">
        <v>123</v>
      </c>
      <c r="DF14" s="9">
        <v>60</v>
      </c>
      <c r="DG14" s="9">
        <f t="shared" si="0"/>
        <v>4.2299938588227288</v>
      </c>
      <c r="DH14" s="9">
        <v>12</v>
      </c>
      <c r="DI14" s="9">
        <v>2.92</v>
      </c>
      <c r="DL14" s="9">
        <v>42.8</v>
      </c>
      <c r="DM14" s="9">
        <v>68.2</v>
      </c>
      <c r="DP14" s="11">
        <v>2</v>
      </c>
      <c r="DQ14" s="9">
        <v>2</v>
      </c>
      <c r="DR14" s="9">
        <v>2</v>
      </c>
      <c r="DU14" s="9">
        <v>5.62</v>
      </c>
    </row>
    <row r="15" spans="1:138" x14ac:dyDescent="0.2">
      <c r="A15" s="7" t="s">
        <v>1077</v>
      </c>
      <c r="B15" s="8">
        <v>43308</v>
      </c>
      <c r="C15" s="9" t="s">
        <v>95</v>
      </c>
      <c r="D15" s="9">
        <v>40</v>
      </c>
      <c r="E15" s="9" t="s">
        <v>96</v>
      </c>
      <c r="F15" s="8">
        <v>28405</v>
      </c>
      <c r="G15" s="9" t="s">
        <v>813</v>
      </c>
      <c r="H15" s="9" t="s">
        <v>1078</v>
      </c>
      <c r="M15" s="9" t="s">
        <v>99</v>
      </c>
      <c r="N15" s="9" t="s">
        <v>99</v>
      </c>
      <c r="O15" s="9" t="s">
        <v>99</v>
      </c>
      <c r="P15" s="9" t="s">
        <v>99</v>
      </c>
      <c r="AA15" s="9" t="s">
        <v>100</v>
      </c>
      <c r="AB15" s="56" t="s">
        <v>797</v>
      </c>
      <c r="AC15" s="9" t="s">
        <v>100</v>
      </c>
      <c r="AD15" s="9" t="s">
        <v>100</v>
      </c>
      <c r="AE15" s="9" t="s">
        <v>99</v>
      </c>
      <c r="AF15" s="10" t="s">
        <v>1079</v>
      </c>
      <c r="AG15" s="9" t="s">
        <v>99</v>
      </c>
      <c r="AH15" s="10" t="s">
        <v>664</v>
      </c>
      <c r="AI15" s="9" t="s">
        <v>99</v>
      </c>
      <c r="AJ15" s="9" t="s">
        <v>99</v>
      </c>
      <c r="AK15" s="9" t="s">
        <v>99</v>
      </c>
      <c r="AL15" s="9">
        <v>55.6</v>
      </c>
      <c r="AM15" s="9">
        <v>156</v>
      </c>
      <c r="AO15" s="9">
        <v>98</v>
      </c>
      <c r="AP15" s="9">
        <v>33.200000000000003</v>
      </c>
      <c r="AQ15" s="9">
        <v>5</v>
      </c>
      <c r="AR15" s="9">
        <v>27.9</v>
      </c>
      <c r="AS15" s="9">
        <v>41</v>
      </c>
      <c r="AT15" s="7">
        <v>23.1</v>
      </c>
      <c r="AU15" s="9">
        <v>102</v>
      </c>
      <c r="AV15" s="9">
        <v>70</v>
      </c>
      <c r="AX15" s="9" t="s">
        <v>573</v>
      </c>
      <c r="AY15" s="9" t="s">
        <v>729</v>
      </c>
      <c r="BB15" s="9" t="s">
        <v>1080</v>
      </c>
      <c r="BC15" s="9" t="s">
        <v>1081</v>
      </c>
      <c r="BF15" s="9" t="s">
        <v>350</v>
      </c>
      <c r="BG15" s="9" t="s">
        <v>350</v>
      </c>
      <c r="BN15" s="9" t="s">
        <v>1082</v>
      </c>
      <c r="BR15" s="9" t="s">
        <v>110</v>
      </c>
      <c r="BV15" s="9" t="s">
        <v>110</v>
      </c>
      <c r="BZ15" s="9" t="s">
        <v>176</v>
      </c>
      <c r="CL15" s="9" t="s">
        <v>176</v>
      </c>
      <c r="CP15" s="9" t="s">
        <v>350</v>
      </c>
      <c r="CT15" s="9" t="s">
        <v>350</v>
      </c>
      <c r="CW15" s="9">
        <v>4</v>
      </c>
      <c r="CX15" s="9" t="s">
        <v>99</v>
      </c>
      <c r="CY15" s="9" t="s">
        <v>110</v>
      </c>
      <c r="DC15" s="9">
        <v>86.1</v>
      </c>
      <c r="DD15" s="9">
        <v>0.75</v>
      </c>
      <c r="DE15" s="9">
        <v>174</v>
      </c>
      <c r="DF15" s="9">
        <v>115</v>
      </c>
      <c r="DG15" s="9">
        <f t="shared" si="0"/>
        <v>4.6002207698984678</v>
      </c>
      <c r="DH15" s="9">
        <v>23</v>
      </c>
      <c r="DI15" s="9">
        <v>4.6399999999999997</v>
      </c>
      <c r="DL15" s="10">
        <v>47.4</v>
      </c>
      <c r="DM15" s="9">
        <v>103.6</v>
      </c>
      <c r="DP15" s="18">
        <v>1</v>
      </c>
      <c r="DQ15" s="9">
        <v>2</v>
      </c>
      <c r="DR15" s="9">
        <v>2</v>
      </c>
      <c r="DU15" s="9">
        <v>9.8000000000000007</v>
      </c>
    </row>
    <row r="16" spans="1:138" x14ac:dyDescent="0.2">
      <c r="A16" s="7" t="s">
        <v>1101</v>
      </c>
      <c r="B16" s="8">
        <v>43308</v>
      </c>
      <c r="C16" s="9" t="s">
        <v>95</v>
      </c>
      <c r="D16" s="9">
        <v>40</v>
      </c>
      <c r="E16" s="9" t="s">
        <v>96</v>
      </c>
      <c r="F16" s="8">
        <v>28588</v>
      </c>
      <c r="H16" s="9" t="s">
        <v>1102</v>
      </c>
      <c r="L16" s="9" t="s">
        <v>1103</v>
      </c>
      <c r="M16" s="9" t="s">
        <v>483</v>
      </c>
      <c r="N16" s="9" t="s">
        <v>483</v>
      </c>
      <c r="O16" s="9" t="s">
        <v>483</v>
      </c>
      <c r="P16" s="9" t="s">
        <v>483</v>
      </c>
      <c r="Q16" s="9" t="s">
        <v>483</v>
      </c>
      <c r="R16" s="7" t="s">
        <v>483</v>
      </c>
      <c r="S16" s="9" t="s">
        <v>483</v>
      </c>
      <c r="T16" s="9" t="s">
        <v>483</v>
      </c>
      <c r="U16" s="9" t="s">
        <v>483</v>
      </c>
      <c r="V16" s="9" t="s">
        <v>483</v>
      </c>
      <c r="W16" s="9" t="s">
        <v>483</v>
      </c>
      <c r="X16" s="9" t="s">
        <v>483</v>
      </c>
      <c r="AA16" s="14" t="s">
        <v>150</v>
      </c>
      <c r="AB16" s="9" t="s">
        <v>100</v>
      </c>
      <c r="AC16" s="14" t="s">
        <v>150</v>
      </c>
      <c r="AD16" s="9" t="s">
        <v>949</v>
      </c>
      <c r="AE16" s="10" t="s">
        <v>1104</v>
      </c>
      <c r="AF16" s="10" t="s">
        <v>406</v>
      </c>
      <c r="AG16" s="10" t="s">
        <v>1105</v>
      </c>
      <c r="AH16" s="9" t="s">
        <v>483</v>
      </c>
      <c r="AI16" s="9" t="s">
        <v>483</v>
      </c>
      <c r="AJ16" s="9" t="s">
        <v>483</v>
      </c>
      <c r="AK16" s="9" t="s">
        <v>483</v>
      </c>
      <c r="AL16" s="9">
        <v>57.8</v>
      </c>
      <c r="AM16" s="9">
        <v>149</v>
      </c>
      <c r="AN16" s="9">
        <v>72</v>
      </c>
      <c r="AO16" s="9">
        <v>95</v>
      </c>
      <c r="AP16" s="9">
        <v>36.799999999999997</v>
      </c>
      <c r="AQ16" s="9">
        <v>6</v>
      </c>
      <c r="AR16" s="9">
        <v>24.6</v>
      </c>
      <c r="AS16" s="9">
        <v>44</v>
      </c>
      <c r="AT16" s="7">
        <v>23.3</v>
      </c>
      <c r="AU16" s="9">
        <v>107</v>
      </c>
      <c r="AV16" s="9">
        <v>82</v>
      </c>
      <c r="AX16" s="9" t="s">
        <v>168</v>
      </c>
      <c r="AY16" s="9" t="s">
        <v>1106</v>
      </c>
      <c r="AZ16" s="9" t="s">
        <v>1107</v>
      </c>
      <c r="BB16" s="9" t="s">
        <v>1036</v>
      </c>
      <c r="BC16" s="9" t="s">
        <v>952</v>
      </c>
      <c r="BD16" s="9" t="s">
        <v>951</v>
      </c>
      <c r="BF16" s="9" t="s">
        <v>323</v>
      </c>
      <c r="BG16" s="9" t="s">
        <v>323</v>
      </c>
      <c r="BH16" s="9" t="s">
        <v>325</v>
      </c>
      <c r="BI16" s="9" t="s">
        <v>635</v>
      </c>
      <c r="BJ16" s="9" t="s">
        <v>323</v>
      </c>
      <c r="BK16" s="9" t="s">
        <v>325</v>
      </c>
      <c r="BN16" s="9" t="s">
        <v>412</v>
      </c>
      <c r="BO16" s="9" t="s">
        <v>1108</v>
      </c>
      <c r="BP16" s="9" t="s">
        <v>328</v>
      </c>
      <c r="BR16" s="9" t="s">
        <v>483</v>
      </c>
      <c r="BV16" s="9" t="s">
        <v>483</v>
      </c>
      <c r="BZ16" s="9" t="s">
        <v>1109</v>
      </c>
      <c r="CA16" s="9" t="s">
        <v>305</v>
      </c>
      <c r="CB16" s="9" t="s">
        <v>1110</v>
      </c>
      <c r="CH16" s="9" t="s">
        <v>483</v>
      </c>
      <c r="CL16" s="9" t="s">
        <v>333</v>
      </c>
      <c r="CM16" s="9" t="s">
        <v>1111</v>
      </c>
      <c r="CP16" s="9" t="s">
        <v>375</v>
      </c>
      <c r="CT16" s="9" t="s">
        <v>323</v>
      </c>
      <c r="CW16" s="9">
        <v>4</v>
      </c>
      <c r="CX16" s="9" t="s">
        <v>588</v>
      </c>
      <c r="CY16" s="9" t="s">
        <v>323</v>
      </c>
      <c r="DC16" s="9">
        <v>75.400000000000006</v>
      </c>
      <c r="DD16" s="9">
        <v>0.57999999999999996</v>
      </c>
      <c r="DE16" s="9">
        <v>154</v>
      </c>
      <c r="DF16" s="9">
        <v>69</v>
      </c>
      <c r="DG16" s="9">
        <f t="shared" si="0"/>
        <v>4.278456889805585</v>
      </c>
      <c r="DI16" s="9">
        <v>3.66</v>
      </c>
      <c r="DL16" s="9">
        <v>61.1</v>
      </c>
      <c r="DP16" s="11">
        <v>3</v>
      </c>
      <c r="DQ16" s="9">
        <v>2</v>
      </c>
      <c r="DR16" s="9">
        <v>2</v>
      </c>
      <c r="DU16" s="9">
        <v>3</v>
      </c>
    </row>
    <row r="17" spans="1:157" x14ac:dyDescent="0.2">
      <c r="A17" s="7" t="s">
        <v>1112</v>
      </c>
      <c r="B17" s="8">
        <v>43308</v>
      </c>
      <c r="C17" s="9" t="s">
        <v>95</v>
      </c>
      <c r="D17" s="9">
        <v>36</v>
      </c>
      <c r="E17" s="9" t="s">
        <v>96</v>
      </c>
      <c r="F17" s="8">
        <v>29870</v>
      </c>
      <c r="I17" s="9">
        <v>12</v>
      </c>
      <c r="K17" s="9">
        <v>2013</v>
      </c>
      <c r="L17" s="9">
        <v>4</v>
      </c>
      <c r="M17" s="9" t="s">
        <v>483</v>
      </c>
      <c r="N17" s="9" t="s">
        <v>483</v>
      </c>
      <c r="O17" s="9" t="s">
        <v>483</v>
      </c>
      <c r="P17" s="9" t="s">
        <v>483</v>
      </c>
      <c r="Q17" s="9" t="s">
        <v>483</v>
      </c>
      <c r="U17" s="9" t="s">
        <v>483</v>
      </c>
      <c r="X17" s="9" t="s">
        <v>483</v>
      </c>
      <c r="AA17" s="9" t="s">
        <v>1113</v>
      </c>
      <c r="AB17" s="9" t="s">
        <v>1113</v>
      </c>
      <c r="AC17" s="9" t="s">
        <v>1113</v>
      </c>
      <c r="AD17" s="9" t="s">
        <v>1113</v>
      </c>
      <c r="AE17" s="10" t="s">
        <v>1114</v>
      </c>
      <c r="AF17" s="10" t="s">
        <v>423</v>
      </c>
      <c r="AG17" s="9" t="s">
        <v>483</v>
      </c>
      <c r="AH17" s="10" t="s">
        <v>1115</v>
      </c>
      <c r="AI17" s="10" t="s">
        <v>901</v>
      </c>
      <c r="AJ17" s="9" t="s">
        <v>483</v>
      </c>
      <c r="AK17" s="9" t="s">
        <v>483</v>
      </c>
      <c r="AL17" s="9">
        <v>61</v>
      </c>
      <c r="AM17" s="9">
        <v>1.59</v>
      </c>
      <c r="AN17" s="9">
        <v>76</v>
      </c>
      <c r="AO17" s="9">
        <v>102</v>
      </c>
      <c r="AP17" s="9">
        <v>38.200000000000003</v>
      </c>
      <c r="AQ17" s="9">
        <v>6</v>
      </c>
      <c r="AR17" s="9">
        <v>25</v>
      </c>
      <c r="AS17" s="9">
        <v>41</v>
      </c>
      <c r="AT17" s="7">
        <v>24.1</v>
      </c>
      <c r="AU17" s="9">
        <v>112</v>
      </c>
      <c r="AV17" s="9">
        <v>80</v>
      </c>
      <c r="AX17" s="9" t="s">
        <v>1116</v>
      </c>
      <c r="BB17" s="9" t="s">
        <v>323</v>
      </c>
      <c r="BF17" s="9" t="s">
        <v>635</v>
      </c>
      <c r="BG17" s="9" t="s">
        <v>325</v>
      </c>
      <c r="BH17" s="9" t="s">
        <v>325</v>
      </c>
      <c r="BI17" s="9" t="s">
        <v>323</v>
      </c>
      <c r="BJ17" s="9" t="s">
        <v>635</v>
      </c>
      <c r="BK17" s="9" t="s">
        <v>325</v>
      </c>
      <c r="BN17" s="9" t="s">
        <v>323</v>
      </c>
      <c r="BR17" s="9" t="s">
        <v>324</v>
      </c>
      <c r="BV17" s="9" t="s">
        <v>324</v>
      </c>
      <c r="BZ17" s="9" t="s">
        <v>635</v>
      </c>
      <c r="CD17" s="9" t="s">
        <v>324</v>
      </c>
      <c r="CH17" s="9" t="s">
        <v>324</v>
      </c>
      <c r="CL17" s="9" t="s">
        <v>997</v>
      </c>
      <c r="CM17" s="9" t="s">
        <v>922</v>
      </c>
      <c r="DC17" s="9">
        <v>85.4</v>
      </c>
      <c r="DD17" s="9">
        <v>0.59</v>
      </c>
      <c r="DE17" s="9">
        <v>185</v>
      </c>
      <c r="DF17" s="9">
        <v>64</v>
      </c>
      <c r="DG17" s="9">
        <f t="shared" si="0"/>
        <v>4.3031145920770983</v>
      </c>
      <c r="DI17" s="9">
        <v>3.37</v>
      </c>
      <c r="DL17" s="9">
        <v>56.7</v>
      </c>
      <c r="DR17" s="9">
        <v>3</v>
      </c>
      <c r="DU17" s="9">
        <v>3.2</v>
      </c>
    </row>
    <row r="18" spans="1:157" s="33" customFormat="1" x14ac:dyDescent="0.2">
      <c r="A18" s="30" t="s">
        <v>1117</v>
      </c>
      <c r="B18" s="32">
        <v>43795</v>
      </c>
      <c r="C18" s="31" t="s">
        <v>675</v>
      </c>
      <c r="D18" s="31">
        <v>32</v>
      </c>
      <c r="E18" s="31" t="s">
        <v>1118</v>
      </c>
      <c r="F18" s="32">
        <v>31958</v>
      </c>
      <c r="G18" s="31" t="s">
        <v>837</v>
      </c>
      <c r="H18" s="31"/>
      <c r="I18" s="31"/>
      <c r="J18" s="31"/>
      <c r="K18" s="31"/>
      <c r="L18" s="31"/>
      <c r="M18" s="31" t="s">
        <v>99</v>
      </c>
      <c r="N18" s="31" t="s">
        <v>99</v>
      </c>
      <c r="O18" s="31" t="s">
        <v>99</v>
      </c>
      <c r="P18" s="31" t="s">
        <v>110</v>
      </c>
      <c r="Q18" s="31" t="s">
        <v>1119</v>
      </c>
      <c r="R18" s="31"/>
      <c r="S18" s="31" t="s">
        <v>1120</v>
      </c>
      <c r="T18" s="31" t="s">
        <v>1121</v>
      </c>
      <c r="U18" s="31" t="s">
        <v>99</v>
      </c>
      <c r="V18" s="31" t="s">
        <v>99</v>
      </c>
      <c r="W18" s="31" t="s">
        <v>99</v>
      </c>
      <c r="X18" s="31" t="s">
        <v>99</v>
      </c>
      <c r="Y18" s="31" t="s">
        <v>99</v>
      </c>
      <c r="Z18" s="31" t="s">
        <v>1122</v>
      </c>
      <c r="AA18" s="31" t="s">
        <v>1123</v>
      </c>
      <c r="AB18" s="31" t="s">
        <v>204</v>
      </c>
      <c r="AC18" s="31" t="s">
        <v>1123</v>
      </c>
      <c r="AD18" s="31" t="s">
        <v>204</v>
      </c>
      <c r="AE18" s="31" t="s">
        <v>1124</v>
      </c>
      <c r="AF18" s="31" t="s">
        <v>1125</v>
      </c>
      <c r="AG18" s="31" t="s">
        <v>99</v>
      </c>
      <c r="AH18" s="31" t="s">
        <v>1126</v>
      </c>
      <c r="AI18" s="31" t="s">
        <v>1127</v>
      </c>
      <c r="AJ18" s="31" t="s">
        <v>99</v>
      </c>
      <c r="AK18" s="31" t="s">
        <v>99</v>
      </c>
      <c r="AL18" s="31">
        <v>84</v>
      </c>
      <c r="AM18" s="31">
        <v>176</v>
      </c>
      <c r="AN18" s="31">
        <v>96</v>
      </c>
      <c r="AO18" s="31">
        <v>107</v>
      </c>
      <c r="AP18" s="31">
        <v>24.9</v>
      </c>
      <c r="AQ18" s="31">
        <v>10</v>
      </c>
      <c r="AR18" s="31">
        <v>36.6</v>
      </c>
      <c r="AS18" s="31">
        <v>49</v>
      </c>
      <c r="AT18" s="31">
        <v>271</v>
      </c>
      <c r="AU18" s="31">
        <v>111</v>
      </c>
      <c r="AV18" s="31">
        <v>71</v>
      </c>
      <c r="AW18" s="31"/>
      <c r="AX18" s="31" t="s">
        <v>1128</v>
      </c>
      <c r="AY18" s="31" t="s">
        <v>679</v>
      </c>
      <c r="AZ18" s="31"/>
      <c r="BA18" s="31"/>
      <c r="BB18" s="31" t="s">
        <v>346</v>
      </c>
      <c r="BC18" s="31" t="s">
        <v>1129</v>
      </c>
      <c r="BD18" s="31" t="s">
        <v>1130</v>
      </c>
      <c r="BE18" s="31"/>
      <c r="BF18" s="31" t="s">
        <v>1131</v>
      </c>
      <c r="BG18" s="31" t="s">
        <v>176</v>
      </c>
      <c r="BH18" s="31" t="s">
        <v>1132</v>
      </c>
      <c r="BI18" s="31" t="s">
        <v>176</v>
      </c>
      <c r="BJ18" s="31" t="s">
        <v>1133</v>
      </c>
      <c r="BK18" s="31" t="s">
        <v>1134</v>
      </c>
      <c r="BL18" s="31"/>
      <c r="BM18" s="31"/>
      <c r="BN18" s="31" t="s">
        <v>1135</v>
      </c>
      <c r="BO18" s="31" t="s">
        <v>1136</v>
      </c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 t="s">
        <v>821</v>
      </c>
      <c r="CA18" s="31" t="s">
        <v>183</v>
      </c>
      <c r="CB18" s="31" t="s">
        <v>182</v>
      </c>
      <c r="CC18" s="31"/>
      <c r="CD18" s="31" t="s">
        <v>821</v>
      </c>
      <c r="CE18" s="31"/>
      <c r="CF18" s="31"/>
      <c r="CG18" s="31"/>
      <c r="CH18" s="31" t="s">
        <v>1137</v>
      </c>
      <c r="CI18" s="31"/>
      <c r="CJ18" s="31"/>
      <c r="CK18" s="31"/>
      <c r="CL18" s="31" t="s">
        <v>1138</v>
      </c>
      <c r="CM18" s="31" t="s">
        <v>1139</v>
      </c>
      <c r="CN18" s="31" t="s">
        <v>1140</v>
      </c>
      <c r="CO18" s="31"/>
      <c r="CP18" s="31"/>
      <c r="CQ18" s="31"/>
      <c r="CR18" s="31"/>
      <c r="CS18" s="31"/>
      <c r="CT18" s="31" t="s">
        <v>1141</v>
      </c>
      <c r="CU18" s="31" t="s">
        <v>1142</v>
      </c>
      <c r="CV18" s="31" t="s">
        <v>1143</v>
      </c>
      <c r="CW18" s="31">
        <v>3</v>
      </c>
      <c r="CX18" s="31" t="s">
        <v>99</v>
      </c>
      <c r="CY18" s="31" t="s">
        <v>110</v>
      </c>
      <c r="CZ18" s="31"/>
      <c r="DA18" s="31"/>
      <c r="DB18" s="31"/>
      <c r="DC18" s="31">
        <v>83.4</v>
      </c>
      <c r="DD18" s="31">
        <v>0.96</v>
      </c>
      <c r="DE18" s="31">
        <v>175</v>
      </c>
      <c r="DF18" s="31">
        <v>88</v>
      </c>
      <c r="DG18" s="9">
        <f t="shared" si="0"/>
        <v>4.4504925619214539</v>
      </c>
      <c r="DH18" s="31">
        <v>17.600000000000001</v>
      </c>
      <c r="DI18" s="31">
        <v>6.95</v>
      </c>
      <c r="DJ18" s="31"/>
      <c r="DK18" s="31"/>
      <c r="DL18" s="31">
        <v>53.7</v>
      </c>
      <c r="DM18" s="31">
        <v>103.7</v>
      </c>
      <c r="DN18" s="31"/>
      <c r="DO18" s="31"/>
      <c r="DP18" s="31">
        <v>2</v>
      </c>
      <c r="DQ18" s="31"/>
      <c r="DR18" s="31">
        <v>2</v>
      </c>
      <c r="DS18" s="31"/>
      <c r="DT18" s="31"/>
      <c r="DU18" s="31">
        <v>4.3</v>
      </c>
      <c r="DV18" s="31"/>
    </row>
    <row r="19" spans="1:157" x14ac:dyDescent="0.2">
      <c r="A19" s="7" t="s">
        <v>1144</v>
      </c>
      <c r="B19" s="8">
        <v>43308</v>
      </c>
      <c r="C19" s="9" t="s">
        <v>95</v>
      </c>
      <c r="D19" s="9">
        <v>45</v>
      </c>
      <c r="E19" s="9" t="s">
        <v>96</v>
      </c>
      <c r="F19" s="8">
        <v>26674</v>
      </c>
      <c r="G19" s="9" t="s">
        <v>366</v>
      </c>
      <c r="I19" s="9">
        <v>12</v>
      </c>
      <c r="K19" s="9">
        <v>2001</v>
      </c>
      <c r="L19" s="9">
        <v>3</v>
      </c>
      <c r="M19" s="9" t="s">
        <v>263</v>
      </c>
      <c r="N19" s="9" t="s">
        <v>263</v>
      </c>
      <c r="O19" s="10" t="s">
        <v>588</v>
      </c>
      <c r="P19" s="9" t="s">
        <v>263</v>
      </c>
      <c r="Q19" s="9" t="s">
        <v>483</v>
      </c>
      <c r="R19" s="7" t="s">
        <v>483</v>
      </c>
      <c r="S19" s="9" t="s">
        <v>483</v>
      </c>
      <c r="T19" s="9" t="s">
        <v>483</v>
      </c>
      <c r="X19" s="9" t="s">
        <v>483</v>
      </c>
      <c r="Y19" s="10" t="s">
        <v>1145</v>
      </c>
      <c r="AA19" s="9" t="s">
        <v>96</v>
      </c>
      <c r="AB19" s="9" t="s">
        <v>96</v>
      </c>
      <c r="AC19" s="9" t="s">
        <v>96</v>
      </c>
      <c r="AD19" s="9" t="s">
        <v>96</v>
      </c>
      <c r="AE19" s="10" t="s">
        <v>1087</v>
      </c>
      <c r="AF19" s="10" t="s">
        <v>424</v>
      </c>
      <c r="AG19" s="10" t="s">
        <v>424</v>
      </c>
      <c r="AH19" s="9" t="s">
        <v>483</v>
      </c>
      <c r="AI19" s="9" t="s">
        <v>483</v>
      </c>
      <c r="AJ19" s="9" t="s">
        <v>263</v>
      </c>
      <c r="AK19" s="9" t="s">
        <v>263</v>
      </c>
      <c r="AL19" s="9">
        <v>54.7</v>
      </c>
      <c r="AM19" s="9">
        <v>1.66</v>
      </c>
      <c r="AN19" s="9">
        <v>75</v>
      </c>
      <c r="AO19" s="9">
        <v>99</v>
      </c>
      <c r="AP19" s="9">
        <v>26.9</v>
      </c>
      <c r="AQ19" s="9">
        <v>4</v>
      </c>
      <c r="AR19" s="9">
        <v>29.5</v>
      </c>
      <c r="AS19" s="9">
        <v>27</v>
      </c>
      <c r="AT19" s="7">
        <v>19.899999999999999</v>
      </c>
      <c r="AU19" s="9">
        <v>116</v>
      </c>
      <c r="AV19" s="9">
        <v>80</v>
      </c>
      <c r="AX19" s="9" t="s">
        <v>1034</v>
      </c>
      <c r="AY19" s="9" t="s">
        <v>168</v>
      </c>
      <c r="AZ19" s="9" t="s">
        <v>1146</v>
      </c>
      <c r="BB19" s="9" t="s">
        <v>1147</v>
      </c>
      <c r="BC19" s="9" t="s">
        <v>1148</v>
      </c>
      <c r="BD19" s="9" t="s">
        <v>409</v>
      </c>
      <c r="BF19" s="9" t="s">
        <v>323</v>
      </c>
      <c r="BG19" s="9" t="s">
        <v>323</v>
      </c>
      <c r="BH19" s="9" t="s">
        <v>325</v>
      </c>
      <c r="BI19" s="9" t="s">
        <v>325</v>
      </c>
      <c r="BJ19" s="9" t="s">
        <v>635</v>
      </c>
      <c r="BK19" s="9" t="s">
        <v>323</v>
      </c>
      <c r="BN19" s="9" t="s">
        <v>1149</v>
      </c>
      <c r="BO19" s="9" t="s">
        <v>1150</v>
      </c>
      <c r="BP19" s="9" t="s">
        <v>1151</v>
      </c>
      <c r="BR19" s="9" t="s">
        <v>918</v>
      </c>
      <c r="BS19" s="9" t="s">
        <v>954</v>
      </c>
      <c r="BT19" s="9" t="s">
        <v>521</v>
      </c>
      <c r="BV19" s="9" t="s">
        <v>918</v>
      </c>
      <c r="BW19" s="9" t="s">
        <v>1152</v>
      </c>
      <c r="BX19" s="9" t="s">
        <v>1153</v>
      </c>
      <c r="BZ19" s="9" t="s">
        <v>1154</v>
      </c>
      <c r="CA19" s="9" t="s">
        <v>1053</v>
      </c>
      <c r="CB19" s="9" t="s">
        <v>415</v>
      </c>
      <c r="CD19" s="9" t="s">
        <v>1053</v>
      </c>
      <c r="CE19" s="9" t="s">
        <v>941</v>
      </c>
      <c r="CL19" s="9" t="s">
        <v>1155</v>
      </c>
      <c r="CM19" s="9" t="s">
        <v>1156</v>
      </c>
      <c r="CP19" s="9" t="s">
        <v>452</v>
      </c>
      <c r="CQ19" s="9" t="s">
        <v>791</v>
      </c>
      <c r="CT19" s="9" t="s">
        <v>1157</v>
      </c>
      <c r="CU19" s="9" t="s">
        <v>1158</v>
      </c>
      <c r="CV19" s="9" t="s">
        <v>937</v>
      </c>
      <c r="CW19" s="9">
        <v>5</v>
      </c>
      <c r="CX19" s="9" t="s">
        <v>588</v>
      </c>
      <c r="CY19" s="9" t="s">
        <v>588</v>
      </c>
      <c r="CZ19" s="9">
        <v>40</v>
      </c>
      <c r="DA19" s="9">
        <v>20</v>
      </c>
      <c r="DB19" s="9">
        <v>40</v>
      </c>
      <c r="DC19" s="9">
        <v>87.8</v>
      </c>
      <c r="DD19" s="9">
        <v>0.74</v>
      </c>
      <c r="DE19" s="9">
        <v>181</v>
      </c>
      <c r="DF19" s="9">
        <v>62</v>
      </c>
      <c r="DG19" s="9">
        <f t="shared" si="0"/>
        <v>4.3010979428430813</v>
      </c>
      <c r="DI19" s="9">
        <v>4.6100000000000003</v>
      </c>
      <c r="DL19" s="9">
        <v>63</v>
      </c>
      <c r="DP19" s="11">
        <v>2</v>
      </c>
      <c r="DQ19" s="9">
        <v>3</v>
      </c>
      <c r="DR19" s="9">
        <v>2</v>
      </c>
      <c r="DT19" s="9">
        <v>14.3</v>
      </c>
      <c r="DU19" s="9">
        <v>3.41</v>
      </c>
    </row>
    <row r="20" spans="1:157" x14ac:dyDescent="0.2">
      <c r="A20" s="7" t="s">
        <v>1206</v>
      </c>
      <c r="B20" s="8">
        <v>43308</v>
      </c>
      <c r="C20" s="9" t="s">
        <v>95</v>
      </c>
      <c r="D20" s="9">
        <v>28</v>
      </c>
      <c r="E20" s="52" t="s">
        <v>914</v>
      </c>
      <c r="F20" s="8">
        <v>32927</v>
      </c>
      <c r="G20" s="9" t="s">
        <v>585</v>
      </c>
      <c r="H20" s="9" t="s">
        <v>1207</v>
      </c>
      <c r="K20" s="9">
        <v>2017</v>
      </c>
      <c r="L20" s="9">
        <v>1</v>
      </c>
      <c r="M20" s="9" t="s">
        <v>263</v>
      </c>
      <c r="N20" s="9" t="s">
        <v>263</v>
      </c>
      <c r="O20" s="9" t="s">
        <v>263</v>
      </c>
      <c r="P20" s="9" t="s">
        <v>263</v>
      </c>
      <c r="Q20" s="10" t="s">
        <v>588</v>
      </c>
      <c r="R20" s="7" t="s">
        <v>483</v>
      </c>
      <c r="S20" s="9" t="s">
        <v>483</v>
      </c>
      <c r="T20" s="9" t="s">
        <v>483</v>
      </c>
      <c r="U20" s="9" t="s">
        <v>1208</v>
      </c>
      <c r="V20" s="9" t="s">
        <v>483</v>
      </c>
      <c r="W20" s="9" t="s">
        <v>483</v>
      </c>
      <c r="X20" s="9" t="s">
        <v>483</v>
      </c>
      <c r="Z20" s="9" t="s">
        <v>1209</v>
      </c>
      <c r="AA20" s="9" t="s">
        <v>96</v>
      </c>
      <c r="AB20" s="52" t="s">
        <v>914</v>
      </c>
      <c r="AC20" s="52" t="s">
        <v>914</v>
      </c>
      <c r="AD20" s="9" t="s">
        <v>949</v>
      </c>
      <c r="AE20" s="10" t="s">
        <v>1087</v>
      </c>
      <c r="AF20" s="10" t="s">
        <v>1086</v>
      </c>
      <c r="AG20" s="10" t="s">
        <v>1210</v>
      </c>
      <c r="AH20" s="10" t="s">
        <v>1064</v>
      </c>
      <c r="AI20" s="9" t="s">
        <v>483</v>
      </c>
      <c r="AJ20" s="9" t="s">
        <v>483</v>
      </c>
      <c r="AK20" s="9" t="s">
        <v>483</v>
      </c>
      <c r="AL20" s="9">
        <v>56.4</v>
      </c>
      <c r="AM20" s="9">
        <v>1.53</v>
      </c>
      <c r="AN20" s="9">
        <v>73</v>
      </c>
      <c r="AO20" s="9">
        <v>95</v>
      </c>
      <c r="AP20" s="9">
        <v>38.4</v>
      </c>
      <c r="AQ20" s="9">
        <v>5</v>
      </c>
      <c r="AR20" s="9">
        <v>24.6</v>
      </c>
      <c r="AS20" s="9">
        <v>39</v>
      </c>
      <c r="AT20" s="7">
        <v>24.1</v>
      </c>
      <c r="AU20" s="9">
        <v>114</v>
      </c>
      <c r="AV20" s="9">
        <v>81</v>
      </c>
      <c r="AX20" s="9" t="s">
        <v>168</v>
      </c>
      <c r="BB20" s="9" t="s">
        <v>409</v>
      </c>
      <c r="BF20" s="9" t="s">
        <v>635</v>
      </c>
      <c r="BG20" s="9" t="s">
        <v>323</v>
      </c>
      <c r="BH20" s="9" t="s">
        <v>323</v>
      </c>
      <c r="BI20" s="9" t="s">
        <v>323</v>
      </c>
      <c r="BN20" s="9" t="s">
        <v>328</v>
      </c>
      <c r="BO20" s="9" t="s">
        <v>1211</v>
      </c>
      <c r="BP20" s="9" t="s">
        <v>1212</v>
      </c>
      <c r="BZ20" s="9" t="s">
        <v>941</v>
      </c>
      <c r="CA20" s="9" t="s">
        <v>907</v>
      </c>
      <c r="CB20" s="9" t="s">
        <v>1213</v>
      </c>
      <c r="CD20" s="9" t="s">
        <v>1214</v>
      </c>
      <c r="CL20" s="9" t="s">
        <v>383</v>
      </c>
      <c r="CM20" s="9" t="s">
        <v>1215</v>
      </c>
      <c r="CP20" s="9" t="s">
        <v>791</v>
      </c>
      <c r="CQ20" s="9" t="s">
        <v>452</v>
      </c>
      <c r="CT20" s="9" t="s">
        <v>1216</v>
      </c>
      <c r="CU20" s="9" t="s">
        <v>1217</v>
      </c>
      <c r="CW20" s="9">
        <v>2</v>
      </c>
      <c r="CX20" s="9" t="s">
        <v>588</v>
      </c>
      <c r="CY20" s="9" t="s">
        <v>1218</v>
      </c>
      <c r="CZ20" s="9">
        <v>18</v>
      </c>
      <c r="DA20" s="9">
        <v>2</v>
      </c>
      <c r="DB20" s="9">
        <v>80</v>
      </c>
      <c r="DC20" s="9">
        <v>74.5</v>
      </c>
      <c r="DD20" s="9">
        <v>0.56000000000000005</v>
      </c>
      <c r="DE20" s="9">
        <v>115</v>
      </c>
      <c r="DF20" s="9">
        <v>38</v>
      </c>
      <c r="DG20" s="9">
        <f t="shared" si="0"/>
        <v>3.9741926425559497</v>
      </c>
      <c r="DI20" s="9">
        <v>4.71</v>
      </c>
      <c r="DL20" s="9">
        <v>69.3</v>
      </c>
      <c r="DP20" s="11">
        <v>2</v>
      </c>
      <c r="DQ20" s="9">
        <v>2</v>
      </c>
      <c r="DR20" s="9">
        <v>3</v>
      </c>
      <c r="DU20" s="9">
        <v>5</v>
      </c>
    </row>
    <row r="21" spans="1:157" x14ac:dyDescent="0.2">
      <c r="A21" s="7" t="s">
        <v>1219</v>
      </c>
      <c r="B21" s="45" t="s">
        <v>1220</v>
      </c>
      <c r="C21" s="9" t="s">
        <v>95</v>
      </c>
      <c r="D21" s="9">
        <v>38</v>
      </c>
      <c r="E21" s="9" t="s">
        <v>96</v>
      </c>
      <c r="F21" s="17">
        <v>29357</v>
      </c>
      <c r="G21" s="9" t="s">
        <v>585</v>
      </c>
      <c r="I21" s="9">
        <v>12</v>
      </c>
      <c r="K21" s="9">
        <v>2015</v>
      </c>
      <c r="L21" s="9">
        <v>3</v>
      </c>
      <c r="M21" s="9" t="s">
        <v>263</v>
      </c>
      <c r="N21" s="9" t="s">
        <v>263</v>
      </c>
      <c r="O21" s="9" t="s">
        <v>263</v>
      </c>
      <c r="P21" s="9" t="s">
        <v>263</v>
      </c>
      <c r="Q21" s="9" t="s">
        <v>483</v>
      </c>
      <c r="R21" s="7" t="s">
        <v>483</v>
      </c>
      <c r="S21" s="9" t="s">
        <v>588</v>
      </c>
      <c r="T21" s="9" t="s">
        <v>483</v>
      </c>
      <c r="U21" s="9" t="s">
        <v>1221</v>
      </c>
      <c r="V21" s="9" t="s">
        <v>483</v>
      </c>
      <c r="W21" s="9" t="s">
        <v>483</v>
      </c>
      <c r="X21" s="9" t="s">
        <v>483</v>
      </c>
      <c r="Y21" s="9" t="s">
        <v>1222</v>
      </c>
      <c r="AA21" s="9" t="s">
        <v>96</v>
      </c>
      <c r="AB21" s="9" t="s">
        <v>100</v>
      </c>
      <c r="AC21" s="9" t="s">
        <v>96</v>
      </c>
      <c r="AD21" s="9" t="s">
        <v>949</v>
      </c>
      <c r="AE21" s="10" t="s">
        <v>1017</v>
      </c>
      <c r="AF21" s="9" t="s">
        <v>263</v>
      </c>
      <c r="AG21" s="9" t="s">
        <v>263</v>
      </c>
      <c r="AH21" s="10" t="s">
        <v>406</v>
      </c>
      <c r="AI21" s="10" t="s">
        <v>1064</v>
      </c>
      <c r="AJ21" s="9" t="s">
        <v>483</v>
      </c>
      <c r="AK21" s="9" t="s">
        <v>483</v>
      </c>
      <c r="AL21" s="9">
        <v>60.8</v>
      </c>
      <c r="AM21" s="9">
        <v>1.64</v>
      </c>
      <c r="AN21" s="9">
        <v>71.5</v>
      </c>
      <c r="AO21" s="9">
        <v>97</v>
      </c>
      <c r="AP21" s="9">
        <v>22.7</v>
      </c>
      <c r="AQ21" s="9">
        <v>6</v>
      </c>
      <c r="AR21" s="9">
        <v>12.5</v>
      </c>
      <c r="AS21" s="9">
        <v>18</v>
      </c>
      <c r="AT21" s="7">
        <v>22.6</v>
      </c>
      <c r="AU21" s="9">
        <v>103</v>
      </c>
      <c r="AV21" s="9">
        <v>61</v>
      </c>
      <c r="AX21" s="9" t="s">
        <v>635</v>
      </c>
      <c r="BB21" s="9" t="s">
        <v>635</v>
      </c>
      <c r="BF21" s="9" t="s">
        <v>635</v>
      </c>
      <c r="BG21" s="9" t="s">
        <v>635</v>
      </c>
      <c r="BH21" s="9" t="s">
        <v>265</v>
      </c>
      <c r="BI21" s="9" t="s">
        <v>323</v>
      </c>
      <c r="BJ21" s="9" t="s">
        <v>323</v>
      </c>
      <c r="BK21" s="9" t="s">
        <v>325</v>
      </c>
      <c r="BN21" s="9" t="s">
        <v>635</v>
      </c>
      <c r="BR21" s="9" t="s">
        <v>323</v>
      </c>
      <c r="BV21" s="9" t="s">
        <v>323</v>
      </c>
      <c r="BZ21" s="9" t="s">
        <v>635</v>
      </c>
      <c r="CD21" s="9" t="s">
        <v>483</v>
      </c>
      <c r="CH21" s="9" t="s">
        <v>483</v>
      </c>
      <c r="CL21" s="9" t="s">
        <v>635</v>
      </c>
      <c r="CP21" s="9" t="s">
        <v>635</v>
      </c>
      <c r="CT21" s="9" t="s">
        <v>325</v>
      </c>
      <c r="CW21" s="9">
        <v>3</v>
      </c>
      <c r="CX21" s="9" t="s">
        <v>588</v>
      </c>
      <c r="CY21" s="9" t="s">
        <v>483</v>
      </c>
      <c r="CZ21" s="9">
        <v>25</v>
      </c>
      <c r="DA21" s="9">
        <v>50</v>
      </c>
      <c r="DB21" s="9">
        <v>25</v>
      </c>
      <c r="DC21" s="9">
        <v>82.4</v>
      </c>
      <c r="DD21" s="9">
        <v>0.48</v>
      </c>
      <c r="DE21" s="9">
        <v>179</v>
      </c>
      <c r="DF21" s="9">
        <v>63</v>
      </c>
      <c r="DG21" s="9">
        <f t="shared" si="0"/>
        <v>4.2773600816534794</v>
      </c>
      <c r="DI21" s="9">
        <v>3.72</v>
      </c>
      <c r="DL21" s="9">
        <v>52</v>
      </c>
      <c r="DP21" s="11">
        <v>2</v>
      </c>
      <c r="DQ21" s="9">
        <v>2</v>
      </c>
      <c r="DU21" s="9">
        <v>5.2</v>
      </c>
    </row>
    <row r="22" spans="1:157" x14ac:dyDescent="0.2">
      <c r="A22" s="7" t="s">
        <v>1241</v>
      </c>
      <c r="B22" s="57">
        <v>43308</v>
      </c>
      <c r="C22" s="39" t="s">
        <v>95</v>
      </c>
      <c r="D22" s="39">
        <v>30</v>
      </c>
      <c r="E22" s="39" t="s">
        <v>96</v>
      </c>
      <c r="F22" s="57">
        <v>32041</v>
      </c>
      <c r="G22" s="39" t="s">
        <v>366</v>
      </c>
      <c r="H22" s="39"/>
      <c r="I22" s="39"/>
      <c r="J22" s="39"/>
      <c r="K22" s="39"/>
      <c r="L22" s="39"/>
      <c r="M22" s="39" t="s">
        <v>483</v>
      </c>
      <c r="N22" s="39" t="s">
        <v>483</v>
      </c>
      <c r="O22" s="39" t="s">
        <v>483</v>
      </c>
      <c r="P22" s="39" t="s">
        <v>99</v>
      </c>
      <c r="Q22" s="39" t="s">
        <v>483</v>
      </c>
      <c r="R22" s="39"/>
      <c r="S22" s="39"/>
      <c r="T22" s="39"/>
      <c r="U22" s="39"/>
      <c r="V22" s="39"/>
      <c r="W22" s="39"/>
      <c r="X22" s="39"/>
      <c r="Y22" s="39"/>
      <c r="Z22" s="39"/>
      <c r="AA22" s="39" t="s">
        <v>100</v>
      </c>
      <c r="AB22" s="39" t="s">
        <v>100</v>
      </c>
      <c r="AC22" s="39" t="s">
        <v>1068</v>
      </c>
      <c r="AD22" s="39" t="s">
        <v>949</v>
      </c>
      <c r="AE22" s="10" t="s">
        <v>1242</v>
      </c>
      <c r="AF22" s="10" t="s">
        <v>1195</v>
      </c>
      <c r="AG22" s="39" t="s">
        <v>263</v>
      </c>
      <c r="AH22" s="39" t="s">
        <v>263</v>
      </c>
      <c r="AI22" s="39" t="s">
        <v>99</v>
      </c>
      <c r="AJ22" s="39" t="s">
        <v>99</v>
      </c>
      <c r="AK22" s="39" t="s">
        <v>99</v>
      </c>
      <c r="AL22" s="39">
        <v>61.6</v>
      </c>
      <c r="AM22" s="39">
        <v>1.7</v>
      </c>
      <c r="AN22" s="39">
        <v>79.5</v>
      </c>
      <c r="AO22" s="39">
        <v>80.5</v>
      </c>
      <c r="AP22" s="39">
        <v>33.4</v>
      </c>
      <c r="AQ22" s="39">
        <v>4</v>
      </c>
      <c r="AR22" s="39">
        <v>26.4</v>
      </c>
      <c r="AS22" s="39">
        <v>24</v>
      </c>
      <c r="AT22" s="7">
        <v>21.3</v>
      </c>
      <c r="AU22" s="39">
        <v>112</v>
      </c>
      <c r="AV22" s="39">
        <v>74</v>
      </c>
      <c r="AW22" s="39"/>
      <c r="AX22" s="39" t="s">
        <v>1071</v>
      </c>
      <c r="AY22" s="39" t="s">
        <v>168</v>
      </c>
      <c r="AZ22" s="39"/>
      <c r="BA22" s="39"/>
      <c r="BB22" s="39"/>
      <c r="BC22" s="39"/>
      <c r="BD22" s="39"/>
      <c r="BE22" s="39"/>
      <c r="BF22" s="39" t="s">
        <v>635</v>
      </c>
      <c r="BG22" s="39"/>
      <c r="BH22" s="39" t="s">
        <v>323</v>
      </c>
      <c r="BI22" s="39" t="s">
        <v>635</v>
      </c>
      <c r="BJ22" s="39" t="s">
        <v>323</v>
      </c>
      <c r="BK22" s="39" t="s">
        <v>325</v>
      </c>
      <c r="BL22" s="39"/>
      <c r="BM22" s="39"/>
      <c r="BN22" s="39" t="s">
        <v>499</v>
      </c>
      <c r="BO22" s="39" t="s">
        <v>1243</v>
      </c>
      <c r="BP22" s="39" t="s">
        <v>1244</v>
      </c>
      <c r="BQ22" s="39"/>
      <c r="BR22" s="39"/>
      <c r="BS22" s="39"/>
      <c r="BT22" s="39"/>
      <c r="BU22" s="39"/>
      <c r="BV22" s="39"/>
      <c r="BW22" s="39"/>
      <c r="BX22" s="39"/>
      <c r="BY22" s="39"/>
      <c r="BZ22" s="39" t="s">
        <v>1245</v>
      </c>
      <c r="CA22" s="39" t="s">
        <v>330</v>
      </c>
      <c r="CB22" s="39" t="s">
        <v>1246</v>
      </c>
      <c r="CC22" s="39"/>
      <c r="CD22" s="39"/>
      <c r="CE22" s="39"/>
      <c r="CF22" s="39"/>
      <c r="CG22" s="39"/>
      <c r="CH22" s="39"/>
      <c r="CI22" s="39"/>
      <c r="CJ22" s="39"/>
      <c r="CK22" s="39"/>
      <c r="CL22" s="39" t="s">
        <v>922</v>
      </c>
      <c r="CM22" s="39"/>
      <c r="CN22" s="39"/>
      <c r="CO22" s="39"/>
      <c r="CP22" s="39"/>
      <c r="CQ22" s="39"/>
      <c r="CR22" s="39"/>
      <c r="CS22" s="39"/>
      <c r="CT22" s="39" t="s">
        <v>1240</v>
      </c>
      <c r="CU22" s="39"/>
      <c r="CV22" s="39"/>
      <c r="CW22" s="39">
        <v>2</v>
      </c>
      <c r="CX22" s="39"/>
      <c r="CY22" s="39" t="s">
        <v>483</v>
      </c>
      <c r="CZ22" s="39">
        <v>25</v>
      </c>
      <c r="DA22" s="39">
        <v>25</v>
      </c>
      <c r="DB22" s="39">
        <v>50</v>
      </c>
      <c r="DC22" s="39">
        <v>83.7</v>
      </c>
      <c r="DD22" s="39">
        <v>0.57999999999999996</v>
      </c>
      <c r="DE22" s="39">
        <v>179</v>
      </c>
      <c r="DF22" s="39">
        <v>81</v>
      </c>
      <c r="DG22" s="9">
        <f t="shared" si="0"/>
        <v>4.4108440660839339</v>
      </c>
      <c r="DH22" s="39"/>
      <c r="DI22" s="39">
        <v>4.18</v>
      </c>
      <c r="DJ22" s="39"/>
      <c r="DK22" s="39"/>
      <c r="DL22" s="39">
        <v>34.200000000000003</v>
      </c>
      <c r="DM22" s="39"/>
      <c r="DN22" s="39"/>
      <c r="DO22" s="39"/>
      <c r="DP22" s="40">
        <v>3</v>
      </c>
      <c r="DQ22" s="39">
        <v>2</v>
      </c>
      <c r="DR22" s="39">
        <v>2</v>
      </c>
      <c r="DS22" s="39"/>
      <c r="DT22" s="39">
        <v>14.2</v>
      </c>
      <c r="DU22" s="39">
        <v>3.62</v>
      </c>
      <c r="DV22" s="39"/>
    </row>
    <row r="23" spans="1:157" customFormat="1" x14ac:dyDescent="0.2">
      <c r="A23" s="33" t="s">
        <v>1355</v>
      </c>
      <c r="B23" s="26">
        <v>43795</v>
      </c>
      <c r="C23" t="s">
        <v>107</v>
      </c>
      <c r="D23">
        <v>22</v>
      </c>
      <c r="E23" t="s">
        <v>96</v>
      </c>
      <c r="F23" t="s">
        <v>1356</v>
      </c>
      <c r="G23" t="s">
        <v>162</v>
      </c>
      <c r="H23" t="s">
        <v>162</v>
      </c>
      <c r="I23" t="s">
        <v>162</v>
      </c>
      <c r="J23" t="s">
        <v>162</v>
      </c>
      <c r="K23" t="s">
        <v>162</v>
      </c>
      <c r="L23" t="s">
        <v>162</v>
      </c>
      <c r="M23" t="s">
        <v>99</v>
      </c>
      <c r="N23" t="s">
        <v>99</v>
      </c>
      <c r="O23" t="s">
        <v>99</v>
      </c>
      <c r="P23" s="29" t="s">
        <v>1357</v>
      </c>
      <c r="Q23" s="29" t="s">
        <v>1358</v>
      </c>
      <c r="R23" s="29" t="s">
        <v>99</v>
      </c>
      <c r="S23" s="29" t="s">
        <v>99</v>
      </c>
      <c r="T23" s="29" t="s">
        <v>99</v>
      </c>
      <c r="U23" s="29" t="s">
        <v>162</v>
      </c>
      <c r="V23" s="29" t="s">
        <v>162</v>
      </c>
      <c r="W23" s="29" t="s">
        <v>162</v>
      </c>
      <c r="X23" s="29" t="s">
        <v>162</v>
      </c>
      <c r="Y23" s="29" t="s">
        <v>162</v>
      </c>
      <c r="Z23" s="29" t="s">
        <v>162</v>
      </c>
      <c r="AA23" s="29" t="s">
        <v>100</v>
      </c>
      <c r="AB23" s="29" t="s">
        <v>1359</v>
      </c>
      <c r="AC23" s="29" t="s">
        <v>100</v>
      </c>
      <c r="AD23" s="29" t="s">
        <v>1359</v>
      </c>
      <c r="AE23" s="29" t="s">
        <v>110</v>
      </c>
      <c r="AF23" s="29" t="s">
        <v>110</v>
      </c>
      <c r="AG23" s="29" t="s">
        <v>99</v>
      </c>
      <c r="AH23" s="29" t="s">
        <v>110</v>
      </c>
      <c r="AI23" s="29" t="s">
        <v>99</v>
      </c>
      <c r="AJ23" s="29" t="s">
        <v>99</v>
      </c>
      <c r="AK23" s="29" t="s">
        <v>162</v>
      </c>
      <c r="AL23">
        <v>75.2</v>
      </c>
      <c r="AM23">
        <v>176</v>
      </c>
      <c r="AN23">
        <v>90</v>
      </c>
      <c r="AO23">
        <v>100</v>
      </c>
      <c r="AP23">
        <v>23.1</v>
      </c>
      <c r="AQ23">
        <v>6</v>
      </c>
      <c r="AR23">
        <v>38.4</v>
      </c>
      <c r="AS23">
        <v>35</v>
      </c>
      <c r="AT23">
        <v>24.3</v>
      </c>
      <c r="AU23" t="s">
        <v>1360</v>
      </c>
      <c r="AV23" t="s">
        <v>1361</v>
      </c>
      <c r="AW23" t="s">
        <v>375</v>
      </c>
      <c r="AX23" t="s">
        <v>1233</v>
      </c>
      <c r="BB23" t="s">
        <v>1362</v>
      </c>
      <c r="BC23" t="s">
        <v>409</v>
      </c>
      <c r="BD23" t="s">
        <v>1363</v>
      </c>
      <c r="BF23" t="s">
        <v>1364</v>
      </c>
      <c r="BG23" t="s">
        <v>1365</v>
      </c>
      <c r="BH23" t="s">
        <v>1366</v>
      </c>
      <c r="BI23" t="s">
        <v>1367</v>
      </c>
      <c r="BJ23" t="s">
        <v>1368</v>
      </c>
      <c r="BK23" t="s">
        <v>1368</v>
      </c>
      <c r="BL23" t="s">
        <v>322</v>
      </c>
      <c r="BN23" t="s">
        <v>918</v>
      </c>
      <c r="BO23" t="s">
        <v>1073</v>
      </c>
      <c r="BQ23" t="s">
        <v>162</v>
      </c>
      <c r="BZ23" t="s">
        <v>1369</v>
      </c>
      <c r="CA23" t="s">
        <v>1370</v>
      </c>
      <c r="CB23" t="s">
        <v>1371</v>
      </c>
      <c r="CC23" t="s">
        <v>162</v>
      </c>
      <c r="CG23" t="s">
        <v>162</v>
      </c>
      <c r="CL23" t="s">
        <v>1372</v>
      </c>
      <c r="CM23" t="s">
        <v>450</v>
      </c>
      <c r="CN23" t="s">
        <v>1373</v>
      </c>
      <c r="CO23" t="s">
        <v>162</v>
      </c>
      <c r="CS23" t="s">
        <v>162</v>
      </c>
      <c r="CW23">
        <v>3</v>
      </c>
      <c r="CX23" t="s">
        <v>1374</v>
      </c>
      <c r="CY23" t="s">
        <v>110</v>
      </c>
      <c r="DC23">
        <v>79.7</v>
      </c>
      <c r="DD23">
        <v>0.67</v>
      </c>
      <c r="DE23">
        <v>132</v>
      </c>
      <c r="DF23">
        <v>81</v>
      </c>
      <c r="DG23" s="9">
        <f t="shared" si="0"/>
        <v>4.3863593702343042</v>
      </c>
      <c r="DH23">
        <v>16.2</v>
      </c>
      <c r="DI23">
        <v>5.78</v>
      </c>
      <c r="DL23">
        <v>36.200000000000003</v>
      </c>
      <c r="DM23">
        <v>79.599999999999994</v>
      </c>
      <c r="DR23">
        <v>3</v>
      </c>
      <c r="DU23">
        <v>7.8</v>
      </c>
    </row>
    <row r="24" spans="1:157" s="33" customFormat="1" x14ac:dyDescent="0.2">
      <c r="A24" s="7" t="s">
        <v>1508</v>
      </c>
      <c r="B24" s="32">
        <v>43795</v>
      </c>
      <c r="C24" s="31" t="s">
        <v>196</v>
      </c>
      <c r="D24" s="31">
        <v>19</v>
      </c>
      <c r="E24" s="31" t="s">
        <v>100</v>
      </c>
      <c r="F24" s="32">
        <v>43929</v>
      </c>
      <c r="G24" s="31" t="s">
        <v>1509</v>
      </c>
      <c r="H24" s="31" t="s">
        <v>1510</v>
      </c>
      <c r="I24" s="31"/>
      <c r="J24" s="31"/>
      <c r="K24" s="31"/>
      <c r="L24" s="31"/>
      <c r="M24" s="31" t="s">
        <v>99</v>
      </c>
      <c r="N24" s="31" t="s">
        <v>99</v>
      </c>
      <c r="O24" s="31" t="s">
        <v>99</v>
      </c>
      <c r="P24" s="31" t="s">
        <v>99</v>
      </c>
      <c r="Q24" s="31" t="s">
        <v>99</v>
      </c>
      <c r="R24" s="31" t="s">
        <v>99</v>
      </c>
      <c r="S24" s="31" t="s">
        <v>99</v>
      </c>
      <c r="T24" s="31" t="s">
        <v>99</v>
      </c>
      <c r="U24" s="31" t="s">
        <v>99</v>
      </c>
      <c r="V24" s="31" t="s">
        <v>99</v>
      </c>
      <c r="W24" s="31" t="s">
        <v>99</v>
      </c>
      <c r="X24" s="31" t="s">
        <v>99</v>
      </c>
      <c r="Y24" s="31" t="s">
        <v>99</v>
      </c>
      <c r="Z24" s="31" t="s">
        <v>99</v>
      </c>
      <c r="AA24" s="31" t="s">
        <v>100</v>
      </c>
      <c r="AB24" s="31" t="s">
        <v>100</v>
      </c>
      <c r="AC24" s="31" t="s">
        <v>100</v>
      </c>
      <c r="AD24" s="31" t="s">
        <v>100</v>
      </c>
      <c r="AE24" s="31" t="s">
        <v>99</v>
      </c>
      <c r="AF24" s="31" t="s">
        <v>99</v>
      </c>
      <c r="AG24" s="31" t="s">
        <v>1511</v>
      </c>
      <c r="AH24" s="31" t="s">
        <v>99</v>
      </c>
      <c r="AI24" s="31" t="s">
        <v>99</v>
      </c>
      <c r="AJ24" s="31" t="s">
        <v>99</v>
      </c>
      <c r="AK24" s="31" t="s">
        <v>99</v>
      </c>
      <c r="AL24" s="31">
        <v>57</v>
      </c>
      <c r="AM24" s="31">
        <v>157</v>
      </c>
      <c r="AN24" s="31">
        <v>69</v>
      </c>
      <c r="AO24" s="31">
        <v>98</v>
      </c>
      <c r="AP24" s="31">
        <v>37</v>
      </c>
      <c r="AQ24" s="31">
        <v>4</v>
      </c>
      <c r="AR24" s="31">
        <v>25.2</v>
      </c>
      <c r="AS24" s="31">
        <v>30</v>
      </c>
      <c r="AT24" s="31">
        <v>23.1</v>
      </c>
      <c r="AU24" s="31">
        <v>84</v>
      </c>
      <c r="AV24" s="31">
        <v>53</v>
      </c>
      <c r="AW24" s="31" t="s">
        <v>350</v>
      </c>
      <c r="AX24" s="31" t="s">
        <v>1512</v>
      </c>
      <c r="AY24" s="31" t="s">
        <v>573</v>
      </c>
      <c r="AZ24" s="31" t="s">
        <v>1128</v>
      </c>
      <c r="BA24" s="31" t="s">
        <v>351</v>
      </c>
      <c r="BB24" s="31" t="s">
        <v>750</v>
      </c>
      <c r="BC24" s="31" t="s">
        <v>1130</v>
      </c>
      <c r="BD24" s="31" t="s">
        <v>749</v>
      </c>
      <c r="BE24" s="31" t="s">
        <v>351</v>
      </c>
      <c r="BF24" s="31" t="s">
        <v>351</v>
      </c>
      <c r="BG24" s="31" t="s">
        <v>350</v>
      </c>
      <c r="BH24" s="31" t="s">
        <v>350</v>
      </c>
      <c r="BI24" s="31" t="s">
        <v>350</v>
      </c>
      <c r="BJ24" s="31" t="s">
        <v>351</v>
      </c>
      <c r="BK24" s="31" t="s">
        <v>350</v>
      </c>
      <c r="BL24" s="31" t="s">
        <v>350</v>
      </c>
      <c r="BM24" s="31"/>
      <c r="BN24" s="31"/>
      <c r="BO24" s="31"/>
      <c r="BP24" s="31"/>
      <c r="BQ24" s="31" t="s">
        <v>1513</v>
      </c>
      <c r="BR24" s="31"/>
      <c r="BS24" s="31"/>
      <c r="BT24" s="31"/>
      <c r="BU24" s="31"/>
      <c r="BV24" s="31"/>
      <c r="BW24" s="31"/>
      <c r="BX24" s="31"/>
      <c r="BY24" s="31" t="s">
        <v>350</v>
      </c>
      <c r="BZ24" s="31" t="s">
        <v>1514</v>
      </c>
      <c r="CA24" s="31" t="s">
        <v>1515</v>
      </c>
      <c r="CB24" s="31" t="s">
        <v>1516</v>
      </c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 t="s">
        <v>1517</v>
      </c>
      <c r="CQ24" s="31" t="s">
        <v>1518</v>
      </c>
      <c r="CR24" s="31"/>
      <c r="CS24" s="31" t="s">
        <v>350</v>
      </c>
      <c r="CT24" s="31" t="s">
        <v>363</v>
      </c>
      <c r="CU24" s="31" t="s">
        <v>187</v>
      </c>
      <c r="CV24" s="31"/>
      <c r="CW24" s="31">
        <v>3</v>
      </c>
      <c r="CX24" s="31" t="s">
        <v>110</v>
      </c>
      <c r="CY24" s="31" t="s">
        <v>110</v>
      </c>
      <c r="CZ24" s="31"/>
      <c r="DA24" s="31"/>
      <c r="DB24" s="31"/>
      <c r="DC24" s="31">
        <v>71.8</v>
      </c>
      <c r="DD24" s="31">
        <v>0.69</v>
      </c>
      <c r="DE24" s="31">
        <v>197</v>
      </c>
      <c r="DF24" s="31">
        <v>54</v>
      </c>
      <c r="DG24" s="9">
        <f t="shared" si="0"/>
        <v>4.1314342613092263</v>
      </c>
      <c r="DH24" s="31">
        <v>10.8</v>
      </c>
      <c r="DI24" s="31">
        <v>7.08</v>
      </c>
      <c r="DJ24" s="31"/>
      <c r="DK24" s="31"/>
      <c r="DL24" s="31">
        <v>75.599999999999994</v>
      </c>
      <c r="DM24" s="31">
        <v>110.6</v>
      </c>
      <c r="DN24" s="31"/>
      <c r="DO24" s="31"/>
      <c r="DP24" s="31">
        <v>3</v>
      </c>
      <c r="DQ24" s="31"/>
      <c r="DR24" s="31">
        <v>3</v>
      </c>
      <c r="DS24" s="31"/>
      <c r="DT24" s="31"/>
      <c r="DU24" s="31">
        <v>5.6</v>
      </c>
      <c r="DV24" s="31"/>
    </row>
    <row r="25" spans="1:157" s="33" customFormat="1" x14ac:dyDescent="0.2">
      <c r="A25" s="30" t="s">
        <v>1593</v>
      </c>
      <c r="B25" s="32">
        <v>43796</v>
      </c>
      <c r="C25" s="31" t="s">
        <v>196</v>
      </c>
      <c r="D25" s="31">
        <v>51</v>
      </c>
      <c r="E25" s="31" t="s">
        <v>100</v>
      </c>
      <c r="F25" s="32">
        <v>25005</v>
      </c>
      <c r="G25" s="31" t="s">
        <v>197</v>
      </c>
      <c r="H25" s="31" t="s">
        <v>340</v>
      </c>
      <c r="I25" s="31" t="s">
        <v>1594</v>
      </c>
      <c r="J25" s="31" t="s">
        <v>1595</v>
      </c>
      <c r="K25" s="31">
        <v>2001</v>
      </c>
      <c r="L25" s="31">
        <v>3</v>
      </c>
      <c r="M25" s="31" t="s">
        <v>99</v>
      </c>
      <c r="N25" s="31" t="s">
        <v>99</v>
      </c>
      <c r="O25" s="31"/>
      <c r="P25" s="31" t="s">
        <v>99</v>
      </c>
      <c r="Q25" s="31" t="s">
        <v>99</v>
      </c>
      <c r="R25" s="31" t="s">
        <v>99</v>
      </c>
      <c r="S25" s="31" t="s">
        <v>99</v>
      </c>
      <c r="T25" s="31" t="s">
        <v>99</v>
      </c>
      <c r="U25" s="31" t="s">
        <v>1596</v>
      </c>
      <c r="V25" s="31" t="s">
        <v>1597</v>
      </c>
      <c r="W25" s="31" t="s">
        <v>99</v>
      </c>
      <c r="X25" s="31" t="s">
        <v>99</v>
      </c>
      <c r="Y25" s="31" t="s">
        <v>99</v>
      </c>
      <c r="Z25" s="31" t="s">
        <v>99</v>
      </c>
      <c r="AA25" s="31" t="s">
        <v>100</v>
      </c>
      <c r="AB25" s="31" t="s">
        <v>100</v>
      </c>
      <c r="AC25" s="31" t="s">
        <v>100</v>
      </c>
      <c r="AD25" s="31" t="s">
        <v>100</v>
      </c>
      <c r="AE25" s="31" t="s">
        <v>1598</v>
      </c>
      <c r="AF25" s="31" t="s">
        <v>1599</v>
      </c>
      <c r="AG25" s="31" t="s">
        <v>99</v>
      </c>
      <c r="AH25" s="31" t="s">
        <v>99</v>
      </c>
      <c r="AI25" s="31" t="s">
        <v>99</v>
      </c>
      <c r="AJ25" s="31" t="s">
        <v>99</v>
      </c>
      <c r="AK25" s="31" t="s">
        <v>99</v>
      </c>
      <c r="AL25" s="31">
        <v>55.6</v>
      </c>
      <c r="AM25" s="31">
        <v>155</v>
      </c>
      <c r="AN25" s="31">
        <v>84</v>
      </c>
      <c r="AO25" s="31">
        <v>93</v>
      </c>
      <c r="AP25" s="31">
        <v>35</v>
      </c>
      <c r="AQ25" s="31">
        <v>6</v>
      </c>
      <c r="AR25" s="31">
        <v>26.3</v>
      </c>
      <c r="AS25" s="31">
        <v>48</v>
      </c>
      <c r="AT25" s="70">
        <v>23.1</v>
      </c>
      <c r="AU25" s="31">
        <v>107</v>
      </c>
      <c r="AV25" s="31">
        <v>72</v>
      </c>
      <c r="AW25" s="31"/>
      <c r="AX25" s="31" t="s">
        <v>1600</v>
      </c>
      <c r="AY25" s="31" t="s">
        <v>1601</v>
      </c>
      <c r="AZ25" s="31" t="s">
        <v>1602</v>
      </c>
      <c r="BA25" s="31"/>
      <c r="BB25" s="31" t="s">
        <v>750</v>
      </c>
      <c r="BC25" s="31" t="s">
        <v>749</v>
      </c>
      <c r="BD25" s="31"/>
      <c r="BE25" s="31"/>
      <c r="BF25" s="31" t="s">
        <v>1603</v>
      </c>
      <c r="BG25" s="31" t="s">
        <v>1604</v>
      </c>
      <c r="BH25" s="31" t="s">
        <v>682</v>
      </c>
      <c r="BI25" s="31" t="s">
        <v>1605</v>
      </c>
      <c r="BJ25" s="31" t="s">
        <v>1606</v>
      </c>
      <c r="BK25" s="31"/>
      <c r="BL25" s="31"/>
      <c r="BM25" s="31"/>
      <c r="BN25" s="31" t="s">
        <v>219</v>
      </c>
      <c r="BO25" s="31" t="s">
        <v>125</v>
      </c>
      <c r="BP25" s="31" t="s">
        <v>178</v>
      </c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 t="s">
        <v>823</v>
      </c>
      <c r="CM25" s="31" t="s">
        <v>980</v>
      </c>
      <c r="CN25" s="31"/>
      <c r="CO25" s="31"/>
      <c r="CP25" s="31"/>
      <c r="CQ25" s="31"/>
      <c r="CR25" s="31"/>
      <c r="CS25" s="31"/>
      <c r="CT25" s="31"/>
      <c r="CU25" s="31"/>
      <c r="CV25" s="31"/>
      <c r="CW25" s="31">
        <v>3</v>
      </c>
      <c r="CX25" s="31" t="s">
        <v>110</v>
      </c>
      <c r="CY25" s="31" t="s">
        <v>110</v>
      </c>
      <c r="CZ25" s="31">
        <v>20</v>
      </c>
      <c r="DA25" s="31">
        <v>50</v>
      </c>
      <c r="DB25" s="31">
        <v>30</v>
      </c>
      <c r="DC25" s="31">
        <v>78.5</v>
      </c>
      <c r="DD25" s="31">
        <v>0.79</v>
      </c>
      <c r="DE25" s="31">
        <v>130</v>
      </c>
      <c r="DF25" s="31">
        <v>95</v>
      </c>
      <c r="DG25" s="9">
        <f t="shared" si="0"/>
        <v>4.458487758194452</v>
      </c>
      <c r="DH25" s="31">
        <v>19</v>
      </c>
      <c r="DI25" s="31">
        <v>6.5</v>
      </c>
      <c r="DJ25" s="31"/>
      <c r="DK25" s="31"/>
      <c r="DL25" s="48">
        <v>27.1</v>
      </c>
      <c r="DM25" s="31">
        <v>83.9</v>
      </c>
      <c r="DN25" s="31"/>
      <c r="DO25" s="31"/>
      <c r="DP25" s="31"/>
      <c r="DQ25" s="31"/>
      <c r="DR25" s="31">
        <v>2</v>
      </c>
      <c r="DS25" s="31"/>
      <c r="DT25" s="31"/>
      <c r="DU25" s="31">
        <v>6.8</v>
      </c>
      <c r="DV25" s="31"/>
    </row>
    <row r="26" spans="1:157" customFormat="1" x14ac:dyDescent="0.2">
      <c r="A26" s="70" t="s">
        <v>1647</v>
      </c>
      <c r="B26" s="69">
        <v>43796</v>
      </c>
      <c r="C26" s="29" t="s">
        <v>675</v>
      </c>
      <c r="D26" s="29">
        <v>25</v>
      </c>
      <c r="E26" s="29" t="s">
        <v>100</v>
      </c>
      <c r="F26" s="69">
        <v>34344</v>
      </c>
      <c r="G26" s="29" t="s">
        <v>1648</v>
      </c>
      <c r="H26" s="29" t="s">
        <v>1649</v>
      </c>
      <c r="I26" s="29"/>
      <c r="J26" s="29"/>
      <c r="K26" s="29"/>
      <c r="L26" s="29"/>
      <c r="M26" s="29" t="s">
        <v>99</v>
      </c>
      <c r="N26" s="29" t="s">
        <v>99</v>
      </c>
      <c r="O26" s="29" t="s">
        <v>99</v>
      </c>
      <c r="P26" s="29" t="s">
        <v>99</v>
      </c>
      <c r="Q26" s="29" t="s">
        <v>1650</v>
      </c>
      <c r="R26" s="29" t="s">
        <v>99</v>
      </c>
      <c r="S26" s="29" t="s">
        <v>99</v>
      </c>
      <c r="T26" s="29" t="s">
        <v>99</v>
      </c>
      <c r="U26" s="29" t="s">
        <v>99</v>
      </c>
      <c r="V26" s="29" t="s">
        <v>1651</v>
      </c>
      <c r="W26" s="29"/>
      <c r="X26" s="29" t="s">
        <v>1652</v>
      </c>
      <c r="Y26" s="29"/>
      <c r="Z26" s="29" t="s">
        <v>1653</v>
      </c>
      <c r="AA26" s="29" t="s">
        <v>1654</v>
      </c>
      <c r="AB26" s="29" t="s">
        <v>100</v>
      </c>
      <c r="AC26" s="29" t="s">
        <v>100</v>
      </c>
      <c r="AD26" s="29" t="s">
        <v>100</v>
      </c>
      <c r="AE26" s="29" t="s">
        <v>1655</v>
      </c>
      <c r="AF26" s="29" t="s">
        <v>99</v>
      </c>
      <c r="AG26" s="29" t="s">
        <v>99</v>
      </c>
      <c r="AH26" s="29" t="s">
        <v>99</v>
      </c>
      <c r="AI26" s="29" t="s">
        <v>99</v>
      </c>
      <c r="AJ26" s="29" t="s">
        <v>99</v>
      </c>
      <c r="AK26" s="29" t="s">
        <v>99</v>
      </c>
      <c r="AL26" s="29">
        <v>69.5</v>
      </c>
      <c r="AM26" s="29">
        <v>173</v>
      </c>
      <c r="AN26" s="29">
        <v>81</v>
      </c>
      <c r="AO26" s="29">
        <v>96</v>
      </c>
      <c r="AP26" s="29">
        <v>15.8</v>
      </c>
      <c r="AQ26" s="29">
        <v>6</v>
      </c>
      <c r="AR26" s="29">
        <v>42.8</v>
      </c>
      <c r="AS26" s="29">
        <v>26</v>
      </c>
      <c r="AT26" s="70">
        <v>23.2</v>
      </c>
      <c r="AU26" s="29">
        <v>116</v>
      </c>
      <c r="AV26" s="29">
        <v>63</v>
      </c>
      <c r="AW26" s="29" t="s">
        <v>351</v>
      </c>
      <c r="AX26" s="29" t="s">
        <v>1656</v>
      </c>
      <c r="AY26" s="29" t="s">
        <v>1657</v>
      </c>
      <c r="AZ26" s="29" t="s">
        <v>1128</v>
      </c>
      <c r="BA26" s="29"/>
      <c r="BB26" s="29" t="s">
        <v>1641</v>
      </c>
      <c r="BC26" s="29" t="s">
        <v>1080</v>
      </c>
      <c r="BD26" s="29" t="s">
        <v>749</v>
      </c>
      <c r="BE26" s="29"/>
      <c r="BF26" s="29" t="s">
        <v>1658</v>
      </c>
      <c r="BG26" s="29" t="s">
        <v>351</v>
      </c>
      <c r="BH26" s="29" t="s">
        <v>682</v>
      </c>
      <c r="BI26" s="29" t="s">
        <v>1468</v>
      </c>
      <c r="BJ26" s="29" t="s">
        <v>351</v>
      </c>
      <c r="BK26" s="29" t="s">
        <v>682</v>
      </c>
      <c r="BL26" s="29"/>
      <c r="BM26" s="29"/>
      <c r="BN26" s="29" t="s">
        <v>180</v>
      </c>
      <c r="BO26" s="29" t="s">
        <v>125</v>
      </c>
      <c r="BP26" s="29" t="s">
        <v>179</v>
      </c>
      <c r="BQ26" s="29"/>
      <c r="BR26" s="29"/>
      <c r="BS26" s="29"/>
      <c r="BT26" s="29"/>
      <c r="BU26" s="29"/>
      <c r="BV26" s="29" t="s">
        <v>734</v>
      </c>
      <c r="BW26" s="29" t="s">
        <v>1573</v>
      </c>
      <c r="BX26" s="29"/>
      <c r="BY26" s="29"/>
      <c r="BZ26" s="29" t="s">
        <v>183</v>
      </c>
      <c r="CA26" s="29" t="s">
        <v>182</v>
      </c>
      <c r="CB26" s="29" t="s">
        <v>822</v>
      </c>
      <c r="CC26" s="29"/>
      <c r="CD26" s="29" t="s">
        <v>578</v>
      </c>
      <c r="CE26" s="29"/>
      <c r="CF26" s="29"/>
      <c r="CG26" s="29"/>
      <c r="CH26" s="29"/>
      <c r="CI26" s="29"/>
      <c r="CJ26" s="29"/>
      <c r="CK26" s="29"/>
      <c r="CL26" s="29" t="s">
        <v>980</v>
      </c>
      <c r="CM26" s="29" t="s">
        <v>1181</v>
      </c>
      <c r="CN26" s="29" t="s">
        <v>1659</v>
      </c>
      <c r="CO26" s="29"/>
      <c r="CP26" s="29" t="s">
        <v>362</v>
      </c>
      <c r="CQ26" s="29" t="s">
        <v>716</v>
      </c>
      <c r="CR26" s="29" t="s">
        <v>361</v>
      </c>
      <c r="CS26" s="29"/>
      <c r="CT26" s="29" t="s">
        <v>1660</v>
      </c>
      <c r="CU26" s="29" t="s">
        <v>1661</v>
      </c>
      <c r="CV26" s="29" t="s">
        <v>187</v>
      </c>
      <c r="CW26" s="29">
        <v>4</v>
      </c>
      <c r="CX26" s="29" t="s">
        <v>110</v>
      </c>
      <c r="CY26" s="29" t="s">
        <v>110</v>
      </c>
      <c r="CZ26" s="29"/>
      <c r="DA26" s="29"/>
      <c r="DB26" s="29"/>
      <c r="DC26" s="29">
        <v>91</v>
      </c>
      <c r="DD26" s="29">
        <v>1.06</v>
      </c>
      <c r="DE26" s="29">
        <v>116</v>
      </c>
      <c r="DF26" s="29">
        <v>38</v>
      </c>
      <c r="DG26" s="9">
        <f t="shared" si="0"/>
        <v>4.0742228331216177</v>
      </c>
      <c r="DH26" s="29">
        <v>7.6</v>
      </c>
      <c r="DI26" s="29">
        <v>4.5</v>
      </c>
      <c r="DJ26" s="29"/>
      <c r="DK26" s="29"/>
      <c r="DL26" s="29">
        <v>51.6</v>
      </c>
      <c r="DM26" s="29">
        <v>56.8</v>
      </c>
      <c r="DN26" s="29"/>
      <c r="DO26" s="29"/>
      <c r="DP26" s="29">
        <v>3</v>
      </c>
      <c r="DQ26" s="29"/>
      <c r="DR26" s="29">
        <v>2</v>
      </c>
      <c r="DS26" s="29"/>
      <c r="DT26" s="29"/>
      <c r="DU26" s="29">
        <v>3.3</v>
      </c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</row>
    <row r="27" spans="1:157" customFormat="1" x14ac:dyDescent="0.2">
      <c r="A27" s="70" t="s">
        <v>1665</v>
      </c>
      <c r="B27" s="69">
        <v>43795</v>
      </c>
      <c r="C27" s="29" t="s">
        <v>196</v>
      </c>
      <c r="D27" s="29">
        <v>36</v>
      </c>
      <c r="E27" s="29" t="s">
        <v>100</v>
      </c>
      <c r="F27" s="69">
        <v>30317</v>
      </c>
      <c r="G27" s="29" t="s">
        <v>1666</v>
      </c>
      <c r="H27" s="29" t="s">
        <v>1667</v>
      </c>
      <c r="I27" s="29"/>
      <c r="J27" s="29"/>
      <c r="K27" s="29">
        <v>2010</v>
      </c>
      <c r="L27" s="29">
        <v>2</v>
      </c>
      <c r="M27" s="29" t="s">
        <v>99</v>
      </c>
      <c r="N27" s="29" t="s">
        <v>99</v>
      </c>
      <c r="O27" s="29" t="s">
        <v>99</v>
      </c>
      <c r="P27" s="29" t="s">
        <v>99</v>
      </c>
      <c r="Q27" s="29" t="s">
        <v>1668</v>
      </c>
      <c r="R27" s="29" t="s">
        <v>99</v>
      </c>
      <c r="S27" s="29" t="s">
        <v>110</v>
      </c>
      <c r="T27" s="29" t="s">
        <v>99</v>
      </c>
      <c r="U27" s="29" t="s">
        <v>99</v>
      </c>
      <c r="V27" s="29" t="s">
        <v>99</v>
      </c>
      <c r="W27" s="29"/>
      <c r="X27" s="29"/>
      <c r="Y27" s="29"/>
      <c r="Z27" s="29"/>
      <c r="AA27" s="29" t="s">
        <v>1460</v>
      </c>
      <c r="AB27" s="29" t="s">
        <v>840</v>
      </c>
      <c r="AC27" s="29"/>
      <c r="AD27" s="29" t="s">
        <v>840</v>
      </c>
      <c r="AE27" s="29" t="s">
        <v>110</v>
      </c>
      <c r="AF27" s="29" t="s">
        <v>110</v>
      </c>
      <c r="AG27" s="29" t="s">
        <v>110</v>
      </c>
      <c r="AH27" s="29"/>
      <c r="AI27" s="29"/>
      <c r="AJ27" s="29"/>
      <c r="AK27" s="29"/>
      <c r="AL27" s="29">
        <v>53.5</v>
      </c>
      <c r="AM27" s="29">
        <v>162</v>
      </c>
      <c r="AN27" s="29">
        <v>70</v>
      </c>
      <c r="AO27" s="29">
        <v>98</v>
      </c>
      <c r="AP27" s="29">
        <v>30.5</v>
      </c>
      <c r="AQ27" s="29">
        <v>4</v>
      </c>
      <c r="AR27" s="29">
        <v>26.8</v>
      </c>
      <c r="AS27" s="29">
        <v>26</v>
      </c>
      <c r="AT27" s="70">
        <v>20.3</v>
      </c>
      <c r="AU27" s="29">
        <v>82</v>
      </c>
      <c r="AV27" s="29">
        <v>52</v>
      </c>
      <c r="AW27" s="29" t="s">
        <v>351</v>
      </c>
      <c r="AX27" s="29"/>
      <c r="AY27" s="29"/>
      <c r="AZ27" s="29"/>
      <c r="BA27" s="29" t="s">
        <v>350</v>
      </c>
      <c r="BB27" s="29"/>
      <c r="BC27" s="29"/>
      <c r="BD27" s="29"/>
      <c r="BE27" s="29" t="s">
        <v>351</v>
      </c>
      <c r="BF27" s="29"/>
      <c r="BG27" s="29"/>
      <c r="BH27" s="29"/>
      <c r="BI27" s="29"/>
      <c r="BJ27" s="29"/>
      <c r="BK27" s="29"/>
      <c r="BL27" s="29" t="s">
        <v>351</v>
      </c>
      <c r="BM27" s="29" t="s">
        <v>179</v>
      </c>
      <c r="BN27" s="29" t="s">
        <v>125</v>
      </c>
      <c r="BO27" s="29" t="s">
        <v>352</v>
      </c>
      <c r="BP27" s="29"/>
      <c r="BQ27" s="29"/>
      <c r="BR27" s="29"/>
      <c r="BS27" s="29"/>
      <c r="BT27" s="29"/>
      <c r="BU27" s="29"/>
      <c r="BV27" s="29" t="s">
        <v>734</v>
      </c>
      <c r="BW27" s="29" t="s">
        <v>1573</v>
      </c>
      <c r="BX27" s="29"/>
      <c r="BY27" s="29" t="s">
        <v>351</v>
      </c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 t="s">
        <v>351</v>
      </c>
      <c r="CL27" s="29"/>
      <c r="CM27" s="29"/>
      <c r="CN27" s="29"/>
      <c r="CO27" s="29" t="s">
        <v>350</v>
      </c>
      <c r="CP27" s="29"/>
      <c r="CQ27" s="29"/>
      <c r="CR27" s="29"/>
      <c r="CS27" s="29" t="s">
        <v>1513</v>
      </c>
      <c r="CT27" s="29"/>
      <c r="CU27" s="29"/>
      <c r="CV27" s="29"/>
      <c r="CW27" s="29">
        <v>3</v>
      </c>
      <c r="CX27" s="29" t="s">
        <v>110</v>
      </c>
      <c r="CY27" s="29" t="s">
        <v>110</v>
      </c>
      <c r="CZ27" s="29">
        <v>50</v>
      </c>
      <c r="DA27" s="29">
        <v>25</v>
      </c>
      <c r="DB27" s="29">
        <v>25</v>
      </c>
      <c r="DC27" s="29">
        <v>67</v>
      </c>
      <c r="DD27" s="29">
        <v>0.75</v>
      </c>
      <c r="DE27" s="29">
        <v>164</v>
      </c>
      <c r="DF27" s="29">
        <v>66</v>
      </c>
      <c r="DG27" s="9">
        <f t="shared" si="0"/>
        <v>4.1971736807086959</v>
      </c>
      <c r="DH27" s="29">
        <v>13.2</v>
      </c>
      <c r="DI27" s="29">
        <v>4.75</v>
      </c>
      <c r="DJ27" s="29"/>
      <c r="DK27" s="29"/>
      <c r="DL27" s="29">
        <v>57.8</v>
      </c>
      <c r="DM27" s="29">
        <v>93</v>
      </c>
      <c r="DN27" s="29"/>
      <c r="DO27" s="29"/>
      <c r="DP27" s="29"/>
      <c r="DQ27" s="29"/>
      <c r="DR27" s="29"/>
      <c r="DS27" s="29"/>
      <c r="DT27" s="29"/>
      <c r="DU27" s="29">
        <v>6.7</v>
      </c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</row>
    <row r="28" spans="1:157" customFormat="1" x14ac:dyDescent="0.2">
      <c r="A28" s="72" t="s">
        <v>1671</v>
      </c>
      <c r="B28" s="26">
        <v>43795</v>
      </c>
      <c r="C28" t="s">
        <v>95</v>
      </c>
      <c r="D28">
        <v>21</v>
      </c>
      <c r="F28" s="26">
        <v>35898</v>
      </c>
      <c r="K28" s="26"/>
      <c r="M28" t="s">
        <v>99</v>
      </c>
      <c r="N28" t="s">
        <v>99</v>
      </c>
      <c r="O28" t="s">
        <v>99</v>
      </c>
      <c r="P28" s="29" t="s">
        <v>99</v>
      </c>
      <c r="Q28" s="29" t="s">
        <v>1672</v>
      </c>
      <c r="R28" s="29"/>
      <c r="S28" s="29"/>
      <c r="T28" s="29"/>
      <c r="U28" s="29"/>
      <c r="V28" s="29"/>
      <c r="W28" s="29"/>
      <c r="X28" s="29"/>
      <c r="Y28" s="29"/>
      <c r="Z28" s="29"/>
      <c r="AA28" s="29" t="s">
        <v>100</v>
      </c>
      <c r="AB28" s="29" t="s">
        <v>100</v>
      </c>
      <c r="AC28" s="29" t="s">
        <v>100</v>
      </c>
      <c r="AD28" s="29" t="s">
        <v>100</v>
      </c>
      <c r="AE28" s="29" t="s">
        <v>99</v>
      </c>
      <c r="AF28" s="29" t="s">
        <v>99</v>
      </c>
      <c r="AG28" s="29" t="s">
        <v>99</v>
      </c>
      <c r="AH28" s="29" t="s">
        <v>99</v>
      </c>
      <c r="AI28" s="29" t="s">
        <v>99</v>
      </c>
      <c r="AJ28" s="29" t="s">
        <v>99</v>
      </c>
      <c r="AK28" s="29" t="s">
        <v>99</v>
      </c>
      <c r="AL28">
        <v>54.3</v>
      </c>
      <c r="AM28">
        <v>165</v>
      </c>
      <c r="AN28">
        <v>72</v>
      </c>
      <c r="AO28">
        <v>94</v>
      </c>
      <c r="AP28">
        <v>27.6</v>
      </c>
      <c r="AQ28">
        <v>2</v>
      </c>
      <c r="AR28">
        <v>28.3</v>
      </c>
      <c r="AS28">
        <v>18</v>
      </c>
      <c r="AT28">
        <v>19.2</v>
      </c>
      <c r="AU28" t="s">
        <v>1673</v>
      </c>
      <c r="AV28" t="s">
        <v>1674</v>
      </c>
      <c r="AX28" t="s">
        <v>1675</v>
      </c>
      <c r="AY28" t="s">
        <v>1676</v>
      </c>
      <c r="AZ28" t="s">
        <v>1677</v>
      </c>
      <c r="BB28" t="s">
        <v>1678</v>
      </c>
      <c r="BC28" t="s">
        <v>1679</v>
      </c>
      <c r="BF28" t="s">
        <v>968</v>
      </c>
      <c r="BH28" t="s">
        <v>968</v>
      </c>
      <c r="BI28" t="s">
        <v>1680</v>
      </c>
      <c r="BJ28" t="s">
        <v>1681</v>
      </c>
      <c r="BK28" t="s">
        <v>1682</v>
      </c>
      <c r="BN28" t="s">
        <v>1683</v>
      </c>
      <c r="BO28" t="s">
        <v>1684</v>
      </c>
      <c r="BV28" t="s">
        <v>1685</v>
      </c>
      <c r="BW28" t="s">
        <v>1686</v>
      </c>
      <c r="BZ28" t="s">
        <v>1687</v>
      </c>
      <c r="CA28" t="s">
        <v>1688</v>
      </c>
      <c r="CB28" t="s">
        <v>1689</v>
      </c>
      <c r="CL28" t="s">
        <v>504</v>
      </c>
      <c r="CM28" t="s">
        <v>1690</v>
      </c>
      <c r="CN28" t="s">
        <v>1681</v>
      </c>
      <c r="CP28" t="s">
        <v>1691</v>
      </c>
      <c r="CQ28" t="s">
        <v>1692</v>
      </c>
      <c r="CT28" t="s">
        <v>1693</v>
      </c>
      <c r="CU28" t="s">
        <v>1694</v>
      </c>
      <c r="CW28">
        <v>3</v>
      </c>
      <c r="CX28" t="s">
        <v>99</v>
      </c>
      <c r="CY28" t="s">
        <v>1695</v>
      </c>
      <c r="CZ28" s="33">
        <v>40</v>
      </c>
      <c r="DA28" s="33">
        <v>10</v>
      </c>
      <c r="DB28" s="33">
        <v>40</v>
      </c>
      <c r="DC28">
        <v>80.599999999999994</v>
      </c>
      <c r="DD28">
        <v>0.94</v>
      </c>
      <c r="DE28">
        <v>154</v>
      </c>
      <c r="DF28">
        <v>54</v>
      </c>
      <c r="DG28" s="9">
        <f t="shared" si="0"/>
        <v>4.1892413480384283</v>
      </c>
      <c r="DH28">
        <v>10.8</v>
      </c>
      <c r="DI28">
        <v>4.4400000000000004</v>
      </c>
      <c r="DL28">
        <v>82</v>
      </c>
      <c r="DM28">
        <v>61.2</v>
      </c>
      <c r="DP28">
        <v>3</v>
      </c>
      <c r="DR28">
        <v>2</v>
      </c>
    </row>
    <row r="29" spans="1:157" customFormat="1" x14ac:dyDescent="0.2">
      <c r="A29" s="70" t="s">
        <v>1717</v>
      </c>
      <c r="B29" s="69">
        <v>43795</v>
      </c>
      <c r="C29" s="29" t="s">
        <v>675</v>
      </c>
      <c r="D29" s="29">
        <v>19</v>
      </c>
      <c r="E29" s="29" t="s">
        <v>100</v>
      </c>
      <c r="F29" s="69">
        <v>43840</v>
      </c>
      <c r="G29" s="29" t="s">
        <v>1718</v>
      </c>
      <c r="H29" s="29" t="s">
        <v>1667</v>
      </c>
      <c r="I29" s="29"/>
      <c r="J29" s="29"/>
      <c r="K29" s="29"/>
      <c r="L29" s="29"/>
      <c r="M29" s="29" t="s">
        <v>99</v>
      </c>
      <c r="N29" s="29" t="s">
        <v>99</v>
      </c>
      <c r="O29" s="29" t="s">
        <v>99</v>
      </c>
      <c r="P29" s="29" t="s">
        <v>99</v>
      </c>
      <c r="Q29" s="29" t="s">
        <v>99</v>
      </c>
      <c r="R29" s="29" t="s">
        <v>99</v>
      </c>
      <c r="S29" s="29" t="s">
        <v>99</v>
      </c>
      <c r="T29" s="29" t="s">
        <v>1719</v>
      </c>
      <c r="U29" s="29" t="s">
        <v>99</v>
      </c>
      <c r="V29" s="29" t="s">
        <v>99</v>
      </c>
      <c r="W29" s="29" t="s">
        <v>1720</v>
      </c>
      <c r="X29" s="29"/>
      <c r="Y29" s="29"/>
      <c r="Z29" s="29"/>
      <c r="AA29" s="29" t="s">
        <v>100</v>
      </c>
      <c r="AB29" s="29" t="s">
        <v>1123</v>
      </c>
      <c r="AC29" s="29" t="s">
        <v>840</v>
      </c>
      <c r="AD29" s="29" t="s">
        <v>1123</v>
      </c>
      <c r="AE29" s="29" t="s">
        <v>1721</v>
      </c>
      <c r="AF29" s="29" t="s">
        <v>1721</v>
      </c>
      <c r="AG29" s="29" t="s">
        <v>1722</v>
      </c>
      <c r="AH29" s="29" t="s">
        <v>99</v>
      </c>
      <c r="AI29" s="29" t="s">
        <v>99</v>
      </c>
      <c r="AJ29" s="29" t="s">
        <v>1723</v>
      </c>
      <c r="AK29" s="29" t="s">
        <v>99</v>
      </c>
      <c r="AL29" s="29">
        <v>69.5</v>
      </c>
      <c r="AM29" s="29">
        <v>173</v>
      </c>
      <c r="AN29" s="29">
        <v>82</v>
      </c>
      <c r="AO29" s="29">
        <v>103</v>
      </c>
      <c r="AP29" s="29">
        <v>23.9</v>
      </c>
      <c r="AQ29" s="29">
        <v>6</v>
      </c>
      <c r="AR29" s="29">
        <v>37.799999999999997</v>
      </c>
      <c r="AS29" s="29">
        <v>29</v>
      </c>
      <c r="AT29" s="70">
        <v>23.2</v>
      </c>
      <c r="AU29" s="29">
        <v>98</v>
      </c>
      <c r="AV29" s="29">
        <v>72</v>
      </c>
      <c r="AW29" s="29"/>
      <c r="AX29" s="29" t="s">
        <v>1600</v>
      </c>
      <c r="AY29" s="29"/>
      <c r="AZ29" s="29"/>
      <c r="BA29" s="29"/>
      <c r="BB29" s="29"/>
      <c r="BC29" s="29"/>
      <c r="BD29" s="29"/>
      <c r="BE29" s="29"/>
      <c r="BF29" s="29" t="s">
        <v>350</v>
      </c>
      <c r="BG29" s="29" t="s">
        <v>350</v>
      </c>
      <c r="BH29" s="29" t="s">
        <v>350</v>
      </c>
      <c r="BI29" s="29" t="s">
        <v>350</v>
      </c>
      <c r="BJ29" s="29" t="s">
        <v>350</v>
      </c>
      <c r="BK29" s="29" t="s">
        <v>350</v>
      </c>
      <c r="BL29" s="29" t="s">
        <v>1724</v>
      </c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 t="s">
        <v>182</v>
      </c>
      <c r="CA29" s="29" t="s">
        <v>183</v>
      </c>
      <c r="CB29" s="29" t="s">
        <v>577</v>
      </c>
      <c r="CC29" s="29"/>
      <c r="CD29" s="29"/>
      <c r="CE29" s="29"/>
      <c r="CF29" s="29"/>
      <c r="CG29" s="29"/>
      <c r="CH29" s="29"/>
      <c r="CI29" s="29"/>
      <c r="CJ29" s="29"/>
      <c r="CK29" s="29"/>
      <c r="CL29" s="29" t="s">
        <v>980</v>
      </c>
      <c r="CM29" s="29" t="s">
        <v>1180</v>
      </c>
      <c r="CN29" s="29"/>
      <c r="CO29" s="29"/>
      <c r="CP29" s="29"/>
      <c r="CQ29" s="29"/>
      <c r="CR29" s="29"/>
      <c r="CS29" s="29"/>
      <c r="CT29" s="29" t="s">
        <v>363</v>
      </c>
      <c r="CU29" s="29" t="s">
        <v>1725</v>
      </c>
      <c r="CV29" s="29"/>
      <c r="CW29" s="29">
        <v>3</v>
      </c>
      <c r="CX29" s="29" t="s">
        <v>110</v>
      </c>
      <c r="CY29" s="29" t="s">
        <v>99</v>
      </c>
      <c r="CZ29" s="29">
        <v>30</v>
      </c>
      <c r="DA29" s="29">
        <v>5</v>
      </c>
      <c r="DB29" s="29">
        <v>65</v>
      </c>
      <c r="DC29" s="29">
        <v>68.400000000000006</v>
      </c>
      <c r="DD29" s="29">
        <v>0.89</v>
      </c>
      <c r="DE29" s="29">
        <v>147</v>
      </c>
      <c r="DF29" s="29">
        <v>119</v>
      </c>
      <c r="DG29" s="9">
        <f t="shared" si="0"/>
        <v>4.5022481588700174</v>
      </c>
      <c r="DH29" s="29">
        <v>23.8</v>
      </c>
      <c r="DI29" s="29">
        <v>5.81</v>
      </c>
      <c r="DJ29" s="29"/>
      <c r="DK29" s="29"/>
      <c r="DL29" s="29">
        <v>48.8</v>
      </c>
      <c r="DM29" s="29">
        <v>74.400000000000006</v>
      </c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</row>
    <row r="30" spans="1:157" s="33" customFormat="1" x14ac:dyDescent="0.2">
      <c r="A30" s="31" t="s">
        <v>1799</v>
      </c>
      <c r="B30" s="32">
        <v>43795</v>
      </c>
      <c r="C30" s="31" t="s">
        <v>675</v>
      </c>
      <c r="D30" s="31">
        <v>49</v>
      </c>
      <c r="E30" s="31" t="s">
        <v>840</v>
      </c>
      <c r="F30" s="32">
        <v>25892</v>
      </c>
      <c r="G30" s="31" t="s">
        <v>481</v>
      </c>
      <c r="H30" s="31" t="s">
        <v>1510</v>
      </c>
      <c r="I30" s="31"/>
      <c r="J30" s="31"/>
      <c r="K30" s="31"/>
      <c r="L30" s="31"/>
      <c r="M30" s="31" t="s">
        <v>99</v>
      </c>
      <c r="N30" s="31" t="s">
        <v>99</v>
      </c>
      <c r="O30" s="31" t="s">
        <v>99</v>
      </c>
      <c r="P30" s="31" t="s">
        <v>99</v>
      </c>
      <c r="Q30" s="31" t="s">
        <v>1736</v>
      </c>
      <c r="R30" s="31" t="s">
        <v>99</v>
      </c>
      <c r="S30" s="31" t="s">
        <v>110</v>
      </c>
      <c r="T30" s="31" t="s">
        <v>99</v>
      </c>
      <c r="U30" s="31" t="s">
        <v>99</v>
      </c>
      <c r="V30" s="31" t="s">
        <v>99</v>
      </c>
      <c r="W30" s="31" t="s">
        <v>99</v>
      </c>
      <c r="X30" s="31" t="s">
        <v>99</v>
      </c>
      <c r="Y30" s="31" t="s">
        <v>99</v>
      </c>
      <c r="Z30" s="31" t="s">
        <v>99</v>
      </c>
      <c r="AA30" s="31" t="s">
        <v>840</v>
      </c>
      <c r="AB30" s="31" t="s">
        <v>100</v>
      </c>
      <c r="AC30" s="31" t="s">
        <v>840</v>
      </c>
      <c r="AD30" s="31" t="s">
        <v>840</v>
      </c>
      <c r="AE30" s="31" t="s">
        <v>99</v>
      </c>
      <c r="AF30" s="31" t="s">
        <v>99</v>
      </c>
      <c r="AG30" s="31" t="s">
        <v>99</v>
      </c>
      <c r="AH30" s="31" t="s">
        <v>99</v>
      </c>
      <c r="AI30" s="31" t="s">
        <v>99</v>
      </c>
      <c r="AJ30" s="31" t="s">
        <v>99</v>
      </c>
      <c r="AK30" s="31" t="s">
        <v>99</v>
      </c>
      <c r="AL30" s="31">
        <v>74</v>
      </c>
      <c r="AM30" s="31">
        <v>171</v>
      </c>
      <c r="AN30" s="31">
        <v>87</v>
      </c>
      <c r="AO30" s="31">
        <v>100</v>
      </c>
      <c r="AP30" s="31">
        <v>18.7</v>
      </c>
      <c r="AQ30" s="31">
        <v>9</v>
      </c>
      <c r="AR30" s="31">
        <v>38.5</v>
      </c>
      <c r="AS30" s="31">
        <v>45</v>
      </c>
      <c r="AT30" s="31">
        <v>25.3</v>
      </c>
      <c r="AU30" s="31">
        <v>98</v>
      </c>
      <c r="AV30" s="31">
        <v>68</v>
      </c>
      <c r="AW30" s="31" t="s">
        <v>351</v>
      </c>
      <c r="AX30" s="31" t="s">
        <v>1128</v>
      </c>
      <c r="AY30" s="31" t="s">
        <v>1800</v>
      </c>
      <c r="AZ30" s="31" t="s">
        <v>1801</v>
      </c>
      <c r="BA30" s="31"/>
      <c r="BB30" s="31" t="s">
        <v>749</v>
      </c>
      <c r="BC30" s="31"/>
      <c r="BD30" s="31"/>
      <c r="BE30" s="31"/>
      <c r="BF30" s="31" t="s">
        <v>1802</v>
      </c>
      <c r="BG30" s="31"/>
      <c r="BH30" s="31" t="s">
        <v>1803</v>
      </c>
      <c r="BI30" s="31" t="s">
        <v>1804</v>
      </c>
      <c r="BJ30" s="31"/>
      <c r="BK30" s="31"/>
      <c r="BL30" s="31"/>
      <c r="BM30" s="31"/>
      <c r="BN30" s="31" t="s">
        <v>1664</v>
      </c>
      <c r="BO30" s="31" t="s">
        <v>352</v>
      </c>
      <c r="BP30" s="31" t="s">
        <v>179</v>
      </c>
      <c r="BQ30" s="31"/>
      <c r="BR30" s="31"/>
      <c r="BS30" s="31"/>
      <c r="BT30" s="31"/>
      <c r="BU30" s="31"/>
      <c r="BV30" s="31" t="s">
        <v>1573</v>
      </c>
      <c r="BW30" s="31" t="s">
        <v>1805</v>
      </c>
      <c r="BX30" s="31"/>
      <c r="BY30" s="31"/>
      <c r="BZ30" s="31" t="s">
        <v>182</v>
      </c>
      <c r="CA30" s="31" t="s">
        <v>709</v>
      </c>
      <c r="CB30" s="31" t="s">
        <v>183</v>
      </c>
      <c r="CC30" s="31"/>
      <c r="CD30" s="31"/>
      <c r="CE30" s="31"/>
      <c r="CF30" s="31"/>
      <c r="CG30" s="31"/>
      <c r="CH30" s="31"/>
      <c r="CI30" s="31"/>
      <c r="CJ30" s="31"/>
      <c r="CK30" s="31"/>
      <c r="CL30" s="31" t="s">
        <v>980</v>
      </c>
      <c r="CM30" s="31"/>
      <c r="CN30" s="31"/>
      <c r="CO30" s="31"/>
      <c r="CP30" s="31"/>
      <c r="CQ30" s="31"/>
      <c r="CR30" s="31"/>
      <c r="CS30" s="31"/>
      <c r="CT30" s="31" t="s">
        <v>1729</v>
      </c>
      <c r="CU30" s="31" t="s">
        <v>1806</v>
      </c>
      <c r="CV30" s="31"/>
      <c r="CW30" s="31">
        <v>2</v>
      </c>
      <c r="CX30" s="31" t="s">
        <v>99</v>
      </c>
      <c r="CY30" s="31" t="s">
        <v>110</v>
      </c>
      <c r="CZ30" s="31"/>
      <c r="DA30" s="31"/>
      <c r="DB30" s="31"/>
      <c r="DC30">
        <v>72.900000000000006</v>
      </c>
      <c r="DD30" s="31">
        <v>0.73</v>
      </c>
      <c r="DE30" s="48">
        <v>210</v>
      </c>
      <c r="DF30" s="31">
        <v>32</v>
      </c>
      <c r="DG30" s="9">
        <f t="shared" si="0"/>
        <v>3.8774122709071697</v>
      </c>
      <c r="DH30" s="31">
        <v>6.4</v>
      </c>
      <c r="DI30" s="31">
        <v>5.2</v>
      </c>
      <c r="DJ30" s="31"/>
      <c r="DK30" s="31"/>
      <c r="DL30" s="31">
        <v>60.2</v>
      </c>
      <c r="DM30" s="31">
        <v>143.4</v>
      </c>
      <c r="DN30" s="31"/>
      <c r="DO30" s="31"/>
      <c r="DP30" s="31"/>
      <c r="DQ30" s="31"/>
      <c r="DR30" s="31">
        <v>3</v>
      </c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</row>
    <row r="31" spans="1:157" customFormat="1" x14ac:dyDescent="0.2">
      <c r="A31" s="72" t="s">
        <v>1807</v>
      </c>
      <c r="B31" s="26">
        <v>43795</v>
      </c>
      <c r="C31" t="s">
        <v>107</v>
      </c>
      <c r="D31">
        <v>21</v>
      </c>
      <c r="E31" t="s">
        <v>96</v>
      </c>
      <c r="F31" s="26">
        <v>36109</v>
      </c>
      <c r="G31" t="s">
        <v>97</v>
      </c>
      <c r="H31" t="s">
        <v>1808</v>
      </c>
      <c r="K31" s="26"/>
      <c r="M31" t="s">
        <v>99</v>
      </c>
      <c r="N31" t="s">
        <v>99</v>
      </c>
      <c r="O31" t="s">
        <v>99</v>
      </c>
      <c r="P31" s="29" t="s">
        <v>99</v>
      </c>
      <c r="Q31" s="29" t="s">
        <v>1809</v>
      </c>
      <c r="R31" s="29" t="s">
        <v>99</v>
      </c>
      <c r="S31" s="29" t="s">
        <v>99</v>
      </c>
      <c r="T31" s="29" t="s">
        <v>99</v>
      </c>
      <c r="U31" s="29" t="s">
        <v>99</v>
      </c>
      <c r="V31" s="29" t="s">
        <v>99</v>
      </c>
      <c r="W31" s="29" t="s">
        <v>99</v>
      </c>
      <c r="X31" s="29" t="s">
        <v>99</v>
      </c>
      <c r="Y31" s="29"/>
      <c r="Z31" s="29"/>
      <c r="AA31" s="29" t="s">
        <v>100</v>
      </c>
      <c r="AB31" s="29" t="s">
        <v>100</v>
      </c>
      <c r="AC31" s="29" t="s">
        <v>100</v>
      </c>
      <c r="AD31" s="29" t="s">
        <v>100</v>
      </c>
      <c r="AE31" s="29" t="s">
        <v>1810</v>
      </c>
      <c r="AF31" s="29" t="s">
        <v>1811</v>
      </c>
      <c r="AG31" s="29" t="s">
        <v>99</v>
      </c>
      <c r="AH31" s="29" t="s">
        <v>99</v>
      </c>
      <c r="AI31" s="29" t="s">
        <v>99</v>
      </c>
      <c r="AJ31" s="29" t="s">
        <v>99</v>
      </c>
      <c r="AK31" s="29" t="s">
        <v>99</v>
      </c>
      <c r="AL31">
        <v>63.9</v>
      </c>
      <c r="AM31">
        <v>170</v>
      </c>
      <c r="AN31">
        <v>80</v>
      </c>
      <c r="AO31">
        <v>98</v>
      </c>
      <c r="AP31">
        <v>23.1</v>
      </c>
      <c r="AQ31">
        <v>5</v>
      </c>
      <c r="AR31">
        <v>36.9</v>
      </c>
      <c r="AS31">
        <v>27</v>
      </c>
      <c r="AT31">
        <v>22.1</v>
      </c>
      <c r="AU31" t="s">
        <v>1812</v>
      </c>
      <c r="AV31" t="s">
        <v>1813</v>
      </c>
      <c r="AW31" t="s">
        <v>322</v>
      </c>
      <c r="AX31" t="s">
        <v>1107</v>
      </c>
      <c r="AY31" t="s">
        <v>1814</v>
      </c>
      <c r="AZ31" t="s">
        <v>1815</v>
      </c>
      <c r="BA31" t="s">
        <v>322</v>
      </c>
      <c r="BB31" t="s">
        <v>515</v>
      </c>
      <c r="BC31" t="s">
        <v>1816</v>
      </c>
      <c r="BE31" t="s">
        <v>322</v>
      </c>
      <c r="BF31" t="s">
        <v>1817</v>
      </c>
      <c r="BG31" t="s">
        <v>1818</v>
      </c>
      <c r="BH31" t="s">
        <v>99</v>
      </c>
      <c r="BI31" t="s">
        <v>99</v>
      </c>
      <c r="BJ31" t="s">
        <v>99</v>
      </c>
      <c r="BK31" t="s">
        <v>99</v>
      </c>
      <c r="BN31" t="s">
        <v>1819</v>
      </c>
      <c r="BO31" t="s">
        <v>1820</v>
      </c>
      <c r="BP31" t="s">
        <v>1821</v>
      </c>
      <c r="BU31" t="s">
        <v>1426</v>
      </c>
      <c r="BZ31" t="s">
        <v>557</v>
      </c>
      <c r="CA31" t="s">
        <v>1051</v>
      </c>
      <c r="CL31" t="s">
        <v>504</v>
      </c>
      <c r="CM31" t="s">
        <v>450</v>
      </c>
      <c r="CN31" t="s">
        <v>505</v>
      </c>
      <c r="CS31" t="s">
        <v>1426</v>
      </c>
      <c r="CW31">
        <v>3</v>
      </c>
      <c r="CX31" t="s">
        <v>110</v>
      </c>
      <c r="CY31" t="s">
        <v>110</v>
      </c>
      <c r="CZ31">
        <v>66</v>
      </c>
      <c r="DA31">
        <v>33</v>
      </c>
      <c r="DC31">
        <v>87.4</v>
      </c>
      <c r="DD31">
        <v>0.75</v>
      </c>
      <c r="DE31">
        <v>167</v>
      </c>
      <c r="DF31">
        <v>147</v>
      </c>
      <c r="DG31" s="9">
        <f t="shared" si="0"/>
        <v>4.7304639347201132</v>
      </c>
      <c r="DH31">
        <v>29.4</v>
      </c>
      <c r="DI31">
        <v>7.74</v>
      </c>
      <c r="DL31">
        <v>46.8</v>
      </c>
      <c r="DM31">
        <v>90.8</v>
      </c>
      <c r="DR31">
        <v>2</v>
      </c>
    </row>
    <row r="32" spans="1:157" customFormat="1" x14ac:dyDescent="0.2">
      <c r="A32" s="33" t="s">
        <v>1822</v>
      </c>
      <c r="B32" s="26">
        <v>43795</v>
      </c>
      <c r="C32" t="s">
        <v>95</v>
      </c>
      <c r="D32">
        <v>18</v>
      </c>
      <c r="E32" t="s">
        <v>1330</v>
      </c>
      <c r="F32" s="26">
        <v>36895</v>
      </c>
      <c r="G32" t="s">
        <v>1823</v>
      </c>
      <c r="H32" t="s">
        <v>1824</v>
      </c>
      <c r="M32" t="s">
        <v>263</v>
      </c>
      <c r="N32" t="s">
        <v>263</v>
      </c>
      <c r="O32" t="s">
        <v>263</v>
      </c>
      <c r="P32" t="s">
        <v>263</v>
      </c>
      <c r="Q32" t="s">
        <v>263</v>
      </c>
      <c r="R32" t="s">
        <v>263</v>
      </c>
      <c r="S32" t="s">
        <v>263</v>
      </c>
      <c r="T32" t="s">
        <v>263</v>
      </c>
      <c r="U32" t="s">
        <v>263</v>
      </c>
      <c r="V32" t="s">
        <v>263</v>
      </c>
      <c r="W32" t="s">
        <v>263</v>
      </c>
      <c r="X32" t="s">
        <v>263</v>
      </c>
      <c r="Y32" t="s">
        <v>263</v>
      </c>
      <c r="Z32" t="s">
        <v>263</v>
      </c>
      <c r="AA32" t="s">
        <v>289</v>
      </c>
      <c r="AB32" t="s">
        <v>289</v>
      </c>
      <c r="AC32" t="s">
        <v>1825</v>
      </c>
      <c r="AD32" t="s">
        <v>289</v>
      </c>
      <c r="AE32" t="s">
        <v>263</v>
      </c>
      <c r="AF32" t="s">
        <v>263</v>
      </c>
      <c r="AG32" t="s">
        <v>263</v>
      </c>
      <c r="AH32" t="s">
        <v>263</v>
      </c>
      <c r="AI32" t="s">
        <v>263</v>
      </c>
      <c r="AJ32" t="s">
        <v>263</v>
      </c>
      <c r="AK32" t="s">
        <v>263</v>
      </c>
      <c r="AL32">
        <v>51.7</v>
      </c>
      <c r="AM32">
        <v>1.64</v>
      </c>
      <c r="AN32">
        <v>64</v>
      </c>
      <c r="AO32">
        <v>96</v>
      </c>
      <c r="AP32">
        <v>27.9</v>
      </c>
      <c r="AQ32">
        <v>2</v>
      </c>
      <c r="AR32">
        <v>27.5</v>
      </c>
      <c r="AS32">
        <v>18</v>
      </c>
      <c r="AT32">
        <v>19.2</v>
      </c>
      <c r="AU32">
        <v>87</v>
      </c>
      <c r="AV32">
        <v>55</v>
      </c>
      <c r="AX32" t="s">
        <v>1826</v>
      </c>
      <c r="AY32" t="s">
        <v>1827</v>
      </c>
      <c r="AZ32" t="s">
        <v>1828</v>
      </c>
      <c r="BB32" t="s">
        <v>1829</v>
      </c>
      <c r="BC32" t="s">
        <v>1830</v>
      </c>
      <c r="BD32" t="s">
        <v>58</v>
      </c>
      <c r="BF32" t="s">
        <v>1831</v>
      </c>
      <c r="BG32" t="s">
        <v>322</v>
      </c>
      <c r="BH32" t="s">
        <v>276</v>
      </c>
      <c r="BI32" t="s">
        <v>323</v>
      </c>
      <c r="BJ32" t="s">
        <v>323</v>
      </c>
      <c r="BK32" t="s">
        <v>323</v>
      </c>
      <c r="BN32" t="s">
        <v>499</v>
      </c>
      <c r="BO32" t="s">
        <v>904</v>
      </c>
      <c r="BP32" t="s">
        <v>376</v>
      </c>
      <c r="BV32" t="s">
        <v>1152</v>
      </c>
      <c r="BW32" t="s">
        <v>1762</v>
      </c>
      <c r="BX32" t="s">
        <v>1832</v>
      </c>
      <c r="BZ32" t="s">
        <v>330</v>
      </c>
      <c r="CA32" t="s">
        <v>1833</v>
      </c>
      <c r="CB32" t="s">
        <v>1834</v>
      </c>
      <c r="CL32" t="s">
        <v>1238</v>
      </c>
      <c r="CM32" t="s">
        <v>1835</v>
      </c>
      <c r="CN32" t="s">
        <v>1836</v>
      </c>
      <c r="CP32" t="s">
        <v>1837</v>
      </c>
      <c r="CQ32" t="s">
        <v>1838</v>
      </c>
      <c r="CT32" t="s">
        <v>1839</v>
      </c>
      <c r="CU32" t="s">
        <v>1840</v>
      </c>
      <c r="CV32" t="s">
        <v>1841</v>
      </c>
      <c r="CW32" t="s">
        <v>1842</v>
      </c>
      <c r="CX32" t="s">
        <v>1843</v>
      </c>
      <c r="CY32" t="s">
        <v>368</v>
      </c>
      <c r="CZ32">
        <v>50</v>
      </c>
      <c r="DA32">
        <v>30</v>
      </c>
      <c r="DB32">
        <v>20</v>
      </c>
      <c r="DC32">
        <v>87.1</v>
      </c>
      <c r="DD32">
        <v>1.1200000000000001</v>
      </c>
      <c r="DE32">
        <v>158</v>
      </c>
      <c r="DF32">
        <v>163</v>
      </c>
      <c r="DG32" s="9">
        <f t="shared" si="0"/>
        <v>4.7804035423326097</v>
      </c>
      <c r="DH32">
        <v>32.6</v>
      </c>
      <c r="DI32">
        <v>8.39</v>
      </c>
      <c r="DL32">
        <v>37</v>
      </c>
      <c r="DM32">
        <v>88.4</v>
      </c>
      <c r="DR32">
        <v>2</v>
      </c>
    </row>
    <row r="33" spans="1:157" customFormat="1" x14ac:dyDescent="0.2">
      <c r="A33" s="72" t="s">
        <v>1942</v>
      </c>
      <c r="B33" s="26">
        <v>43796</v>
      </c>
      <c r="C33" t="s">
        <v>95</v>
      </c>
      <c r="D33">
        <v>21</v>
      </c>
      <c r="E33" t="s">
        <v>96</v>
      </c>
      <c r="F33" s="26">
        <v>36080</v>
      </c>
      <c r="K33" s="26"/>
      <c r="L33">
        <v>0</v>
      </c>
      <c r="M33" t="s">
        <v>99</v>
      </c>
      <c r="N33" t="s">
        <v>99</v>
      </c>
      <c r="P33" s="29" t="s">
        <v>99</v>
      </c>
      <c r="Q33" s="29" t="s">
        <v>99</v>
      </c>
      <c r="R33" s="29" t="s">
        <v>99</v>
      </c>
      <c r="S33" s="29" t="s">
        <v>99</v>
      </c>
      <c r="T33" s="29" t="s">
        <v>99</v>
      </c>
      <c r="U33" s="29" t="s">
        <v>99</v>
      </c>
      <c r="V33" s="29" t="s">
        <v>99</v>
      </c>
      <c r="W33" s="29" t="s">
        <v>1943</v>
      </c>
      <c r="X33" s="29" t="s">
        <v>99</v>
      </c>
      <c r="AA33" s="29" t="s">
        <v>100</v>
      </c>
      <c r="AB33" s="29" t="s">
        <v>100</v>
      </c>
      <c r="AC33" s="29" t="s">
        <v>100</v>
      </c>
      <c r="AD33" s="29" t="s">
        <v>100</v>
      </c>
      <c r="AE33" s="31" t="s">
        <v>1944</v>
      </c>
      <c r="AF33" s="31" t="s">
        <v>1945</v>
      </c>
      <c r="AG33" s="29" t="s">
        <v>99</v>
      </c>
      <c r="AH33" s="29" t="s">
        <v>99</v>
      </c>
      <c r="AI33" s="29" t="s">
        <v>99</v>
      </c>
      <c r="AJ33" s="29" t="s">
        <v>99</v>
      </c>
      <c r="AL33">
        <v>61.6</v>
      </c>
      <c r="AM33">
        <v>159</v>
      </c>
      <c r="AN33">
        <v>73</v>
      </c>
      <c r="AO33">
        <v>99</v>
      </c>
      <c r="AP33">
        <v>36.4</v>
      </c>
      <c r="AQ33">
        <v>5</v>
      </c>
      <c r="AR33">
        <v>27</v>
      </c>
      <c r="AS33">
        <v>34</v>
      </c>
      <c r="AT33">
        <v>24.4</v>
      </c>
      <c r="AU33">
        <v>98</v>
      </c>
      <c r="AV33">
        <v>72</v>
      </c>
      <c r="AX33" t="s">
        <v>1946</v>
      </c>
      <c r="AY33" t="s">
        <v>1947</v>
      </c>
      <c r="AZ33" t="s">
        <v>1948</v>
      </c>
      <c r="BB33" t="s">
        <v>515</v>
      </c>
      <c r="BF33" t="s">
        <v>1949</v>
      </c>
      <c r="BG33" t="s">
        <v>1922</v>
      </c>
      <c r="BH33" t="s">
        <v>1923</v>
      </c>
      <c r="BI33" t="s">
        <v>1922</v>
      </c>
      <c r="BJ33" t="s">
        <v>1922</v>
      </c>
      <c r="BK33" t="s">
        <v>1818</v>
      </c>
      <c r="BU33" t="s">
        <v>1923</v>
      </c>
      <c r="BZ33" t="s">
        <v>1950</v>
      </c>
      <c r="CA33" t="s">
        <v>1951</v>
      </c>
      <c r="CB33" t="s">
        <v>1952</v>
      </c>
      <c r="CL33" t="s">
        <v>1953</v>
      </c>
      <c r="CP33" t="s">
        <v>452</v>
      </c>
      <c r="CT33" t="s">
        <v>1954</v>
      </c>
      <c r="CU33" t="s">
        <v>1955</v>
      </c>
      <c r="CV33" t="s">
        <v>1953</v>
      </c>
      <c r="CW33">
        <v>3</v>
      </c>
      <c r="DC33">
        <v>71.5</v>
      </c>
      <c r="DD33">
        <v>0.74</v>
      </c>
      <c r="DE33">
        <v>168</v>
      </c>
      <c r="DF33">
        <v>79</v>
      </c>
      <c r="DG33" s="9">
        <f t="shared" si="0"/>
        <v>4.319572651083492</v>
      </c>
      <c r="DH33">
        <v>15.8</v>
      </c>
      <c r="DI33">
        <v>4.1399999999999997</v>
      </c>
      <c r="DL33">
        <v>66.099999999999994</v>
      </c>
      <c r="DM33">
        <v>86.1</v>
      </c>
      <c r="DR33">
        <v>2</v>
      </c>
    </row>
    <row r="34" spans="1:157" customFormat="1" x14ac:dyDescent="0.2">
      <c r="A34" s="72" t="s">
        <v>1956</v>
      </c>
      <c r="B34" s="26">
        <v>43796</v>
      </c>
      <c r="C34" t="s">
        <v>95</v>
      </c>
      <c r="D34">
        <v>24</v>
      </c>
      <c r="F34" s="26">
        <v>34892</v>
      </c>
      <c r="H34" t="s">
        <v>1957</v>
      </c>
      <c r="K34" s="26">
        <v>43487</v>
      </c>
      <c r="L34">
        <v>1</v>
      </c>
      <c r="M34" t="s">
        <v>99</v>
      </c>
      <c r="N34" t="s">
        <v>99</v>
      </c>
      <c r="O34" t="s">
        <v>99</v>
      </c>
      <c r="P34" s="29" t="s">
        <v>99</v>
      </c>
      <c r="Q34" s="29" t="s">
        <v>99</v>
      </c>
      <c r="R34" s="29" t="s">
        <v>110</v>
      </c>
      <c r="S34" s="29" t="s">
        <v>99</v>
      </c>
      <c r="T34" s="29" t="s">
        <v>99</v>
      </c>
      <c r="Z34" s="29" t="s">
        <v>1958</v>
      </c>
      <c r="AA34" s="29" t="s">
        <v>100</v>
      </c>
      <c r="AB34" s="29" t="s">
        <v>100</v>
      </c>
      <c r="AC34" s="29" t="s">
        <v>100</v>
      </c>
      <c r="AD34" s="29" t="s">
        <v>100</v>
      </c>
      <c r="AE34" s="29" t="s">
        <v>99</v>
      </c>
      <c r="AF34" s="29" t="s">
        <v>99</v>
      </c>
      <c r="AG34" s="29" t="s">
        <v>99</v>
      </c>
      <c r="AH34" s="29" t="s">
        <v>1959</v>
      </c>
      <c r="AI34" s="29" t="s">
        <v>99</v>
      </c>
      <c r="AJ34" s="29" t="s">
        <v>99</v>
      </c>
      <c r="AK34" s="29" t="s">
        <v>99</v>
      </c>
      <c r="AL34">
        <v>62.1</v>
      </c>
      <c r="AM34">
        <v>159</v>
      </c>
      <c r="AN34">
        <v>71</v>
      </c>
      <c r="AO34">
        <v>101</v>
      </c>
      <c r="AP34">
        <v>40</v>
      </c>
      <c r="AQ34">
        <v>5</v>
      </c>
      <c r="AR34">
        <v>24.1</v>
      </c>
      <c r="AS34">
        <v>36</v>
      </c>
      <c r="AT34">
        <v>24.6</v>
      </c>
      <c r="AU34" t="s">
        <v>1960</v>
      </c>
      <c r="AV34" t="s">
        <v>1961</v>
      </c>
      <c r="AX34" t="s">
        <v>168</v>
      </c>
      <c r="AY34" t="s">
        <v>1962</v>
      </c>
      <c r="AZ34" t="s">
        <v>1963</v>
      </c>
      <c r="BF34" t="s">
        <v>322</v>
      </c>
      <c r="BG34" t="s">
        <v>375</v>
      </c>
      <c r="BH34" t="s">
        <v>375</v>
      </c>
      <c r="BI34" t="s">
        <v>375</v>
      </c>
      <c r="BJ34" t="s">
        <v>322</v>
      </c>
      <c r="BN34" t="s">
        <v>519</v>
      </c>
      <c r="BO34" t="s">
        <v>517</v>
      </c>
      <c r="BV34" s="33" t="s">
        <v>1152</v>
      </c>
      <c r="BW34" t="s">
        <v>1964</v>
      </c>
      <c r="BZ34" t="s">
        <v>277</v>
      </c>
      <c r="CA34" t="s">
        <v>1965</v>
      </c>
      <c r="CB34" t="s">
        <v>1865</v>
      </c>
      <c r="CL34" t="s">
        <v>1966</v>
      </c>
      <c r="CM34" t="s">
        <v>1237</v>
      </c>
      <c r="CN34" t="s">
        <v>1967</v>
      </c>
      <c r="CW34">
        <v>3</v>
      </c>
      <c r="CX34" t="s">
        <v>110</v>
      </c>
      <c r="CY34" t="s">
        <v>99</v>
      </c>
      <c r="DC34">
        <v>75.7</v>
      </c>
      <c r="DD34">
        <v>0.56000000000000005</v>
      </c>
      <c r="DE34">
        <v>159</v>
      </c>
      <c r="DF34">
        <v>106</v>
      </c>
      <c r="DG34" s="9">
        <f t="shared" si="0"/>
        <v>4.4951086272777347</v>
      </c>
      <c r="DH34">
        <v>21.2</v>
      </c>
      <c r="DI34">
        <v>5.23</v>
      </c>
      <c r="DL34">
        <v>59.6</v>
      </c>
      <c r="DM34">
        <v>78.2</v>
      </c>
      <c r="DP34">
        <v>1</v>
      </c>
      <c r="DR34">
        <v>2</v>
      </c>
      <c r="DU34">
        <v>5.7</v>
      </c>
    </row>
    <row r="35" spans="1:157" customFormat="1" x14ac:dyDescent="0.2">
      <c r="A35" s="72" t="s">
        <v>2018</v>
      </c>
      <c r="B35" s="26">
        <v>43796</v>
      </c>
      <c r="C35" t="s">
        <v>95</v>
      </c>
      <c r="D35">
        <v>61</v>
      </c>
      <c r="E35" t="s">
        <v>96</v>
      </c>
      <c r="F35" s="26">
        <v>21375</v>
      </c>
      <c r="G35" t="s">
        <v>1320</v>
      </c>
      <c r="H35" t="s">
        <v>2019</v>
      </c>
      <c r="I35" t="s">
        <v>2020</v>
      </c>
      <c r="J35" t="s">
        <v>2021</v>
      </c>
      <c r="K35" s="75" t="s">
        <v>2022</v>
      </c>
      <c r="L35">
        <v>1</v>
      </c>
      <c r="M35" t="s">
        <v>99</v>
      </c>
      <c r="N35" t="s">
        <v>99</v>
      </c>
      <c r="O35" t="s">
        <v>99</v>
      </c>
      <c r="Q35" s="29" t="s">
        <v>99</v>
      </c>
      <c r="S35" t="s">
        <v>2023</v>
      </c>
      <c r="U35">
        <v>1</v>
      </c>
      <c r="V35" s="29" t="s">
        <v>99</v>
      </c>
      <c r="W35" t="s">
        <v>99</v>
      </c>
      <c r="X35" s="29" t="s">
        <v>99</v>
      </c>
      <c r="Y35" s="29" t="s">
        <v>99</v>
      </c>
      <c r="Z35" s="29" t="s">
        <v>99</v>
      </c>
      <c r="AA35" s="29" t="s">
        <v>100</v>
      </c>
      <c r="AB35" s="29" t="s">
        <v>100</v>
      </c>
      <c r="AC35" s="29" t="s">
        <v>100</v>
      </c>
      <c r="AD35" s="29" t="s">
        <v>100</v>
      </c>
      <c r="AE35" s="76" t="s">
        <v>110</v>
      </c>
      <c r="AF35" s="29" t="s">
        <v>2024</v>
      </c>
      <c r="AG35" s="29" t="s">
        <v>1480</v>
      </c>
      <c r="AH35" s="29" t="s">
        <v>99</v>
      </c>
      <c r="AI35" s="29" t="s">
        <v>99</v>
      </c>
      <c r="AJ35" s="29" t="s">
        <v>99</v>
      </c>
      <c r="AK35" s="29" t="s">
        <v>99</v>
      </c>
      <c r="AL35">
        <v>43.6</v>
      </c>
      <c r="AM35">
        <v>159</v>
      </c>
      <c r="AN35">
        <v>68.5</v>
      </c>
      <c r="AO35">
        <v>86.5</v>
      </c>
      <c r="AP35">
        <v>12.1</v>
      </c>
      <c r="AQ35">
        <v>2</v>
      </c>
      <c r="AR35">
        <v>36.299999999999997</v>
      </c>
      <c r="AS35">
        <v>24</v>
      </c>
      <c r="AT35">
        <v>17.2</v>
      </c>
      <c r="AU35" t="s">
        <v>2025</v>
      </c>
      <c r="AV35" t="s">
        <v>2026</v>
      </c>
      <c r="AX35" t="s">
        <v>2027</v>
      </c>
      <c r="AY35" t="s">
        <v>1234</v>
      </c>
      <c r="AZ35" t="s">
        <v>2028</v>
      </c>
      <c r="BB35" t="s">
        <v>1148</v>
      </c>
      <c r="BF35" t="s">
        <v>322</v>
      </c>
      <c r="BG35" t="s">
        <v>322</v>
      </c>
      <c r="BH35" t="s">
        <v>99</v>
      </c>
      <c r="BI35" t="s">
        <v>99</v>
      </c>
      <c r="BJ35" t="s">
        <v>99</v>
      </c>
      <c r="BK35" s="33" t="s">
        <v>2029</v>
      </c>
      <c r="BM35" t="s">
        <v>1072</v>
      </c>
      <c r="BZ35" t="s">
        <v>277</v>
      </c>
      <c r="CA35" t="s">
        <v>2030</v>
      </c>
      <c r="CB35" t="s">
        <v>1764</v>
      </c>
      <c r="CG35" t="s">
        <v>99</v>
      </c>
      <c r="CL35" t="s">
        <v>2031</v>
      </c>
      <c r="CO35" t="s">
        <v>99</v>
      </c>
      <c r="CS35" t="s">
        <v>2032</v>
      </c>
      <c r="CZ35" s="33">
        <v>80</v>
      </c>
      <c r="DA35" s="33">
        <v>50</v>
      </c>
      <c r="DB35" s="33">
        <v>3</v>
      </c>
      <c r="DC35">
        <v>69.8</v>
      </c>
      <c r="DD35">
        <v>0.38</v>
      </c>
      <c r="DE35">
        <v>204</v>
      </c>
      <c r="DF35">
        <v>116</v>
      </c>
      <c r="DG35" s="9">
        <f t="shared" si="0"/>
        <v>4.4996121004373455</v>
      </c>
      <c r="DH35">
        <v>23.2</v>
      </c>
      <c r="DI35">
        <v>3.15</v>
      </c>
      <c r="DL35">
        <v>53.6</v>
      </c>
      <c r="DM35">
        <v>127.2</v>
      </c>
      <c r="DP35">
        <v>3</v>
      </c>
      <c r="DR35">
        <v>3</v>
      </c>
    </row>
    <row r="36" spans="1:157" customFormat="1" x14ac:dyDescent="0.2">
      <c r="A36" s="72" t="s">
        <v>2033</v>
      </c>
      <c r="B36" s="26">
        <v>43796</v>
      </c>
      <c r="C36" t="s">
        <v>107</v>
      </c>
      <c r="D36">
        <v>31</v>
      </c>
      <c r="E36" t="s">
        <v>96</v>
      </c>
      <c r="F36" s="26">
        <v>32349</v>
      </c>
      <c r="G36" s="29" t="s">
        <v>162</v>
      </c>
      <c r="H36" s="29" t="s">
        <v>1846</v>
      </c>
      <c r="I36" s="29" t="s">
        <v>162</v>
      </c>
      <c r="J36" s="29" t="s">
        <v>162</v>
      </c>
      <c r="K36" s="29" t="s">
        <v>162</v>
      </c>
      <c r="L36" s="29" t="s">
        <v>162</v>
      </c>
      <c r="M36" s="29" t="s">
        <v>99</v>
      </c>
      <c r="N36" s="29" t="s">
        <v>99</v>
      </c>
      <c r="O36" s="29" t="s">
        <v>99</v>
      </c>
      <c r="P36" s="29" t="s">
        <v>99</v>
      </c>
      <c r="Q36" s="29" t="s">
        <v>2034</v>
      </c>
      <c r="R36" s="29" t="s">
        <v>99</v>
      </c>
      <c r="S36" s="29" t="s">
        <v>99</v>
      </c>
      <c r="T36" s="29" t="s">
        <v>99</v>
      </c>
      <c r="U36" s="29" t="s">
        <v>99</v>
      </c>
      <c r="V36" s="29" t="s">
        <v>99</v>
      </c>
      <c r="W36" s="29" t="s">
        <v>99</v>
      </c>
      <c r="X36" s="29" t="s">
        <v>99</v>
      </c>
      <c r="Y36" s="29" t="s">
        <v>162</v>
      </c>
      <c r="Z36" s="29" t="s">
        <v>162</v>
      </c>
      <c r="AA36" s="29" t="s">
        <v>100</v>
      </c>
      <c r="AB36" s="29" t="s">
        <v>100</v>
      </c>
      <c r="AC36" s="29" t="s">
        <v>100</v>
      </c>
      <c r="AD36" s="29" t="s">
        <v>100</v>
      </c>
      <c r="AE36" s="29" t="s">
        <v>99</v>
      </c>
      <c r="AF36" s="29" t="s">
        <v>1932</v>
      </c>
      <c r="AG36" s="29" t="s">
        <v>2035</v>
      </c>
      <c r="AH36" s="29" t="s">
        <v>99</v>
      </c>
      <c r="AI36" s="29" t="s">
        <v>2024</v>
      </c>
      <c r="AJ36" s="29" t="s">
        <v>99</v>
      </c>
      <c r="AK36" s="29" t="s">
        <v>162</v>
      </c>
      <c r="AL36">
        <v>77.3</v>
      </c>
      <c r="AM36">
        <v>178</v>
      </c>
      <c r="AN36">
        <v>93</v>
      </c>
      <c r="AO36">
        <v>100</v>
      </c>
      <c r="AP36">
        <v>25.9</v>
      </c>
      <c r="AQ36">
        <v>7</v>
      </c>
      <c r="AR36">
        <v>35.200000000000003</v>
      </c>
      <c r="AS36">
        <v>44</v>
      </c>
      <c r="AT36">
        <v>24.4</v>
      </c>
      <c r="AU36" t="s">
        <v>2036</v>
      </c>
      <c r="AV36" t="s">
        <v>2037</v>
      </c>
      <c r="AW36" s="29" t="s">
        <v>375</v>
      </c>
      <c r="AX36" s="29" t="s">
        <v>2038</v>
      </c>
      <c r="AY36" s="29" t="s">
        <v>162</v>
      </c>
      <c r="AZ36" s="29" t="s">
        <v>162</v>
      </c>
      <c r="BA36" s="29" t="s">
        <v>2039</v>
      </c>
      <c r="BB36" s="29" t="s">
        <v>162</v>
      </c>
      <c r="BC36" s="29" t="s">
        <v>162</v>
      </c>
      <c r="BD36" s="29" t="s">
        <v>162</v>
      </c>
      <c r="BF36" s="29" t="s">
        <v>322</v>
      </c>
      <c r="BG36" s="29" t="s">
        <v>375</v>
      </c>
      <c r="BH36" s="29" t="s">
        <v>162</v>
      </c>
      <c r="BI36" s="29" t="s">
        <v>375</v>
      </c>
      <c r="BJ36" s="29" t="s">
        <v>375</v>
      </c>
      <c r="BK36" s="29" t="s">
        <v>276</v>
      </c>
      <c r="BL36" s="29" t="s">
        <v>322</v>
      </c>
      <c r="BN36" s="29" t="s">
        <v>1886</v>
      </c>
      <c r="BO36" s="29" t="s">
        <v>1072</v>
      </c>
      <c r="BP36" s="29" t="s">
        <v>162</v>
      </c>
      <c r="BQ36" s="29" t="s">
        <v>375</v>
      </c>
      <c r="BR36" s="29" t="s">
        <v>162</v>
      </c>
      <c r="BS36" s="29" t="s">
        <v>162</v>
      </c>
      <c r="BT36" s="29" t="s">
        <v>162</v>
      </c>
      <c r="BU36" s="29" t="s">
        <v>375</v>
      </c>
      <c r="BV36" s="29" t="s">
        <v>2040</v>
      </c>
      <c r="BW36" s="29" t="s">
        <v>162</v>
      </c>
      <c r="BX36" s="29" t="s">
        <v>162</v>
      </c>
      <c r="BY36" s="29" t="s">
        <v>322</v>
      </c>
      <c r="BZ36" s="29" t="s">
        <v>277</v>
      </c>
      <c r="CA36" s="29" t="s">
        <v>1865</v>
      </c>
      <c r="CB36" s="29" t="s">
        <v>162</v>
      </c>
      <c r="CC36" s="29" t="s">
        <v>162</v>
      </c>
      <c r="CD36" s="29" t="s">
        <v>162</v>
      </c>
      <c r="CE36" s="29" t="s">
        <v>162</v>
      </c>
      <c r="CF36" s="29" t="s">
        <v>162</v>
      </c>
      <c r="CH36" s="29" t="s">
        <v>1110</v>
      </c>
      <c r="CI36" s="29" t="s">
        <v>162</v>
      </c>
      <c r="CJ36" s="29" t="s">
        <v>162</v>
      </c>
      <c r="CK36" s="29" t="s">
        <v>322</v>
      </c>
      <c r="CL36" s="29" t="s">
        <v>1237</v>
      </c>
      <c r="CM36" s="29" t="s">
        <v>2041</v>
      </c>
      <c r="CN36" s="29" t="s">
        <v>162</v>
      </c>
      <c r="CO36" s="29" t="s">
        <v>162</v>
      </c>
      <c r="CP36" s="29" t="s">
        <v>162</v>
      </c>
      <c r="CQ36" s="29" t="s">
        <v>162</v>
      </c>
      <c r="CR36" s="29" t="s">
        <v>162</v>
      </c>
      <c r="CT36" s="29" t="s">
        <v>2042</v>
      </c>
      <c r="CU36" s="29" t="s">
        <v>162</v>
      </c>
      <c r="CV36" s="29" t="s">
        <v>162</v>
      </c>
      <c r="CW36" s="29">
        <v>3</v>
      </c>
      <c r="CX36" s="29" t="s">
        <v>110</v>
      </c>
      <c r="CY36" s="29" t="s">
        <v>1426</v>
      </c>
      <c r="CZ36" s="29" t="s">
        <v>162</v>
      </c>
      <c r="DA36" s="29" t="s">
        <v>162</v>
      </c>
      <c r="DB36" s="29" t="s">
        <v>162</v>
      </c>
      <c r="DC36">
        <v>82.2</v>
      </c>
      <c r="DD36">
        <v>0.23</v>
      </c>
      <c r="DE36">
        <v>197</v>
      </c>
      <c r="DF36">
        <v>96</v>
      </c>
      <c r="DG36" s="9">
        <f t="shared" si="0"/>
        <v>4.4867517467649849</v>
      </c>
      <c r="DH36">
        <v>19.2</v>
      </c>
      <c r="DI36">
        <v>6.25</v>
      </c>
      <c r="DL36">
        <v>48.1</v>
      </c>
      <c r="DM36">
        <v>129.69999999999999</v>
      </c>
      <c r="DP36">
        <v>3</v>
      </c>
      <c r="DR36">
        <v>3</v>
      </c>
    </row>
    <row r="37" spans="1:157" x14ac:dyDescent="0.2">
      <c r="A37" s="9" t="s">
        <v>2043</v>
      </c>
      <c r="B37" s="17"/>
      <c r="F37" s="17"/>
      <c r="DC37">
        <v>81.8</v>
      </c>
      <c r="DD37">
        <v>0.91</v>
      </c>
      <c r="DE37">
        <v>205</v>
      </c>
      <c r="DF37">
        <v>111</v>
      </c>
      <c r="DG37" s="9">
        <f t="shared" si="0"/>
        <v>4.5569037224605173</v>
      </c>
      <c r="DH37">
        <v>22.2</v>
      </c>
      <c r="DI37">
        <v>6.3</v>
      </c>
      <c r="DJ37"/>
      <c r="DK37"/>
      <c r="DL37">
        <v>65</v>
      </c>
      <c r="DM37">
        <v>117.8</v>
      </c>
      <c r="DP37" s="11">
        <v>3</v>
      </c>
      <c r="DR37" s="9">
        <v>2</v>
      </c>
      <c r="DU37" s="9">
        <v>5.85</v>
      </c>
    </row>
    <row r="38" spans="1:157" customFormat="1" x14ac:dyDescent="0.2">
      <c r="A38" s="70" t="s">
        <v>2087</v>
      </c>
      <c r="B38" s="69">
        <v>43796</v>
      </c>
      <c r="C38" s="29" t="s">
        <v>196</v>
      </c>
      <c r="D38" s="29">
        <v>40</v>
      </c>
      <c r="E38" s="29" t="s">
        <v>203</v>
      </c>
      <c r="F38" s="69">
        <v>29023</v>
      </c>
      <c r="G38" s="29" t="s">
        <v>2088</v>
      </c>
      <c r="H38" s="29" t="s">
        <v>2089</v>
      </c>
      <c r="I38" s="29"/>
      <c r="J38" s="29"/>
      <c r="K38" s="29">
        <v>2007</v>
      </c>
      <c r="L38" s="29">
        <v>2</v>
      </c>
      <c r="M38" s="29" t="s">
        <v>99</v>
      </c>
      <c r="N38" s="29" t="s">
        <v>99</v>
      </c>
      <c r="O38" s="29" t="s">
        <v>99</v>
      </c>
      <c r="P38" s="29" t="s">
        <v>2090</v>
      </c>
      <c r="Q38" s="29" t="s">
        <v>2091</v>
      </c>
      <c r="R38" s="29" t="s">
        <v>2092</v>
      </c>
      <c r="S38" s="29" t="s">
        <v>110</v>
      </c>
      <c r="T38" s="29" t="s">
        <v>99</v>
      </c>
      <c r="U38" s="29" t="s">
        <v>99</v>
      </c>
      <c r="V38" s="29" t="s">
        <v>99</v>
      </c>
      <c r="W38" s="29" t="s">
        <v>99</v>
      </c>
      <c r="X38" s="29" t="s">
        <v>99</v>
      </c>
      <c r="Y38" s="29" t="s">
        <v>99</v>
      </c>
      <c r="Z38" s="29" t="s">
        <v>99</v>
      </c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>
        <v>59.4</v>
      </c>
      <c r="AM38" s="29">
        <v>166</v>
      </c>
      <c r="AN38" s="29">
        <v>78</v>
      </c>
      <c r="AO38" s="29">
        <v>100</v>
      </c>
      <c r="AP38" s="29">
        <v>32.5</v>
      </c>
      <c r="AQ38" s="29">
        <v>5</v>
      </c>
      <c r="AR38" s="29">
        <v>27.2</v>
      </c>
      <c r="AS38" s="29">
        <v>32</v>
      </c>
      <c r="AT38" s="70">
        <v>21.6</v>
      </c>
      <c r="AU38" s="29">
        <v>85</v>
      </c>
      <c r="AV38" s="29">
        <v>46</v>
      </c>
      <c r="AW38" s="29"/>
      <c r="AX38" s="29" t="s">
        <v>592</v>
      </c>
      <c r="AY38" s="29" t="s">
        <v>1656</v>
      </c>
      <c r="AZ38" s="29" t="s">
        <v>573</v>
      </c>
      <c r="BA38" s="29" t="s">
        <v>351</v>
      </c>
      <c r="BB38" s="29" t="s">
        <v>749</v>
      </c>
      <c r="BC38" s="29" t="s">
        <v>1130</v>
      </c>
      <c r="BD38" s="29" t="s">
        <v>750</v>
      </c>
      <c r="BE38" s="29"/>
      <c r="BF38" s="29" t="s">
        <v>2093</v>
      </c>
      <c r="BG38" s="29"/>
      <c r="BH38" s="29" t="s">
        <v>1513</v>
      </c>
      <c r="BI38" s="29" t="s">
        <v>2094</v>
      </c>
      <c r="BJ38" s="29"/>
      <c r="BK38" s="29" t="s">
        <v>2095</v>
      </c>
      <c r="BL38" s="29"/>
      <c r="BM38" s="29"/>
      <c r="BN38" s="29" t="s">
        <v>180</v>
      </c>
      <c r="BO38" s="29" t="s">
        <v>125</v>
      </c>
      <c r="BP38" s="29" t="s">
        <v>178</v>
      </c>
      <c r="BQ38" s="29"/>
      <c r="BR38" s="29"/>
      <c r="BS38" s="29"/>
      <c r="BT38" s="29"/>
      <c r="BU38" s="29"/>
      <c r="BV38" s="29"/>
      <c r="BW38" s="29"/>
      <c r="BX38" s="29"/>
      <c r="BY38" s="29"/>
      <c r="BZ38" s="29" t="s">
        <v>182</v>
      </c>
      <c r="CA38" s="29" t="s">
        <v>577</v>
      </c>
      <c r="CB38" s="29" t="s">
        <v>2096</v>
      </c>
      <c r="CC38" s="29"/>
      <c r="CD38" s="29"/>
      <c r="CE38" s="29"/>
      <c r="CF38" s="29"/>
      <c r="CG38" s="29"/>
      <c r="CH38" s="29"/>
      <c r="CI38" s="29"/>
      <c r="CJ38" s="29"/>
      <c r="CK38" s="29"/>
      <c r="CL38" s="29" t="s">
        <v>1181</v>
      </c>
      <c r="CM38" s="29" t="s">
        <v>2097</v>
      </c>
      <c r="CN38" s="29"/>
      <c r="CO38" s="29"/>
      <c r="CP38" s="29" t="s">
        <v>362</v>
      </c>
      <c r="CQ38" s="29" t="s">
        <v>716</v>
      </c>
      <c r="CR38" s="29" t="s">
        <v>2098</v>
      </c>
      <c r="CS38" s="29"/>
      <c r="CT38" s="29" t="s">
        <v>363</v>
      </c>
      <c r="CU38" s="29"/>
      <c r="CV38" s="29"/>
      <c r="CW38" s="29">
        <v>4</v>
      </c>
      <c r="CX38" s="29" t="s">
        <v>110</v>
      </c>
      <c r="CY38" s="29" t="s">
        <v>110</v>
      </c>
      <c r="CZ38" s="29">
        <v>20</v>
      </c>
      <c r="DA38" s="29">
        <v>30</v>
      </c>
      <c r="DB38" s="29">
        <v>50</v>
      </c>
      <c r="DC38" s="29">
        <v>81.2</v>
      </c>
      <c r="DD38" s="48">
        <v>1.17</v>
      </c>
      <c r="DE38" s="29">
        <v>125</v>
      </c>
      <c r="DF38" s="29">
        <v>65</v>
      </c>
      <c r="DG38" s="9">
        <f t="shared" si="0"/>
        <v>4.2856512585316349</v>
      </c>
      <c r="DH38" s="29">
        <v>13</v>
      </c>
      <c r="DI38" s="29">
        <v>3.71</v>
      </c>
      <c r="DJ38" s="29"/>
      <c r="DK38" s="29"/>
      <c r="DL38" s="48">
        <v>48.5</v>
      </c>
      <c r="DM38" s="29"/>
      <c r="DN38" s="29"/>
      <c r="DO38" s="29"/>
      <c r="DP38" s="29"/>
      <c r="DQ38" s="29"/>
      <c r="DR38" s="29">
        <v>3</v>
      </c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</row>
    <row r="39" spans="1:157" customFormat="1" x14ac:dyDescent="0.2">
      <c r="A39" s="33" t="s">
        <v>2099</v>
      </c>
      <c r="B39" s="26">
        <v>43796</v>
      </c>
      <c r="C39" t="s">
        <v>107</v>
      </c>
      <c r="D39">
        <v>49</v>
      </c>
      <c r="E39" t="s">
        <v>2100</v>
      </c>
      <c r="F39" s="26">
        <v>43512</v>
      </c>
      <c r="M39" t="s">
        <v>263</v>
      </c>
      <c r="N39" t="s">
        <v>263</v>
      </c>
      <c r="O39" t="s">
        <v>263</v>
      </c>
      <c r="P39" t="s">
        <v>2101</v>
      </c>
      <c r="Q39" t="s">
        <v>2102</v>
      </c>
      <c r="R39" t="s">
        <v>263</v>
      </c>
      <c r="S39" t="s">
        <v>263</v>
      </c>
      <c r="T39" t="s">
        <v>263</v>
      </c>
      <c r="U39" t="s">
        <v>263</v>
      </c>
      <c r="V39" t="s">
        <v>263</v>
      </c>
      <c r="W39" t="s">
        <v>2103</v>
      </c>
      <c r="X39" t="s">
        <v>263</v>
      </c>
      <c r="Z39" t="s">
        <v>2104</v>
      </c>
      <c r="AA39" t="s">
        <v>2100</v>
      </c>
      <c r="AB39" t="s">
        <v>2100</v>
      </c>
      <c r="AC39" t="s">
        <v>2100</v>
      </c>
      <c r="AD39" t="s">
        <v>2100</v>
      </c>
      <c r="AE39" t="s">
        <v>263</v>
      </c>
      <c r="AF39" t="s">
        <v>263</v>
      </c>
      <c r="AG39" t="s">
        <v>2105</v>
      </c>
      <c r="AH39" t="s">
        <v>263</v>
      </c>
      <c r="AI39" t="s">
        <v>263</v>
      </c>
      <c r="AJ39" t="s">
        <v>263</v>
      </c>
      <c r="AK39" t="s">
        <v>2106</v>
      </c>
      <c r="AL39">
        <v>64.5</v>
      </c>
      <c r="AM39">
        <v>1.68</v>
      </c>
      <c r="AN39">
        <v>89.5</v>
      </c>
      <c r="AO39">
        <v>97.5</v>
      </c>
      <c r="AP39">
        <v>21.9</v>
      </c>
      <c r="AQ39">
        <v>7</v>
      </c>
      <c r="AR39">
        <v>35.4</v>
      </c>
      <c r="AS39">
        <v>38</v>
      </c>
      <c r="AT39">
        <v>22.9</v>
      </c>
      <c r="AU39">
        <v>101</v>
      </c>
      <c r="AV39">
        <v>53</v>
      </c>
      <c r="BB39" t="s">
        <v>2107</v>
      </c>
      <c r="BF39" t="s">
        <v>322</v>
      </c>
      <c r="BG39" t="s">
        <v>375</v>
      </c>
      <c r="BH39" t="s">
        <v>375</v>
      </c>
      <c r="BI39" t="s">
        <v>276</v>
      </c>
      <c r="BJ39" t="s">
        <v>323</v>
      </c>
      <c r="BK39" t="s">
        <v>325</v>
      </c>
      <c r="BN39" t="s">
        <v>2108</v>
      </c>
      <c r="BR39" t="s">
        <v>2109</v>
      </c>
      <c r="BV39" t="s">
        <v>263</v>
      </c>
      <c r="BZ39" t="s">
        <v>283</v>
      </c>
      <c r="CD39" t="s">
        <v>263</v>
      </c>
      <c r="CH39" t="s">
        <v>263</v>
      </c>
      <c r="CL39" t="s">
        <v>1237</v>
      </c>
      <c r="CM39" t="s">
        <v>1155</v>
      </c>
      <c r="CP39" t="s">
        <v>2110</v>
      </c>
      <c r="CQ39" t="s">
        <v>2111</v>
      </c>
      <c r="CR39" t="s">
        <v>2112</v>
      </c>
      <c r="CT39" t="s">
        <v>2042</v>
      </c>
      <c r="CU39" t="s">
        <v>2113</v>
      </c>
      <c r="CW39">
        <v>2</v>
      </c>
      <c r="CX39" t="s">
        <v>263</v>
      </c>
      <c r="CY39" t="s">
        <v>283</v>
      </c>
      <c r="CZ39">
        <v>10</v>
      </c>
      <c r="DA39">
        <v>0</v>
      </c>
      <c r="DB39">
        <v>50</v>
      </c>
      <c r="DC39">
        <v>78.599999999999994</v>
      </c>
      <c r="DD39">
        <v>0.8</v>
      </c>
      <c r="DE39">
        <v>211</v>
      </c>
      <c r="DF39">
        <v>116</v>
      </c>
      <c r="DG39" s="9">
        <f t="shared" si="0"/>
        <v>4.558980945270763</v>
      </c>
      <c r="DH39">
        <v>23.2</v>
      </c>
      <c r="DI39">
        <v>5.72</v>
      </c>
      <c r="DR39">
        <v>3</v>
      </c>
    </row>
    <row r="40" spans="1:157" x14ac:dyDescent="0.2">
      <c r="A40" s="19" t="s">
        <v>2253</v>
      </c>
      <c r="B40" s="8">
        <v>42275</v>
      </c>
      <c r="C40" s="6" t="s">
        <v>95</v>
      </c>
      <c r="D40" s="6">
        <v>46</v>
      </c>
      <c r="E40" s="6" t="s">
        <v>100</v>
      </c>
      <c r="F40" s="17">
        <v>25206</v>
      </c>
      <c r="G40" s="6" t="s">
        <v>114</v>
      </c>
      <c r="H40" s="6" t="s">
        <v>2251</v>
      </c>
      <c r="L40" s="6"/>
      <c r="M40" s="6" t="s">
        <v>116</v>
      </c>
      <c r="N40" s="6" t="s">
        <v>114</v>
      </c>
      <c r="O40" s="15" t="s">
        <v>2254</v>
      </c>
      <c r="P40" s="6" t="s">
        <v>99</v>
      </c>
      <c r="Q40" s="15" t="s">
        <v>110</v>
      </c>
      <c r="R40" s="79" t="s">
        <v>99</v>
      </c>
      <c r="S40" s="6" t="s">
        <v>114</v>
      </c>
      <c r="T40" s="6" t="s">
        <v>114</v>
      </c>
      <c r="U40" s="6" t="s">
        <v>114</v>
      </c>
      <c r="W40" s="6" t="s">
        <v>114</v>
      </c>
      <c r="X40" s="6"/>
      <c r="Y40" s="6" t="s">
        <v>114</v>
      </c>
      <c r="AA40" s="6" t="s">
        <v>100</v>
      </c>
      <c r="AB40" s="6" t="s">
        <v>100</v>
      </c>
      <c r="AC40" s="6" t="s">
        <v>100</v>
      </c>
      <c r="AD40" s="6" t="s">
        <v>100</v>
      </c>
      <c r="AE40" s="6" t="s">
        <v>114</v>
      </c>
      <c r="AF40" s="6" t="s">
        <v>123</v>
      </c>
      <c r="AG40" s="6" t="s">
        <v>114</v>
      </c>
      <c r="AH40" s="6" t="s">
        <v>114</v>
      </c>
      <c r="AI40" s="6" t="s">
        <v>114</v>
      </c>
      <c r="AJ40" s="6" t="s">
        <v>114</v>
      </c>
      <c r="AK40" s="6" t="s">
        <v>114</v>
      </c>
      <c r="AL40" s="6">
        <v>64.5</v>
      </c>
      <c r="AM40" s="9">
        <v>161</v>
      </c>
      <c r="AN40" s="15">
        <v>82</v>
      </c>
      <c r="AO40" s="6">
        <v>90</v>
      </c>
      <c r="AP40" s="6">
        <v>37.9</v>
      </c>
      <c r="AQ40" s="6">
        <v>7</v>
      </c>
      <c r="AR40" s="6">
        <v>26</v>
      </c>
      <c r="AS40" s="6">
        <v>48</v>
      </c>
      <c r="AT40" s="79">
        <v>24.9</v>
      </c>
      <c r="AU40" s="6">
        <v>122</v>
      </c>
      <c r="AV40" s="6">
        <v>81</v>
      </c>
      <c r="DC40" s="15">
        <v>107</v>
      </c>
      <c r="DD40" s="6"/>
      <c r="DE40" s="6">
        <v>149</v>
      </c>
      <c r="DF40" s="6">
        <v>143</v>
      </c>
      <c r="DG40" s="9">
        <f t="shared" si="0"/>
        <v>4.8178367323609068</v>
      </c>
      <c r="DH40" s="6"/>
      <c r="DI40" s="6"/>
      <c r="DJ40" s="6"/>
      <c r="DK40" s="6"/>
      <c r="DL40" s="6"/>
      <c r="DM40" s="6"/>
      <c r="DN40" s="6"/>
      <c r="DP40" s="11">
        <v>2</v>
      </c>
      <c r="DQ40" s="6" t="s">
        <v>105</v>
      </c>
      <c r="DR40" s="9">
        <v>2</v>
      </c>
      <c r="DU40" s="9">
        <v>6</v>
      </c>
    </row>
    <row r="41" spans="1:157" x14ac:dyDescent="0.2">
      <c r="A41" s="79" t="s">
        <v>2256</v>
      </c>
      <c r="B41" s="8">
        <v>42275</v>
      </c>
      <c r="C41" s="6" t="s">
        <v>95</v>
      </c>
      <c r="D41" s="6">
        <v>42</v>
      </c>
      <c r="E41" s="6" t="s">
        <v>100</v>
      </c>
      <c r="F41" s="17">
        <v>26742</v>
      </c>
      <c r="G41" s="6"/>
      <c r="H41" s="6" t="s">
        <v>2251</v>
      </c>
      <c r="L41" s="6"/>
      <c r="M41" s="6" t="s">
        <v>483</v>
      </c>
      <c r="N41" s="6" t="s">
        <v>483</v>
      </c>
      <c r="O41" s="6" t="s">
        <v>99</v>
      </c>
      <c r="P41" s="6" t="s">
        <v>99</v>
      </c>
      <c r="Q41" s="6" t="s">
        <v>99</v>
      </c>
      <c r="R41" s="79" t="s">
        <v>99</v>
      </c>
      <c r="S41" s="6"/>
      <c r="T41" s="6"/>
      <c r="U41" s="6"/>
      <c r="W41" s="6"/>
      <c r="X41" s="6"/>
      <c r="Y41" s="15" t="s">
        <v>2257</v>
      </c>
      <c r="AA41" s="6" t="s">
        <v>100</v>
      </c>
      <c r="AB41" s="6" t="s">
        <v>100</v>
      </c>
      <c r="AC41" s="6" t="s">
        <v>100</v>
      </c>
      <c r="AD41" s="6" t="s">
        <v>100</v>
      </c>
      <c r="AE41" s="6" t="s">
        <v>571</v>
      </c>
      <c r="AF41" s="6"/>
      <c r="AG41" s="6" t="s">
        <v>2258</v>
      </c>
      <c r="AH41" s="6"/>
      <c r="AI41" s="6"/>
      <c r="AJ41" s="6"/>
      <c r="AK41" s="6"/>
      <c r="AL41" s="6">
        <v>54.9</v>
      </c>
      <c r="AN41" s="6">
        <v>68</v>
      </c>
      <c r="AO41" s="6">
        <v>83</v>
      </c>
      <c r="AP41" s="6">
        <v>26.8</v>
      </c>
      <c r="AQ41" s="6">
        <v>3</v>
      </c>
      <c r="AR41" s="6"/>
      <c r="AS41" s="6"/>
      <c r="AT41" s="79">
        <v>19.2</v>
      </c>
      <c r="AU41" s="6">
        <v>98</v>
      </c>
      <c r="AV41" s="6">
        <v>68</v>
      </c>
      <c r="DC41" s="6">
        <v>99</v>
      </c>
      <c r="DD41" s="6"/>
      <c r="DE41" s="6">
        <v>198</v>
      </c>
      <c r="DF41" s="6">
        <v>89</v>
      </c>
      <c r="DG41" s="9">
        <f t="shared" si="0"/>
        <v>4.5418781099333652</v>
      </c>
      <c r="DH41" s="6"/>
      <c r="DI41" s="6"/>
      <c r="DJ41" s="6"/>
      <c r="DK41" s="6"/>
      <c r="DL41" s="6"/>
      <c r="DM41" s="6"/>
      <c r="DN41" s="6"/>
      <c r="DP41" s="11">
        <v>3</v>
      </c>
      <c r="DQ41" s="6" t="s">
        <v>105</v>
      </c>
      <c r="DU41" s="9">
        <v>6</v>
      </c>
    </row>
    <row r="42" spans="1:157" x14ac:dyDescent="0.2">
      <c r="A42" s="19" t="s">
        <v>2263</v>
      </c>
      <c r="B42" s="8">
        <v>42275</v>
      </c>
      <c r="C42" s="6" t="s">
        <v>95</v>
      </c>
      <c r="D42" s="6">
        <v>42</v>
      </c>
      <c r="E42" s="6" t="s">
        <v>100</v>
      </c>
      <c r="F42" s="17">
        <v>26643</v>
      </c>
      <c r="G42" s="6"/>
      <c r="H42" s="6" t="s">
        <v>2251</v>
      </c>
      <c r="L42" s="6"/>
      <c r="M42" s="6"/>
      <c r="N42" s="6"/>
      <c r="O42" s="6"/>
      <c r="P42" s="6" t="s">
        <v>99</v>
      </c>
      <c r="Q42" s="6" t="s">
        <v>99</v>
      </c>
      <c r="R42" s="6" t="s">
        <v>110</v>
      </c>
      <c r="S42" s="6"/>
      <c r="T42" s="6"/>
      <c r="U42" s="6"/>
      <c r="W42" s="6"/>
      <c r="X42" s="6"/>
      <c r="Y42" s="6"/>
      <c r="AA42" s="6" t="s">
        <v>100</v>
      </c>
      <c r="AB42" s="6" t="s">
        <v>100</v>
      </c>
      <c r="AC42" s="6" t="s">
        <v>100</v>
      </c>
      <c r="AD42" s="6" t="s">
        <v>100</v>
      </c>
      <c r="AE42" s="6" t="s">
        <v>125</v>
      </c>
      <c r="AF42" s="6" t="s">
        <v>118</v>
      </c>
      <c r="AG42" s="6" t="s">
        <v>2264</v>
      </c>
      <c r="AH42" s="6" t="s">
        <v>2265</v>
      </c>
      <c r="AI42" s="6"/>
      <c r="AJ42" s="6"/>
      <c r="AK42" s="6"/>
      <c r="AL42" s="6">
        <v>63.8</v>
      </c>
      <c r="AM42" s="9">
        <v>162</v>
      </c>
      <c r="AN42" s="6">
        <v>79</v>
      </c>
      <c r="AO42" s="6">
        <v>89</v>
      </c>
      <c r="AP42" s="6">
        <v>38.299999999999997</v>
      </c>
      <c r="AQ42" s="6">
        <v>6</v>
      </c>
      <c r="AR42" s="6">
        <v>25.2</v>
      </c>
      <c r="AS42" s="6">
        <v>44</v>
      </c>
      <c r="AT42" s="79">
        <v>24.3</v>
      </c>
      <c r="AU42" s="6">
        <v>108</v>
      </c>
      <c r="AV42" s="6">
        <v>78</v>
      </c>
      <c r="DC42" s="6">
        <v>96</v>
      </c>
      <c r="DD42" s="6"/>
      <c r="DE42" s="15">
        <v>203</v>
      </c>
      <c r="DF42" s="6">
        <v>92</v>
      </c>
      <c r="DG42" s="9">
        <f t="shared" si="0"/>
        <v>4.5430683842584383</v>
      </c>
      <c r="DH42" s="6"/>
      <c r="DI42" s="6"/>
      <c r="DJ42" s="6"/>
      <c r="DK42" s="6"/>
      <c r="DL42" s="6"/>
      <c r="DM42" s="6"/>
      <c r="DN42" s="6"/>
      <c r="DP42" s="11">
        <v>2</v>
      </c>
      <c r="DQ42" s="6" t="s">
        <v>111</v>
      </c>
      <c r="DU42" s="9">
        <v>9.6999999999999993</v>
      </c>
    </row>
    <row r="43" spans="1:157" x14ac:dyDescent="0.2">
      <c r="A43" s="19">
        <v>131</v>
      </c>
      <c r="B43" s="8">
        <v>42276</v>
      </c>
      <c r="C43" s="6" t="s">
        <v>95</v>
      </c>
      <c r="D43" s="6">
        <v>31</v>
      </c>
      <c r="E43" s="6" t="s">
        <v>100</v>
      </c>
      <c r="F43" s="17">
        <v>30733</v>
      </c>
      <c r="G43" s="6"/>
      <c r="H43" s="6" t="s">
        <v>2251</v>
      </c>
      <c r="L43" s="6"/>
      <c r="M43" s="6"/>
      <c r="N43" s="6"/>
      <c r="O43" s="6"/>
      <c r="P43" s="6"/>
      <c r="Q43" s="15" t="s">
        <v>110</v>
      </c>
      <c r="R43" s="79" t="s">
        <v>99</v>
      </c>
      <c r="S43" s="6"/>
      <c r="T43" s="6"/>
      <c r="U43" s="6"/>
      <c r="W43" s="6"/>
      <c r="X43" s="6"/>
      <c r="Y43" s="6"/>
      <c r="AA43" s="6" t="s">
        <v>100</v>
      </c>
      <c r="AB43" s="6" t="s">
        <v>100</v>
      </c>
      <c r="AC43" s="6" t="s">
        <v>100</v>
      </c>
      <c r="AD43" s="6" t="s">
        <v>100</v>
      </c>
      <c r="AE43" s="6" t="s">
        <v>99</v>
      </c>
      <c r="AF43" s="6" t="s">
        <v>99</v>
      </c>
      <c r="AG43" s="6" t="s">
        <v>2270</v>
      </c>
      <c r="AH43" s="6"/>
      <c r="AI43" s="6"/>
      <c r="AJ43" s="6"/>
      <c r="AK43" s="6"/>
      <c r="AL43" s="6">
        <v>55</v>
      </c>
      <c r="AM43" s="9">
        <v>157</v>
      </c>
      <c r="AN43" s="6">
        <v>76</v>
      </c>
      <c r="AO43" s="6">
        <v>89</v>
      </c>
      <c r="AP43" s="6">
        <v>32.1</v>
      </c>
      <c r="AQ43" s="6">
        <v>4</v>
      </c>
      <c r="AR43" s="6">
        <v>28.4</v>
      </c>
      <c r="AS43" s="6">
        <v>34</v>
      </c>
      <c r="AT43" s="79">
        <v>22.5</v>
      </c>
      <c r="AU43" s="6">
        <v>86</v>
      </c>
      <c r="AV43" s="6">
        <v>71</v>
      </c>
      <c r="DC43" s="6">
        <v>82.5</v>
      </c>
      <c r="DD43" s="6">
        <v>0.89</v>
      </c>
      <c r="DE43" s="6">
        <v>178</v>
      </c>
      <c r="DF43" s="6">
        <v>143</v>
      </c>
      <c r="DG43" s="9">
        <f t="shared" si="0"/>
        <v>4.6878214618002714</v>
      </c>
      <c r="DH43" s="6">
        <v>28.6</v>
      </c>
      <c r="DI43" s="6">
        <v>4.0999999999999996</v>
      </c>
      <c r="DJ43" s="6"/>
      <c r="DK43" s="6"/>
      <c r="DL43" s="6"/>
      <c r="DM43" s="6"/>
      <c r="DN43" s="6"/>
      <c r="DP43" s="11">
        <v>2</v>
      </c>
      <c r="DQ43" s="6" t="s">
        <v>111</v>
      </c>
      <c r="DU43" s="9">
        <v>8.6999999999999993</v>
      </c>
    </row>
    <row r="44" spans="1:157" x14ac:dyDescent="0.2">
      <c r="A44" s="79" t="s">
        <v>2271</v>
      </c>
      <c r="B44" s="8">
        <v>42276</v>
      </c>
      <c r="C44" s="6" t="s">
        <v>95</v>
      </c>
      <c r="D44" s="6">
        <v>28</v>
      </c>
      <c r="E44" s="85" t="s">
        <v>1001</v>
      </c>
      <c r="F44" s="17">
        <v>31791</v>
      </c>
      <c r="G44" s="6" t="s">
        <v>2272</v>
      </c>
      <c r="H44" s="6" t="s">
        <v>2251</v>
      </c>
      <c r="L44" s="6"/>
      <c r="M44" s="6" t="s">
        <v>99</v>
      </c>
      <c r="N44" s="6" t="s">
        <v>99</v>
      </c>
      <c r="O44" s="6" t="s">
        <v>99</v>
      </c>
      <c r="P44" s="6" t="s">
        <v>99</v>
      </c>
      <c r="Q44" s="15" t="s">
        <v>110</v>
      </c>
      <c r="R44" s="6" t="s">
        <v>110</v>
      </c>
      <c r="S44" s="6"/>
      <c r="T44" s="6"/>
      <c r="U44" s="6"/>
      <c r="W44" s="6"/>
      <c r="X44" s="6"/>
      <c r="Y44" s="6"/>
      <c r="AA44" s="52" t="s">
        <v>1001</v>
      </c>
      <c r="AB44" s="85" t="s">
        <v>1001</v>
      </c>
      <c r="AC44" s="85" t="s">
        <v>2273</v>
      </c>
      <c r="AD44" s="52" t="s">
        <v>1001</v>
      </c>
      <c r="AE44" s="6" t="s">
        <v>2274</v>
      </c>
      <c r="AF44" s="6" t="s">
        <v>135</v>
      </c>
      <c r="AG44" s="6" t="s">
        <v>99</v>
      </c>
      <c r="AH44" s="6" t="s">
        <v>2275</v>
      </c>
      <c r="AI44" s="6" t="s">
        <v>2276</v>
      </c>
      <c r="AJ44" s="6" t="s">
        <v>99</v>
      </c>
      <c r="AK44" s="6" t="s">
        <v>2277</v>
      </c>
      <c r="AL44" s="6">
        <v>62.5</v>
      </c>
      <c r="AM44" s="9">
        <v>160</v>
      </c>
      <c r="AN44" s="6">
        <v>78</v>
      </c>
      <c r="AO44" s="6">
        <v>89</v>
      </c>
      <c r="AP44" s="6">
        <v>37.700000000000003</v>
      </c>
      <c r="AQ44" s="6">
        <v>5</v>
      </c>
      <c r="AR44" s="6">
        <v>26</v>
      </c>
      <c r="AS44" s="6">
        <v>37</v>
      </c>
      <c r="AT44" s="79">
        <v>24.4</v>
      </c>
      <c r="AU44" s="6">
        <v>113</v>
      </c>
      <c r="AV44" s="6">
        <v>77</v>
      </c>
      <c r="DC44" s="6">
        <v>90</v>
      </c>
      <c r="DD44" s="6">
        <v>1.06</v>
      </c>
      <c r="DE44" s="6">
        <v>170</v>
      </c>
      <c r="DF44" s="6">
        <v>99</v>
      </c>
      <c r="DG44" s="9">
        <f t="shared" si="0"/>
        <v>4.5474647602324278</v>
      </c>
      <c r="DH44" s="6"/>
      <c r="DI44" s="6">
        <v>6.05</v>
      </c>
      <c r="DJ44" s="6"/>
      <c r="DK44" s="6"/>
      <c r="DL44" s="6"/>
      <c r="DM44" s="6"/>
      <c r="DN44" s="6"/>
      <c r="DP44" s="18">
        <v>1</v>
      </c>
      <c r="DQ44" s="6" t="s">
        <v>111</v>
      </c>
      <c r="DR44" s="9">
        <v>3</v>
      </c>
      <c r="DT44" s="9">
        <v>8.4</v>
      </c>
      <c r="DU44" s="9">
        <v>5.7</v>
      </c>
    </row>
    <row r="45" spans="1:157" x14ac:dyDescent="0.2">
      <c r="A45" s="6">
        <v>133</v>
      </c>
      <c r="B45" s="8">
        <v>42276</v>
      </c>
      <c r="C45" s="6" t="s">
        <v>107</v>
      </c>
      <c r="D45" s="6">
        <v>40</v>
      </c>
      <c r="E45" s="86" t="s">
        <v>155</v>
      </c>
      <c r="F45" s="17">
        <v>27429</v>
      </c>
      <c r="G45" s="6" t="s">
        <v>2278</v>
      </c>
      <c r="H45" s="6" t="s">
        <v>2251</v>
      </c>
      <c r="L45" s="6"/>
      <c r="M45" s="6" t="s">
        <v>99</v>
      </c>
      <c r="N45" s="6" t="s">
        <v>99</v>
      </c>
      <c r="O45" s="6" t="s">
        <v>99</v>
      </c>
      <c r="P45" s="6"/>
      <c r="Q45" s="15" t="s">
        <v>110</v>
      </c>
      <c r="R45" s="6"/>
      <c r="S45" s="6"/>
      <c r="T45" s="6"/>
      <c r="U45" s="6"/>
      <c r="W45" s="6"/>
      <c r="X45" s="6"/>
      <c r="Y45" s="6"/>
      <c r="AA45" s="35" t="s">
        <v>155</v>
      </c>
      <c r="AB45" s="86" t="s">
        <v>155</v>
      </c>
      <c r="AC45" s="6"/>
      <c r="AE45" s="6" t="s">
        <v>125</v>
      </c>
      <c r="AF45" s="6" t="s">
        <v>99</v>
      </c>
      <c r="AG45" s="6" t="s">
        <v>99</v>
      </c>
      <c r="AH45" s="6" t="s">
        <v>99</v>
      </c>
      <c r="AI45" s="6" t="s">
        <v>1079</v>
      </c>
      <c r="AJ45" s="6" t="s">
        <v>99</v>
      </c>
      <c r="AK45" s="6"/>
      <c r="AL45" s="6">
        <v>73</v>
      </c>
      <c r="AM45" s="9">
        <v>171</v>
      </c>
      <c r="AN45" s="6">
        <v>88</v>
      </c>
      <c r="AO45" s="6">
        <v>91</v>
      </c>
      <c r="AP45" s="6">
        <v>19</v>
      </c>
      <c r="AQ45" s="6">
        <v>8</v>
      </c>
      <c r="AR45" s="6">
        <v>39.4</v>
      </c>
      <c r="AS45" s="6">
        <v>40</v>
      </c>
      <c r="AT45" s="79">
        <v>25</v>
      </c>
      <c r="AU45" s="6">
        <v>111</v>
      </c>
      <c r="AV45" s="6">
        <v>79</v>
      </c>
      <c r="DC45" s="6">
        <v>98</v>
      </c>
      <c r="DD45" s="6">
        <v>1</v>
      </c>
      <c r="DE45" s="6">
        <v>182</v>
      </c>
      <c r="DF45" s="15">
        <v>186</v>
      </c>
      <c r="DG45" s="9">
        <f t="shared" si="0"/>
        <v>4.905357076191887</v>
      </c>
      <c r="DH45" s="6"/>
      <c r="DI45" s="6">
        <v>5.45</v>
      </c>
      <c r="DJ45" s="6"/>
      <c r="DK45" s="6"/>
      <c r="DL45" s="6"/>
      <c r="DM45" s="6"/>
      <c r="DN45" s="6"/>
      <c r="DP45" s="11">
        <v>2</v>
      </c>
      <c r="DQ45" s="6" t="s">
        <v>105</v>
      </c>
    </row>
    <row r="46" spans="1:157" x14ac:dyDescent="0.2">
      <c r="A46" s="79" t="s">
        <v>2279</v>
      </c>
      <c r="B46" s="8">
        <v>42276</v>
      </c>
      <c r="C46" s="6" t="s">
        <v>95</v>
      </c>
      <c r="D46" s="6">
        <v>37</v>
      </c>
      <c r="E46" s="6" t="s">
        <v>100</v>
      </c>
      <c r="F46" s="17">
        <v>28441</v>
      </c>
      <c r="G46" s="6"/>
      <c r="H46" s="6" t="s">
        <v>2251</v>
      </c>
      <c r="L46" s="6"/>
      <c r="M46" s="6"/>
      <c r="N46" s="6"/>
      <c r="O46" s="6"/>
      <c r="P46" s="6" t="s">
        <v>99</v>
      </c>
      <c r="Q46" s="15" t="s">
        <v>110</v>
      </c>
      <c r="R46" s="6" t="s">
        <v>110</v>
      </c>
      <c r="S46" s="6"/>
      <c r="T46" s="6"/>
      <c r="U46" s="6"/>
      <c r="W46" s="6"/>
      <c r="X46" s="6"/>
      <c r="Y46" s="6"/>
      <c r="AA46" s="6" t="s">
        <v>100</v>
      </c>
      <c r="AB46" s="6" t="s">
        <v>100</v>
      </c>
      <c r="AC46" s="6" t="s">
        <v>100</v>
      </c>
      <c r="AD46" s="6" t="s">
        <v>100</v>
      </c>
      <c r="AE46" s="6" t="s">
        <v>125</v>
      </c>
      <c r="AF46" s="6" t="s">
        <v>570</v>
      </c>
      <c r="AG46" s="6" t="s">
        <v>135</v>
      </c>
      <c r="AH46" s="6" t="s">
        <v>99</v>
      </c>
      <c r="AI46" s="6" t="s">
        <v>99</v>
      </c>
      <c r="AJ46" s="6" t="s">
        <v>99</v>
      </c>
      <c r="AK46" s="6"/>
      <c r="AL46" s="6">
        <v>62</v>
      </c>
      <c r="AM46" s="9">
        <v>161</v>
      </c>
      <c r="AN46" s="6">
        <v>80</v>
      </c>
      <c r="AO46" s="6">
        <v>88</v>
      </c>
      <c r="AP46" s="6">
        <v>36.299999999999997</v>
      </c>
      <c r="AQ46" s="6">
        <v>6</v>
      </c>
      <c r="AR46" s="6">
        <v>26.5</v>
      </c>
      <c r="AS46" s="6">
        <v>40</v>
      </c>
      <c r="AT46" s="79">
        <v>23.9</v>
      </c>
      <c r="AU46" s="6">
        <v>90</v>
      </c>
      <c r="AV46" s="6">
        <v>65</v>
      </c>
      <c r="DC46" s="6">
        <v>97</v>
      </c>
      <c r="DD46" s="6">
        <v>0.66</v>
      </c>
      <c r="DE46" s="6">
        <v>168</v>
      </c>
      <c r="DF46" s="6">
        <v>106</v>
      </c>
      <c r="DG46" s="9">
        <f t="shared" si="0"/>
        <v>4.6190750363077253</v>
      </c>
      <c r="DH46" s="6"/>
      <c r="DI46" s="6">
        <v>2.93</v>
      </c>
      <c r="DJ46" s="6"/>
      <c r="DK46" s="6"/>
      <c r="DL46" s="6"/>
      <c r="DM46" s="6"/>
      <c r="DN46" s="6"/>
      <c r="DP46" s="11">
        <v>3</v>
      </c>
      <c r="DQ46" s="6" t="s">
        <v>105</v>
      </c>
      <c r="DR46" s="9">
        <v>2</v>
      </c>
      <c r="DU46" s="9">
        <v>6.2</v>
      </c>
    </row>
    <row r="47" spans="1:157" x14ac:dyDescent="0.2">
      <c r="A47" s="79">
        <v>135</v>
      </c>
      <c r="B47" s="17"/>
      <c r="C47" s="6" t="s">
        <v>95</v>
      </c>
      <c r="D47" s="6">
        <v>30</v>
      </c>
      <c r="E47" s="6"/>
      <c r="F47" s="17"/>
      <c r="G47" s="6"/>
      <c r="H47" s="6"/>
      <c r="L47" s="6"/>
      <c r="M47" s="6"/>
      <c r="N47" s="6"/>
      <c r="O47" s="6"/>
      <c r="P47" s="6"/>
      <c r="Q47" s="6"/>
      <c r="R47" s="6"/>
      <c r="S47" s="6"/>
      <c r="T47" s="6"/>
      <c r="U47" s="6"/>
      <c r="W47" s="6"/>
      <c r="X47" s="6"/>
      <c r="Y47" s="6"/>
      <c r="AB47" s="6"/>
      <c r="AC47" s="6"/>
      <c r="AE47" s="6"/>
      <c r="AF47" s="6"/>
      <c r="AG47" s="6"/>
      <c r="AH47" s="6"/>
      <c r="AI47" s="6"/>
      <c r="AJ47" s="6"/>
      <c r="AK47" s="6"/>
      <c r="AL47" s="6">
        <v>64.099999999999994</v>
      </c>
      <c r="AN47" s="6">
        <v>77</v>
      </c>
      <c r="AO47" s="6">
        <v>89</v>
      </c>
      <c r="AP47" s="6">
        <v>38</v>
      </c>
      <c r="AQ47" s="6">
        <v>5</v>
      </c>
      <c r="AR47" s="6">
        <v>26.2</v>
      </c>
      <c r="AS47" s="6">
        <v>40</v>
      </c>
      <c r="AT47" s="79">
        <v>24.5</v>
      </c>
      <c r="AU47" s="6">
        <v>95</v>
      </c>
      <c r="AV47" s="6">
        <v>71</v>
      </c>
      <c r="DC47" s="6">
        <v>95</v>
      </c>
      <c r="DD47" s="6">
        <v>0.98</v>
      </c>
      <c r="DE47" s="6">
        <v>177</v>
      </c>
      <c r="DF47" s="6">
        <v>71</v>
      </c>
      <c r="DG47" s="9">
        <f t="shared" si="0"/>
        <v>4.4082783843209281</v>
      </c>
      <c r="DH47" s="6"/>
      <c r="DI47" s="6">
        <v>5.27</v>
      </c>
      <c r="DJ47" s="6"/>
      <c r="DK47" s="6"/>
      <c r="DL47" s="6"/>
      <c r="DM47" s="6"/>
      <c r="DN47" s="6"/>
      <c r="DO47" s="9" t="s">
        <v>2280</v>
      </c>
      <c r="DQ47" s="6" t="s">
        <v>111</v>
      </c>
      <c r="DU47" s="9">
        <v>6</v>
      </c>
    </row>
    <row r="48" spans="1:157" x14ac:dyDescent="0.2">
      <c r="A48" s="89">
        <v>148</v>
      </c>
      <c r="B48" s="8">
        <v>42500</v>
      </c>
      <c r="C48" s="6" t="s">
        <v>95</v>
      </c>
      <c r="D48" s="82">
        <v>19</v>
      </c>
      <c r="E48" s="6" t="s">
        <v>100</v>
      </c>
      <c r="G48" s="6" t="s">
        <v>2334</v>
      </c>
      <c r="H48" s="6"/>
      <c r="L48" s="6"/>
      <c r="M48" s="6" t="s">
        <v>99</v>
      </c>
      <c r="N48" s="6" t="s">
        <v>99</v>
      </c>
      <c r="O48" s="6" t="s">
        <v>99</v>
      </c>
      <c r="P48" s="6" t="s">
        <v>99</v>
      </c>
      <c r="Q48" s="6" t="s">
        <v>99</v>
      </c>
      <c r="R48" s="79" t="s">
        <v>99</v>
      </c>
      <c r="S48" s="6" t="s">
        <v>110</v>
      </c>
      <c r="T48" s="6" t="s">
        <v>110</v>
      </c>
      <c r="U48" s="6" t="s">
        <v>99</v>
      </c>
      <c r="W48" s="6" t="s">
        <v>2335</v>
      </c>
      <c r="X48" s="6"/>
      <c r="Y48" s="6" t="s">
        <v>2336</v>
      </c>
      <c r="AA48" s="9" t="s">
        <v>100</v>
      </c>
      <c r="AB48" s="6" t="s">
        <v>100</v>
      </c>
      <c r="AC48" s="6" t="s">
        <v>100</v>
      </c>
      <c r="AD48" s="9" t="s">
        <v>100</v>
      </c>
      <c r="AE48" s="15" t="s">
        <v>2337</v>
      </c>
      <c r="AF48" s="15" t="s">
        <v>2338</v>
      </c>
      <c r="AG48" s="15" t="s">
        <v>118</v>
      </c>
      <c r="AH48" s="15" t="s">
        <v>2264</v>
      </c>
      <c r="AI48" s="6" t="s">
        <v>99</v>
      </c>
      <c r="AJ48" s="6" t="s">
        <v>99</v>
      </c>
      <c r="AK48" s="6" t="s">
        <v>99</v>
      </c>
      <c r="AL48" s="6">
        <v>45.6</v>
      </c>
      <c r="AN48" s="6">
        <v>66</v>
      </c>
      <c r="AO48" s="6">
        <v>76</v>
      </c>
      <c r="AP48" s="6">
        <v>27</v>
      </c>
      <c r="AQ48" s="6"/>
      <c r="AR48" s="6"/>
      <c r="AS48" s="6"/>
      <c r="AT48" s="79">
        <v>18.7</v>
      </c>
      <c r="AU48" s="6">
        <v>90</v>
      </c>
      <c r="AV48" s="6">
        <v>69</v>
      </c>
      <c r="DC48" s="6">
        <v>89</v>
      </c>
      <c r="DD48" s="6"/>
      <c r="DE48" s="6">
        <v>149</v>
      </c>
      <c r="DF48" s="6">
        <v>81</v>
      </c>
      <c r="DG48" s="9">
        <f t="shared" si="0"/>
        <v>4.4415427622022889</v>
      </c>
      <c r="DH48" s="6"/>
      <c r="DI48" s="6"/>
      <c r="DJ48" s="6"/>
      <c r="DK48" s="6"/>
      <c r="DL48" s="6"/>
      <c r="DM48" s="6"/>
      <c r="DN48" s="6"/>
      <c r="DP48" s="11">
        <v>3</v>
      </c>
      <c r="DQ48" s="6" t="s">
        <v>111</v>
      </c>
    </row>
    <row r="49" spans="1:125" x14ac:dyDescent="0.2">
      <c r="A49" s="6">
        <v>149</v>
      </c>
      <c r="B49" s="8">
        <v>42500</v>
      </c>
      <c r="C49" s="6" t="s">
        <v>95</v>
      </c>
      <c r="D49" s="6">
        <v>18</v>
      </c>
      <c r="E49" s="6" t="s">
        <v>100</v>
      </c>
      <c r="G49" s="6" t="s">
        <v>2334</v>
      </c>
      <c r="H49" s="6"/>
      <c r="L49" s="6"/>
      <c r="M49" s="6" t="s">
        <v>99</v>
      </c>
      <c r="N49" s="6" t="s">
        <v>99</v>
      </c>
      <c r="O49" s="6" t="s">
        <v>99</v>
      </c>
      <c r="P49" s="6" t="s">
        <v>99</v>
      </c>
      <c r="Q49" s="6" t="s">
        <v>99</v>
      </c>
      <c r="R49" s="79" t="s">
        <v>99</v>
      </c>
      <c r="S49" s="6" t="s">
        <v>110</v>
      </c>
      <c r="T49" s="6" t="s">
        <v>110</v>
      </c>
      <c r="U49" s="6" t="s">
        <v>99</v>
      </c>
      <c r="W49" s="6" t="s">
        <v>99</v>
      </c>
      <c r="X49" s="6"/>
      <c r="Y49" s="6"/>
      <c r="AA49" s="14" t="s">
        <v>2267</v>
      </c>
      <c r="AB49" s="6" t="s">
        <v>100</v>
      </c>
      <c r="AC49" s="16" t="s">
        <v>2339</v>
      </c>
      <c r="AD49" s="14" t="s">
        <v>2339</v>
      </c>
      <c r="AE49" s="6" t="s">
        <v>99</v>
      </c>
      <c r="AF49" s="6" t="s">
        <v>99</v>
      </c>
      <c r="AG49" s="15" t="s">
        <v>2252</v>
      </c>
      <c r="AH49" s="6" t="s">
        <v>99</v>
      </c>
      <c r="AI49" s="15" t="s">
        <v>118</v>
      </c>
      <c r="AJ49" s="6" t="s">
        <v>99</v>
      </c>
      <c r="AK49" s="15" t="s">
        <v>2340</v>
      </c>
      <c r="AL49" s="6">
        <v>61.6</v>
      </c>
      <c r="AN49" s="6">
        <v>75</v>
      </c>
      <c r="AO49" s="6">
        <v>90</v>
      </c>
      <c r="AP49" s="6">
        <v>38</v>
      </c>
      <c r="AQ49" s="6"/>
      <c r="AR49" s="6"/>
      <c r="AS49" s="6"/>
      <c r="AT49" s="79">
        <v>23.6</v>
      </c>
      <c r="AU49" s="6">
        <v>102</v>
      </c>
      <c r="AV49" s="6">
        <v>76</v>
      </c>
      <c r="DC49" s="6">
        <v>86</v>
      </c>
      <c r="DD49" s="6"/>
      <c r="DE49" s="6">
        <v>185</v>
      </c>
      <c r="DF49" s="15">
        <v>164</v>
      </c>
      <c r="DG49" s="9">
        <f t="shared" si="0"/>
        <v>4.7771068620388535</v>
      </c>
      <c r="DH49" s="6"/>
      <c r="DI49" s="6"/>
      <c r="DJ49" s="6"/>
      <c r="DK49" s="6"/>
      <c r="DL49" s="6"/>
      <c r="DM49" s="6"/>
      <c r="DN49" s="6"/>
      <c r="DQ49" s="6" t="s">
        <v>111</v>
      </c>
    </row>
    <row r="50" spans="1:125" x14ac:dyDescent="0.2">
      <c r="A50" s="79">
        <v>160</v>
      </c>
      <c r="B50" s="8">
        <v>42800</v>
      </c>
      <c r="C50" s="6" t="s">
        <v>95</v>
      </c>
      <c r="D50" s="6">
        <v>43</v>
      </c>
      <c r="E50" s="6" t="s">
        <v>100</v>
      </c>
      <c r="G50" s="6" t="s">
        <v>2387</v>
      </c>
      <c r="H50" s="6"/>
      <c r="L50" s="6"/>
      <c r="M50" s="6" t="s">
        <v>99</v>
      </c>
      <c r="N50" s="6" t="s">
        <v>99</v>
      </c>
      <c r="O50" s="6" t="s">
        <v>110</v>
      </c>
      <c r="P50" s="6" t="s">
        <v>99</v>
      </c>
      <c r="Q50" s="6" t="s">
        <v>99</v>
      </c>
      <c r="R50" s="6"/>
      <c r="S50" s="6" t="s">
        <v>110</v>
      </c>
      <c r="T50" s="6" t="s">
        <v>110</v>
      </c>
      <c r="U50" s="6"/>
      <c r="W50" s="6"/>
      <c r="X50" s="6"/>
      <c r="Y50" s="6" t="s">
        <v>2383</v>
      </c>
      <c r="AA50" s="9" t="s">
        <v>100</v>
      </c>
      <c r="AB50" s="6" t="s">
        <v>100</v>
      </c>
      <c r="AC50" s="6" t="s">
        <v>100</v>
      </c>
      <c r="AD50" s="9" t="s">
        <v>100</v>
      </c>
      <c r="AE50" s="15" t="s">
        <v>2388</v>
      </c>
      <c r="AF50" s="15" t="s">
        <v>2389</v>
      </c>
      <c r="AG50" s="15" t="s">
        <v>2390</v>
      </c>
      <c r="AH50" s="15" t="s">
        <v>2391</v>
      </c>
      <c r="AI50" s="15" t="s">
        <v>118</v>
      </c>
      <c r="AJ50" s="6"/>
      <c r="AK50" s="6"/>
      <c r="AL50" s="6">
        <v>53.6</v>
      </c>
      <c r="AM50" s="9">
        <v>156</v>
      </c>
      <c r="AN50" s="6">
        <v>73.5</v>
      </c>
      <c r="AO50" s="6">
        <v>95.5</v>
      </c>
      <c r="AP50" s="6">
        <v>32.6</v>
      </c>
      <c r="AQ50" s="6">
        <v>5</v>
      </c>
      <c r="AR50" s="6">
        <v>27.1</v>
      </c>
      <c r="AS50" s="6">
        <v>40</v>
      </c>
      <c r="AT50" s="79">
        <v>22</v>
      </c>
      <c r="AU50" s="6">
        <v>110</v>
      </c>
      <c r="AV50" s="6">
        <v>73</v>
      </c>
      <c r="DC50" s="82">
        <v>89.8</v>
      </c>
      <c r="DD50" s="91">
        <v>1.8</v>
      </c>
      <c r="DE50" s="82">
        <v>170</v>
      </c>
      <c r="DF50" s="82">
        <v>140</v>
      </c>
      <c r="DG50" s="9">
        <f t="shared" si="0"/>
        <v>4.719613698958729</v>
      </c>
      <c r="DH50" s="82"/>
      <c r="DI50" s="6">
        <v>5.3</v>
      </c>
      <c r="DJ50" s="6">
        <v>6</v>
      </c>
      <c r="DK50" s="6"/>
      <c r="DL50" s="6">
        <v>50</v>
      </c>
      <c r="DM50" s="6">
        <v>145</v>
      </c>
      <c r="DN50" s="6"/>
      <c r="DP50" s="18">
        <v>1</v>
      </c>
      <c r="DQ50" s="6" t="s">
        <v>111</v>
      </c>
      <c r="DR50" s="9">
        <v>3</v>
      </c>
      <c r="DT50" s="9">
        <v>12.44</v>
      </c>
      <c r="DU50" s="9">
        <v>3.9</v>
      </c>
    </row>
    <row r="51" spans="1:125" x14ac:dyDescent="0.2">
      <c r="A51" s="6">
        <v>161</v>
      </c>
      <c r="B51" s="8">
        <v>42800</v>
      </c>
      <c r="C51" s="6" t="s">
        <v>107</v>
      </c>
      <c r="D51" s="6">
        <v>39</v>
      </c>
      <c r="E51" s="6" t="s">
        <v>100</v>
      </c>
      <c r="G51" s="6"/>
      <c r="H51" s="6"/>
      <c r="L51" s="6"/>
      <c r="M51" s="6" t="s">
        <v>99</v>
      </c>
      <c r="N51" s="6" t="s">
        <v>99</v>
      </c>
      <c r="O51" s="6" t="s">
        <v>99</v>
      </c>
      <c r="P51" s="15" t="s">
        <v>110</v>
      </c>
      <c r="Q51" s="15" t="s">
        <v>110</v>
      </c>
      <c r="R51" s="6"/>
      <c r="S51" s="6"/>
      <c r="T51" s="6"/>
      <c r="U51" s="6"/>
      <c r="W51" s="6"/>
      <c r="X51" s="6"/>
      <c r="Y51" s="6" t="s">
        <v>2383</v>
      </c>
      <c r="AA51" s="9" t="s">
        <v>100</v>
      </c>
      <c r="AB51" s="6" t="s">
        <v>100</v>
      </c>
      <c r="AC51" s="6" t="s">
        <v>100</v>
      </c>
      <c r="AD51" s="9" t="s">
        <v>100</v>
      </c>
      <c r="AE51" s="6"/>
      <c r="AF51" s="6"/>
      <c r="AG51" s="6"/>
      <c r="AH51" s="6"/>
      <c r="AI51" s="6"/>
      <c r="AJ51" s="6"/>
      <c r="AK51" s="6"/>
      <c r="AL51" s="6">
        <v>73.400000000000006</v>
      </c>
      <c r="AM51" s="9">
        <v>178</v>
      </c>
      <c r="AN51" s="6">
        <v>85</v>
      </c>
      <c r="AO51" s="6"/>
      <c r="AP51" s="6">
        <v>20.8</v>
      </c>
      <c r="AQ51" s="6">
        <v>7</v>
      </c>
      <c r="AR51" s="6">
        <v>37.4</v>
      </c>
      <c r="AS51" s="6">
        <v>40</v>
      </c>
      <c r="AT51" s="79">
        <v>23.2</v>
      </c>
      <c r="AU51" s="6">
        <v>117</v>
      </c>
      <c r="AV51" s="6">
        <v>80</v>
      </c>
      <c r="DC51" s="6">
        <v>85.8</v>
      </c>
      <c r="DD51" s="15">
        <v>1.5</v>
      </c>
      <c r="DE51" s="15">
        <v>219</v>
      </c>
      <c r="DF51" s="6">
        <v>145</v>
      </c>
      <c r="DG51" s="9">
        <f t="shared" si="0"/>
        <v>4.7143763744572453</v>
      </c>
      <c r="DH51" s="6"/>
      <c r="DI51" s="6">
        <v>6</v>
      </c>
      <c r="DJ51" s="6">
        <v>8</v>
      </c>
      <c r="DK51" s="6"/>
      <c r="DL51" s="6">
        <v>50</v>
      </c>
      <c r="DM51" s="6">
        <v>167</v>
      </c>
      <c r="DN51" s="6"/>
      <c r="DQ51" s="6" t="s">
        <v>111</v>
      </c>
      <c r="DR51" s="9">
        <v>2</v>
      </c>
    </row>
    <row r="52" spans="1:125" x14ac:dyDescent="0.2">
      <c r="A52" s="79">
        <v>171</v>
      </c>
      <c r="B52" s="8">
        <v>42909</v>
      </c>
      <c r="C52" s="6" t="s">
        <v>95</v>
      </c>
      <c r="D52" s="6">
        <v>58</v>
      </c>
      <c r="E52" s="6" t="s">
        <v>100</v>
      </c>
      <c r="F52" s="17">
        <v>21675</v>
      </c>
      <c r="G52" s="6"/>
      <c r="H52" s="6" t="s">
        <v>109</v>
      </c>
      <c r="J52" s="10" t="s">
        <v>2500</v>
      </c>
      <c r="K52" s="9">
        <v>1996</v>
      </c>
      <c r="L52" s="6">
        <v>3</v>
      </c>
      <c r="M52" s="6" t="s">
        <v>99</v>
      </c>
      <c r="N52" s="6" t="s">
        <v>99</v>
      </c>
      <c r="O52" s="6" t="s">
        <v>99</v>
      </c>
      <c r="P52" s="6" t="s">
        <v>99</v>
      </c>
      <c r="Q52" s="6" t="s">
        <v>99</v>
      </c>
      <c r="R52" s="79" t="s">
        <v>99</v>
      </c>
      <c r="S52" s="6" t="s">
        <v>99</v>
      </c>
      <c r="T52" s="6" t="s">
        <v>99</v>
      </c>
      <c r="U52" s="6"/>
      <c r="W52" s="6"/>
      <c r="X52" s="6" t="s">
        <v>99</v>
      </c>
      <c r="Y52" s="6" t="s">
        <v>2501</v>
      </c>
      <c r="AA52" s="9" t="s">
        <v>100</v>
      </c>
      <c r="AB52" s="6" t="s">
        <v>100</v>
      </c>
      <c r="AC52" s="6" t="s">
        <v>100</v>
      </c>
      <c r="AD52" s="9" t="s">
        <v>100</v>
      </c>
      <c r="AE52" s="15" t="s">
        <v>2502</v>
      </c>
      <c r="AF52" s="6"/>
      <c r="AG52" s="15" t="s">
        <v>2355</v>
      </c>
      <c r="AH52" s="15" t="s">
        <v>2503</v>
      </c>
      <c r="AI52" s="6"/>
      <c r="AJ52" s="6"/>
      <c r="AK52" s="6"/>
      <c r="AL52" s="6">
        <v>60.8</v>
      </c>
      <c r="AN52" s="15">
        <v>81</v>
      </c>
      <c r="AO52" s="6">
        <v>101</v>
      </c>
      <c r="AP52" s="6">
        <v>35.700000000000003</v>
      </c>
      <c r="AQ52" s="6"/>
      <c r="AR52" s="6">
        <v>26.7</v>
      </c>
      <c r="AS52" s="6">
        <v>53</v>
      </c>
      <c r="AT52" s="79">
        <v>24</v>
      </c>
      <c r="AU52" s="6">
        <v>110</v>
      </c>
      <c r="AV52" s="6">
        <v>78</v>
      </c>
      <c r="DC52" s="6">
        <v>98.5</v>
      </c>
      <c r="DD52" s="6">
        <v>0.75</v>
      </c>
      <c r="DE52" s="6">
        <v>187</v>
      </c>
      <c r="DF52" s="6">
        <v>103</v>
      </c>
      <c r="DG52" s="9">
        <f t="shared" si="0"/>
        <v>4.6123927682038399</v>
      </c>
      <c r="DH52" s="6">
        <v>20</v>
      </c>
      <c r="DI52" s="6">
        <v>4.5999999999999996</v>
      </c>
      <c r="DJ52" s="6">
        <v>13.8</v>
      </c>
      <c r="DK52" s="6"/>
      <c r="DL52" s="6">
        <v>54.6</v>
      </c>
      <c r="DM52" s="6">
        <v>112.7</v>
      </c>
      <c r="DN52" s="6"/>
      <c r="DQ52" s="6" t="s">
        <v>99</v>
      </c>
      <c r="DU52" s="9">
        <v>12.5</v>
      </c>
    </row>
    <row r="53" spans="1:125" x14ac:dyDescent="0.2">
      <c r="A53" s="6">
        <v>172</v>
      </c>
      <c r="B53" s="8">
        <v>42908</v>
      </c>
      <c r="C53" s="6" t="s">
        <v>95</v>
      </c>
      <c r="D53" s="6">
        <v>25</v>
      </c>
      <c r="E53" s="6" t="s">
        <v>100</v>
      </c>
      <c r="F53" s="17">
        <v>33553</v>
      </c>
      <c r="G53" s="6"/>
      <c r="H53" s="6" t="s">
        <v>109</v>
      </c>
      <c r="I53" s="9">
        <v>13</v>
      </c>
      <c r="J53" s="9" t="s">
        <v>483</v>
      </c>
      <c r="K53" s="9">
        <v>2014</v>
      </c>
      <c r="L53" s="6">
        <v>2</v>
      </c>
      <c r="M53" s="6" t="s">
        <v>99</v>
      </c>
      <c r="N53" s="6" t="s">
        <v>99</v>
      </c>
      <c r="O53" s="6" t="s">
        <v>99</v>
      </c>
      <c r="P53" s="6" t="s">
        <v>99</v>
      </c>
      <c r="Q53" s="15" t="s">
        <v>110</v>
      </c>
      <c r="R53" s="79" t="s">
        <v>483</v>
      </c>
      <c r="S53" s="6" t="s">
        <v>99</v>
      </c>
      <c r="T53" s="6" t="s">
        <v>110</v>
      </c>
      <c r="U53" s="6"/>
      <c r="W53" s="6" t="s">
        <v>2504</v>
      </c>
      <c r="X53" s="6"/>
      <c r="Y53" s="6" t="s">
        <v>99</v>
      </c>
      <c r="AA53" s="9" t="s">
        <v>100</v>
      </c>
      <c r="AB53" s="85" t="s">
        <v>2505</v>
      </c>
      <c r="AC53" s="9" t="s">
        <v>100</v>
      </c>
      <c r="AD53" s="85" t="s">
        <v>2506</v>
      </c>
      <c r="AE53" s="15" t="s">
        <v>2507</v>
      </c>
      <c r="AF53" s="6" t="s">
        <v>99</v>
      </c>
      <c r="AG53" s="6" t="s">
        <v>99</v>
      </c>
      <c r="AH53" s="6" t="s">
        <v>99</v>
      </c>
      <c r="AI53" s="6" t="s">
        <v>99</v>
      </c>
      <c r="AJ53" s="15" t="s">
        <v>2508</v>
      </c>
      <c r="AK53" s="6" t="s">
        <v>99</v>
      </c>
      <c r="AL53" s="6">
        <v>74</v>
      </c>
      <c r="AN53" s="6">
        <v>74</v>
      </c>
      <c r="AO53" s="6">
        <v>99</v>
      </c>
      <c r="AP53" s="6">
        <v>35.1</v>
      </c>
      <c r="AQ53" s="6">
        <v>4</v>
      </c>
      <c r="AR53" s="6">
        <v>24.5</v>
      </c>
      <c r="AS53" s="6">
        <v>25</v>
      </c>
      <c r="AT53" s="79">
        <v>21.8</v>
      </c>
      <c r="AU53" s="6">
        <v>108</v>
      </c>
      <c r="AV53" s="6">
        <v>80</v>
      </c>
      <c r="DC53" s="91">
        <v>108.6</v>
      </c>
      <c r="DD53" s="82">
        <v>0.63</v>
      </c>
      <c r="DE53" s="82">
        <v>150</v>
      </c>
      <c r="DF53" s="82">
        <v>131</v>
      </c>
      <c r="DG53" s="9">
        <f t="shared" si="0"/>
        <v>4.7814343653504929</v>
      </c>
      <c r="DH53" s="82">
        <v>13</v>
      </c>
      <c r="DI53" s="82">
        <v>5.2</v>
      </c>
      <c r="DJ53" s="82">
        <v>9</v>
      </c>
      <c r="DK53" s="6"/>
      <c r="DL53" s="6">
        <v>47.6</v>
      </c>
      <c r="DM53" s="6">
        <v>89.4</v>
      </c>
      <c r="DN53" s="6"/>
      <c r="DQ53" s="6" t="s">
        <v>114</v>
      </c>
    </row>
    <row r="54" spans="1:125" x14ac:dyDescent="0.2">
      <c r="A54" s="6">
        <v>173</v>
      </c>
      <c r="B54" s="8">
        <v>42909</v>
      </c>
      <c r="C54" s="6" t="s">
        <v>95</v>
      </c>
      <c r="D54" s="6">
        <v>61</v>
      </c>
      <c r="E54" s="6" t="s">
        <v>100</v>
      </c>
      <c r="F54" s="17">
        <v>20364</v>
      </c>
      <c r="G54" s="6"/>
      <c r="H54" s="6" t="s">
        <v>2509</v>
      </c>
      <c r="I54" s="9">
        <v>11</v>
      </c>
      <c r="J54" s="10" t="s">
        <v>2510</v>
      </c>
      <c r="K54" s="9" t="s">
        <v>2511</v>
      </c>
      <c r="L54" s="6">
        <v>8</v>
      </c>
      <c r="M54" s="6" t="s">
        <v>99</v>
      </c>
      <c r="N54" s="6" t="s">
        <v>99</v>
      </c>
      <c r="O54" s="6" t="s">
        <v>99</v>
      </c>
      <c r="P54" s="6" t="s">
        <v>99</v>
      </c>
      <c r="Q54" s="6"/>
      <c r="R54" s="6" t="s">
        <v>110</v>
      </c>
      <c r="S54" s="6" t="s">
        <v>99</v>
      </c>
      <c r="T54" s="6" t="s">
        <v>99</v>
      </c>
      <c r="U54" s="6" t="s">
        <v>1299</v>
      </c>
      <c r="V54" s="9" t="s">
        <v>99</v>
      </c>
      <c r="W54" s="6" t="s">
        <v>99</v>
      </c>
      <c r="X54" s="6" t="s">
        <v>99</v>
      </c>
      <c r="Y54" s="6" t="s">
        <v>2309</v>
      </c>
      <c r="AA54" s="9" t="s">
        <v>100</v>
      </c>
      <c r="AB54" s="16" t="s">
        <v>840</v>
      </c>
      <c r="AC54" s="6" t="s">
        <v>100</v>
      </c>
      <c r="AD54" s="9" t="s">
        <v>2234</v>
      </c>
      <c r="AE54" s="9" t="s">
        <v>99</v>
      </c>
      <c r="AF54" s="15" t="s">
        <v>118</v>
      </c>
      <c r="AG54" s="15" t="s">
        <v>2305</v>
      </c>
      <c r="AH54" s="6" t="s">
        <v>99</v>
      </c>
      <c r="AI54" s="6" t="s">
        <v>125</v>
      </c>
      <c r="AJ54" s="15" t="s">
        <v>570</v>
      </c>
      <c r="AK54" s="6" t="s">
        <v>99</v>
      </c>
      <c r="AL54" s="6">
        <v>84.4</v>
      </c>
      <c r="AN54" s="15">
        <v>97</v>
      </c>
      <c r="AO54" s="6">
        <v>116</v>
      </c>
      <c r="AP54" s="6">
        <v>49.4</v>
      </c>
      <c r="AQ54" s="6"/>
      <c r="AR54" s="6">
        <v>21.6</v>
      </c>
      <c r="AS54" s="6">
        <v>73</v>
      </c>
      <c r="AT54" s="6">
        <v>33</v>
      </c>
      <c r="AU54" s="6">
        <v>109</v>
      </c>
      <c r="AV54" s="6">
        <v>99</v>
      </c>
      <c r="DC54" s="91" t="s">
        <v>2512</v>
      </c>
      <c r="DD54" s="82">
        <v>0.78</v>
      </c>
      <c r="DE54" s="82">
        <v>147</v>
      </c>
      <c r="DF54" s="82">
        <v>103</v>
      </c>
      <c r="DG54" s="9" t="e">
        <f t="shared" si="0"/>
        <v>#VALUE!</v>
      </c>
      <c r="DH54" s="82">
        <v>20</v>
      </c>
      <c r="DI54" s="82">
        <v>5.4</v>
      </c>
      <c r="DJ54" s="82">
        <v>15.1</v>
      </c>
      <c r="DK54" s="6"/>
      <c r="DL54" s="6">
        <v>95.6</v>
      </c>
      <c r="DM54" s="6">
        <v>31.4</v>
      </c>
      <c r="DN54" s="6"/>
      <c r="DP54" s="11">
        <v>2</v>
      </c>
      <c r="DQ54" s="6" t="s">
        <v>114</v>
      </c>
    </row>
    <row r="55" spans="1:125" x14ac:dyDescent="0.2">
      <c r="A55" s="79">
        <v>176</v>
      </c>
      <c r="B55" s="8">
        <v>42909</v>
      </c>
      <c r="C55" s="6" t="s">
        <v>95</v>
      </c>
      <c r="D55" s="6">
        <v>38</v>
      </c>
      <c r="E55" s="6"/>
      <c r="G55" s="6"/>
      <c r="H55" s="6"/>
      <c r="L55" s="6"/>
      <c r="M55" s="6"/>
      <c r="N55" s="6"/>
      <c r="O55" s="6"/>
      <c r="P55" s="6"/>
      <c r="Q55" s="6"/>
      <c r="R55" s="6"/>
      <c r="S55" s="6"/>
      <c r="T55" s="6"/>
      <c r="U55" s="6"/>
      <c r="W55" s="6"/>
      <c r="X55" s="6"/>
      <c r="Y55" s="6"/>
      <c r="AB55" s="6"/>
      <c r="AC55" s="6"/>
      <c r="AE55" s="6"/>
      <c r="AF55" s="6"/>
      <c r="AG55" s="6"/>
      <c r="AH55" s="6"/>
      <c r="AI55" s="6"/>
      <c r="AJ55" s="6"/>
      <c r="AK55" s="6"/>
      <c r="AL55" s="6">
        <v>57</v>
      </c>
      <c r="AM55" s="9">
        <v>158</v>
      </c>
      <c r="AN55" s="6">
        <v>74</v>
      </c>
      <c r="AO55" s="6">
        <v>94</v>
      </c>
      <c r="AP55" s="6">
        <v>32.299999999999997</v>
      </c>
      <c r="AQ55" s="6">
        <v>5</v>
      </c>
      <c r="AR55" s="6">
        <v>28.5</v>
      </c>
      <c r="AS55" s="6">
        <v>38</v>
      </c>
      <c r="AT55" s="79">
        <v>22.8</v>
      </c>
      <c r="AU55" s="6">
        <v>106</v>
      </c>
      <c r="AV55" s="6">
        <v>75</v>
      </c>
      <c r="DC55" s="6">
        <v>84</v>
      </c>
      <c r="DD55" s="6">
        <v>0.71</v>
      </c>
      <c r="DE55" s="6">
        <v>131</v>
      </c>
      <c r="DF55" s="6">
        <v>100</v>
      </c>
      <c r="DG55" s="9">
        <f t="shared" si="0"/>
        <v>4.5179934924157026</v>
      </c>
      <c r="DH55" s="6">
        <v>20</v>
      </c>
      <c r="DI55" s="6">
        <v>5</v>
      </c>
      <c r="DJ55" s="6">
        <v>12.5</v>
      </c>
      <c r="DK55" s="6"/>
      <c r="DL55" s="6">
        <v>60</v>
      </c>
      <c r="DM55" s="6">
        <v>51</v>
      </c>
      <c r="DN55" s="6"/>
      <c r="DQ55" s="6" t="s">
        <v>99</v>
      </c>
      <c r="DU55" s="9">
        <v>8</v>
      </c>
    </row>
    <row r="56" spans="1:125" x14ac:dyDescent="0.2">
      <c r="A56" s="79">
        <v>181</v>
      </c>
      <c r="B56" s="8">
        <v>42821</v>
      </c>
      <c r="C56" s="6" t="s">
        <v>107</v>
      </c>
      <c r="D56" s="6">
        <v>20</v>
      </c>
      <c r="E56" s="6" t="s">
        <v>100</v>
      </c>
      <c r="F56" s="17">
        <v>35253</v>
      </c>
      <c r="G56" s="6" t="s">
        <v>2313</v>
      </c>
      <c r="H56" s="6"/>
      <c r="L56" s="6"/>
      <c r="M56" s="6" t="s">
        <v>483</v>
      </c>
      <c r="N56" s="6" t="s">
        <v>483</v>
      </c>
      <c r="O56" s="6" t="s">
        <v>99</v>
      </c>
      <c r="P56" s="6" t="s">
        <v>110</v>
      </c>
      <c r="Q56" s="6" t="s">
        <v>99</v>
      </c>
      <c r="R56" s="6"/>
      <c r="S56" s="6" t="s">
        <v>99</v>
      </c>
      <c r="T56" s="6" t="s">
        <v>99</v>
      </c>
      <c r="U56" s="6" t="s">
        <v>99</v>
      </c>
      <c r="V56" s="9" t="s">
        <v>99</v>
      </c>
      <c r="W56" s="6" t="s">
        <v>99</v>
      </c>
      <c r="X56" s="6"/>
      <c r="Y56" s="6" t="s">
        <v>99</v>
      </c>
      <c r="AA56" s="16" t="s">
        <v>840</v>
      </c>
      <c r="AB56" s="6" t="s">
        <v>100</v>
      </c>
      <c r="AC56" s="16" t="s">
        <v>840</v>
      </c>
      <c r="AD56" s="6" t="s">
        <v>100</v>
      </c>
      <c r="AE56" s="6" t="s">
        <v>99</v>
      </c>
      <c r="AF56" s="6" t="s">
        <v>99</v>
      </c>
      <c r="AG56" s="6" t="s">
        <v>2565</v>
      </c>
      <c r="AH56" s="6" t="s">
        <v>99</v>
      </c>
      <c r="AI56" s="6" t="s">
        <v>99</v>
      </c>
      <c r="AJ56" s="6" t="s">
        <v>99</v>
      </c>
      <c r="AK56" s="6"/>
      <c r="AL56" s="6">
        <v>60</v>
      </c>
      <c r="AN56" s="6">
        <v>70</v>
      </c>
      <c r="AO56" s="6">
        <v>70</v>
      </c>
      <c r="AP56" s="6">
        <v>14.3</v>
      </c>
      <c r="AQ56" s="6">
        <v>3</v>
      </c>
      <c r="AR56" s="6">
        <v>43.2</v>
      </c>
      <c r="AS56" s="6">
        <v>18</v>
      </c>
      <c r="AT56" s="79">
        <v>20</v>
      </c>
      <c r="AU56" s="6">
        <v>109</v>
      </c>
      <c r="AV56" s="6">
        <v>78</v>
      </c>
      <c r="AX56" s="9" t="s">
        <v>2566</v>
      </c>
      <c r="AY56" s="9" t="s">
        <v>729</v>
      </c>
      <c r="AZ56" s="9" t="s">
        <v>2567</v>
      </c>
      <c r="BB56" s="9" t="s">
        <v>750</v>
      </c>
      <c r="BC56" s="9" t="s">
        <v>364</v>
      </c>
      <c r="BD56" s="9" t="s">
        <v>2568</v>
      </c>
      <c r="BF56" s="9" t="s">
        <v>2569</v>
      </c>
      <c r="BG56" s="9" t="s">
        <v>2570</v>
      </c>
      <c r="BH56" s="9" t="s">
        <v>2571</v>
      </c>
      <c r="BI56" s="9" t="s">
        <v>175</v>
      </c>
      <c r="BJ56" s="9" t="s">
        <v>2571</v>
      </c>
      <c r="BK56" s="9" t="s">
        <v>2572</v>
      </c>
      <c r="BN56" s="9" t="s">
        <v>352</v>
      </c>
      <c r="BO56" s="9" t="s">
        <v>859</v>
      </c>
      <c r="BP56" s="9" t="s">
        <v>2573</v>
      </c>
      <c r="BV56" s="9" t="s">
        <v>857</v>
      </c>
      <c r="BW56" s="9" t="s">
        <v>734</v>
      </c>
      <c r="BX56" s="9" t="s">
        <v>2574</v>
      </c>
      <c r="BZ56" s="9" t="s">
        <v>183</v>
      </c>
      <c r="CA56" s="9" t="s">
        <v>182</v>
      </c>
      <c r="CB56" s="9" t="s">
        <v>1514</v>
      </c>
      <c r="CH56" s="9" t="s">
        <v>2575</v>
      </c>
      <c r="CL56" s="9" t="s">
        <v>824</v>
      </c>
      <c r="CM56" s="9" t="s">
        <v>2576</v>
      </c>
      <c r="CN56" s="9" t="s">
        <v>2577</v>
      </c>
      <c r="CP56" s="9" t="s">
        <v>2578</v>
      </c>
      <c r="CQ56" s="9" t="s">
        <v>2579</v>
      </c>
      <c r="CR56" s="9" t="s">
        <v>2560</v>
      </c>
      <c r="CT56" s="9" t="s">
        <v>2580</v>
      </c>
      <c r="CU56" s="9" t="s">
        <v>2581</v>
      </c>
      <c r="CV56" s="9" t="s">
        <v>2582</v>
      </c>
      <c r="CW56" s="45">
        <v>43497</v>
      </c>
      <c r="DC56" s="6">
        <v>80</v>
      </c>
      <c r="DD56" s="6">
        <v>1.2</v>
      </c>
      <c r="DE56" s="6">
        <v>132</v>
      </c>
      <c r="DF56" s="6">
        <v>125</v>
      </c>
      <c r="DG56" s="9">
        <f t="shared" si="0"/>
        <v>4.6051701859880918</v>
      </c>
      <c r="DH56" s="6"/>
      <c r="DI56" s="6">
        <v>5.8</v>
      </c>
      <c r="DJ56" s="6">
        <v>10</v>
      </c>
      <c r="DK56" s="6"/>
      <c r="DL56" s="6">
        <v>55.5</v>
      </c>
      <c r="DM56" s="6">
        <v>70</v>
      </c>
      <c r="DN56" s="6"/>
      <c r="DP56" s="18">
        <v>1</v>
      </c>
      <c r="DQ56" s="6" t="s">
        <v>111</v>
      </c>
      <c r="DR56" s="9">
        <v>2</v>
      </c>
      <c r="DT56" s="9">
        <v>11</v>
      </c>
      <c r="DU56" s="9">
        <v>7.14</v>
      </c>
    </row>
    <row r="57" spans="1:125" x14ac:dyDescent="0.2">
      <c r="A57" s="79">
        <v>184</v>
      </c>
      <c r="B57" s="8">
        <v>42460</v>
      </c>
      <c r="C57" s="6" t="s">
        <v>95</v>
      </c>
      <c r="D57" s="6">
        <v>18</v>
      </c>
      <c r="E57" s="6" t="s">
        <v>100</v>
      </c>
      <c r="F57" s="17">
        <v>36033</v>
      </c>
      <c r="G57" s="6"/>
      <c r="H57" s="6"/>
      <c r="I57" s="9">
        <v>15</v>
      </c>
      <c r="J57" s="9" t="s">
        <v>483</v>
      </c>
      <c r="L57" s="6" t="s">
        <v>99</v>
      </c>
      <c r="M57" s="6"/>
      <c r="N57" s="6"/>
      <c r="O57" s="6"/>
      <c r="P57" s="6" t="s">
        <v>99</v>
      </c>
      <c r="Q57" s="15" t="s">
        <v>110</v>
      </c>
      <c r="R57" s="79" t="s">
        <v>99</v>
      </c>
      <c r="S57" s="6" t="s">
        <v>110</v>
      </c>
      <c r="T57" s="6" t="s">
        <v>99</v>
      </c>
      <c r="U57" s="6"/>
      <c r="W57" s="6"/>
      <c r="X57" s="6"/>
      <c r="Y57" s="6" t="s">
        <v>99</v>
      </c>
      <c r="AA57" s="9" t="s">
        <v>100</v>
      </c>
      <c r="AB57" s="80" t="s">
        <v>1015</v>
      </c>
      <c r="AC57" s="6" t="s">
        <v>100</v>
      </c>
      <c r="AD57" s="16" t="s">
        <v>840</v>
      </c>
      <c r="AE57" s="6"/>
      <c r="AF57" s="6"/>
      <c r="AG57" s="6"/>
      <c r="AH57" s="6"/>
      <c r="AI57" s="6"/>
      <c r="AJ57" s="6"/>
      <c r="AK57" s="6"/>
      <c r="AL57" s="6">
        <v>63</v>
      </c>
      <c r="AN57" s="6">
        <v>71</v>
      </c>
      <c r="AO57" s="6"/>
      <c r="AP57" s="6"/>
      <c r="AQ57" s="6"/>
      <c r="AR57" s="6"/>
      <c r="AS57" s="6"/>
      <c r="AT57" s="79">
        <v>23.7</v>
      </c>
      <c r="AU57" s="6">
        <v>90</v>
      </c>
      <c r="AV57" s="6">
        <v>69</v>
      </c>
      <c r="DC57" s="6">
        <v>80</v>
      </c>
      <c r="DD57" s="6">
        <v>0.33</v>
      </c>
      <c r="DE57" s="6">
        <v>152</v>
      </c>
      <c r="DF57" s="6">
        <v>140</v>
      </c>
      <c r="DG57" s="9">
        <f t="shared" si="0"/>
        <v>4.6618345286415925</v>
      </c>
      <c r="DH57" s="6">
        <v>7</v>
      </c>
      <c r="DI57" s="6">
        <v>5.8</v>
      </c>
      <c r="DJ57" s="6">
        <v>13</v>
      </c>
      <c r="DK57" s="6"/>
      <c r="DL57" s="6">
        <v>76</v>
      </c>
      <c r="DM57" s="6">
        <v>69</v>
      </c>
      <c r="DN57" s="6"/>
      <c r="DQ57" s="6" t="s">
        <v>111</v>
      </c>
      <c r="DR57" s="9">
        <v>3</v>
      </c>
    </row>
    <row r="58" spans="1:125" x14ac:dyDescent="0.2">
      <c r="A58" s="79">
        <v>189</v>
      </c>
      <c r="B58" s="8">
        <v>42976</v>
      </c>
      <c r="C58" s="6" t="s">
        <v>196</v>
      </c>
      <c r="D58" s="6">
        <v>46</v>
      </c>
      <c r="E58" s="6" t="s">
        <v>100</v>
      </c>
      <c r="F58" s="17">
        <v>25920</v>
      </c>
      <c r="G58" s="6" t="s">
        <v>197</v>
      </c>
      <c r="H58" s="6" t="s">
        <v>2628</v>
      </c>
      <c r="I58" s="9">
        <v>12</v>
      </c>
      <c r="J58" s="10">
        <v>2016</v>
      </c>
      <c r="L58" s="6" t="s">
        <v>99</v>
      </c>
      <c r="M58" s="6" t="s">
        <v>99</v>
      </c>
      <c r="N58" s="6" t="s">
        <v>99</v>
      </c>
      <c r="O58" s="6" t="s">
        <v>99</v>
      </c>
      <c r="P58" s="6" t="s">
        <v>110</v>
      </c>
      <c r="Q58" s="6" t="s">
        <v>110</v>
      </c>
      <c r="R58" s="6" t="s">
        <v>99</v>
      </c>
      <c r="S58" s="6" t="s">
        <v>110</v>
      </c>
      <c r="T58" s="6" t="s">
        <v>110</v>
      </c>
      <c r="U58" s="6" t="s">
        <v>2629</v>
      </c>
      <c r="W58" s="6" t="s">
        <v>2630</v>
      </c>
      <c r="X58" s="6"/>
      <c r="Y58" s="6" t="s">
        <v>1903</v>
      </c>
      <c r="AA58" s="6" t="s">
        <v>100</v>
      </c>
      <c r="AB58" s="6" t="s">
        <v>100</v>
      </c>
      <c r="AC58" s="6" t="s">
        <v>100</v>
      </c>
      <c r="AD58" s="6" t="s">
        <v>100</v>
      </c>
      <c r="AE58" s="15" t="s">
        <v>2631</v>
      </c>
      <c r="AF58" s="15" t="s">
        <v>118</v>
      </c>
      <c r="AG58" s="15" t="s">
        <v>125</v>
      </c>
      <c r="AH58" s="15" t="s">
        <v>2320</v>
      </c>
      <c r="AI58" s="6" t="s">
        <v>99</v>
      </c>
      <c r="AJ58" s="6"/>
      <c r="AK58" s="15" t="s">
        <v>2632</v>
      </c>
      <c r="AL58" s="6">
        <v>52.7</v>
      </c>
      <c r="AM58" s="9">
        <v>170</v>
      </c>
      <c r="AN58" s="6">
        <v>71</v>
      </c>
      <c r="AO58" s="6">
        <v>92</v>
      </c>
      <c r="AP58" s="6">
        <v>22.2</v>
      </c>
      <c r="AQ58" s="6">
        <v>3</v>
      </c>
      <c r="AR58" s="6">
        <v>31</v>
      </c>
      <c r="AS58" s="6">
        <v>18</v>
      </c>
      <c r="AT58" s="79">
        <v>18.2</v>
      </c>
      <c r="AU58" s="6">
        <v>107</v>
      </c>
      <c r="AV58" s="6">
        <v>75</v>
      </c>
      <c r="AX58" s="9" t="s">
        <v>666</v>
      </c>
      <c r="AY58" s="9" t="s">
        <v>2633</v>
      </c>
      <c r="AZ58" s="9" t="s">
        <v>2634</v>
      </c>
      <c r="BB58" s="9" t="s">
        <v>2635</v>
      </c>
      <c r="BC58" s="9" t="s">
        <v>2053</v>
      </c>
      <c r="BF58" s="9" t="s">
        <v>2606</v>
      </c>
      <c r="BG58" s="9" t="s">
        <v>2606</v>
      </c>
      <c r="BH58" s="9" t="s">
        <v>2570</v>
      </c>
      <c r="BI58" s="9" t="s">
        <v>2570</v>
      </c>
      <c r="BJ58" s="9" t="s">
        <v>852</v>
      </c>
      <c r="BK58" s="9" t="s">
        <v>2570</v>
      </c>
      <c r="BN58" s="9" t="s">
        <v>2636</v>
      </c>
      <c r="BO58" s="9" t="s">
        <v>2637</v>
      </c>
      <c r="BP58" s="9" t="s">
        <v>2638</v>
      </c>
      <c r="BR58" s="9" t="s">
        <v>99</v>
      </c>
      <c r="BV58" s="9" t="s">
        <v>2639</v>
      </c>
      <c r="BZ58" s="9" t="s">
        <v>807</v>
      </c>
      <c r="CA58" s="9" t="s">
        <v>2640</v>
      </c>
      <c r="CB58" s="9" t="s">
        <v>808</v>
      </c>
      <c r="CL58" s="9" t="s">
        <v>823</v>
      </c>
      <c r="CM58" s="9" t="s">
        <v>824</v>
      </c>
      <c r="CP58" s="9" t="s">
        <v>890</v>
      </c>
      <c r="CQ58" s="9" t="s">
        <v>2641</v>
      </c>
      <c r="CT58" s="9" t="s">
        <v>2642</v>
      </c>
      <c r="CW58" s="9">
        <v>3</v>
      </c>
      <c r="CX58" s="9" t="s">
        <v>110</v>
      </c>
      <c r="CY58" s="9" t="s">
        <v>2643</v>
      </c>
      <c r="DC58" s="6">
        <v>79</v>
      </c>
      <c r="DD58" s="6">
        <v>0.63</v>
      </c>
      <c r="DE58" s="6">
        <v>189</v>
      </c>
      <c r="DF58" s="96" t="s">
        <v>2644</v>
      </c>
      <c r="DG58" s="9" t="e">
        <f t="shared" si="0"/>
        <v>#VALUE!</v>
      </c>
      <c r="DH58" s="13">
        <v>28.8</v>
      </c>
      <c r="DI58" s="6">
        <v>3.7</v>
      </c>
      <c r="DJ58" s="6"/>
      <c r="DK58" s="6"/>
      <c r="DL58" s="6">
        <v>80</v>
      </c>
      <c r="DM58" s="6">
        <v>80</v>
      </c>
      <c r="DN58" s="6"/>
      <c r="DP58" s="11">
        <v>3</v>
      </c>
      <c r="DQ58" s="6" t="s">
        <v>111</v>
      </c>
      <c r="DR58" s="9">
        <v>3</v>
      </c>
    </row>
    <row r="59" spans="1:125" x14ac:dyDescent="0.2">
      <c r="A59" s="79">
        <v>190</v>
      </c>
      <c r="B59" s="8">
        <v>42801</v>
      </c>
      <c r="C59" s="6" t="s">
        <v>196</v>
      </c>
      <c r="D59" s="6">
        <v>33</v>
      </c>
      <c r="E59" s="6" t="s">
        <v>100</v>
      </c>
      <c r="G59" s="6" t="s">
        <v>2645</v>
      </c>
      <c r="H59" s="6"/>
      <c r="J59" s="9" t="s">
        <v>99</v>
      </c>
      <c r="L59" s="6" t="s">
        <v>99</v>
      </c>
      <c r="M59" s="6" t="s">
        <v>99</v>
      </c>
      <c r="N59" s="9" t="s">
        <v>99</v>
      </c>
      <c r="O59" s="9" t="s">
        <v>99</v>
      </c>
      <c r="P59" s="6" t="s">
        <v>2646</v>
      </c>
      <c r="Q59" s="6" t="s">
        <v>110</v>
      </c>
      <c r="R59" s="6"/>
      <c r="S59" s="6" t="s">
        <v>483</v>
      </c>
      <c r="T59" s="6" t="s">
        <v>588</v>
      </c>
      <c r="U59" s="6" t="s">
        <v>2647</v>
      </c>
      <c r="W59" s="6" t="s">
        <v>2648</v>
      </c>
      <c r="X59" s="6"/>
      <c r="Y59" s="6" t="s">
        <v>2649</v>
      </c>
      <c r="AA59" s="9" t="s">
        <v>2234</v>
      </c>
      <c r="AB59" s="6" t="s">
        <v>100</v>
      </c>
      <c r="AC59" s="9" t="s">
        <v>2234</v>
      </c>
      <c r="AD59" s="6" t="s">
        <v>100</v>
      </c>
      <c r="AE59" s="9" t="s">
        <v>99</v>
      </c>
      <c r="AF59" s="6" t="s">
        <v>99</v>
      </c>
      <c r="AG59" s="15" t="s">
        <v>2650</v>
      </c>
      <c r="AH59" s="15" t="s">
        <v>135</v>
      </c>
      <c r="AI59" s="6" t="s">
        <v>99</v>
      </c>
      <c r="AJ59" s="6"/>
      <c r="AK59" s="6"/>
      <c r="AL59" s="6">
        <v>67</v>
      </c>
      <c r="AN59" s="6">
        <v>74.5</v>
      </c>
      <c r="AO59" s="6">
        <v>99</v>
      </c>
      <c r="AP59" s="6">
        <v>36.700000000000003</v>
      </c>
      <c r="AQ59" s="6">
        <v>4</v>
      </c>
      <c r="AR59" s="6">
        <v>25.3</v>
      </c>
      <c r="AS59" s="6">
        <v>31</v>
      </c>
      <c r="AT59" s="79">
        <v>22.5</v>
      </c>
      <c r="AU59" s="6">
        <v>93</v>
      </c>
      <c r="AV59" s="6">
        <v>68</v>
      </c>
      <c r="AX59" s="9" t="s">
        <v>729</v>
      </c>
      <c r="AY59" s="9" t="s">
        <v>2567</v>
      </c>
      <c r="AZ59" s="9" t="s">
        <v>2651</v>
      </c>
      <c r="BB59" s="9" t="s">
        <v>750</v>
      </c>
      <c r="BC59" s="9" t="s">
        <v>2652</v>
      </c>
      <c r="BD59" s="9" t="s">
        <v>1080</v>
      </c>
      <c r="BF59" s="9" t="s">
        <v>2653</v>
      </c>
      <c r="BH59" s="9" t="s">
        <v>110</v>
      </c>
      <c r="BI59" s="9" t="s">
        <v>2654</v>
      </c>
      <c r="BJ59" s="9" t="s">
        <v>2655</v>
      </c>
      <c r="BK59" s="9" t="s">
        <v>2656</v>
      </c>
      <c r="BN59" s="9" t="s">
        <v>352</v>
      </c>
      <c r="BO59" s="9" t="s">
        <v>859</v>
      </c>
      <c r="BP59" s="14" t="s">
        <v>2657</v>
      </c>
      <c r="BQ59" s="9" t="s">
        <v>99</v>
      </c>
      <c r="BV59" s="9" t="s">
        <v>857</v>
      </c>
      <c r="BW59" s="9" t="s">
        <v>2658</v>
      </c>
      <c r="BZ59" s="9" t="s">
        <v>182</v>
      </c>
      <c r="CA59" s="9" t="s">
        <v>709</v>
      </c>
      <c r="CB59" s="9" t="s">
        <v>183</v>
      </c>
      <c r="CD59" s="9" t="s">
        <v>821</v>
      </c>
      <c r="CL59" s="9" t="s">
        <v>1181</v>
      </c>
      <c r="CM59" s="9" t="s">
        <v>2659</v>
      </c>
      <c r="CN59" s="9" t="s">
        <v>2660</v>
      </c>
      <c r="CP59" s="9" t="s">
        <v>362</v>
      </c>
      <c r="CQ59" s="9" t="s">
        <v>2661</v>
      </c>
      <c r="CT59" s="9" t="s">
        <v>363</v>
      </c>
      <c r="CU59" s="9" t="s">
        <v>187</v>
      </c>
      <c r="CV59" s="9" t="s">
        <v>2662</v>
      </c>
      <c r="DC59" s="82">
        <v>84</v>
      </c>
      <c r="DD59" s="82">
        <v>1</v>
      </c>
      <c r="DE59" s="82">
        <v>150</v>
      </c>
      <c r="DF59" s="82">
        <v>132</v>
      </c>
      <c r="DG59" s="9">
        <f t="shared" si="0"/>
        <v>4.656809360714842</v>
      </c>
      <c r="DH59" s="82">
        <v>6</v>
      </c>
      <c r="DI59" s="82">
        <v>5.5</v>
      </c>
      <c r="DJ59" s="82">
        <v>7</v>
      </c>
      <c r="DK59" s="6"/>
      <c r="DL59" s="6">
        <v>65</v>
      </c>
      <c r="DM59" s="6">
        <v>79</v>
      </c>
      <c r="DN59" s="6"/>
      <c r="DQ59" s="6" t="s">
        <v>114</v>
      </c>
      <c r="DR59" s="9">
        <v>3</v>
      </c>
    </row>
    <row r="60" spans="1:125" x14ac:dyDescent="0.2">
      <c r="A60" s="79">
        <v>191</v>
      </c>
      <c r="B60" s="8">
        <v>42801</v>
      </c>
      <c r="C60" s="6" t="s">
        <v>196</v>
      </c>
      <c r="D60" s="6">
        <v>28</v>
      </c>
      <c r="E60" s="6" t="s">
        <v>100</v>
      </c>
      <c r="G60" s="6" t="s">
        <v>2663</v>
      </c>
      <c r="H60" s="6"/>
      <c r="J60" s="9" t="s">
        <v>99</v>
      </c>
      <c r="L60" s="6" t="s">
        <v>99</v>
      </c>
      <c r="M60" s="6" t="s">
        <v>99</v>
      </c>
      <c r="N60" s="9" t="s">
        <v>99</v>
      </c>
      <c r="O60" s="9" t="s">
        <v>99</v>
      </c>
      <c r="P60" s="6" t="s">
        <v>99</v>
      </c>
      <c r="Q60" s="6" t="s">
        <v>110</v>
      </c>
      <c r="R60" s="6" t="s">
        <v>483</v>
      </c>
      <c r="S60" s="6" t="s">
        <v>483</v>
      </c>
      <c r="T60" s="6" t="s">
        <v>483</v>
      </c>
      <c r="U60" s="6" t="s">
        <v>99</v>
      </c>
      <c r="V60" s="9" t="s">
        <v>99</v>
      </c>
      <c r="W60" s="6" t="s">
        <v>99</v>
      </c>
      <c r="X60" s="6"/>
      <c r="Y60" s="6"/>
      <c r="AA60" s="9" t="s">
        <v>1123</v>
      </c>
      <c r="AB60" s="6" t="s">
        <v>100</v>
      </c>
      <c r="AC60" s="6"/>
      <c r="AE60" s="15" t="s">
        <v>1104</v>
      </c>
      <c r="AF60" s="6" t="s">
        <v>99</v>
      </c>
      <c r="AG60" s="15" t="s">
        <v>2664</v>
      </c>
      <c r="AH60" s="15" t="s">
        <v>406</v>
      </c>
      <c r="AI60" s="6" t="s">
        <v>99</v>
      </c>
      <c r="AJ60" s="6"/>
      <c r="AK60" s="6"/>
      <c r="AL60" s="6">
        <v>51</v>
      </c>
      <c r="AN60" s="6">
        <v>73.5</v>
      </c>
      <c r="AO60" s="6">
        <v>93.5</v>
      </c>
      <c r="AP60" s="6">
        <v>32.200000000000003</v>
      </c>
      <c r="AQ60" s="6">
        <v>3</v>
      </c>
      <c r="AR60" s="6">
        <v>22.5</v>
      </c>
      <c r="AS60" s="6">
        <v>18</v>
      </c>
      <c r="AT60" s="79">
        <v>20.2</v>
      </c>
      <c r="AU60" s="6">
        <v>96</v>
      </c>
      <c r="AV60" s="6">
        <v>75</v>
      </c>
      <c r="AX60" s="9" t="s">
        <v>187</v>
      </c>
      <c r="AY60" s="9" t="s">
        <v>2566</v>
      </c>
      <c r="AZ60" s="9" t="s">
        <v>573</v>
      </c>
      <c r="BB60" s="9" t="s">
        <v>750</v>
      </c>
      <c r="BC60" s="9" t="s">
        <v>2665</v>
      </c>
      <c r="BD60" s="9" t="s">
        <v>2666</v>
      </c>
      <c r="BF60" s="9" t="s">
        <v>2667</v>
      </c>
      <c r="BG60" s="9" t="s">
        <v>110</v>
      </c>
      <c r="BH60" s="9" t="s">
        <v>110</v>
      </c>
      <c r="BI60" s="9" t="s">
        <v>110</v>
      </c>
      <c r="BJ60" s="9" t="s">
        <v>110</v>
      </c>
      <c r="BK60" s="9" t="s">
        <v>2668</v>
      </c>
      <c r="BM60" s="9" t="s">
        <v>352</v>
      </c>
      <c r="BR60" s="9" t="s">
        <v>2669</v>
      </c>
      <c r="BS60" s="9" t="s">
        <v>178</v>
      </c>
      <c r="BT60" s="9" t="s">
        <v>2670</v>
      </c>
      <c r="BV60" s="9" t="s">
        <v>857</v>
      </c>
      <c r="BW60" s="9" t="s">
        <v>734</v>
      </c>
      <c r="BX60" s="9" t="s">
        <v>179</v>
      </c>
      <c r="BZ60" s="9" t="s">
        <v>182</v>
      </c>
      <c r="CA60" s="9" t="s">
        <v>183</v>
      </c>
      <c r="CB60" s="9" t="s">
        <v>2096</v>
      </c>
      <c r="CD60" s="9" t="s">
        <v>2671</v>
      </c>
      <c r="CL60" s="9" t="s">
        <v>1181</v>
      </c>
      <c r="CM60" s="9" t="s">
        <v>825</v>
      </c>
      <c r="CN60" s="9" t="s">
        <v>2672</v>
      </c>
      <c r="CP60" s="9" t="s">
        <v>2594</v>
      </c>
      <c r="CQ60" s="9" t="s">
        <v>2673</v>
      </c>
      <c r="CR60" s="9" t="s">
        <v>2674</v>
      </c>
      <c r="CT60" s="9" t="s">
        <v>187</v>
      </c>
      <c r="CU60" s="9" t="s">
        <v>2675</v>
      </c>
      <c r="CV60" s="9" t="s">
        <v>1725</v>
      </c>
      <c r="DC60" s="82">
        <v>85</v>
      </c>
      <c r="DD60" s="82">
        <v>0.9</v>
      </c>
      <c r="DE60" s="82">
        <v>175</v>
      </c>
      <c r="DF60" s="82">
        <v>149</v>
      </c>
      <c r="DG60" s="9">
        <f t="shared" si="0"/>
        <v>4.7232987812178875</v>
      </c>
      <c r="DH60" s="82">
        <v>18</v>
      </c>
      <c r="DI60" s="82">
        <v>5.8</v>
      </c>
      <c r="DJ60" s="82">
        <v>11</v>
      </c>
      <c r="DK60" s="6"/>
      <c r="DL60" s="6">
        <v>57</v>
      </c>
      <c r="DM60" s="6">
        <v>100</v>
      </c>
      <c r="DN60" s="6"/>
      <c r="DQ60" s="6" t="s">
        <v>114</v>
      </c>
      <c r="DR60" s="9">
        <v>2</v>
      </c>
      <c r="DU60" s="9">
        <v>7.5</v>
      </c>
    </row>
    <row r="61" spans="1:125" ht="16" x14ac:dyDescent="0.2">
      <c r="A61" s="6">
        <v>193</v>
      </c>
      <c r="B61" s="97">
        <v>42894</v>
      </c>
      <c r="C61" s="6" t="s">
        <v>95</v>
      </c>
      <c r="D61" s="6">
        <v>41</v>
      </c>
      <c r="E61" s="88" t="s">
        <v>2686</v>
      </c>
      <c r="F61" s="17">
        <v>27669</v>
      </c>
      <c r="G61" s="6" t="s">
        <v>2687</v>
      </c>
      <c r="H61" s="6"/>
      <c r="I61" s="9">
        <v>14</v>
      </c>
      <c r="J61" s="9" t="s">
        <v>99</v>
      </c>
      <c r="L61" s="6"/>
      <c r="M61" s="6" t="s">
        <v>483</v>
      </c>
      <c r="N61" s="6" t="s">
        <v>483</v>
      </c>
      <c r="O61" s="15" t="s">
        <v>588</v>
      </c>
      <c r="P61" s="6" t="s">
        <v>99</v>
      </c>
      <c r="Q61" s="6" t="s">
        <v>483</v>
      </c>
      <c r="R61" s="6" t="s">
        <v>483</v>
      </c>
      <c r="S61" s="6" t="s">
        <v>2688</v>
      </c>
      <c r="T61" s="6" t="s">
        <v>588</v>
      </c>
      <c r="U61" s="6" t="s">
        <v>2689</v>
      </c>
      <c r="W61" s="6"/>
      <c r="X61" s="6"/>
      <c r="Y61" s="6" t="s">
        <v>99</v>
      </c>
      <c r="AA61" s="88" t="s">
        <v>2686</v>
      </c>
      <c r="AB61" s="88" t="s">
        <v>2686</v>
      </c>
      <c r="AC61" s="88" t="s">
        <v>2686</v>
      </c>
      <c r="AD61" s="88" t="s">
        <v>2686</v>
      </c>
      <c r="AE61" s="15" t="s">
        <v>1232</v>
      </c>
      <c r="AF61" s="15" t="s">
        <v>1232</v>
      </c>
      <c r="AG61" s="15" t="s">
        <v>1232</v>
      </c>
      <c r="AH61" s="6" t="s">
        <v>99</v>
      </c>
      <c r="AI61" s="15" t="s">
        <v>1232</v>
      </c>
      <c r="AJ61" s="6" t="s">
        <v>99</v>
      </c>
      <c r="AK61" s="15" t="s">
        <v>2690</v>
      </c>
      <c r="AL61" s="6">
        <v>64</v>
      </c>
      <c r="AN61" s="19">
        <v>79.5</v>
      </c>
      <c r="AO61" s="6">
        <v>108.5</v>
      </c>
      <c r="AP61" s="6">
        <v>36.9</v>
      </c>
      <c r="AQ61" s="6">
        <v>6</v>
      </c>
      <c r="AR61" s="6">
        <v>27</v>
      </c>
      <c r="AS61" s="6">
        <v>47</v>
      </c>
      <c r="AT61" s="19">
        <v>25.3</v>
      </c>
      <c r="AU61" s="6">
        <v>110</v>
      </c>
      <c r="AV61" s="6">
        <v>76</v>
      </c>
      <c r="AX61" s="9" t="s">
        <v>2691</v>
      </c>
      <c r="AY61" s="9" t="s">
        <v>729</v>
      </c>
      <c r="AZ61" s="9" t="s">
        <v>2651</v>
      </c>
      <c r="BB61" s="9" t="s">
        <v>750</v>
      </c>
      <c r="BC61" s="9" t="s">
        <v>1080</v>
      </c>
      <c r="BD61" s="9" t="s">
        <v>2692</v>
      </c>
      <c r="BF61" s="9" t="s">
        <v>2653</v>
      </c>
      <c r="BG61" s="9">
        <v>2</v>
      </c>
      <c r="BH61" s="9" t="s">
        <v>852</v>
      </c>
      <c r="BI61" s="9" t="s">
        <v>852</v>
      </c>
      <c r="BJ61" s="9" t="s">
        <v>2693</v>
      </c>
      <c r="BK61" s="9" t="s">
        <v>852</v>
      </c>
      <c r="BN61" s="9" t="s">
        <v>179</v>
      </c>
      <c r="BO61" s="9" t="s">
        <v>2694</v>
      </c>
      <c r="BP61" s="14" t="s">
        <v>857</v>
      </c>
      <c r="BR61" s="9" t="s">
        <v>2695</v>
      </c>
      <c r="BV61" s="9" t="s">
        <v>852</v>
      </c>
      <c r="BZ61" s="9" t="s">
        <v>183</v>
      </c>
      <c r="CA61" s="9" t="s">
        <v>709</v>
      </c>
      <c r="CB61" s="9" t="s">
        <v>2696</v>
      </c>
      <c r="CD61" s="9" t="s">
        <v>99</v>
      </c>
      <c r="CH61" s="9" t="s">
        <v>99</v>
      </c>
      <c r="CL61" s="9" t="s">
        <v>1181</v>
      </c>
      <c r="CM61" s="9" t="s">
        <v>685</v>
      </c>
      <c r="CN61" s="9" t="s">
        <v>1180</v>
      </c>
      <c r="CP61" s="9" t="s">
        <v>361</v>
      </c>
      <c r="CQ61" s="9" t="s">
        <v>2534</v>
      </c>
      <c r="CR61" s="9" t="s">
        <v>2697</v>
      </c>
      <c r="CT61" s="9" t="s">
        <v>2567</v>
      </c>
      <c r="CU61" s="9" t="s">
        <v>2698</v>
      </c>
      <c r="CW61" s="9">
        <v>3</v>
      </c>
      <c r="CX61" s="9" t="s">
        <v>110</v>
      </c>
      <c r="CY61" s="9" t="s">
        <v>99</v>
      </c>
      <c r="DC61" s="6">
        <v>79</v>
      </c>
      <c r="DD61" s="6">
        <v>1</v>
      </c>
      <c r="DE61" s="15">
        <v>215</v>
      </c>
      <c r="DF61" s="6">
        <v>146</v>
      </c>
      <c r="DG61" s="9">
        <f t="shared" si="0"/>
        <v>4.6765272370876794</v>
      </c>
      <c r="DH61" s="6">
        <v>29.2</v>
      </c>
      <c r="DI61" s="6">
        <v>4.5</v>
      </c>
      <c r="DJ61" s="6">
        <v>11.1</v>
      </c>
      <c r="DK61" s="6"/>
      <c r="DL61" s="6">
        <v>62</v>
      </c>
      <c r="DM61" s="6">
        <v>123.8</v>
      </c>
      <c r="DN61" s="6"/>
      <c r="DP61" s="11">
        <v>2</v>
      </c>
      <c r="DQ61" s="6" t="s">
        <v>111</v>
      </c>
      <c r="DR61" s="9">
        <v>2</v>
      </c>
    </row>
    <row r="62" spans="1:125" ht="16" x14ac:dyDescent="0.2">
      <c r="A62" s="19">
        <v>195</v>
      </c>
      <c r="B62" s="97">
        <v>42894</v>
      </c>
      <c r="C62" s="6" t="s">
        <v>95</v>
      </c>
      <c r="D62" s="6">
        <v>22</v>
      </c>
      <c r="E62" s="85" t="s">
        <v>2709</v>
      </c>
      <c r="F62" s="17">
        <v>34773</v>
      </c>
      <c r="G62" s="6" t="s">
        <v>1509</v>
      </c>
      <c r="H62" s="6"/>
      <c r="I62" s="9">
        <v>12</v>
      </c>
      <c r="J62" s="9" t="s">
        <v>99</v>
      </c>
      <c r="L62" s="6" t="s">
        <v>99</v>
      </c>
      <c r="M62" s="6" t="s">
        <v>99</v>
      </c>
      <c r="N62" s="9" t="s">
        <v>99</v>
      </c>
      <c r="O62" s="9" t="s">
        <v>99</v>
      </c>
      <c r="P62" s="6" t="s">
        <v>99</v>
      </c>
      <c r="Q62" s="6" t="s">
        <v>110</v>
      </c>
      <c r="R62" s="6" t="s">
        <v>110</v>
      </c>
      <c r="S62" s="6" t="s">
        <v>110</v>
      </c>
      <c r="T62" s="6" t="s">
        <v>99</v>
      </c>
      <c r="U62" s="6" t="s">
        <v>99</v>
      </c>
      <c r="W62" s="6" t="s">
        <v>2710</v>
      </c>
      <c r="X62" s="6"/>
      <c r="Y62" s="6" t="s">
        <v>99</v>
      </c>
      <c r="AA62" s="85" t="s">
        <v>2709</v>
      </c>
      <c r="AB62" s="85" t="s">
        <v>2709</v>
      </c>
      <c r="AC62" s="85" t="s">
        <v>2711</v>
      </c>
      <c r="AD62" s="85" t="s">
        <v>1001</v>
      </c>
      <c r="AE62" s="15" t="s">
        <v>2712</v>
      </c>
      <c r="AF62" s="15" t="s">
        <v>2712</v>
      </c>
      <c r="AG62" s="15" t="s">
        <v>2713</v>
      </c>
      <c r="AH62" s="15" t="s">
        <v>2714</v>
      </c>
      <c r="AI62" s="6" t="s">
        <v>99</v>
      </c>
      <c r="AJ62" s="6" t="s">
        <v>99</v>
      </c>
      <c r="AK62" s="6" t="s">
        <v>99</v>
      </c>
      <c r="AL62" s="6">
        <v>64</v>
      </c>
      <c r="AM62" s="9">
        <v>157</v>
      </c>
      <c r="AN62" s="6">
        <v>77</v>
      </c>
      <c r="AO62" s="6">
        <v>102</v>
      </c>
      <c r="AP62" s="6">
        <v>33.700000000000003</v>
      </c>
      <c r="AQ62" s="6">
        <v>4</v>
      </c>
      <c r="AR62" s="6">
        <v>28.1</v>
      </c>
      <c r="AS62" s="6">
        <v>27</v>
      </c>
      <c r="AT62" s="79">
        <v>24.7</v>
      </c>
      <c r="AU62" s="6">
        <v>102</v>
      </c>
      <c r="AV62" s="6">
        <v>70</v>
      </c>
      <c r="DC62" s="6">
        <v>82.19</v>
      </c>
      <c r="DD62" s="6">
        <v>0.9</v>
      </c>
      <c r="DE62" s="6">
        <v>150</v>
      </c>
      <c r="DF62" s="15">
        <v>150</v>
      </c>
      <c r="DG62" s="9">
        <f t="shared" si="0"/>
        <v>4.7098344671283323</v>
      </c>
      <c r="DH62" s="6">
        <v>30</v>
      </c>
      <c r="DI62" s="6">
        <v>6</v>
      </c>
      <c r="DJ62" s="6">
        <v>11.6</v>
      </c>
      <c r="DK62" s="6"/>
      <c r="DL62" s="6">
        <v>52</v>
      </c>
      <c r="DM62" s="6">
        <v>68</v>
      </c>
      <c r="DN62" s="6"/>
      <c r="DQ62" s="6" t="s">
        <v>111</v>
      </c>
      <c r="DR62" s="9">
        <v>3</v>
      </c>
      <c r="DU62" s="9">
        <v>12.65</v>
      </c>
    </row>
    <row r="63" spans="1:125" ht="16" x14ac:dyDescent="0.2">
      <c r="A63" s="79">
        <v>196</v>
      </c>
      <c r="B63" s="97">
        <v>42894</v>
      </c>
      <c r="C63" s="6" t="s">
        <v>95</v>
      </c>
      <c r="D63" s="6">
        <v>21</v>
      </c>
      <c r="E63" s="6" t="s">
        <v>100</v>
      </c>
      <c r="F63" s="17">
        <v>34871</v>
      </c>
      <c r="G63" s="6" t="s">
        <v>1509</v>
      </c>
      <c r="H63" s="6"/>
      <c r="I63" s="9">
        <v>14</v>
      </c>
      <c r="J63" s="9" t="s">
        <v>99</v>
      </c>
      <c r="K63" s="9" t="s">
        <v>99</v>
      </c>
      <c r="L63" s="6" t="s">
        <v>99</v>
      </c>
      <c r="M63" s="9" t="s">
        <v>99</v>
      </c>
      <c r="N63" s="9" t="s">
        <v>99</v>
      </c>
      <c r="O63" s="9" t="s">
        <v>99</v>
      </c>
      <c r="P63" s="6" t="s">
        <v>99</v>
      </c>
      <c r="Q63" s="6" t="s">
        <v>110</v>
      </c>
      <c r="R63" s="6" t="s">
        <v>99</v>
      </c>
      <c r="S63" s="6" t="s">
        <v>110</v>
      </c>
      <c r="T63" s="6" t="s">
        <v>110</v>
      </c>
      <c r="U63" s="6" t="s">
        <v>99</v>
      </c>
      <c r="W63" s="6" t="s">
        <v>2715</v>
      </c>
      <c r="X63" s="6"/>
      <c r="Y63" s="6" t="s">
        <v>2716</v>
      </c>
      <c r="AA63" s="6" t="s">
        <v>100</v>
      </c>
      <c r="AB63" s="6" t="s">
        <v>100</v>
      </c>
      <c r="AC63" s="6" t="s">
        <v>100</v>
      </c>
      <c r="AD63" s="6" t="s">
        <v>100</v>
      </c>
      <c r="AE63" s="15" t="s">
        <v>2717</v>
      </c>
      <c r="AF63" s="15" t="s">
        <v>2717</v>
      </c>
      <c r="AG63" s="15" t="s">
        <v>2718</v>
      </c>
      <c r="AH63" s="6" t="s">
        <v>99</v>
      </c>
      <c r="AI63" s="6" t="s">
        <v>99</v>
      </c>
      <c r="AJ63" s="6" t="s">
        <v>99</v>
      </c>
      <c r="AK63" s="79" t="s">
        <v>2719</v>
      </c>
      <c r="AL63" s="6">
        <v>65</v>
      </c>
      <c r="AN63" s="6">
        <v>65</v>
      </c>
      <c r="AO63" s="6">
        <v>88.5</v>
      </c>
      <c r="AP63" s="6">
        <v>24.6</v>
      </c>
      <c r="AQ63" s="6">
        <v>2</v>
      </c>
      <c r="AR63" s="6">
        <v>31.7</v>
      </c>
      <c r="AS63" s="6">
        <v>19</v>
      </c>
      <c r="AT63" s="79">
        <v>20</v>
      </c>
      <c r="AU63" s="6">
        <v>97</v>
      </c>
      <c r="AV63" s="6">
        <v>68</v>
      </c>
      <c r="AX63" s="9" t="s">
        <v>729</v>
      </c>
      <c r="AY63" s="9" t="s">
        <v>573</v>
      </c>
      <c r="AZ63" s="9" t="s">
        <v>1657</v>
      </c>
      <c r="BB63" s="9" t="s">
        <v>750</v>
      </c>
      <c r="BC63" s="9" t="s">
        <v>749</v>
      </c>
      <c r="BD63" s="9" t="s">
        <v>2585</v>
      </c>
      <c r="BF63" s="9" t="s">
        <v>2607</v>
      </c>
      <c r="BG63" s="9" t="s">
        <v>683</v>
      </c>
      <c r="BH63" s="9" t="s">
        <v>1099</v>
      </c>
      <c r="BI63" s="9" t="s">
        <v>2607</v>
      </c>
      <c r="BJ63" s="9" t="s">
        <v>176</v>
      </c>
      <c r="BK63" s="9" t="s">
        <v>1172</v>
      </c>
      <c r="BN63" s="9" t="s">
        <v>2720</v>
      </c>
      <c r="BP63" s="14" t="s">
        <v>2721</v>
      </c>
      <c r="BV63" s="9" t="s">
        <v>2722</v>
      </c>
      <c r="BZ63" s="9" t="s">
        <v>2723</v>
      </c>
      <c r="CA63" s="9" t="s">
        <v>2434</v>
      </c>
      <c r="CB63" s="9" t="s">
        <v>943</v>
      </c>
      <c r="CD63" s="9" t="s">
        <v>2724</v>
      </c>
      <c r="CL63" s="9" t="s">
        <v>2725</v>
      </c>
      <c r="CM63" s="9" t="s">
        <v>2726</v>
      </c>
      <c r="CN63" s="9" t="s">
        <v>417</v>
      </c>
      <c r="CP63" s="9" t="s">
        <v>637</v>
      </c>
      <c r="CQ63" s="9" t="s">
        <v>636</v>
      </c>
      <c r="CR63" s="9" t="s">
        <v>638</v>
      </c>
      <c r="CT63" s="9" t="s">
        <v>2727</v>
      </c>
      <c r="CU63" s="9" t="s">
        <v>2728</v>
      </c>
      <c r="CV63" s="9" t="s">
        <v>2729</v>
      </c>
      <c r="CW63" s="45">
        <v>43526</v>
      </c>
      <c r="CX63" s="9" t="s">
        <v>483</v>
      </c>
      <c r="CY63" s="9" t="s">
        <v>483</v>
      </c>
      <c r="DC63" s="6">
        <v>67</v>
      </c>
      <c r="DD63" s="6">
        <v>0.64</v>
      </c>
      <c r="DE63" s="6">
        <v>143</v>
      </c>
      <c r="DF63" s="95">
        <v>137</v>
      </c>
      <c r="DG63" s="9">
        <f t="shared" si="0"/>
        <v>4.5623367726095454</v>
      </c>
      <c r="DH63" s="6">
        <v>27.4</v>
      </c>
      <c r="DI63" s="6">
        <v>5</v>
      </c>
      <c r="DJ63" s="6">
        <v>10</v>
      </c>
      <c r="DK63" s="6"/>
      <c r="DL63" s="6">
        <v>69.599999999999994</v>
      </c>
      <c r="DM63" s="6">
        <v>46</v>
      </c>
      <c r="DN63" s="6"/>
      <c r="DP63" s="11">
        <v>3</v>
      </c>
      <c r="DQ63" s="6" t="s">
        <v>111</v>
      </c>
      <c r="DR63" s="9">
        <v>2</v>
      </c>
      <c r="DT63" s="9">
        <v>8.57</v>
      </c>
      <c r="DU63" s="9">
        <v>5.73</v>
      </c>
    </row>
    <row r="64" spans="1:125" x14ac:dyDescent="0.2">
      <c r="A64" s="79">
        <v>199</v>
      </c>
      <c r="B64" s="8">
        <v>42898</v>
      </c>
      <c r="C64" s="6" t="s">
        <v>107</v>
      </c>
      <c r="D64" s="6">
        <v>27</v>
      </c>
      <c r="E64" s="6" t="s">
        <v>100</v>
      </c>
      <c r="F64" s="17">
        <v>32816</v>
      </c>
      <c r="G64" s="6"/>
      <c r="H64" s="6"/>
      <c r="L64" s="6"/>
      <c r="M64" s="6" t="s">
        <v>99</v>
      </c>
      <c r="N64" s="6" t="s">
        <v>99</v>
      </c>
      <c r="O64" s="6" t="s">
        <v>99</v>
      </c>
      <c r="P64" s="6" t="s">
        <v>110</v>
      </c>
      <c r="Q64" s="6" t="s">
        <v>99</v>
      </c>
      <c r="R64" s="6" t="s">
        <v>110</v>
      </c>
      <c r="S64" s="6" t="s">
        <v>99</v>
      </c>
      <c r="T64" s="6" t="s">
        <v>110</v>
      </c>
      <c r="U64" s="6" t="s">
        <v>2418</v>
      </c>
      <c r="V64" s="9" t="s">
        <v>99</v>
      </c>
      <c r="W64" s="6" t="s">
        <v>99</v>
      </c>
      <c r="X64" s="6"/>
      <c r="Y64" s="6" t="s">
        <v>99</v>
      </c>
      <c r="AA64" s="6" t="s">
        <v>100</v>
      </c>
      <c r="AB64" s="6" t="s">
        <v>100</v>
      </c>
      <c r="AC64" s="6" t="s">
        <v>100</v>
      </c>
      <c r="AD64" s="6" t="s">
        <v>100</v>
      </c>
      <c r="AE64" s="6" t="s">
        <v>125</v>
      </c>
      <c r="AF64" s="6" t="s">
        <v>125</v>
      </c>
      <c r="AG64" s="6" t="s">
        <v>125</v>
      </c>
      <c r="AH64" s="6" t="s">
        <v>125</v>
      </c>
      <c r="AI64" s="6" t="s">
        <v>99</v>
      </c>
      <c r="AJ64" s="6" t="s">
        <v>99</v>
      </c>
      <c r="AK64" s="6" t="s">
        <v>99</v>
      </c>
      <c r="AL64" s="6">
        <v>78.400000000000006</v>
      </c>
      <c r="AN64" s="6">
        <v>79.5</v>
      </c>
      <c r="AO64" s="6">
        <v>102.5</v>
      </c>
      <c r="AP64" s="6">
        <v>23.2</v>
      </c>
      <c r="AQ64" s="6">
        <v>5</v>
      </c>
      <c r="AR64" s="6">
        <v>36.9</v>
      </c>
      <c r="AS64" s="6"/>
      <c r="AT64" s="79">
        <v>23.2</v>
      </c>
      <c r="AU64" s="6">
        <v>97</v>
      </c>
      <c r="AV64" s="6">
        <v>69</v>
      </c>
      <c r="AX64" s="9" t="s">
        <v>666</v>
      </c>
      <c r="AY64" s="9" t="s">
        <v>2758</v>
      </c>
      <c r="AZ64" s="9" t="s">
        <v>2759</v>
      </c>
      <c r="BB64" s="9" t="s">
        <v>2760</v>
      </c>
      <c r="BC64" s="9" t="s">
        <v>346</v>
      </c>
      <c r="BD64" s="9" t="s">
        <v>1130</v>
      </c>
      <c r="BF64" s="9" t="s">
        <v>176</v>
      </c>
      <c r="BG64" s="9" t="s">
        <v>172</v>
      </c>
      <c r="BI64" s="9" t="s">
        <v>176</v>
      </c>
      <c r="BJ64" s="9" t="s">
        <v>176</v>
      </c>
      <c r="BN64" s="9" t="s">
        <v>352</v>
      </c>
      <c r="BO64" s="9" t="s">
        <v>179</v>
      </c>
      <c r="BP64" s="9" t="s">
        <v>180</v>
      </c>
      <c r="BR64" s="9" t="s">
        <v>99</v>
      </c>
      <c r="BV64" s="9" t="s">
        <v>110</v>
      </c>
      <c r="BZ64" s="9" t="s">
        <v>2761</v>
      </c>
      <c r="CA64" s="9" t="s">
        <v>183</v>
      </c>
      <c r="CB64" s="9" t="s">
        <v>822</v>
      </c>
      <c r="CD64" s="9" t="s">
        <v>99</v>
      </c>
      <c r="CH64" s="9" t="s">
        <v>99</v>
      </c>
      <c r="CW64" s="45" t="s">
        <v>2708</v>
      </c>
      <c r="CX64" s="9" t="s">
        <v>110</v>
      </c>
      <c r="CY64" s="9" t="s">
        <v>2571</v>
      </c>
      <c r="DC64" s="6">
        <v>93.3</v>
      </c>
      <c r="DD64" s="6">
        <v>1</v>
      </c>
      <c r="DE64" s="6">
        <v>170</v>
      </c>
      <c r="DF64" s="6">
        <v>131</v>
      </c>
      <c r="DG64" s="9">
        <f t="shared" si="0"/>
        <v>4.705508715527225</v>
      </c>
      <c r="DH64" s="6">
        <v>26.2</v>
      </c>
      <c r="DI64" s="6">
        <v>5.3</v>
      </c>
      <c r="DJ64" s="6">
        <v>9.6999999999999993</v>
      </c>
      <c r="DK64" s="6"/>
      <c r="DL64" s="6">
        <v>50.3</v>
      </c>
      <c r="DM64" s="6">
        <v>93.5</v>
      </c>
      <c r="DN64" s="6"/>
      <c r="DP64" s="11">
        <v>3</v>
      </c>
      <c r="DQ64" s="6" t="s">
        <v>105</v>
      </c>
      <c r="DR64" s="9">
        <v>3</v>
      </c>
      <c r="DT64" s="9">
        <v>6.44</v>
      </c>
      <c r="DU64" s="9">
        <v>5.82</v>
      </c>
    </row>
    <row r="65" spans="1:125" x14ac:dyDescent="0.2">
      <c r="A65" s="79">
        <v>204</v>
      </c>
      <c r="B65" s="8">
        <v>42909</v>
      </c>
      <c r="C65" s="6" t="s">
        <v>95</v>
      </c>
      <c r="D65" s="6">
        <v>55</v>
      </c>
      <c r="E65" s="6" t="s">
        <v>100</v>
      </c>
      <c r="F65" s="17">
        <v>22639</v>
      </c>
      <c r="G65" s="6"/>
      <c r="H65" s="6" t="s">
        <v>2509</v>
      </c>
      <c r="I65" s="9">
        <v>12</v>
      </c>
      <c r="J65" s="10">
        <v>2013</v>
      </c>
      <c r="K65" s="9">
        <v>1999</v>
      </c>
      <c r="L65" s="6">
        <v>1</v>
      </c>
      <c r="M65" s="6" t="s">
        <v>99</v>
      </c>
      <c r="N65" s="6" t="s">
        <v>99</v>
      </c>
      <c r="O65" s="6"/>
      <c r="P65" s="6" t="s">
        <v>99</v>
      </c>
      <c r="Q65" s="6"/>
      <c r="R65" s="6"/>
      <c r="S65" s="6" t="s">
        <v>110</v>
      </c>
      <c r="T65" s="6" t="s">
        <v>110</v>
      </c>
      <c r="U65" s="6" t="s">
        <v>99</v>
      </c>
      <c r="W65" s="6" t="s">
        <v>99</v>
      </c>
      <c r="X65" s="6"/>
      <c r="Y65" s="6" t="s">
        <v>2501</v>
      </c>
      <c r="AA65" s="6" t="s">
        <v>100</v>
      </c>
      <c r="AB65" s="6" t="s">
        <v>100</v>
      </c>
      <c r="AC65" s="6" t="s">
        <v>100</v>
      </c>
      <c r="AD65" s="6" t="s">
        <v>100</v>
      </c>
      <c r="AE65" s="15" t="s">
        <v>363</v>
      </c>
      <c r="AF65" s="15" t="s">
        <v>110</v>
      </c>
      <c r="AG65" s="6" t="s">
        <v>99</v>
      </c>
      <c r="AH65" s="6" t="s">
        <v>99</v>
      </c>
      <c r="AI65" s="15" t="s">
        <v>110</v>
      </c>
      <c r="AJ65" s="6" t="s">
        <v>99</v>
      </c>
      <c r="AK65" s="6"/>
      <c r="AL65" s="6" t="s">
        <v>2805</v>
      </c>
      <c r="AM65" s="9">
        <v>153</v>
      </c>
      <c r="AN65" s="6">
        <v>71</v>
      </c>
      <c r="AO65" s="6">
        <v>88</v>
      </c>
      <c r="AP65" s="6">
        <v>32</v>
      </c>
      <c r="AQ65" s="6"/>
      <c r="AR65" s="6">
        <v>26.2</v>
      </c>
      <c r="AS65" s="6">
        <v>44</v>
      </c>
      <c r="AT65" s="79">
        <v>21.4</v>
      </c>
      <c r="AU65" s="6">
        <v>112</v>
      </c>
      <c r="AV65" s="6">
        <v>77</v>
      </c>
      <c r="AX65" s="9" t="s">
        <v>176</v>
      </c>
      <c r="BB65" s="9" t="s">
        <v>176</v>
      </c>
      <c r="BF65" s="9" t="s">
        <v>176</v>
      </c>
      <c r="BH65" s="9" t="s">
        <v>2806</v>
      </c>
      <c r="BI65" s="9" t="s">
        <v>110</v>
      </c>
      <c r="BJ65" s="9" t="s">
        <v>176</v>
      </c>
      <c r="BK65" s="9" t="s">
        <v>350</v>
      </c>
      <c r="BM65" s="9" t="s">
        <v>176</v>
      </c>
      <c r="BV65" s="9" t="s">
        <v>655</v>
      </c>
      <c r="BZ65" s="9" t="s">
        <v>176</v>
      </c>
      <c r="CL65" s="9" t="s">
        <v>176</v>
      </c>
      <c r="CP65" s="9" t="s">
        <v>176</v>
      </c>
      <c r="CW65" s="9">
        <v>3</v>
      </c>
      <c r="CX65" s="9" t="s">
        <v>110</v>
      </c>
      <c r="CY65" s="9" t="s">
        <v>110</v>
      </c>
      <c r="DC65" s="6">
        <v>94</v>
      </c>
      <c r="DD65" s="6">
        <v>0.6</v>
      </c>
      <c r="DE65" s="6">
        <v>166</v>
      </c>
      <c r="DF65" s="6">
        <v>80</v>
      </c>
      <c r="DG65" s="9">
        <f t="shared" si="0"/>
        <v>4.462660708471943</v>
      </c>
      <c r="DH65" s="6">
        <v>16</v>
      </c>
      <c r="DI65" s="6">
        <v>5</v>
      </c>
      <c r="DJ65" s="6">
        <v>14.1</v>
      </c>
      <c r="DK65" s="6"/>
      <c r="DL65" s="6">
        <v>82</v>
      </c>
      <c r="DM65" s="6">
        <v>68</v>
      </c>
      <c r="DN65" s="6"/>
      <c r="DP65" s="11">
        <v>3</v>
      </c>
      <c r="DQ65" s="6" t="s">
        <v>105</v>
      </c>
      <c r="DR65" s="9">
        <v>2</v>
      </c>
      <c r="DU65" s="9">
        <v>5.59</v>
      </c>
    </row>
    <row r="66" spans="1:125" x14ac:dyDescent="0.2">
      <c r="A66" s="79">
        <v>205</v>
      </c>
      <c r="B66" s="8">
        <v>42916</v>
      </c>
      <c r="C66" s="6" t="s">
        <v>95</v>
      </c>
      <c r="D66" s="6">
        <v>22</v>
      </c>
      <c r="E66" s="6" t="s">
        <v>100</v>
      </c>
      <c r="F66" s="17">
        <v>34620</v>
      </c>
      <c r="G66" s="6" t="s">
        <v>2088</v>
      </c>
      <c r="H66" s="6" t="s">
        <v>2807</v>
      </c>
      <c r="I66" s="9">
        <v>16</v>
      </c>
      <c r="J66" s="9" t="s">
        <v>99</v>
      </c>
      <c r="L66" s="6"/>
      <c r="M66" s="6" t="s">
        <v>99</v>
      </c>
      <c r="N66" s="15" t="s">
        <v>110</v>
      </c>
      <c r="O66" s="6" t="s">
        <v>99</v>
      </c>
      <c r="P66" s="6" t="s">
        <v>99</v>
      </c>
      <c r="Q66" s="6" t="s">
        <v>110</v>
      </c>
      <c r="R66" s="6" t="s">
        <v>110</v>
      </c>
      <c r="S66" s="6" t="s">
        <v>2808</v>
      </c>
      <c r="T66" s="6" t="s">
        <v>110</v>
      </c>
      <c r="U66" s="6" t="s">
        <v>2809</v>
      </c>
      <c r="W66" s="6" t="s">
        <v>2810</v>
      </c>
      <c r="X66" s="6"/>
      <c r="Y66" s="6" t="s">
        <v>99</v>
      </c>
      <c r="AA66" s="6" t="s">
        <v>100</v>
      </c>
      <c r="AB66" s="6" t="s">
        <v>100</v>
      </c>
      <c r="AC66" s="16" t="s">
        <v>840</v>
      </c>
      <c r="AD66" s="16" t="s">
        <v>840</v>
      </c>
      <c r="AE66" s="15" t="s">
        <v>2811</v>
      </c>
      <c r="AF66" s="6" t="s">
        <v>99</v>
      </c>
      <c r="AG66" s="15" t="s">
        <v>2812</v>
      </c>
      <c r="AH66" s="15" t="s">
        <v>2813</v>
      </c>
      <c r="AI66" s="6" t="s">
        <v>99</v>
      </c>
      <c r="AJ66" s="6" t="s">
        <v>99</v>
      </c>
      <c r="AK66" s="16" t="s">
        <v>2814</v>
      </c>
      <c r="AL66" s="6">
        <v>56.2</v>
      </c>
      <c r="AM66" s="9">
        <v>162</v>
      </c>
      <c r="AN66" s="6">
        <v>68</v>
      </c>
      <c r="AO66" s="6">
        <v>96</v>
      </c>
      <c r="AP66" s="6">
        <v>35.200000000000003</v>
      </c>
      <c r="AQ66" s="6">
        <v>21.4</v>
      </c>
      <c r="AR66" s="6">
        <v>23.6</v>
      </c>
      <c r="AS66" s="6">
        <v>21</v>
      </c>
      <c r="AT66" s="79">
        <v>21.4</v>
      </c>
      <c r="AU66" s="6">
        <v>93</v>
      </c>
      <c r="AV66" s="6">
        <v>71</v>
      </c>
      <c r="AX66" s="9" t="s">
        <v>2815</v>
      </c>
      <c r="AY66" s="9" t="s">
        <v>2816</v>
      </c>
      <c r="AZ66" s="9" t="s">
        <v>2817</v>
      </c>
      <c r="BB66" s="9" t="s">
        <v>346</v>
      </c>
      <c r="BC66" s="9" t="s">
        <v>2818</v>
      </c>
      <c r="BD66" s="9" t="s">
        <v>749</v>
      </c>
      <c r="BF66" s="9" t="s">
        <v>2819</v>
      </c>
      <c r="BG66" s="9" t="s">
        <v>683</v>
      </c>
      <c r="BH66" s="9" t="s">
        <v>1173</v>
      </c>
      <c r="BI66" s="9" t="s">
        <v>176</v>
      </c>
      <c r="BJ66" s="9" t="s">
        <v>99</v>
      </c>
      <c r="BK66" s="9" t="s">
        <v>683</v>
      </c>
      <c r="BM66" s="9" t="s">
        <v>179</v>
      </c>
      <c r="BN66" s="9" t="s">
        <v>2820</v>
      </c>
      <c r="BO66" s="9" t="s">
        <v>2821</v>
      </c>
      <c r="BQ66" s="9" t="s">
        <v>99</v>
      </c>
      <c r="BV66" s="9" t="s">
        <v>110</v>
      </c>
      <c r="BZ66" s="9" t="s">
        <v>182</v>
      </c>
      <c r="CA66" s="9" t="s">
        <v>183</v>
      </c>
      <c r="CB66" s="9" t="s">
        <v>1730</v>
      </c>
      <c r="CC66" s="9" t="s">
        <v>99</v>
      </c>
      <c r="CG66" s="9" t="s">
        <v>99</v>
      </c>
      <c r="CL66" s="9" t="s">
        <v>1181</v>
      </c>
      <c r="CM66" s="9" t="s">
        <v>1180</v>
      </c>
      <c r="CN66" s="9" t="s">
        <v>2822</v>
      </c>
      <c r="CP66" s="9" t="s">
        <v>362</v>
      </c>
      <c r="CQ66" s="9" t="s">
        <v>716</v>
      </c>
      <c r="CR66" s="9" t="s">
        <v>2823</v>
      </c>
      <c r="CT66" s="9" t="s">
        <v>2824</v>
      </c>
      <c r="CU66" s="9" t="s">
        <v>2825</v>
      </c>
      <c r="CV66" s="9" t="s">
        <v>187</v>
      </c>
      <c r="CW66" s="9">
        <v>3</v>
      </c>
      <c r="CX66" s="9" t="s">
        <v>110</v>
      </c>
      <c r="CY66" s="9" t="s">
        <v>99</v>
      </c>
      <c r="CZ66" s="9">
        <v>30</v>
      </c>
      <c r="DA66" s="9">
        <v>40</v>
      </c>
      <c r="DB66" s="9">
        <v>30</v>
      </c>
      <c r="DC66" s="6">
        <v>82.2</v>
      </c>
      <c r="DD66" s="15">
        <v>1.24</v>
      </c>
      <c r="DE66" s="6">
        <v>166</v>
      </c>
      <c r="DF66" s="6">
        <v>97</v>
      </c>
      <c r="DG66" s="9">
        <f t="shared" si="0"/>
        <v>4.4919331402827583</v>
      </c>
      <c r="DH66" s="6">
        <v>19.399999999999999</v>
      </c>
      <c r="DI66" s="6">
        <v>3.89</v>
      </c>
      <c r="DJ66" s="6">
        <v>13.3</v>
      </c>
      <c r="DK66" s="6"/>
      <c r="DL66" s="6">
        <v>67.400000000000006</v>
      </c>
      <c r="DM66" s="6"/>
      <c r="DN66" s="6"/>
      <c r="DP66" s="11">
        <v>3</v>
      </c>
      <c r="DQ66" s="6" t="s">
        <v>111</v>
      </c>
      <c r="DR66" s="9">
        <v>2</v>
      </c>
      <c r="DT66" s="9">
        <v>14.6</v>
      </c>
      <c r="DU66" s="9">
        <v>2.73</v>
      </c>
    </row>
    <row r="67" spans="1:125" x14ac:dyDescent="0.2">
      <c r="A67" s="79">
        <v>206</v>
      </c>
      <c r="B67" s="8">
        <v>42910</v>
      </c>
      <c r="C67" s="6" t="s">
        <v>95</v>
      </c>
      <c r="D67" s="6">
        <v>18</v>
      </c>
      <c r="E67" s="6" t="s">
        <v>100</v>
      </c>
      <c r="F67" s="17">
        <v>36026</v>
      </c>
      <c r="G67" s="6" t="s">
        <v>1509</v>
      </c>
      <c r="H67" s="6" t="s">
        <v>2509</v>
      </c>
      <c r="I67" s="9">
        <v>13</v>
      </c>
      <c r="J67" s="9" t="s">
        <v>99</v>
      </c>
      <c r="L67" s="6" t="s">
        <v>99</v>
      </c>
      <c r="M67" s="9" t="s">
        <v>99</v>
      </c>
      <c r="N67" s="9" t="s">
        <v>99</v>
      </c>
      <c r="O67" s="6"/>
      <c r="P67" s="6" t="s">
        <v>99</v>
      </c>
      <c r="Q67" s="6" t="s">
        <v>99</v>
      </c>
      <c r="R67" s="6" t="s">
        <v>110</v>
      </c>
      <c r="S67" s="6"/>
      <c r="T67" s="6"/>
      <c r="U67" s="6"/>
      <c r="W67" s="6" t="s">
        <v>2826</v>
      </c>
      <c r="X67" s="6"/>
      <c r="Y67" s="6"/>
      <c r="AA67" s="6" t="s">
        <v>100</v>
      </c>
      <c r="AB67" s="6" t="s">
        <v>100</v>
      </c>
      <c r="AC67" s="6" t="s">
        <v>100</v>
      </c>
      <c r="AD67" s="6" t="s">
        <v>100</v>
      </c>
      <c r="AE67" s="15" t="s">
        <v>2827</v>
      </c>
      <c r="AF67" s="15" t="s">
        <v>2827</v>
      </c>
      <c r="AG67" s="15" t="s">
        <v>2252</v>
      </c>
      <c r="AH67" s="15" t="s">
        <v>2391</v>
      </c>
      <c r="AI67" s="6" t="s">
        <v>99</v>
      </c>
      <c r="AJ67" s="6" t="s">
        <v>99</v>
      </c>
      <c r="AK67" s="6" t="s">
        <v>99</v>
      </c>
      <c r="AL67" s="6">
        <v>67.8</v>
      </c>
      <c r="AN67" s="19">
        <v>83</v>
      </c>
      <c r="AO67" s="6">
        <v>97</v>
      </c>
      <c r="AP67" s="6">
        <v>35.4</v>
      </c>
      <c r="AQ67" s="6">
        <v>3</v>
      </c>
      <c r="AR67" s="6">
        <v>26.3</v>
      </c>
      <c r="AS67" s="6">
        <v>19</v>
      </c>
      <c r="AT67" s="19">
        <v>22.1</v>
      </c>
      <c r="AU67" s="6">
        <v>101</v>
      </c>
      <c r="AV67" s="6">
        <v>67</v>
      </c>
      <c r="AX67" s="9" t="s">
        <v>666</v>
      </c>
      <c r="AY67" s="9" t="s">
        <v>1977</v>
      </c>
      <c r="BA67" s="9" t="s">
        <v>176</v>
      </c>
      <c r="BB67" s="9" t="s">
        <v>1130</v>
      </c>
      <c r="BC67" s="9" t="s">
        <v>750</v>
      </c>
      <c r="BF67" s="9" t="s">
        <v>350</v>
      </c>
      <c r="BG67" s="9" t="s">
        <v>350</v>
      </c>
      <c r="BH67" s="9" t="s">
        <v>350</v>
      </c>
      <c r="BI67" s="9" t="s">
        <v>655</v>
      </c>
      <c r="BJ67" s="9" t="s">
        <v>655</v>
      </c>
      <c r="BK67" s="9" t="s">
        <v>350</v>
      </c>
      <c r="BM67" s="9" t="s">
        <v>350</v>
      </c>
      <c r="BN67" s="9" t="s">
        <v>219</v>
      </c>
      <c r="BO67" s="9" t="s">
        <v>178</v>
      </c>
      <c r="BP67" s="14" t="s">
        <v>125</v>
      </c>
      <c r="BY67" s="9" t="s">
        <v>2828</v>
      </c>
      <c r="BZ67" s="9" t="s">
        <v>821</v>
      </c>
      <c r="CA67" s="9" t="s">
        <v>182</v>
      </c>
      <c r="CB67" s="9" t="s">
        <v>183</v>
      </c>
      <c r="CL67" s="9" t="s">
        <v>887</v>
      </c>
      <c r="CM67" s="9" t="s">
        <v>2829</v>
      </c>
      <c r="CN67" s="9" t="s">
        <v>2830</v>
      </c>
      <c r="CP67" s="9" t="s">
        <v>361</v>
      </c>
      <c r="CQ67" s="9" t="s">
        <v>716</v>
      </c>
      <c r="CR67" s="9" t="s">
        <v>362</v>
      </c>
      <c r="CS67" s="9" t="s">
        <v>2831</v>
      </c>
      <c r="CT67" s="9" t="s">
        <v>125</v>
      </c>
      <c r="CU67" s="9" t="s">
        <v>364</v>
      </c>
      <c r="CV67" s="9" t="s">
        <v>187</v>
      </c>
      <c r="CW67" s="9">
        <v>3</v>
      </c>
      <c r="CX67" s="9" t="s">
        <v>99</v>
      </c>
      <c r="CY67" s="9" t="s">
        <v>110</v>
      </c>
      <c r="DC67" s="13">
        <v>86</v>
      </c>
      <c r="DD67" s="13">
        <v>0.73</v>
      </c>
      <c r="DE67" s="13">
        <v>180</v>
      </c>
      <c r="DF67" s="13">
        <v>60</v>
      </c>
      <c r="DG67" s="9">
        <f t="shared" si="0"/>
        <v>4.2743459292378043</v>
      </c>
      <c r="DH67" s="13">
        <v>28.4</v>
      </c>
      <c r="DI67" s="13">
        <v>4.8</v>
      </c>
      <c r="DJ67" s="13">
        <v>11.3</v>
      </c>
      <c r="DK67" s="6"/>
      <c r="DL67" s="6">
        <v>53</v>
      </c>
      <c r="DM67" s="6">
        <v>98.6</v>
      </c>
      <c r="DN67" s="6"/>
      <c r="DP67" s="11">
        <v>3</v>
      </c>
      <c r="DQ67" s="6" t="s">
        <v>111</v>
      </c>
      <c r="DR67" s="30">
        <v>1</v>
      </c>
      <c r="DT67" s="9">
        <v>5</v>
      </c>
      <c r="DU67" s="9">
        <v>9.34</v>
      </c>
    </row>
    <row r="68" spans="1:125" x14ac:dyDescent="0.2">
      <c r="A68" s="19">
        <v>212</v>
      </c>
      <c r="B68" s="8">
        <v>42910</v>
      </c>
      <c r="C68" s="6" t="s">
        <v>95</v>
      </c>
      <c r="D68" s="6">
        <v>43</v>
      </c>
      <c r="E68" s="6" t="s">
        <v>100</v>
      </c>
      <c r="F68" s="17">
        <v>26888</v>
      </c>
      <c r="G68" s="6" t="s">
        <v>2862</v>
      </c>
      <c r="H68" s="6" t="s">
        <v>2509</v>
      </c>
      <c r="I68" s="9">
        <v>11</v>
      </c>
      <c r="J68" s="9" t="s">
        <v>99</v>
      </c>
      <c r="L68" s="6"/>
      <c r="M68" s="6" t="s">
        <v>99</v>
      </c>
      <c r="N68" s="6" t="s">
        <v>99</v>
      </c>
      <c r="O68" s="6" t="s">
        <v>99</v>
      </c>
      <c r="P68" s="6" t="s">
        <v>99</v>
      </c>
      <c r="Q68" s="6" t="s">
        <v>99</v>
      </c>
      <c r="S68" s="6" t="s">
        <v>99</v>
      </c>
      <c r="T68" s="6" t="s">
        <v>99</v>
      </c>
      <c r="U68" s="6" t="s">
        <v>2863</v>
      </c>
      <c r="V68" s="9" t="s">
        <v>2864</v>
      </c>
      <c r="W68" s="6"/>
      <c r="X68" s="6"/>
      <c r="Y68" s="6" t="s">
        <v>99</v>
      </c>
      <c r="AA68" s="6" t="s">
        <v>100</v>
      </c>
      <c r="AB68" s="6" t="s">
        <v>100</v>
      </c>
      <c r="AC68" s="6"/>
      <c r="AD68" s="6"/>
      <c r="AE68" s="6" t="s">
        <v>99</v>
      </c>
      <c r="AF68" s="15" t="s">
        <v>570</v>
      </c>
      <c r="AG68" s="15" t="s">
        <v>2865</v>
      </c>
      <c r="AH68" s="6" t="s">
        <v>99</v>
      </c>
      <c r="AI68" s="6" t="s">
        <v>99</v>
      </c>
      <c r="AJ68" s="15" t="s">
        <v>2399</v>
      </c>
      <c r="AK68" s="6"/>
      <c r="AL68" s="6">
        <v>64</v>
      </c>
      <c r="AM68" s="9">
        <v>160</v>
      </c>
      <c r="AN68" s="19">
        <v>78</v>
      </c>
      <c r="AO68" s="6">
        <v>100</v>
      </c>
      <c r="AP68" s="6">
        <v>39.299999999999997</v>
      </c>
      <c r="AQ68" s="6">
        <v>7</v>
      </c>
      <c r="AR68" s="6">
        <v>24.9</v>
      </c>
      <c r="AS68" s="6">
        <v>43</v>
      </c>
      <c r="AT68" s="19">
        <v>25</v>
      </c>
      <c r="AU68" s="6">
        <v>118</v>
      </c>
      <c r="AV68" s="6">
        <v>79</v>
      </c>
      <c r="AW68" s="9" t="s">
        <v>176</v>
      </c>
      <c r="AX68" s="9" t="s">
        <v>592</v>
      </c>
      <c r="AY68" s="9" t="s">
        <v>804</v>
      </c>
      <c r="AZ68" s="9" t="s">
        <v>573</v>
      </c>
      <c r="BA68" s="9" t="s">
        <v>350</v>
      </c>
      <c r="BB68" s="9" t="s">
        <v>750</v>
      </c>
      <c r="BC68" s="9" t="s">
        <v>1130</v>
      </c>
      <c r="BF68" s="9" t="s">
        <v>683</v>
      </c>
      <c r="BG68" s="9" t="s">
        <v>176</v>
      </c>
      <c r="BH68" s="9" t="s">
        <v>175</v>
      </c>
      <c r="BI68" s="9" t="s">
        <v>175</v>
      </c>
      <c r="BJ68" s="9" t="s">
        <v>350</v>
      </c>
      <c r="BK68" s="9" t="s">
        <v>2866</v>
      </c>
      <c r="BM68" s="9" t="s">
        <v>350</v>
      </c>
      <c r="BN68" s="9" t="s">
        <v>178</v>
      </c>
      <c r="BO68" s="9" t="s">
        <v>179</v>
      </c>
      <c r="BP68" s="9" t="s">
        <v>180</v>
      </c>
      <c r="BV68" s="9" t="s">
        <v>985</v>
      </c>
      <c r="BZ68" s="9" t="s">
        <v>752</v>
      </c>
      <c r="CA68" s="9" t="s">
        <v>182</v>
      </c>
      <c r="CB68" s="9" t="s">
        <v>183</v>
      </c>
      <c r="CK68" s="9" t="s">
        <v>2867</v>
      </c>
      <c r="CL68" s="9" t="s">
        <v>2868</v>
      </c>
      <c r="CM68" s="9" t="s">
        <v>887</v>
      </c>
      <c r="CP68" s="9" t="s">
        <v>361</v>
      </c>
      <c r="CQ68" s="9" t="s">
        <v>362</v>
      </c>
      <c r="CR68" s="9" t="s">
        <v>2869</v>
      </c>
      <c r="CS68" s="9" t="s">
        <v>350</v>
      </c>
      <c r="CT68" s="9" t="s">
        <v>363</v>
      </c>
      <c r="CU68" s="9" t="s">
        <v>2870</v>
      </c>
      <c r="CW68" s="9">
        <v>3</v>
      </c>
      <c r="CX68" s="9" t="s">
        <v>110</v>
      </c>
      <c r="CY68" s="9" t="s">
        <v>99</v>
      </c>
      <c r="DC68" s="82">
        <v>93</v>
      </c>
      <c r="DD68" s="82"/>
      <c r="DE68" s="82">
        <v>196</v>
      </c>
      <c r="DF68" s="82">
        <v>130</v>
      </c>
      <c r="DG68" s="9">
        <f t="shared" ref="DG68:DG131" si="1">LN(DF68*DC68)/2</f>
        <v>4.7000669718044188</v>
      </c>
      <c r="DH68" s="82">
        <v>26</v>
      </c>
      <c r="DI68" s="82">
        <v>4</v>
      </c>
      <c r="DJ68" s="82">
        <v>13</v>
      </c>
      <c r="DK68" s="6"/>
      <c r="DL68" s="6">
        <v>50</v>
      </c>
      <c r="DM68" s="6">
        <v>120</v>
      </c>
      <c r="DN68" s="6"/>
      <c r="DP68" s="11">
        <v>2</v>
      </c>
      <c r="DQ68" s="6" t="s">
        <v>111</v>
      </c>
      <c r="DR68" s="9">
        <v>3</v>
      </c>
      <c r="DU68" s="9">
        <v>3.3</v>
      </c>
    </row>
    <row r="69" spans="1:125" x14ac:dyDescent="0.2">
      <c r="A69" s="6">
        <v>215</v>
      </c>
      <c r="B69" s="8">
        <v>42910</v>
      </c>
      <c r="C69" s="6" t="s">
        <v>95</v>
      </c>
      <c r="D69" s="6">
        <v>47</v>
      </c>
      <c r="E69" s="6" t="s">
        <v>100</v>
      </c>
      <c r="F69" s="17">
        <v>25633</v>
      </c>
      <c r="G69" s="6" t="s">
        <v>2900</v>
      </c>
      <c r="H69" s="6" t="s">
        <v>109</v>
      </c>
      <c r="I69" s="9">
        <v>12</v>
      </c>
      <c r="J69" s="9" t="s">
        <v>99</v>
      </c>
      <c r="L69" s="6" t="s">
        <v>99</v>
      </c>
      <c r="M69" s="6" t="s">
        <v>99</v>
      </c>
      <c r="N69" s="6" t="s">
        <v>99</v>
      </c>
      <c r="O69" s="15" t="s">
        <v>2901</v>
      </c>
      <c r="P69" s="6" t="s">
        <v>99</v>
      </c>
      <c r="Q69" s="15" t="s">
        <v>110</v>
      </c>
      <c r="R69" s="6"/>
      <c r="S69" s="6" t="s">
        <v>99</v>
      </c>
      <c r="T69" s="6" t="s">
        <v>110</v>
      </c>
      <c r="U69" s="6" t="s">
        <v>99</v>
      </c>
      <c r="W69" s="16" t="s">
        <v>2226</v>
      </c>
      <c r="X69" s="6"/>
      <c r="Y69" s="6" t="s">
        <v>110</v>
      </c>
      <c r="AA69" s="6" t="s">
        <v>100</v>
      </c>
      <c r="AB69" s="6" t="s">
        <v>100</v>
      </c>
      <c r="AC69" s="6" t="s">
        <v>100</v>
      </c>
      <c r="AD69" s="6" t="s">
        <v>100</v>
      </c>
      <c r="AE69" s="6" t="s">
        <v>99</v>
      </c>
      <c r="AF69" s="15" t="s">
        <v>2227</v>
      </c>
      <c r="AG69" s="15" t="s">
        <v>2902</v>
      </c>
      <c r="AH69" s="6" t="s">
        <v>99</v>
      </c>
      <c r="AI69" s="6" t="s">
        <v>99</v>
      </c>
      <c r="AJ69" s="15" t="s">
        <v>2903</v>
      </c>
      <c r="AK69" s="6"/>
      <c r="AL69" s="6">
        <v>66.599999999999994</v>
      </c>
      <c r="AM69" s="9">
        <v>161</v>
      </c>
      <c r="AN69" s="19">
        <v>77.5</v>
      </c>
      <c r="AO69" s="6">
        <v>101</v>
      </c>
      <c r="AP69" s="6">
        <v>30.5</v>
      </c>
      <c r="AQ69" s="6">
        <v>7</v>
      </c>
      <c r="AR69" s="6">
        <v>25.4</v>
      </c>
      <c r="AS69" s="6">
        <v>50</v>
      </c>
      <c r="AT69" s="19">
        <v>25.7</v>
      </c>
      <c r="AU69" s="6">
        <v>103</v>
      </c>
      <c r="AV69" s="6">
        <v>69</v>
      </c>
      <c r="AX69" s="9" t="s">
        <v>2904</v>
      </c>
      <c r="AY69" s="9" t="s">
        <v>2633</v>
      </c>
      <c r="AZ69" s="9" t="s">
        <v>2905</v>
      </c>
      <c r="BB69" s="9" t="s">
        <v>346</v>
      </c>
      <c r="BC69" s="9" t="s">
        <v>2906</v>
      </c>
      <c r="BD69" s="9" t="s">
        <v>2907</v>
      </c>
      <c r="BF69" s="9" t="s">
        <v>2908</v>
      </c>
      <c r="BG69" s="9" t="s">
        <v>683</v>
      </c>
      <c r="BH69" s="9" t="s">
        <v>683</v>
      </c>
      <c r="BI69" s="9" t="s">
        <v>175</v>
      </c>
      <c r="BJ69" s="9" t="s">
        <v>1099</v>
      </c>
      <c r="BK69" s="9" t="s">
        <v>175</v>
      </c>
      <c r="BN69" s="9" t="s">
        <v>2898</v>
      </c>
      <c r="BO69" s="9" t="s">
        <v>2909</v>
      </c>
      <c r="BP69" s="14" t="s">
        <v>2884</v>
      </c>
      <c r="BV69" s="9" t="s">
        <v>2910</v>
      </c>
      <c r="BW69" s="9" t="s">
        <v>2884</v>
      </c>
      <c r="BZ69" s="9" t="s">
        <v>2911</v>
      </c>
      <c r="CA69" s="9" t="s">
        <v>2912</v>
      </c>
      <c r="CB69" s="9" t="s">
        <v>2913</v>
      </c>
      <c r="CL69" s="9" t="s">
        <v>2914</v>
      </c>
      <c r="CM69" s="9" t="s">
        <v>2915</v>
      </c>
      <c r="CN69" s="9" t="s">
        <v>2916</v>
      </c>
      <c r="CP69" s="9" t="s">
        <v>890</v>
      </c>
      <c r="CQ69" s="9" t="s">
        <v>2892</v>
      </c>
      <c r="CR69" s="9" t="s">
        <v>2917</v>
      </c>
      <c r="CT69" s="9" t="s">
        <v>2918</v>
      </c>
      <c r="CU69" s="9" t="s">
        <v>2919</v>
      </c>
      <c r="CW69" s="9">
        <v>3</v>
      </c>
      <c r="CX69" s="9" t="s">
        <v>110</v>
      </c>
      <c r="CY69" s="9" t="s">
        <v>99</v>
      </c>
      <c r="DC69" s="82">
        <v>75</v>
      </c>
      <c r="DD69" s="82"/>
      <c r="DE69" s="82">
        <v>199</v>
      </c>
      <c r="DF69" s="82">
        <v>118</v>
      </c>
      <c r="DG69" s="9">
        <f t="shared" si="1"/>
        <v>4.5440863690009872</v>
      </c>
      <c r="DH69" s="82">
        <v>23.6</v>
      </c>
      <c r="DI69" s="82">
        <v>4.5</v>
      </c>
      <c r="DJ69" s="82">
        <v>13.8</v>
      </c>
      <c r="DK69" s="6"/>
      <c r="DL69" s="6">
        <v>48</v>
      </c>
      <c r="DM69" s="6">
        <v>127</v>
      </c>
      <c r="DN69" s="6"/>
      <c r="DP69" s="11">
        <v>3</v>
      </c>
      <c r="DQ69" s="6" t="s">
        <v>111</v>
      </c>
      <c r="DR69" s="9">
        <v>2</v>
      </c>
    </row>
    <row r="70" spans="1:125" x14ac:dyDescent="0.2">
      <c r="A70" s="79">
        <v>221</v>
      </c>
      <c r="B70" s="8">
        <v>42910</v>
      </c>
      <c r="C70" s="6" t="s">
        <v>95</v>
      </c>
      <c r="D70" s="6">
        <v>31</v>
      </c>
      <c r="E70" s="6" t="s">
        <v>100</v>
      </c>
      <c r="F70" s="17">
        <v>31248</v>
      </c>
      <c r="G70" s="6"/>
      <c r="H70" s="6" t="s">
        <v>109</v>
      </c>
      <c r="L70" s="6"/>
      <c r="M70" s="6" t="s">
        <v>99</v>
      </c>
      <c r="N70" s="6" t="s">
        <v>99</v>
      </c>
      <c r="O70" s="6" t="s">
        <v>99</v>
      </c>
      <c r="P70" s="6" t="s">
        <v>99</v>
      </c>
      <c r="Q70" s="15" t="s">
        <v>110</v>
      </c>
      <c r="R70" s="79" t="s">
        <v>99</v>
      </c>
      <c r="S70" s="6" t="s">
        <v>2946</v>
      </c>
      <c r="T70" s="6" t="s">
        <v>110</v>
      </c>
      <c r="U70" s="15" t="s">
        <v>2947</v>
      </c>
      <c r="W70" s="15" t="s">
        <v>2948</v>
      </c>
      <c r="X70" s="6"/>
      <c r="Y70" s="16" t="s">
        <v>2949</v>
      </c>
      <c r="AA70" s="6" t="s">
        <v>100</v>
      </c>
      <c r="AB70" s="6" t="s">
        <v>100</v>
      </c>
      <c r="AC70" s="6" t="s">
        <v>100</v>
      </c>
      <c r="AD70" s="6" t="s">
        <v>100</v>
      </c>
      <c r="AE70" s="15" t="s">
        <v>2268</v>
      </c>
      <c r="AF70" s="6" t="s">
        <v>99</v>
      </c>
      <c r="AG70" s="15" t="s">
        <v>122</v>
      </c>
      <c r="AH70" s="6" t="s">
        <v>99</v>
      </c>
      <c r="AI70" s="6" t="s">
        <v>99</v>
      </c>
      <c r="AJ70" s="6" t="s">
        <v>99</v>
      </c>
      <c r="AK70" s="6"/>
      <c r="AL70" s="6">
        <v>57.8</v>
      </c>
      <c r="AM70" s="9">
        <v>160</v>
      </c>
      <c r="AN70" s="6">
        <v>70</v>
      </c>
      <c r="AO70" s="6">
        <v>98</v>
      </c>
      <c r="AP70" s="6">
        <v>37.6</v>
      </c>
      <c r="AQ70" s="6">
        <v>5</v>
      </c>
      <c r="AR70" s="6">
        <v>23.1</v>
      </c>
      <c r="AS70" s="6">
        <v>31</v>
      </c>
      <c r="AT70" s="79">
        <v>22.6</v>
      </c>
      <c r="AU70" s="6">
        <v>96</v>
      </c>
      <c r="AV70" s="6">
        <v>77</v>
      </c>
      <c r="AX70" s="9" t="s">
        <v>573</v>
      </c>
      <c r="AY70" s="9" t="s">
        <v>1128</v>
      </c>
      <c r="AZ70" s="9" t="s">
        <v>729</v>
      </c>
      <c r="BB70" s="9" t="s">
        <v>2938</v>
      </c>
      <c r="BC70" s="9" t="s">
        <v>1130</v>
      </c>
      <c r="BD70" s="9" t="s">
        <v>2950</v>
      </c>
      <c r="BF70" s="9" t="s">
        <v>2951</v>
      </c>
      <c r="BG70" s="9" t="s">
        <v>2952</v>
      </c>
      <c r="BJ70" s="9" t="s">
        <v>683</v>
      </c>
      <c r="BK70" s="9" t="s">
        <v>1172</v>
      </c>
      <c r="BN70" s="14" t="s">
        <v>125</v>
      </c>
      <c r="BO70" s="9" t="s">
        <v>180</v>
      </c>
      <c r="BP70" s="9" t="s">
        <v>2446</v>
      </c>
      <c r="BZ70" s="9" t="s">
        <v>821</v>
      </c>
      <c r="CA70" s="9" t="s">
        <v>709</v>
      </c>
      <c r="CB70" s="9" t="s">
        <v>752</v>
      </c>
      <c r="CD70" s="9" t="s">
        <v>821</v>
      </c>
      <c r="CL70" s="9" t="s">
        <v>1180</v>
      </c>
      <c r="CM70" s="9" t="s">
        <v>980</v>
      </c>
      <c r="CP70" s="9" t="s">
        <v>361</v>
      </c>
      <c r="CQ70" s="9" t="s">
        <v>2953</v>
      </c>
      <c r="CR70" s="9" t="s">
        <v>362</v>
      </c>
      <c r="CT70" s="9" t="s">
        <v>2954</v>
      </c>
      <c r="CU70" s="9" t="s">
        <v>2055</v>
      </c>
      <c r="CV70" s="9" t="s">
        <v>857</v>
      </c>
      <c r="CW70" s="9">
        <v>3</v>
      </c>
      <c r="CX70" s="9" t="s">
        <v>99</v>
      </c>
      <c r="CY70" s="9" t="s">
        <v>110</v>
      </c>
      <c r="DC70" s="82">
        <v>85</v>
      </c>
      <c r="DD70" s="82"/>
      <c r="DE70" s="82">
        <v>194</v>
      </c>
      <c r="DF70" s="82">
        <v>134</v>
      </c>
      <c r="DG70" s="9">
        <f t="shared" si="1"/>
        <v>4.6702455282206143</v>
      </c>
      <c r="DH70" s="82">
        <v>26.8</v>
      </c>
      <c r="DI70" s="82">
        <v>4.5</v>
      </c>
      <c r="DJ70" s="82">
        <v>15</v>
      </c>
      <c r="DK70" s="6"/>
      <c r="DL70" s="6">
        <v>48.2</v>
      </c>
      <c r="DM70" s="6">
        <v>119</v>
      </c>
      <c r="DN70" s="6"/>
      <c r="DP70" s="11">
        <v>3</v>
      </c>
      <c r="DQ70" s="6" t="s">
        <v>111</v>
      </c>
      <c r="DR70" s="9">
        <v>3</v>
      </c>
      <c r="DU70" s="9">
        <v>3.39</v>
      </c>
    </row>
    <row r="71" spans="1:125" x14ac:dyDescent="0.2">
      <c r="A71" s="79">
        <v>223</v>
      </c>
      <c r="B71" s="8">
        <v>42910</v>
      </c>
      <c r="C71" s="6" t="s">
        <v>95</v>
      </c>
      <c r="D71" s="6"/>
      <c r="E71" s="6"/>
      <c r="G71" s="6" t="s">
        <v>2976</v>
      </c>
      <c r="H71" s="6"/>
      <c r="I71" s="9">
        <v>14</v>
      </c>
      <c r="J71" s="9" t="s">
        <v>99</v>
      </c>
      <c r="K71" s="10" t="s">
        <v>99</v>
      </c>
      <c r="L71" s="6" t="s">
        <v>99</v>
      </c>
      <c r="M71" s="6" t="s">
        <v>99</v>
      </c>
      <c r="N71" s="6" t="s">
        <v>99</v>
      </c>
      <c r="O71" s="6" t="s">
        <v>99</v>
      </c>
      <c r="P71" s="6" t="s">
        <v>99</v>
      </c>
      <c r="Q71" s="15" t="s">
        <v>110</v>
      </c>
      <c r="R71" s="79" t="s">
        <v>99</v>
      </c>
      <c r="S71" s="6" t="s">
        <v>110</v>
      </c>
      <c r="T71" s="6" t="s">
        <v>110</v>
      </c>
      <c r="U71" s="6" t="s">
        <v>2977</v>
      </c>
      <c r="W71" s="6"/>
      <c r="X71" s="6"/>
      <c r="Y71" s="6" t="s">
        <v>2978</v>
      </c>
      <c r="Z71" s="9" t="s">
        <v>2979</v>
      </c>
      <c r="AA71" s="6" t="s">
        <v>100</v>
      </c>
      <c r="AB71" s="6" t="s">
        <v>100</v>
      </c>
      <c r="AC71" s="6" t="s">
        <v>100</v>
      </c>
      <c r="AD71" s="6" t="s">
        <v>100</v>
      </c>
      <c r="AE71" s="15" t="s">
        <v>2980</v>
      </c>
      <c r="AF71" s="6" t="s">
        <v>99</v>
      </c>
      <c r="AG71" s="15" t="s">
        <v>2981</v>
      </c>
      <c r="AH71" s="15" t="s">
        <v>125</v>
      </c>
      <c r="AI71" s="15" t="s">
        <v>122</v>
      </c>
      <c r="AJ71" s="6" t="s">
        <v>99</v>
      </c>
      <c r="AK71" s="15" t="s">
        <v>2982</v>
      </c>
      <c r="AL71" s="6">
        <v>48.3</v>
      </c>
      <c r="AN71" s="6">
        <v>68.5</v>
      </c>
      <c r="AO71" s="6">
        <v>86</v>
      </c>
      <c r="AP71" s="6">
        <v>23.7</v>
      </c>
      <c r="AQ71" s="6">
        <v>2</v>
      </c>
      <c r="AR71" s="6">
        <v>28.7</v>
      </c>
      <c r="AS71" s="6">
        <v>18</v>
      </c>
      <c r="AT71" s="79">
        <v>18</v>
      </c>
      <c r="AU71" s="6">
        <v>97</v>
      </c>
      <c r="AV71" s="6">
        <v>70</v>
      </c>
      <c r="DC71" s="13">
        <v>78</v>
      </c>
      <c r="DD71" s="13">
        <v>0.74</v>
      </c>
      <c r="DE71" s="13">
        <v>166</v>
      </c>
      <c r="DF71" s="13">
        <v>123</v>
      </c>
      <c r="DG71" s="9">
        <f t="shared" si="1"/>
        <v>4.5844465910310044</v>
      </c>
      <c r="DH71" s="13">
        <v>24</v>
      </c>
      <c r="DI71" s="13">
        <v>4.8</v>
      </c>
      <c r="DJ71" s="82">
        <v>10</v>
      </c>
      <c r="DK71" s="6"/>
      <c r="DL71" s="6">
        <v>60</v>
      </c>
      <c r="DM71" s="6">
        <v>82</v>
      </c>
      <c r="DN71" s="6"/>
      <c r="DP71" s="11">
        <v>2</v>
      </c>
      <c r="DQ71" s="6" t="s">
        <v>111</v>
      </c>
      <c r="DR71" s="30">
        <v>1</v>
      </c>
    </row>
    <row r="72" spans="1:125" x14ac:dyDescent="0.2">
      <c r="A72" s="6">
        <v>236</v>
      </c>
      <c r="B72" s="8">
        <v>42923</v>
      </c>
      <c r="C72" s="6" t="s">
        <v>95</v>
      </c>
      <c r="D72" s="6">
        <v>79</v>
      </c>
      <c r="E72" s="16" t="s">
        <v>840</v>
      </c>
      <c r="F72" s="17">
        <v>13858</v>
      </c>
      <c r="G72" s="6" t="s">
        <v>3065</v>
      </c>
      <c r="H72" s="6" t="s">
        <v>3001</v>
      </c>
      <c r="I72" s="9">
        <v>11</v>
      </c>
      <c r="J72" s="10">
        <v>40</v>
      </c>
      <c r="L72" s="6" t="s">
        <v>99</v>
      </c>
      <c r="M72" s="6" t="s">
        <v>99</v>
      </c>
      <c r="N72" s="15" t="s">
        <v>110</v>
      </c>
      <c r="O72" s="15" t="s">
        <v>110</v>
      </c>
      <c r="P72" s="6" t="s">
        <v>110</v>
      </c>
      <c r="Q72" s="6" t="s">
        <v>110</v>
      </c>
      <c r="R72" s="6" t="s">
        <v>110</v>
      </c>
      <c r="S72" s="6" t="s">
        <v>110</v>
      </c>
      <c r="T72" s="6" t="s">
        <v>110</v>
      </c>
      <c r="U72" s="6" t="s">
        <v>3066</v>
      </c>
      <c r="W72" s="6" t="s">
        <v>99</v>
      </c>
      <c r="X72" s="6" t="s">
        <v>99</v>
      </c>
      <c r="Y72" s="6" t="s">
        <v>3067</v>
      </c>
      <c r="AA72" s="16" t="s">
        <v>840</v>
      </c>
      <c r="AB72" s="16" t="s">
        <v>840</v>
      </c>
      <c r="AC72" s="16" t="s">
        <v>840</v>
      </c>
      <c r="AD72" s="16" t="s">
        <v>840</v>
      </c>
      <c r="AE72" s="6" t="s">
        <v>99</v>
      </c>
      <c r="AF72" s="15" t="s">
        <v>2264</v>
      </c>
      <c r="AG72" s="15" t="s">
        <v>3068</v>
      </c>
      <c r="AH72" s="6" t="s">
        <v>99</v>
      </c>
      <c r="AI72" s="15" t="s">
        <v>126</v>
      </c>
      <c r="AJ72" s="6"/>
      <c r="AK72" s="6" t="s">
        <v>99</v>
      </c>
      <c r="AL72" s="6">
        <v>43.4</v>
      </c>
      <c r="AM72" s="9">
        <v>145</v>
      </c>
      <c r="AN72" s="15">
        <v>82</v>
      </c>
      <c r="AO72" s="6">
        <v>85</v>
      </c>
      <c r="AP72" s="6">
        <v>30.6</v>
      </c>
      <c r="AQ72" s="6">
        <v>7</v>
      </c>
      <c r="AR72" s="6">
        <v>24.7</v>
      </c>
      <c r="AS72" s="6">
        <v>55</v>
      </c>
      <c r="AT72" s="79">
        <v>20.6</v>
      </c>
      <c r="AU72" s="15">
        <v>132</v>
      </c>
      <c r="AV72" s="6">
        <v>76</v>
      </c>
      <c r="DC72" s="82">
        <v>92</v>
      </c>
      <c r="DD72" s="82">
        <v>1.59</v>
      </c>
      <c r="DE72" s="91">
        <v>206</v>
      </c>
      <c r="DF72" s="91">
        <v>159</v>
      </c>
      <c r="DG72" s="9">
        <f t="shared" si="1"/>
        <v>4.795346389634636</v>
      </c>
      <c r="DH72" s="82">
        <v>31.8</v>
      </c>
      <c r="DI72" s="82">
        <v>6.42</v>
      </c>
      <c r="DJ72" s="6"/>
      <c r="DK72" s="6"/>
      <c r="DL72" s="6">
        <v>55</v>
      </c>
      <c r="DM72" s="6">
        <v>117</v>
      </c>
      <c r="DN72" s="6"/>
      <c r="DP72" s="11">
        <v>2</v>
      </c>
      <c r="DQ72" s="6" t="s">
        <v>111</v>
      </c>
      <c r="DR72" s="9">
        <v>2</v>
      </c>
    </row>
    <row r="73" spans="1:125" x14ac:dyDescent="0.2">
      <c r="A73" s="6">
        <v>249</v>
      </c>
      <c r="B73" s="8">
        <v>42927</v>
      </c>
      <c r="C73" s="6" t="s">
        <v>95</v>
      </c>
      <c r="D73" s="6">
        <v>52</v>
      </c>
      <c r="E73" s="6" t="s">
        <v>100</v>
      </c>
      <c r="F73" s="17">
        <v>23573</v>
      </c>
      <c r="G73" s="6" t="s">
        <v>813</v>
      </c>
      <c r="H73" s="6" t="s">
        <v>3166</v>
      </c>
      <c r="I73" s="9">
        <v>12</v>
      </c>
      <c r="J73" s="10">
        <v>2004</v>
      </c>
      <c r="K73" s="9">
        <v>1990</v>
      </c>
      <c r="L73" s="6">
        <v>3</v>
      </c>
      <c r="M73" s="6" t="s">
        <v>99</v>
      </c>
      <c r="N73" s="6" t="s">
        <v>99</v>
      </c>
      <c r="O73" s="6" t="s">
        <v>99</v>
      </c>
      <c r="P73" s="6" t="s">
        <v>110</v>
      </c>
      <c r="Q73" s="6" t="s">
        <v>99</v>
      </c>
      <c r="R73" s="6" t="s">
        <v>3167</v>
      </c>
      <c r="S73" s="6" t="s">
        <v>110</v>
      </c>
      <c r="T73" s="6" t="s">
        <v>99</v>
      </c>
      <c r="U73" s="6" t="s">
        <v>99</v>
      </c>
      <c r="V73" s="9" t="s">
        <v>99</v>
      </c>
      <c r="W73" s="6" t="s">
        <v>3168</v>
      </c>
      <c r="X73" s="6"/>
      <c r="Y73" s="6" t="s">
        <v>3169</v>
      </c>
      <c r="AA73" s="9" t="s">
        <v>100</v>
      </c>
      <c r="AB73" s="6" t="s">
        <v>100</v>
      </c>
      <c r="AC73" s="6" t="s">
        <v>100</v>
      </c>
      <c r="AD73" s="9" t="s">
        <v>100</v>
      </c>
      <c r="AE73" s="6" t="s">
        <v>99</v>
      </c>
      <c r="AF73" s="15" t="s">
        <v>118</v>
      </c>
      <c r="AG73" s="6" t="s">
        <v>99</v>
      </c>
      <c r="AH73" s="6" t="s">
        <v>99</v>
      </c>
      <c r="AI73" s="6" t="s">
        <v>99</v>
      </c>
      <c r="AJ73" s="6" t="s">
        <v>99</v>
      </c>
      <c r="AK73" s="6"/>
      <c r="AL73" s="6">
        <v>57</v>
      </c>
      <c r="AM73" s="9">
        <v>155</v>
      </c>
      <c r="AN73" s="6">
        <v>79</v>
      </c>
      <c r="AO73" s="6">
        <v>92</v>
      </c>
      <c r="AP73" s="6">
        <v>37.1</v>
      </c>
      <c r="AQ73" s="6">
        <v>7</v>
      </c>
      <c r="AR73" s="6">
        <v>25.3</v>
      </c>
      <c r="AS73" s="6">
        <v>51</v>
      </c>
      <c r="AT73" s="79">
        <v>23.9</v>
      </c>
      <c r="AU73" s="6">
        <v>101</v>
      </c>
      <c r="AV73" s="6">
        <v>76</v>
      </c>
      <c r="AX73" s="9" t="s">
        <v>2937</v>
      </c>
      <c r="AY73" s="9" t="s">
        <v>3170</v>
      </c>
      <c r="BB73" s="9" t="s">
        <v>346</v>
      </c>
      <c r="BC73" s="9" t="s">
        <v>3171</v>
      </c>
      <c r="BD73" s="9" t="s">
        <v>2965</v>
      </c>
      <c r="BF73" s="9" t="s">
        <v>176</v>
      </c>
      <c r="BG73" s="9" t="s">
        <v>683</v>
      </c>
      <c r="BH73" s="9" t="s">
        <v>683</v>
      </c>
      <c r="BI73" s="9" t="s">
        <v>175</v>
      </c>
      <c r="BJ73" s="9" t="s">
        <v>176</v>
      </c>
      <c r="BK73" s="9" t="s">
        <v>683</v>
      </c>
      <c r="BN73" s="9" t="s">
        <v>1176</v>
      </c>
      <c r="BO73" s="14" t="s">
        <v>125</v>
      </c>
      <c r="BP73" s="9" t="s">
        <v>178</v>
      </c>
      <c r="BV73" s="9" t="s">
        <v>734</v>
      </c>
      <c r="BZ73" s="9" t="s">
        <v>808</v>
      </c>
      <c r="CA73" s="9" t="s">
        <v>182</v>
      </c>
      <c r="CB73" s="9" t="s">
        <v>183</v>
      </c>
      <c r="CL73" s="9" t="s">
        <v>579</v>
      </c>
      <c r="CM73" s="9" t="s">
        <v>980</v>
      </c>
      <c r="CP73" s="9" t="s">
        <v>361</v>
      </c>
      <c r="CQ73" s="9" t="s">
        <v>2534</v>
      </c>
      <c r="CR73" s="9" t="s">
        <v>362</v>
      </c>
      <c r="CT73" s="9" t="s">
        <v>3172</v>
      </c>
      <c r="CU73" s="9" t="s">
        <v>1729</v>
      </c>
      <c r="CW73" s="9">
        <v>3</v>
      </c>
      <c r="CX73" s="9" t="s">
        <v>110</v>
      </c>
      <c r="CY73" s="9" t="s">
        <v>99</v>
      </c>
      <c r="CZ73" s="9">
        <v>20</v>
      </c>
      <c r="DA73" s="9">
        <v>30</v>
      </c>
      <c r="DB73" s="9">
        <v>50</v>
      </c>
      <c r="DC73" s="91">
        <v>103</v>
      </c>
      <c r="DD73" s="82">
        <v>0.79</v>
      </c>
      <c r="DE73" s="82">
        <v>158</v>
      </c>
      <c r="DF73" s="82">
        <v>146</v>
      </c>
      <c r="DG73" s="9">
        <f t="shared" si="1"/>
        <v>4.8091678049689861</v>
      </c>
      <c r="DH73" s="82">
        <v>31</v>
      </c>
      <c r="DI73" s="82">
        <v>5.21</v>
      </c>
      <c r="DJ73" s="6"/>
      <c r="DK73" s="6"/>
      <c r="DL73" s="6">
        <v>56</v>
      </c>
      <c r="DM73" s="6">
        <v>71</v>
      </c>
      <c r="DN73" s="6"/>
      <c r="DP73" s="11">
        <v>2</v>
      </c>
      <c r="DQ73" s="6" t="s">
        <v>111</v>
      </c>
      <c r="DR73" s="9">
        <v>2</v>
      </c>
      <c r="DU73" s="9">
        <v>8</v>
      </c>
    </row>
    <row r="74" spans="1:125" x14ac:dyDescent="0.2">
      <c r="A74" s="79">
        <v>263</v>
      </c>
      <c r="B74" s="8">
        <v>42927</v>
      </c>
      <c r="C74" s="6" t="s">
        <v>675</v>
      </c>
      <c r="D74" s="6">
        <v>58</v>
      </c>
      <c r="E74" s="6" t="s">
        <v>100</v>
      </c>
      <c r="F74" s="17">
        <v>21593</v>
      </c>
      <c r="G74" s="6" t="s">
        <v>3017</v>
      </c>
      <c r="H74" s="6" t="s">
        <v>2807</v>
      </c>
      <c r="J74" s="10">
        <v>40</v>
      </c>
      <c r="K74" s="9">
        <v>1992</v>
      </c>
      <c r="L74" s="6">
        <v>3</v>
      </c>
      <c r="M74" s="6" t="s">
        <v>99</v>
      </c>
      <c r="N74" s="6" t="s">
        <v>99</v>
      </c>
      <c r="O74" s="6"/>
      <c r="P74" s="6" t="s">
        <v>99</v>
      </c>
      <c r="Q74" s="6" t="s">
        <v>99</v>
      </c>
      <c r="R74" s="6"/>
      <c r="S74" s="6" t="s">
        <v>99</v>
      </c>
      <c r="T74" s="6" t="s">
        <v>99</v>
      </c>
      <c r="U74" s="6" t="s">
        <v>99</v>
      </c>
      <c r="W74" s="16" t="s">
        <v>3279</v>
      </c>
      <c r="X74" s="6" t="s">
        <v>99</v>
      </c>
      <c r="Y74" s="6" t="s">
        <v>3280</v>
      </c>
      <c r="AA74" s="9" t="s">
        <v>3281</v>
      </c>
      <c r="AB74" s="6" t="s">
        <v>3281</v>
      </c>
      <c r="AC74" s="6" t="s">
        <v>3281</v>
      </c>
      <c r="AD74" s="9" t="s">
        <v>3281</v>
      </c>
      <c r="AE74" s="9" t="s">
        <v>99</v>
      </c>
      <c r="AF74" s="9" t="s">
        <v>99</v>
      </c>
      <c r="AG74" s="9" t="s">
        <v>99</v>
      </c>
      <c r="AH74" s="9" t="s">
        <v>99</v>
      </c>
      <c r="AI74" s="9" t="s">
        <v>99</v>
      </c>
      <c r="AJ74" s="9" t="s">
        <v>99</v>
      </c>
      <c r="AK74" s="9" t="s">
        <v>99</v>
      </c>
      <c r="AL74" s="6">
        <v>54.7</v>
      </c>
      <c r="AM74" s="9">
        <v>152</v>
      </c>
      <c r="AN74" s="6">
        <v>78</v>
      </c>
      <c r="AO74" s="6">
        <v>96</v>
      </c>
      <c r="AP74" s="6">
        <v>37.1</v>
      </c>
      <c r="AQ74" s="6">
        <v>7</v>
      </c>
      <c r="AR74" s="6">
        <v>24.7</v>
      </c>
      <c r="AS74" s="6">
        <v>54</v>
      </c>
      <c r="AT74" s="79">
        <v>23.7</v>
      </c>
      <c r="AU74" s="6"/>
      <c r="AV74" s="6"/>
      <c r="AX74" s="9" t="s">
        <v>3282</v>
      </c>
      <c r="AY74" s="9" t="s">
        <v>3283</v>
      </c>
      <c r="BB74" s="9" t="s">
        <v>3284</v>
      </c>
      <c r="BF74" s="9" t="s">
        <v>350</v>
      </c>
      <c r="BH74" s="9" t="s">
        <v>1979</v>
      </c>
      <c r="BI74" s="9" t="s">
        <v>176</v>
      </c>
      <c r="BK74" s="9" t="s">
        <v>350</v>
      </c>
      <c r="BM74" s="9" t="s">
        <v>176</v>
      </c>
      <c r="CL74" s="9" t="s">
        <v>1181</v>
      </c>
      <c r="CM74" s="9" t="s">
        <v>3285</v>
      </c>
      <c r="CP74" s="9" t="s">
        <v>3286</v>
      </c>
      <c r="CQ74" s="9" t="s">
        <v>715</v>
      </c>
      <c r="CR74" s="9" t="s">
        <v>716</v>
      </c>
      <c r="CT74" s="9" t="s">
        <v>2385</v>
      </c>
      <c r="CW74" s="9">
        <v>3</v>
      </c>
      <c r="CX74" s="9" t="s">
        <v>99</v>
      </c>
      <c r="CY74" s="9" t="s">
        <v>110</v>
      </c>
      <c r="CZ74" s="9">
        <v>50</v>
      </c>
      <c r="DA74" s="9">
        <v>3</v>
      </c>
      <c r="DB74" s="9">
        <v>50</v>
      </c>
      <c r="DC74" s="6">
        <v>81.7</v>
      </c>
      <c r="DD74" s="6">
        <v>0.75</v>
      </c>
      <c r="DE74" s="6">
        <v>189</v>
      </c>
      <c r="DF74" s="6" t="s">
        <v>3287</v>
      </c>
      <c r="DG74" s="9" t="e">
        <f t="shared" si="1"/>
        <v>#VALUE!</v>
      </c>
      <c r="DH74" s="6"/>
      <c r="DI74" s="6">
        <v>4.99</v>
      </c>
      <c r="DJ74" s="6"/>
      <c r="DK74" s="6"/>
      <c r="DL74" s="6"/>
      <c r="DM74" s="6"/>
      <c r="DN74" s="6"/>
      <c r="DP74" s="11">
        <v>3</v>
      </c>
      <c r="DQ74" s="6" t="s">
        <v>105</v>
      </c>
      <c r="DR74" s="9">
        <v>2</v>
      </c>
      <c r="DT74" s="9">
        <v>16.3</v>
      </c>
      <c r="DU74" s="9">
        <v>3.49</v>
      </c>
    </row>
    <row r="75" spans="1:125" x14ac:dyDescent="0.2">
      <c r="A75" s="103">
        <v>264</v>
      </c>
      <c r="B75" s="8">
        <v>42928</v>
      </c>
      <c r="C75" s="6" t="s">
        <v>196</v>
      </c>
      <c r="D75" s="6">
        <v>56</v>
      </c>
      <c r="E75" s="6" t="s">
        <v>100</v>
      </c>
      <c r="F75" s="17">
        <v>22333</v>
      </c>
      <c r="G75" s="6" t="s">
        <v>3288</v>
      </c>
      <c r="H75" s="6" t="s">
        <v>3001</v>
      </c>
      <c r="I75" s="9">
        <v>12</v>
      </c>
      <c r="J75" s="10">
        <v>52</v>
      </c>
      <c r="L75" s="6"/>
      <c r="M75" s="6" t="s">
        <v>99</v>
      </c>
      <c r="N75" s="6" t="s">
        <v>99</v>
      </c>
      <c r="O75" s="6" t="s">
        <v>99</v>
      </c>
      <c r="P75" s="6" t="s">
        <v>99</v>
      </c>
      <c r="Q75" s="6" t="s">
        <v>99</v>
      </c>
      <c r="R75" s="6"/>
      <c r="S75" s="6" t="s">
        <v>110</v>
      </c>
      <c r="T75" s="6" t="s">
        <v>110</v>
      </c>
      <c r="U75" s="6" t="s">
        <v>3289</v>
      </c>
      <c r="V75" s="9" t="s">
        <v>99</v>
      </c>
      <c r="W75" s="6" t="s">
        <v>99</v>
      </c>
      <c r="X75" s="6"/>
      <c r="Y75" s="6" t="s">
        <v>99</v>
      </c>
      <c r="AA75" s="9" t="s">
        <v>100</v>
      </c>
      <c r="AB75" s="6" t="s">
        <v>100</v>
      </c>
      <c r="AC75" s="6" t="s">
        <v>1123</v>
      </c>
      <c r="AD75" s="9" t="s">
        <v>100</v>
      </c>
      <c r="AE75" s="9" t="s">
        <v>99</v>
      </c>
      <c r="AF75" s="9" t="s">
        <v>99</v>
      </c>
      <c r="AG75" s="15" t="s">
        <v>125</v>
      </c>
      <c r="AH75" s="9" t="s">
        <v>99</v>
      </c>
      <c r="AI75" s="15" t="s">
        <v>664</v>
      </c>
      <c r="AJ75" s="9" t="s">
        <v>99</v>
      </c>
      <c r="AK75" s="6" t="s">
        <v>99</v>
      </c>
      <c r="AL75" s="6">
        <v>52.5</v>
      </c>
      <c r="AM75" s="9">
        <v>158</v>
      </c>
      <c r="AN75" s="6">
        <v>74</v>
      </c>
      <c r="AO75" s="6">
        <v>95</v>
      </c>
      <c r="AP75" s="6">
        <v>33.200000000000003</v>
      </c>
      <c r="AQ75" s="6">
        <v>5</v>
      </c>
      <c r="AR75" s="6">
        <v>24.3</v>
      </c>
      <c r="AS75" s="6">
        <v>39</v>
      </c>
      <c r="AT75" s="79">
        <v>21</v>
      </c>
      <c r="AU75" s="6">
        <v>122</v>
      </c>
      <c r="AV75" s="6">
        <v>79</v>
      </c>
      <c r="AX75" s="9" t="s">
        <v>3290</v>
      </c>
      <c r="AY75" s="9" t="s">
        <v>2878</v>
      </c>
      <c r="AZ75" s="9" t="s">
        <v>1097</v>
      </c>
      <c r="BB75" s="9" t="s">
        <v>346</v>
      </c>
      <c r="BC75" s="9" t="s">
        <v>2635</v>
      </c>
      <c r="BD75" s="9" t="s">
        <v>3291</v>
      </c>
      <c r="BF75" s="9" t="s">
        <v>176</v>
      </c>
      <c r="BG75" s="9" t="s">
        <v>3234</v>
      </c>
      <c r="BH75" s="9" t="s">
        <v>3215</v>
      </c>
      <c r="BI75" s="9" t="s">
        <v>176</v>
      </c>
      <c r="BK75" s="9" t="s">
        <v>683</v>
      </c>
      <c r="BN75" s="9" t="s">
        <v>3292</v>
      </c>
      <c r="BO75" s="9" t="s">
        <v>3293</v>
      </c>
      <c r="BP75" s="9" t="s">
        <v>2557</v>
      </c>
      <c r="BV75" s="9" t="s">
        <v>3089</v>
      </c>
      <c r="BZ75" s="9" t="s">
        <v>2640</v>
      </c>
      <c r="CA75" s="9" t="s">
        <v>578</v>
      </c>
      <c r="CB75" s="9" t="s">
        <v>3294</v>
      </c>
      <c r="CL75" s="9" t="s">
        <v>3158</v>
      </c>
      <c r="CM75" s="9" t="s">
        <v>3295</v>
      </c>
      <c r="CP75" s="9" t="s">
        <v>890</v>
      </c>
      <c r="CQ75" s="9" t="s">
        <v>2892</v>
      </c>
      <c r="CR75" s="9" t="s">
        <v>2641</v>
      </c>
      <c r="CW75" s="9">
        <v>3</v>
      </c>
      <c r="CX75" s="9" t="s">
        <v>110</v>
      </c>
      <c r="CY75" s="9" t="s">
        <v>110</v>
      </c>
      <c r="DC75" s="6">
        <v>82.5</v>
      </c>
      <c r="DD75" s="6">
        <v>0.71</v>
      </c>
      <c r="DE75" s="15" t="s">
        <v>3296</v>
      </c>
      <c r="DF75" s="15" t="s">
        <v>3297</v>
      </c>
      <c r="DG75" s="9" t="e">
        <f t="shared" si="1"/>
        <v>#VALUE!</v>
      </c>
      <c r="DH75" s="6">
        <v>42.4</v>
      </c>
      <c r="DI75" s="6">
        <v>4.37</v>
      </c>
      <c r="DJ75" s="6"/>
      <c r="DK75" s="6"/>
      <c r="DL75" s="6">
        <v>62.8</v>
      </c>
      <c r="DM75" s="6">
        <v>110.8</v>
      </c>
      <c r="DN75" s="6"/>
      <c r="DP75" s="11">
        <v>3</v>
      </c>
      <c r="DQ75" s="19" t="s">
        <v>112</v>
      </c>
      <c r="DR75" s="9">
        <v>3</v>
      </c>
      <c r="DT75" s="9">
        <v>5.61</v>
      </c>
      <c r="DU75" s="9">
        <v>4.17</v>
      </c>
    </row>
    <row r="76" spans="1:125" x14ac:dyDescent="0.2">
      <c r="A76" s="79">
        <v>270</v>
      </c>
      <c r="B76" s="8">
        <v>42928</v>
      </c>
      <c r="C76" s="6" t="s">
        <v>675</v>
      </c>
      <c r="D76" s="6">
        <v>28</v>
      </c>
      <c r="E76" s="6" t="s">
        <v>100</v>
      </c>
      <c r="F76" s="17">
        <v>32574</v>
      </c>
      <c r="G76" s="6" t="s">
        <v>481</v>
      </c>
      <c r="H76" s="6" t="s">
        <v>3001</v>
      </c>
      <c r="L76" s="6"/>
      <c r="M76" s="6" t="s">
        <v>99</v>
      </c>
      <c r="N76" s="6" t="s">
        <v>99</v>
      </c>
      <c r="O76" s="6" t="s">
        <v>99</v>
      </c>
      <c r="P76" s="6" t="s">
        <v>99</v>
      </c>
      <c r="Q76" s="6" t="s">
        <v>110</v>
      </c>
      <c r="R76" s="6"/>
      <c r="S76" s="6" t="s">
        <v>110</v>
      </c>
      <c r="T76" s="6" t="s">
        <v>110</v>
      </c>
      <c r="U76" s="6" t="s">
        <v>99</v>
      </c>
      <c r="V76" s="9" t="s">
        <v>99</v>
      </c>
      <c r="W76" s="6" t="s">
        <v>99</v>
      </c>
      <c r="X76" s="6"/>
      <c r="Y76" s="6" t="s">
        <v>3350</v>
      </c>
      <c r="AA76" s="9" t="s">
        <v>100</v>
      </c>
      <c r="AB76" s="6" t="s">
        <v>100</v>
      </c>
      <c r="AC76" s="6" t="s">
        <v>100</v>
      </c>
      <c r="AD76" s="9" t="s">
        <v>100</v>
      </c>
      <c r="AE76" s="15" t="s">
        <v>122</v>
      </c>
      <c r="AF76" s="15" t="s">
        <v>122</v>
      </c>
      <c r="AG76" s="15" t="s">
        <v>122</v>
      </c>
      <c r="AH76" s="6" t="s">
        <v>99</v>
      </c>
      <c r="AI76" s="6" t="s">
        <v>99</v>
      </c>
      <c r="AJ76" s="6" t="s">
        <v>99</v>
      </c>
      <c r="AK76" s="6"/>
      <c r="AL76" s="6">
        <v>64.400000000000006</v>
      </c>
      <c r="AM76" s="9">
        <v>168</v>
      </c>
      <c r="AN76" s="6">
        <v>74</v>
      </c>
      <c r="AO76" s="6">
        <v>95</v>
      </c>
      <c r="AP76" s="6">
        <v>21.3</v>
      </c>
      <c r="AQ76" s="6">
        <v>6</v>
      </c>
      <c r="AR76" s="6">
        <v>38.799999999999997</v>
      </c>
      <c r="AS76" s="6">
        <v>26</v>
      </c>
      <c r="AT76" s="79">
        <v>22.8</v>
      </c>
      <c r="AU76" s="6">
        <v>119</v>
      </c>
      <c r="AV76" s="6">
        <v>84</v>
      </c>
      <c r="AX76" s="9" t="s">
        <v>1128</v>
      </c>
      <c r="AY76" s="9" t="s">
        <v>1657</v>
      </c>
      <c r="BB76" s="9" t="s">
        <v>1080</v>
      </c>
      <c r="BC76" s="9" t="s">
        <v>3351</v>
      </c>
      <c r="BD76" s="9" t="s">
        <v>3352</v>
      </c>
      <c r="BE76" s="9" t="s">
        <v>3353</v>
      </c>
      <c r="BF76" s="9" t="s">
        <v>3354</v>
      </c>
      <c r="BG76" s="9" t="s">
        <v>1173</v>
      </c>
      <c r="BH76" s="9" t="s">
        <v>99</v>
      </c>
      <c r="BI76" s="9" t="s">
        <v>176</v>
      </c>
      <c r="BJ76" s="9" t="s">
        <v>3355</v>
      </c>
      <c r="BK76" s="9" t="s">
        <v>2570</v>
      </c>
      <c r="BM76" s="9" t="s">
        <v>2748</v>
      </c>
      <c r="BN76" s="9" t="s">
        <v>178</v>
      </c>
      <c r="BO76" s="9" t="s">
        <v>859</v>
      </c>
      <c r="BQ76" s="9" t="s">
        <v>99</v>
      </c>
      <c r="BU76" s="9" t="s">
        <v>99</v>
      </c>
      <c r="BZ76" s="9" t="s">
        <v>2696</v>
      </c>
      <c r="CC76" s="9" t="s">
        <v>99</v>
      </c>
      <c r="CG76" s="9" t="s">
        <v>99</v>
      </c>
      <c r="CL76" s="9" t="s">
        <v>3356</v>
      </c>
      <c r="CM76" s="9" t="s">
        <v>1181</v>
      </c>
      <c r="CN76" s="9" t="s">
        <v>3357</v>
      </c>
      <c r="CP76" s="9" t="s">
        <v>716</v>
      </c>
      <c r="CQ76" s="9" t="s">
        <v>3358</v>
      </c>
      <c r="CR76" s="9" t="s">
        <v>361</v>
      </c>
      <c r="CT76" s="9" t="s">
        <v>2570</v>
      </c>
      <c r="CW76" s="9">
        <v>5</v>
      </c>
      <c r="CX76" s="9" t="s">
        <v>3359</v>
      </c>
      <c r="CY76" s="9" t="s">
        <v>110</v>
      </c>
      <c r="CZ76" s="9">
        <v>60</v>
      </c>
      <c r="DA76" s="9">
        <v>20</v>
      </c>
      <c r="DB76" s="9">
        <v>20</v>
      </c>
      <c r="DC76" s="6">
        <v>67.400000000000006</v>
      </c>
      <c r="DD76" s="6">
        <v>0.99</v>
      </c>
      <c r="DE76" s="6">
        <v>147</v>
      </c>
      <c r="DF76" s="6">
        <v>83</v>
      </c>
      <c r="DG76" s="9">
        <f t="shared" si="1"/>
        <v>4.3147428128574301</v>
      </c>
      <c r="DH76" s="6"/>
      <c r="DI76" s="6">
        <v>5.67</v>
      </c>
      <c r="DJ76" s="6"/>
      <c r="DK76" s="6"/>
      <c r="DL76" s="6"/>
      <c r="DM76" s="6"/>
      <c r="DN76" s="6"/>
      <c r="DQ76" s="6" t="s">
        <v>111</v>
      </c>
      <c r="DR76" s="9">
        <v>2</v>
      </c>
      <c r="DT76" s="9">
        <v>6.53</v>
      </c>
      <c r="DU76" s="9">
        <v>3.52</v>
      </c>
    </row>
    <row r="77" spans="1:125" x14ac:dyDescent="0.2">
      <c r="A77" s="19">
        <v>271</v>
      </c>
      <c r="B77" s="8">
        <v>42927</v>
      </c>
      <c r="C77" s="6" t="s">
        <v>196</v>
      </c>
      <c r="D77" s="6">
        <v>27</v>
      </c>
      <c r="E77" s="6" t="s">
        <v>100</v>
      </c>
      <c r="F77" s="17">
        <v>32860</v>
      </c>
      <c r="G77" s="6" t="s">
        <v>197</v>
      </c>
      <c r="H77" s="6" t="s">
        <v>3360</v>
      </c>
      <c r="J77" s="104">
        <v>42906</v>
      </c>
      <c r="K77" s="9" t="s">
        <v>3361</v>
      </c>
      <c r="L77" s="6">
        <v>1</v>
      </c>
      <c r="M77" s="6" t="s">
        <v>483</v>
      </c>
      <c r="N77" s="6" t="s">
        <v>483</v>
      </c>
      <c r="O77" s="6" t="s">
        <v>483</v>
      </c>
      <c r="P77" s="6" t="s">
        <v>110</v>
      </c>
      <c r="Q77" s="6" t="s">
        <v>110</v>
      </c>
      <c r="R77" s="6"/>
      <c r="S77" s="6" t="s">
        <v>99</v>
      </c>
      <c r="T77" s="6" t="s">
        <v>99</v>
      </c>
      <c r="U77" s="6" t="s">
        <v>3362</v>
      </c>
      <c r="V77" s="9" t="s">
        <v>483</v>
      </c>
      <c r="W77" s="6" t="s">
        <v>99</v>
      </c>
      <c r="X77" s="6" t="s">
        <v>99</v>
      </c>
      <c r="Y77" s="6" t="s">
        <v>99</v>
      </c>
      <c r="AA77" s="9" t="s">
        <v>100</v>
      </c>
      <c r="AB77" s="6" t="s">
        <v>100</v>
      </c>
      <c r="AC77" s="6" t="s">
        <v>100</v>
      </c>
      <c r="AD77" s="9" t="s">
        <v>100</v>
      </c>
      <c r="AE77" s="15" t="s">
        <v>122</v>
      </c>
      <c r="AF77" s="15" t="s">
        <v>118</v>
      </c>
      <c r="AG77" s="6" t="s">
        <v>99</v>
      </c>
      <c r="AH77" s="15" t="s">
        <v>1079</v>
      </c>
      <c r="AI77" s="15" t="s">
        <v>2252</v>
      </c>
      <c r="AJ77" s="15" t="s">
        <v>2252</v>
      </c>
      <c r="AK77" s="15" t="s">
        <v>3363</v>
      </c>
      <c r="AL77" s="6">
        <v>63.1</v>
      </c>
      <c r="AM77" s="9">
        <v>160</v>
      </c>
      <c r="AN77" s="15">
        <v>84</v>
      </c>
      <c r="AO77" s="6">
        <v>99</v>
      </c>
      <c r="AP77" s="6">
        <v>34</v>
      </c>
      <c r="AQ77" s="6">
        <v>5</v>
      </c>
      <c r="AR77" s="6">
        <v>28.5</v>
      </c>
      <c r="AS77" s="6">
        <v>37</v>
      </c>
      <c r="AT77" s="79">
        <v>24.6</v>
      </c>
      <c r="AU77" s="6">
        <v>96</v>
      </c>
      <c r="AV77" s="6">
        <v>72</v>
      </c>
      <c r="DC77" s="6">
        <v>77.2</v>
      </c>
      <c r="DD77" s="6">
        <v>0.95</v>
      </c>
      <c r="DE77" s="15">
        <v>232</v>
      </c>
      <c r="DF77" s="6" t="s">
        <v>3364</v>
      </c>
      <c r="DG77" s="9" t="e">
        <f t="shared" si="1"/>
        <v>#VALUE!</v>
      </c>
      <c r="DH77" s="6"/>
      <c r="DI77" s="15">
        <v>9.0299999999999994</v>
      </c>
      <c r="DJ77" s="6"/>
      <c r="DK77" s="6"/>
      <c r="DL77" s="6"/>
      <c r="DM77" s="6"/>
      <c r="DN77" s="6"/>
      <c r="DP77" s="11">
        <v>3</v>
      </c>
      <c r="DQ77" s="6" t="s">
        <v>111</v>
      </c>
      <c r="DR77" s="9">
        <v>2</v>
      </c>
      <c r="DU77" s="9">
        <v>5.7</v>
      </c>
    </row>
    <row r="78" spans="1:125" x14ac:dyDescent="0.2">
      <c r="A78" s="6">
        <v>279</v>
      </c>
      <c r="B78" s="8">
        <v>42929</v>
      </c>
      <c r="C78" s="6" t="s">
        <v>95</v>
      </c>
      <c r="D78" s="6">
        <v>57</v>
      </c>
      <c r="E78" s="6" t="s">
        <v>100</v>
      </c>
      <c r="F78" s="17">
        <v>21760</v>
      </c>
      <c r="G78" s="6" t="s">
        <v>197</v>
      </c>
      <c r="H78" s="6" t="s">
        <v>3422</v>
      </c>
      <c r="I78" s="9">
        <v>12</v>
      </c>
      <c r="J78" s="10">
        <v>40</v>
      </c>
      <c r="K78" s="9">
        <v>37</v>
      </c>
      <c r="L78" s="6">
        <v>4</v>
      </c>
      <c r="M78" s="6" t="s">
        <v>99</v>
      </c>
      <c r="N78" s="6" t="s">
        <v>99</v>
      </c>
      <c r="O78" s="15" t="s">
        <v>110</v>
      </c>
      <c r="P78" s="6" t="s">
        <v>110</v>
      </c>
      <c r="Q78" s="6"/>
      <c r="R78" s="6"/>
      <c r="S78" s="6" t="s">
        <v>99</v>
      </c>
      <c r="T78" s="6" t="s">
        <v>110</v>
      </c>
      <c r="U78" s="6" t="s">
        <v>3440</v>
      </c>
      <c r="W78" s="15" t="s">
        <v>3441</v>
      </c>
      <c r="X78" s="6"/>
      <c r="Y78" s="6" t="s">
        <v>3442</v>
      </c>
      <c r="Z78" s="9" t="s">
        <v>99</v>
      </c>
      <c r="AA78" s="9" t="s">
        <v>100</v>
      </c>
      <c r="AB78" s="6" t="s">
        <v>1123</v>
      </c>
      <c r="AC78" s="6" t="s">
        <v>100</v>
      </c>
      <c r="AD78" s="6" t="s">
        <v>1123</v>
      </c>
      <c r="AE78" s="15" t="s">
        <v>125</v>
      </c>
      <c r="AF78" s="15" t="s">
        <v>363</v>
      </c>
      <c r="AG78" s="15" t="s">
        <v>118</v>
      </c>
      <c r="AH78" s="15" t="s">
        <v>125</v>
      </c>
      <c r="AI78" s="6" t="s">
        <v>99</v>
      </c>
      <c r="AJ78" s="6" t="s">
        <v>99</v>
      </c>
      <c r="AK78" s="6" t="s">
        <v>99</v>
      </c>
      <c r="AL78" s="6">
        <v>60</v>
      </c>
      <c r="AM78" s="9" t="s">
        <v>3443</v>
      </c>
      <c r="AN78" s="19">
        <v>92</v>
      </c>
      <c r="AO78" s="6">
        <v>101</v>
      </c>
      <c r="AP78" s="6">
        <v>37.9</v>
      </c>
      <c r="AQ78" s="6">
        <v>7</v>
      </c>
      <c r="AR78" s="6">
        <v>24.7</v>
      </c>
      <c r="AS78" s="6">
        <v>52</v>
      </c>
      <c r="AT78" s="19">
        <v>23.9</v>
      </c>
      <c r="AU78" s="6">
        <v>95</v>
      </c>
      <c r="AV78" s="6">
        <v>67</v>
      </c>
      <c r="AX78" s="9" t="s">
        <v>592</v>
      </c>
      <c r="AY78" s="9" t="s">
        <v>2878</v>
      </c>
      <c r="AZ78" s="9" t="s">
        <v>3401</v>
      </c>
      <c r="BB78" s="9" t="s">
        <v>750</v>
      </c>
      <c r="BC78" s="9" t="s">
        <v>1080</v>
      </c>
      <c r="BD78" s="9" t="s">
        <v>749</v>
      </c>
      <c r="BF78" s="9" t="s">
        <v>176</v>
      </c>
      <c r="BG78" s="9" t="s">
        <v>175</v>
      </c>
      <c r="BH78" s="9" t="s">
        <v>175</v>
      </c>
      <c r="BI78" s="9" t="s">
        <v>1173</v>
      </c>
      <c r="BJ78" s="9" t="s">
        <v>1173</v>
      </c>
      <c r="BK78" s="9" t="s">
        <v>175</v>
      </c>
      <c r="BN78" s="9" t="s">
        <v>179</v>
      </c>
      <c r="BO78" s="9" t="s">
        <v>180</v>
      </c>
      <c r="BP78" s="9" t="s">
        <v>352</v>
      </c>
      <c r="BR78" s="9" t="s">
        <v>99</v>
      </c>
      <c r="BV78" s="9" t="s">
        <v>99</v>
      </c>
      <c r="BZ78" s="9" t="s">
        <v>752</v>
      </c>
      <c r="CA78" s="9" t="s">
        <v>709</v>
      </c>
      <c r="CB78" s="9" t="s">
        <v>183</v>
      </c>
      <c r="CD78" s="9" t="s">
        <v>99</v>
      </c>
      <c r="CH78" s="9" t="s">
        <v>99</v>
      </c>
      <c r="CL78" s="9" t="s">
        <v>2822</v>
      </c>
      <c r="CM78" s="9" t="s">
        <v>2447</v>
      </c>
      <c r="CN78" s="9" t="s">
        <v>579</v>
      </c>
      <c r="CP78" s="9" t="s">
        <v>890</v>
      </c>
      <c r="CQ78" s="9" t="s">
        <v>716</v>
      </c>
      <c r="CR78" s="9" t="s">
        <v>361</v>
      </c>
      <c r="CT78" s="9" t="s">
        <v>99</v>
      </c>
      <c r="CW78" s="9">
        <v>3</v>
      </c>
      <c r="CX78" s="9" t="s">
        <v>110</v>
      </c>
      <c r="CY78" s="9" t="s">
        <v>110</v>
      </c>
      <c r="CZ78" s="9">
        <v>25</v>
      </c>
      <c r="DA78" s="9">
        <v>25</v>
      </c>
      <c r="DB78" s="9">
        <v>50</v>
      </c>
      <c r="DC78" s="79">
        <v>68.099999999999994</v>
      </c>
      <c r="DD78" s="6">
        <v>0.59</v>
      </c>
      <c r="DE78" s="15">
        <v>238</v>
      </c>
      <c r="DF78" s="6">
        <v>118</v>
      </c>
      <c r="DG78" s="9">
        <f t="shared" si="1"/>
        <v>4.4958309188105661</v>
      </c>
      <c r="DH78" s="6"/>
      <c r="DI78" s="6">
        <v>2.61</v>
      </c>
      <c r="DJ78" s="6"/>
      <c r="DK78" s="6"/>
      <c r="DL78" s="6">
        <v>78.5</v>
      </c>
      <c r="DM78" s="6"/>
      <c r="DN78" s="6"/>
      <c r="DP78" s="11">
        <v>2</v>
      </c>
      <c r="DQ78" s="6" t="s">
        <v>111</v>
      </c>
      <c r="DR78" s="9">
        <v>2</v>
      </c>
    </row>
    <row r="79" spans="1:125" x14ac:dyDescent="0.2">
      <c r="A79" s="79">
        <v>280</v>
      </c>
      <c r="B79" s="8">
        <v>42929</v>
      </c>
      <c r="C79" s="6" t="s">
        <v>107</v>
      </c>
      <c r="D79" s="6">
        <v>31</v>
      </c>
      <c r="E79" s="6" t="s">
        <v>100</v>
      </c>
      <c r="F79" s="17">
        <v>31631</v>
      </c>
      <c r="G79" s="6" t="s">
        <v>3444</v>
      </c>
      <c r="H79" s="6"/>
      <c r="L79" s="6"/>
      <c r="M79" s="6" t="s">
        <v>99</v>
      </c>
      <c r="N79" s="6" t="s">
        <v>99</v>
      </c>
      <c r="O79" s="6" t="s">
        <v>99</v>
      </c>
      <c r="P79" s="6" t="s">
        <v>99</v>
      </c>
      <c r="Q79" s="6" t="s">
        <v>110</v>
      </c>
      <c r="R79" s="6" t="s">
        <v>99</v>
      </c>
      <c r="S79" s="6" t="s">
        <v>110</v>
      </c>
      <c r="T79" s="6" t="s">
        <v>110</v>
      </c>
      <c r="U79" s="6" t="s">
        <v>99</v>
      </c>
      <c r="W79" s="6" t="s">
        <v>99</v>
      </c>
      <c r="X79" s="6" t="s">
        <v>99</v>
      </c>
      <c r="Y79" s="6" t="s">
        <v>3445</v>
      </c>
      <c r="Z79" s="9" t="s">
        <v>1222</v>
      </c>
      <c r="AA79" s="9" t="s">
        <v>100</v>
      </c>
      <c r="AB79" s="6" t="s">
        <v>100</v>
      </c>
      <c r="AC79" s="6"/>
      <c r="AE79" s="15" t="s">
        <v>118</v>
      </c>
      <c r="AF79" s="15" t="s">
        <v>118</v>
      </c>
      <c r="AG79" s="6" t="s">
        <v>99</v>
      </c>
      <c r="AH79" s="6" t="s">
        <v>99</v>
      </c>
      <c r="AI79" s="6" t="s">
        <v>99</v>
      </c>
      <c r="AJ79" s="6" t="s">
        <v>99</v>
      </c>
      <c r="AK79" s="6" t="s">
        <v>99</v>
      </c>
      <c r="AL79" s="6">
        <v>71.3</v>
      </c>
      <c r="AM79" s="9">
        <v>182</v>
      </c>
      <c r="AN79" s="6">
        <v>79</v>
      </c>
      <c r="AO79" s="6">
        <v>96</v>
      </c>
      <c r="AP79" s="6">
        <v>13.2</v>
      </c>
      <c r="AQ79" s="6">
        <v>4</v>
      </c>
      <c r="AR79" s="6">
        <v>42.6</v>
      </c>
      <c r="AS79" s="6">
        <v>31</v>
      </c>
      <c r="AT79" s="79">
        <v>21.5</v>
      </c>
      <c r="AU79" s="6">
        <v>110</v>
      </c>
      <c r="AV79" s="6">
        <v>79</v>
      </c>
      <c r="AX79" s="9" t="s">
        <v>666</v>
      </c>
      <c r="AY79" s="9" t="s">
        <v>665</v>
      </c>
      <c r="AZ79" s="9" t="s">
        <v>3446</v>
      </c>
      <c r="BB79" s="9" t="s">
        <v>346</v>
      </c>
      <c r="BC79" s="9" t="s">
        <v>3276</v>
      </c>
      <c r="BD79" s="9" t="s">
        <v>3447</v>
      </c>
      <c r="BF79" s="9" t="s">
        <v>3448</v>
      </c>
      <c r="BG79" s="9" t="s">
        <v>3449</v>
      </c>
      <c r="BH79" s="9" t="s">
        <v>350</v>
      </c>
      <c r="BI79" s="9" t="s">
        <v>176</v>
      </c>
      <c r="BJ79" s="9" t="s">
        <v>176</v>
      </c>
      <c r="BK79" s="9" t="s">
        <v>1979</v>
      </c>
      <c r="BN79" s="9" t="s">
        <v>3450</v>
      </c>
      <c r="BO79" s="9" t="s">
        <v>3451</v>
      </c>
      <c r="BP79" s="9" t="s">
        <v>3452</v>
      </c>
      <c r="BR79" s="9" t="s">
        <v>99</v>
      </c>
      <c r="BV79" s="9" t="s">
        <v>3453</v>
      </c>
      <c r="BW79" s="9" t="s">
        <v>3454</v>
      </c>
      <c r="BX79" s="9" t="s">
        <v>3455</v>
      </c>
      <c r="BZ79" s="9" t="s">
        <v>2640</v>
      </c>
      <c r="CA79" s="9" t="s">
        <v>1136</v>
      </c>
      <c r="CB79" s="9" t="s">
        <v>3456</v>
      </c>
      <c r="CD79" s="9" t="s">
        <v>99</v>
      </c>
      <c r="CH79" s="9" t="s">
        <v>3457</v>
      </c>
      <c r="CI79" s="9" t="s">
        <v>3458</v>
      </c>
      <c r="CL79" s="9" t="s">
        <v>823</v>
      </c>
      <c r="CM79" s="9" t="s">
        <v>3459</v>
      </c>
      <c r="CN79" s="9" t="s">
        <v>3460</v>
      </c>
      <c r="CP79" s="9" t="s">
        <v>890</v>
      </c>
      <c r="CQ79" s="9" t="s">
        <v>2892</v>
      </c>
      <c r="CR79" s="9" t="s">
        <v>2641</v>
      </c>
      <c r="CT79" s="9" t="s">
        <v>3461</v>
      </c>
      <c r="CU79" s="9" t="s">
        <v>3248</v>
      </c>
      <c r="CV79" s="9" t="s">
        <v>3462</v>
      </c>
      <c r="CW79" s="9">
        <v>3</v>
      </c>
      <c r="CX79" s="9" t="s">
        <v>99</v>
      </c>
      <c r="CY79" s="9" t="s">
        <v>3463</v>
      </c>
      <c r="CZ79" s="9">
        <v>35</v>
      </c>
      <c r="DA79" s="9">
        <v>40</v>
      </c>
      <c r="DB79" s="9">
        <v>25</v>
      </c>
      <c r="DC79" s="6">
        <v>83.3</v>
      </c>
      <c r="DD79" s="6">
        <v>0.96</v>
      </c>
      <c r="DE79" s="6">
        <v>144</v>
      </c>
      <c r="DF79" s="6">
        <v>69</v>
      </c>
      <c r="DG79" s="9">
        <f t="shared" si="1"/>
        <v>4.328277526885028</v>
      </c>
      <c r="DH79" s="6"/>
      <c r="DI79" s="6">
        <v>5.6</v>
      </c>
      <c r="DJ79" s="6"/>
      <c r="DK79" s="6"/>
      <c r="DL79" s="6"/>
      <c r="DM79" s="6"/>
      <c r="DN79" s="6"/>
      <c r="DP79" s="11">
        <v>3</v>
      </c>
      <c r="DQ79" s="6" t="s">
        <v>105</v>
      </c>
      <c r="DR79" s="9">
        <v>2</v>
      </c>
      <c r="DT79" s="9">
        <v>12</v>
      </c>
      <c r="DU79" s="9">
        <v>4.53</v>
      </c>
    </row>
    <row r="80" spans="1:125" x14ac:dyDescent="0.2">
      <c r="A80" s="79">
        <v>284</v>
      </c>
      <c r="B80" s="8">
        <v>42929</v>
      </c>
      <c r="C80" s="6" t="s">
        <v>95</v>
      </c>
      <c r="D80" s="6">
        <v>41</v>
      </c>
      <c r="E80" s="6" t="s">
        <v>100</v>
      </c>
      <c r="F80" s="17">
        <v>27838</v>
      </c>
      <c r="G80" s="6" t="s">
        <v>197</v>
      </c>
      <c r="H80" s="6" t="s">
        <v>3422</v>
      </c>
      <c r="J80" s="9" t="s">
        <v>99</v>
      </c>
      <c r="L80" s="6"/>
      <c r="M80" s="6" t="s">
        <v>99</v>
      </c>
      <c r="N80" s="6" t="s">
        <v>99</v>
      </c>
      <c r="O80" s="6" t="s">
        <v>99</v>
      </c>
      <c r="P80" s="6" t="s">
        <v>99</v>
      </c>
      <c r="Q80" s="6" t="s">
        <v>110</v>
      </c>
      <c r="R80" s="6" t="s">
        <v>99</v>
      </c>
      <c r="S80" s="6" t="s">
        <v>99</v>
      </c>
      <c r="T80" s="6" t="s">
        <v>99</v>
      </c>
      <c r="U80" s="6" t="s">
        <v>99</v>
      </c>
      <c r="V80" s="9" t="s">
        <v>99</v>
      </c>
      <c r="W80" s="6" t="s">
        <v>99</v>
      </c>
      <c r="X80" s="6"/>
      <c r="Y80" s="6"/>
      <c r="AA80" s="9" t="s">
        <v>100</v>
      </c>
      <c r="AB80" s="6" t="s">
        <v>100</v>
      </c>
      <c r="AC80" s="6"/>
      <c r="AE80" s="6"/>
      <c r="AF80" s="15" t="s">
        <v>118</v>
      </c>
      <c r="AG80" s="6"/>
      <c r="AH80" s="6"/>
      <c r="AI80" s="6"/>
      <c r="AJ80" s="6"/>
      <c r="AK80" s="6"/>
      <c r="AL80" s="6">
        <v>61.5</v>
      </c>
      <c r="AM80" s="9">
        <v>158</v>
      </c>
      <c r="AN80" s="6">
        <v>78</v>
      </c>
      <c r="AO80" s="6">
        <v>104</v>
      </c>
      <c r="AP80" s="6">
        <v>41.5</v>
      </c>
      <c r="AQ80" s="6">
        <v>6</v>
      </c>
      <c r="AR80" s="6">
        <v>22</v>
      </c>
      <c r="AS80" s="6">
        <v>44</v>
      </c>
      <c r="AT80" s="79">
        <v>24.6</v>
      </c>
      <c r="AU80" s="6">
        <v>96</v>
      </c>
      <c r="AV80" s="6">
        <v>73</v>
      </c>
      <c r="AX80" s="9" t="s">
        <v>3493</v>
      </c>
      <c r="AY80" s="9" t="s">
        <v>3494</v>
      </c>
      <c r="AZ80" s="9" t="s">
        <v>3200</v>
      </c>
      <c r="BB80" s="9" t="s">
        <v>2965</v>
      </c>
      <c r="BC80" s="9" t="s">
        <v>3495</v>
      </c>
      <c r="BD80" s="9" t="s">
        <v>3496</v>
      </c>
      <c r="BF80" s="9" t="s">
        <v>3497</v>
      </c>
      <c r="BG80" s="9" t="s">
        <v>3498</v>
      </c>
      <c r="BH80" s="9" t="s">
        <v>3499</v>
      </c>
      <c r="BI80" s="9" t="s">
        <v>2570</v>
      </c>
      <c r="BJ80" s="9" t="s">
        <v>3500</v>
      </c>
      <c r="BK80" s="9" t="s">
        <v>683</v>
      </c>
      <c r="BN80" s="9" t="s">
        <v>3501</v>
      </c>
      <c r="BO80" s="9" t="s">
        <v>3379</v>
      </c>
      <c r="BP80" s="14" t="s">
        <v>3502</v>
      </c>
      <c r="BV80" s="14" t="s">
        <v>3503</v>
      </c>
      <c r="BW80" s="14" t="s">
        <v>3504</v>
      </c>
      <c r="BX80" s="9" t="s">
        <v>3505</v>
      </c>
      <c r="BZ80" s="9" t="s">
        <v>3506</v>
      </c>
      <c r="CA80" s="9" t="s">
        <v>3507</v>
      </c>
      <c r="CB80" s="14" t="s">
        <v>3508</v>
      </c>
      <c r="CL80" s="9" t="s">
        <v>3158</v>
      </c>
      <c r="CM80" s="9" t="s">
        <v>3509</v>
      </c>
      <c r="CN80" s="9" t="s">
        <v>3510</v>
      </c>
      <c r="CT80" s="9" t="s">
        <v>2449</v>
      </c>
      <c r="CU80" s="9" t="s">
        <v>3511</v>
      </c>
      <c r="CV80" s="9" t="s">
        <v>3512</v>
      </c>
      <c r="CW80" s="9">
        <v>3</v>
      </c>
      <c r="CX80" s="9" t="s">
        <v>99</v>
      </c>
      <c r="CY80" s="9" t="s">
        <v>110</v>
      </c>
      <c r="CZ80" s="9">
        <v>50</v>
      </c>
      <c r="DA80" s="9">
        <v>100</v>
      </c>
      <c r="DB80" s="9">
        <v>60</v>
      </c>
      <c r="DC80" s="6">
        <v>80.400000000000006</v>
      </c>
      <c r="DD80" s="6">
        <v>0.62</v>
      </c>
      <c r="DE80" s="6">
        <v>184</v>
      </c>
      <c r="DF80" s="6" t="s">
        <v>3513</v>
      </c>
      <c r="DG80" s="9" t="e">
        <f t="shared" si="1"/>
        <v>#VALUE!</v>
      </c>
      <c r="DH80" s="6"/>
      <c r="DI80" s="6">
        <v>5.8</v>
      </c>
      <c r="DJ80" s="6"/>
      <c r="DK80" s="6"/>
      <c r="DL80" s="6"/>
      <c r="DM80" s="6"/>
      <c r="DN80" s="6"/>
      <c r="DP80" s="11">
        <v>3</v>
      </c>
      <c r="DQ80" s="6" t="s">
        <v>105</v>
      </c>
      <c r="DR80" s="9">
        <v>2</v>
      </c>
      <c r="DT80" s="9">
        <v>6.86</v>
      </c>
      <c r="DU80" s="9">
        <v>4.5999999999999996</v>
      </c>
    </row>
    <row r="81" spans="1:157" x14ac:dyDescent="0.2">
      <c r="A81" s="79">
        <v>285</v>
      </c>
      <c r="B81" s="8">
        <v>42929</v>
      </c>
      <c r="C81" s="6" t="s">
        <v>95</v>
      </c>
      <c r="D81" s="6">
        <v>28</v>
      </c>
      <c r="E81" s="6" t="s">
        <v>100</v>
      </c>
      <c r="F81" s="17">
        <v>32620</v>
      </c>
      <c r="G81" s="6" t="s">
        <v>197</v>
      </c>
      <c r="H81" s="6" t="s">
        <v>3422</v>
      </c>
      <c r="J81" s="9" t="s">
        <v>99</v>
      </c>
      <c r="K81" s="9">
        <v>2015</v>
      </c>
      <c r="L81" s="6">
        <v>2</v>
      </c>
      <c r="M81" s="6" t="s">
        <v>99</v>
      </c>
      <c r="N81" s="6" t="s">
        <v>99</v>
      </c>
      <c r="O81" s="6" t="s">
        <v>99</v>
      </c>
      <c r="P81" s="6" t="s">
        <v>99</v>
      </c>
      <c r="Q81" s="6" t="s">
        <v>110</v>
      </c>
      <c r="R81" s="6" t="s">
        <v>99</v>
      </c>
      <c r="S81" s="6" t="s">
        <v>99</v>
      </c>
      <c r="T81" s="6" t="s">
        <v>99</v>
      </c>
      <c r="U81" s="6" t="s">
        <v>2418</v>
      </c>
      <c r="V81" s="9" t="s">
        <v>99</v>
      </c>
      <c r="W81" s="6" t="s">
        <v>99</v>
      </c>
      <c r="X81" s="6"/>
      <c r="Y81" s="6"/>
      <c r="AA81" s="9" t="s">
        <v>100</v>
      </c>
      <c r="AB81" s="6" t="s">
        <v>100</v>
      </c>
      <c r="AC81" s="6"/>
      <c r="AE81" s="15" t="s">
        <v>126</v>
      </c>
      <c r="AF81" s="15" t="s">
        <v>118</v>
      </c>
      <c r="AG81" s="6"/>
      <c r="AH81" s="15" t="s">
        <v>118</v>
      </c>
      <c r="AI81" s="6"/>
      <c r="AJ81" s="6"/>
      <c r="AK81" s="6"/>
      <c r="AL81" s="6">
        <v>54.9</v>
      </c>
      <c r="AM81" s="9">
        <v>150</v>
      </c>
      <c r="AN81" s="6">
        <v>78</v>
      </c>
      <c r="AO81" s="6">
        <v>97</v>
      </c>
      <c r="AP81" s="6">
        <v>36</v>
      </c>
      <c r="AQ81" s="6">
        <v>5</v>
      </c>
      <c r="AR81" s="6">
        <v>22</v>
      </c>
      <c r="AS81" s="6">
        <v>41</v>
      </c>
      <c r="AT81" s="79">
        <v>24.4</v>
      </c>
      <c r="AU81" s="6">
        <v>99</v>
      </c>
      <c r="AV81" s="6">
        <v>74</v>
      </c>
      <c r="AX81" s="9" t="s">
        <v>1097</v>
      </c>
      <c r="AY81" s="9" t="s">
        <v>3514</v>
      </c>
      <c r="AZ81" s="9" t="s">
        <v>3200</v>
      </c>
      <c r="BB81" s="9" t="s">
        <v>3515</v>
      </c>
      <c r="BC81" s="9" t="s">
        <v>2554</v>
      </c>
      <c r="BD81" s="9" t="s">
        <v>3516</v>
      </c>
      <c r="BF81" s="9" t="s">
        <v>2444</v>
      </c>
      <c r="BG81" s="9" t="s">
        <v>175</v>
      </c>
      <c r="BH81" s="9" t="s">
        <v>3517</v>
      </c>
      <c r="BI81" s="9" t="s">
        <v>175</v>
      </c>
      <c r="BJ81" s="9" t="s">
        <v>1099</v>
      </c>
      <c r="BK81" s="9" t="s">
        <v>1172</v>
      </c>
      <c r="BN81" s="9" t="s">
        <v>3518</v>
      </c>
      <c r="BO81" s="9" t="s">
        <v>669</v>
      </c>
      <c r="BP81" s="14" t="s">
        <v>3502</v>
      </c>
      <c r="BV81" s="9" t="s">
        <v>3519</v>
      </c>
      <c r="BZ81" s="9" t="s">
        <v>3520</v>
      </c>
      <c r="CA81" s="9" t="s">
        <v>2912</v>
      </c>
      <c r="CL81" s="9" t="s">
        <v>3158</v>
      </c>
      <c r="CM81" s="9" t="s">
        <v>2829</v>
      </c>
      <c r="CN81" s="9" t="s">
        <v>3521</v>
      </c>
      <c r="CT81" s="9" t="s">
        <v>3522</v>
      </c>
      <c r="CU81" s="9" t="s">
        <v>3523</v>
      </c>
      <c r="CW81" s="9">
        <v>3</v>
      </c>
      <c r="CX81" s="9" t="s">
        <v>99</v>
      </c>
      <c r="CY81" s="9" t="s">
        <v>110</v>
      </c>
      <c r="CZ81" s="9">
        <v>50</v>
      </c>
      <c r="DA81" s="9">
        <v>100</v>
      </c>
      <c r="DB81" s="9">
        <v>40</v>
      </c>
      <c r="DC81" s="6">
        <v>77.400000000000006</v>
      </c>
      <c r="DD81" s="6">
        <v>0.6</v>
      </c>
      <c r="DE81" s="6">
        <v>193</v>
      </c>
      <c r="DF81" s="6" t="s">
        <v>3524</v>
      </c>
      <c r="DG81" s="9" t="e">
        <f t="shared" si="1"/>
        <v>#VALUE!</v>
      </c>
      <c r="DH81" s="6"/>
      <c r="DI81" s="6">
        <v>5.61</v>
      </c>
      <c r="DJ81" s="6"/>
      <c r="DK81" s="6"/>
      <c r="DL81" s="6"/>
      <c r="DM81" s="6"/>
      <c r="DN81" s="6"/>
      <c r="DP81" s="11">
        <v>3</v>
      </c>
      <c r="DQ81" s="6" t="s">
        <v>105</v>
      </c>
      <c r="DR81" s="9">
        <v>2</v>
      </c>
    </row>
    <row r="82" spans="1:157" x14ac:dyDescent="0.2">
      <c r="A82" s="9">
        <v>308</v>
      </c>
      <c r="B82" s="8">
        <v>42976</v>
      </c>
      <c r="C82" s="9" t="s">
        <v>196</v>
      </c>
      <c r="D82" s="9">
        <v>58</v>
      </c>
      <c r="E82" s="9" t="s">
        <v>100</v>
      </c>
      <c r="F82" s="17">
        <v>21792</v>
      </c>
      <c r="G82" s="9" t="s">
        <v>197</v>
      </c>
      <c r="H82" s="9" t="s">
        <v>3693</v>
      </c>
      <c r="I82" s="9">
        <v>12</v>
      </c>
      <c r="J82" s="9">
        <v>35</v>
      </c>
      <c r="K82" s="9">
        <v>22</v>
      </c>
      <c r="L82" s="109" t="s">
        <v>3694</v>
      </c>
      <c r="M82" s="9" t="s">
        <v>99</v>
      </c>
      <c r="N82" s="9" t="s">
        <v>99</v>
      </c>
      <c r="O82" s="9" t="s">
        <v>99</v>
      </c>
      <c r="P82" s="9" t="s">
        <v>99</v>
      </c>
      <c r="Q82" s="9" t="s">
        <v>99</v>
      </c>
      <c r="R82" s="9" t="s">
        <v>99</v>
      </c>
      <c r="S82" s="9" t="s">
        <v>110</v>
      </c>
      <c r="T82" s="9" t="s">
        <v>110</v>
      </c>
      <c r="U82" s="9" t="s">
        <v>2536</v>
      </c>
      <c r="W82" s="9" t="s">
        <v>3695</v>
      </c>
      <c r="Z82" s="9" t="s">
        <v>99</v>
      </c>
      <c r="AA82" s="9" t="s">
        <v>100</v>
      </c>
      <c r="AB82" s="9" t="s">
        <v>100</v>
      </c>
      <c r="AC82" s="9" t="s">
        <v>100</v>
      </c>
      <c r="AD82" s="9" t="s">
        <v>100</v>
      </c>
      <c r="AE82" s="9" t="s">
        <v>3696</v>
      </c>
      <c r="AF82" s="9" t="s">
        <v>118</v>
      </c>
      <c r="AG82" s="9" t="s">
        <v>125</v>
      </c>
      <c r="AH82" s="9" t="s">
        <v>99</v>
      </c>
      <c r="AI82" s="9" t="s">
        <v>99</v>
      </c>
      <c r="AJ82" s="9" t="s">
        <v>99</v>
      </c>
      <c r="AK82" s="9" t="s">
        <v>99</v>
      </c>
      <c r="AL82" s="9">
        <v>67.3</v>
      </c>
      <c r="AM82" s="9">
        <v>169</v>
      </c>
      <c r="AN82" s="10">
        <v>90</v>
      </c>
      <c r="AO82" s="9">
        <v>101</v>
      </c>
      <c r="AP82" s="9">
        <v>32.799999999999997</v>
      </c>
      <c r="AQ82" s="9">
        <v>7</v>
      </c>
      <c r="AR82" s="9">
        <v>28.6</v>
      </c>
      <c r="AS82" s="9">
        <v>47</v>
      </c>
      <c r="AT82" s="7">
        <v>23.6</v>
      </c>
      <c r="AU82" s="9">
        <v>109</v>
      </c>
      <c r="AV82" s="9">
        <v>81</v>
      </c>
      <c r="AX82" s="9" t="s">
        <v>3697</v>
      </c>
      <c r="AY82" s="9" t="s">
        <v>592</v>
      </c>
      <c r="AZ82" s="9" t="s">
        <v>573</v>
      </c>
      <c r="BB82" s="9" t="s">
        <v>750</v>
      </c>
      <c r="BC82" s="9" t="s">
        <v>1130</v>
      </c>
      <c r="BD82" s="9" t="s">
        <v>3489</v>
      </c>
      <c r="BF82" s="9" t="s">
        <v>1099</v>
      </c>
      <c r="BG82" s="9" t="s">
        <v>2606</v>
      </c>
      <c r="BH82" s="9" t="s">
        <v>2570</v>
      </c>
      <c r="BI82" s="9" t="s">
        <v>1173</v>
      </c>
      <c r="BJ82" s="9" t="s">
        <v>683</v>
      </c>
      <c r="BK82" s="9" t="s">
        <v>175</v>
      </c>
      <c r="BN82" s="9" t="s">
        <v>1805</v>
      </c>
      <c r="BO82" s="9" t="s">
        <v>180</v>
      </c>
      <c r="BP82" s="9" t="s">
        <v>857</v>
      </c>
      <c r="BR82" s="9" t="s">
        <v>99</v>
      </c>
      <c r="BV82" s="9" t="s">
        <v>99</v>
      </c>
      <c r="BZ82" s="9" t="s">
        <v>2096</v>
      </c>
      <c r="CA82" s="9" t="s">
        <v>183</v>
      </c>
      <c r="CB82" s="9" t="s">
        <v>709</v>
      </c>
      <c r="CD82" s="9" t="s">
        <v>99</v>
      </c>
      <c r="CH82" s="9" t="s">
        <v>99</v>
      </c>
      <c r="CL82" s="9" t="s">
        <v>2822</v>
      </c>
      <c r="CM82" s="9" t="s">
        <v>3698</v>
      </c>
      <c r="CN82" s="9" t="s">
        <v>3699</v>
      </c>
      <c r="CP82" s="9" t="s">
        <v>362</v>
      </c>
      <c r="CQ82" s="9" t="s">
        <v>716</v>
      </c>
      <c r="CR82" s="9" t="s">
        <v>757</v>
      </c>
      <c r="CT82" s="9" t="s">
        <v>3700</v>
      </c>
      <c r="CW82" s="9" t="s">
        <v>3701</v>
      </c>
      <c r="CX82" s="9" t="s">
        <v>110</v>
      </c>
      <c r="CY82" s="9" t="s">
        <v>2756</v>
      </c>
      <c r="CZ82" s="9">
        <v>30</v>
      </c>
      <c r="DA82" s="9">
        <v>30</v>
      </c>
      <c r="DB82" s="9">
        <v>40</v>
      </c>
      <c r="DC82" s="9">
        <v>81.400000000000006</v>
      </c>
      <c r="DD82" s="9">
        <v>0.35</v>
      </c>
      <c r="DE82" s="10">
        <v>225</v>
      </c>
      <c r="DF82" s="9">
        <v>64</v>
      </c>
      <c r="DG82" s="9">
        <f t="shared" si="1"/>
        <v>4.2791291781840837</v>
      </c>
      <c r="DH82" s="9">
        <v>12.8</v>
      </c>
      <c r="DI82" s="9">
        <v>4.53</v>
      </c>
      <c r="DL82" s="9">
        <v>80.599999999999994</v>
      </c>
      <c r="DP82" s="11">
        <v>2</v>
      </c>
      <c r="DQ82" s="6" t="s">
        <v>111</v>
      </c>
    </row>
    <row r="83" spans="1:157" x14ac:dyDescent="0.2">
      <c r="A83" s="9">
        <v>312</v>
      </c>
      <c r="B83" s="8">
        <v>42942</v>
      </c>
      <c r="C83" s="9" t="s">
        <v>196</v>
      </c>
      <c r="D83" s="9">
        <v>45</v>
      </c>
      <c r="F83" s="17">
        <v>26482</v>
      </c>
      <c r="G83" s="9" t="s">
        <v>197</v>
      </c>
      <c r="H83" s="9" t="s">
        <v>3737</v>
      </c>
      <c r="J83" s="9" t="s">
        <v>99</v>
      </c>
      <c r="K83" s="9">
        <v>2006</v>
      </c>
      <c r="L83" s="9">
        <v>3</v>
      </c>
      <c r="M83" s="9" t="s">
        <v>99</v>
      </c>
      <c r="N83" s="9" t="s">
        <v>99</v>
      </c>
      <c r="O83" s="9" t="s">
        <v>99</v>
      </c>
      <c r="P83" s="9" t="s">
        <v>99</v>
      </c>
      <c r="Q83" s="9" t="s">
        <v>99</v>
      </c>
      <c r="R83" s="9" t="s">
        <v>99</v>
      </c>
      <c r="S83" s="9" t="s">
        <v>99</v>
      </c>
      <c r="T83" s="9" t="s">
        <v>99</v>
      </c>
      <c r="U83" s="9" t="s">
        <v>99</v>
      </c>
      <c r="V83" s="9" t="s">
        <v>99</v>
      </c>
      <c r="AA83" s="9" t="s">
        <v>100</v>
      </c>
      <c r="AB83" s="9" t="s">
        <v>100</v>
      </c>
      <c r="AC83" s="14" t="s">
        <v>840</v>
      </c>
      <c r="AD83" s="9" t="s">
        <v>100</v>
      </c>
      <c r="AE83" s="9" t="s">
        <v>3738</v>
      </c>
      <c r="AF83" s="9" t="s">
        <v>118</v>
      </c>
      <c r="AG83" s="9" t="s">
        <v>118</v>
      </c>
      <c r="AH83" s="9" t="s">
        <v>99</v>
      </c>
      <c r="AI83" s="9" t="s">
        <v>3739</v>
      </c>
      <c r="AL83" s="9">
        <v>55.7</v>
      </c>
      <c r="AM83" s="9">
        <v>158</v>
      </c>
      <c r="AN83" s="9">
        <v>65</v>
      </c>
      <c r="AO83" s="9">
        <v>94</v>
      </c>
      <c r="AP83" s="9">
        <v>37.5</v>
      </c>
      <c r="AQ83" s="9">
        <v>6</v>
      </c>
      <c r="AR83" s="9">
        <v>20.9</v>
      </c>
      <c r="AS83" s="9">
        <v>36</v>
      </c>
      <c r="AT83" s="7">
        <v>22.3</v>
      </c>
      <c r="AU83" s="9">
        <v>111</v>
      </c>
      <c r="AV83" s="9">
        <v>75</v>
      </c>
      <c r="AX83" s="9" t="s">
        <v>3740</v>
      </c>
      <c r="AY83" s="9" t="s">
        <v>2633</v>
      </c>
      <c r="AZ83" s="9" t="s">
        <v>2878</v>
      </c>
      <c r="BB83" s="9" t="s">
        <v>346</v>
      </c>
      <c r="BC83" s="9" t="s">
        <v>2554</v>
      </c>
      <c r="BF83" s="9" t="s">
        <v>2784</v>
      </c>
      <c r="BG83" s="9" t="s">
        <v>175</v>
      </c>
      <c r="BI83" s="9" t="s">
        <v>175</v>
      </c>
      <c r="BJ83" s="9" t="s">
        <v>3741</v>
      </c>
      <c r="BK83" s="9" t="s">
        <v>3742</v>
      </c>
      <c r="BN83" s="9" t="s">
        <v>2557</v>
      </c>
      <c r="BO83" s="9" t="s">
        <v>3743</v>
      </c>
      <c r="BP83" s="14" t="s">
        <v>857</v>
      </c>
      <c r="BZ83" s="9" t="s">
        <v>807</v>
      </c>
      <c r="CA83" s="9" t="s">
        <v>577</v>
      </c>
      <c r="CB83" s="9" t="s">
        <v>3744</v>
      </c>
      <c r="CL83" s="9" t="s">
        <v>3158</v>
      </c>
      <c r="CM83" s="9" t="s">
        <v>887</v>
      </c>
      <c r="CN83" s="9" t="s">
        <v>2448</v>
      </c>
      <c r="CP83" s="9" t="s">
        <v>361</v>
      </c>
      <c r="CW83" s="9">
        <v>3</v>
      </c>
      <c r="CX83" s="9" t="s">
        <v>110</v>
      </c>
      <c r="CY83" s="9" t="s">
        <v>110</v>
      </c>
      <c r="CZ83" s="9">
        <v>70</v>
      </c>
      <c r="DA83" s="9">
        <v>15</v>
      </c>
      <c r="DB83" s="9">
        <v>15</v>
      </c>
      <c r="DC83" s="9">
        <v>82.2</v>
      </c>
      <c r="DD83" s="9">
        <v>0.8</v>
      </c>
      <c r="DE83" s="9">
        <v>172</v>
      </c>
      <c r="DF83" s="9">
        <v>49</v>
      </c>
      <c r="DG83" s="9">
        <f t="shared" si="1"/>
        <v>4.1504878000863803</v>
      </c>
      <c r="DH83" s="9">
        <v>9.8000000000000007</v>
      </c>
      <c r="DI83" s="9">
        <v>3.79</v>
      </c>
      <c r="DP83" s="11">
        <v>2</v>
      </c>
      <c r="DQ83" s="6" t="s">
        <v>111</v>
      </c>
      <c r="DR83" s="9">
        <v>3</v>
      </c>
    </row>
    <row r="84" spans="1:157" x14ac:dyDescent="0.2">
      <c r="A84" s="9">
        <v>314</v>
      </c>
      <c r="C84" s="9" t="s">
        <v>196</v>
      </c>
      <c r="D84" s="9">
        <v>76</v>
      </c>
      <c r="G84" s="9" t="s">
        <v>3759</v>
      </c>
      <c r="I84" s="9">
        <v>13</v>
      </c>
      <c r="J84" s="10">
        <v>54</v>
      </c>
      <c r="K84" s="9" t="s">
        <v>99</v>
      </c>
      <c r="L84" s="9" t="s">
        <v>99</v>
      </c>
      <c r="M84" s="9" t="s">
        <v>99</v>
      </c>
      <c r="N84" s="9" t="s">
        <v>99</v>
      </c>
      <c r="O84" s="9" t="s">
        <v>99</v>
      </c>
      <c r="P84" s="9" t="s">
        <v>99</v>
      </c>
      <c r="Q84" s="9" t="s">
        <v>99</v>
      </c>
      <c r="R84" s="9" t="s">
        <v>110</v>
      </c>
      <c r="S84" s="9" t="s">
        <v>99</v>
      </c>
      <c r="T84" s="9" t="s">
        <v>99</v>
      </c>
      <c r="U84" s="9" t="s">
        <v>3760</v>
      </c>
      <c r="W84" s="9" t="s">
        <v>99</v>
      </c>
      <c r="X84" s="9" t="s">
        <v>99</v>
      </c>
      <c r="Y84" s="9" t="s">
        <v>99</v>
      </c>
      <c r="AA84" s="9" t="s">
        <v>1123</v>
      </c>
      <c r="AB84" s="9" t="s">
        <v>1123</v>
      </c>
      <c r="AC84" s="9" t="s">
        <v>1123</v>
      </c>
      <c r="AD84" s="9" t="s">
        <v>1123</v>
      </c>
      <c r="AE84" s="9" t="s">
        <v>3761</v>
      </c>
      <c r="AF84" s="9" t="s">
        <v>118</v>
      </c>
      <c r="AG84" s="9" t="s">
        <v>99</v>
      </c>
      <c r="AH84" s="9" t="s">
        <v>99</v>
      </c>
      <c r="AI84" s="9" t="s">
        <v>118</v>
      </c>
      <c r="AJ84" s="9" t="s">
        <v>99</v>
      </c>
      <c r="AK84" s="9" t="s">
        <v>3762</v>
      </c>
      <c r="AL84" s="9">
        <v>54</v>
      </c>
      <c r="AN84" s="9">
        <v>75</v>
      </c>
      <c r="AO84" s="9">
        <v>89</v>
      </c>
      <c r="AP84" s="9">
        <v>33.799999999999997</v>
      </c>
      <c r="AQ84" s="9">
        <v>6</v>
      </c>
      <c r="AR84" s="9">
        <v>26.5</v>
      </c>
      <c r="AS84" s="9">
        <v>48</v>
      </c>
      <c r="AT84" s="7">
        <v>22.5</v>
      </c>
      <c r="AU84" s="9">
        <v>118</v>
      </c>
      <c r="AV84" s="9">
        <v>80</v>
      </c>
      <c r="DC84" s="10">
        <v>100.1</v>
      </c>
      <c r="DD84" s="9">
        <v>0.48</v>
      </c>
      <c r="DE84" s="10">
        <v>246</v>
      </c>
      <c r="DF84" s="9" t="s">
        <v>3763</v>
      </c>
      <c r="DG84" s="9" t="e">
        <f t="shared" si="1"/>
        <v>#VALUE!</v>
      </c>
      <c r="DH84" s="9">
        <v>21.6</v>
      </c>
      <c r="DI84" s="9">
        <v>5.0999999999999996</v>
      </c>
      <c r="DP84" s="11">
        <v>3</v>
      </c>
      <c r="DQ84" s="6" t="s">
        <v>111</v>
      </c>
      <c r="DR84" s="9">
        <v>3</v>
      </c>
      <c r="DU84" s="9">
        <v>9</v>
      </c>
    </row>
    <row r="85" spans="1:157" x14ac:dyDescent="0.2">
      <c r="A85" s="7">
        <v>332</v>
      </c>
      <c r="B85" s="38">
        <v>43277</v>
      </c>
      <c r="C85" s="9" t="s">
        <v>95</v>
      </c>
      <c r="D85" s="9">
        <v>38</v>
      </c>
      <c r="E85" s="9" t="s">
        <v>96</v>
      </c>
      <c r="F85" s="8">
        <v>29296</v>
      </c>
      <c r="G85" s="9" t="s">
        <v>314</v>
      </c>
      <c r="H85" s="9" t="s">
        <v>455</v>
      </c>
      <c r="I85" s="9" t="s">
        <v>162</v>
      </c>
      <c r="J85" s="9" t="s">
        <v>162</v>
      </c>
      <c r="K85" s="8">
        <v>40918</v>
      </c>
      <c r="L85" s="9">
        <v>1</v>
      </c>
      <c r="M85" s="9" t="s">
        <v>263</v>
      </c>
      <c r="N85" s="9" t="s">
        <v>263</v>
      </c>
      <c r="O85" s="9" t="s">
        <v>263</v>
      </c>
      <c r="P85" s="10" t="s">
        <v>368</v>
      </c>
      <c r="Q85" s="9" t="s">
        <v>263</v>
      </c>
      <c r="R85" s="9" t="s">
        <v>162</v>
      </c>
      <c r="S85" s="9" t="s">
        <v>263</v>
      </c>
      <c r="T85" s="9" t="s">
        <v>368</v>
      </c>
      <c r="U85" s="9" t="s">
        <v>162</v>
      </c>
      <c r="V85" s="9" t="s">
        <v>162</v>
      </c>
      <c r="W85" s="9" t="s">
        <v>162</v>
      </c>
      <c r="X85" s="9" t="s">
        <v>263</v>
      </c>
      <c r="Y85" s="9" t="s">
        <v>3913</v>
      </c>
      <c r="Z85" s="9" t="s">
        <v>162</v>
      </c>
      <c r="AA85" s="9" t="s">
        <v>96</v>
      </c>
      <c r="AB85" s="9" t="s">
        <v>96</v>
      </c>
      <c r="AC85" s="9" t="s">
        <v>96</v>
      </c>
      <c r="AD85" s="9" t="s">
        <v>96</v>
      </c>
      <c r="AE85" s="10" t="s">
        <v>3914</v>
      </c>
      <c r="AF85" s="10" t="s">
        <v>35</v>
      </c>
      <c r="AG85" s="10" t="s">
        <v>3915</v>
      </c>
      <c r="AH85" s="9" t="s">
        <v>263</v>
      </c>
      <c r="AI85" s="9" t="s">
        <v>263</v>
      </c>
      <c r="AJ85" s="9" t="s">
        <v>263</v>
      </c>
      <c r="AK85" s="9" t="s">
        <v>263</v>
      </c>
      <c r="AL85" s="9">
        <v>63.3</v>
      </c>
      <c r="AM85" s="9" t="s">
        <v>162</v>
      </c>
      <c r="AN85" s="9">
        <v>88</v>
      </c>
      <c r="AO85" s="9">
        <v>105</v>
      </c>
      <c r="AP85" s="9">
        <v>39.6</v>
      </c>
      <c r="AQ85" s="9">
        <v>6</v>
      </c>
      <c r="AR85" s="9">
        <v>24.5</v>
      </c>
      <c r="AS85" s="9">
        <v>43</v>
      </c>
      <c r="AT85" s="7">
        <v>24.7</v>
      </c>
      <c r="AU85" s="9">
        <v>100</v>
      </c>
      <c r="AV85" s="9">
        <v>75</v>
      </c>
      <c r="AX85" s="9" t="s">
        <v>3916</v>
      </c>
      <c r="AY85" s="9" t="s">
        <v>3917</v>
      </c>
      <c r="BB85" s="9" t="s">
        <v>3918</v>
      </c>
      <c r="BC85" s="9" t="s">
        <v>3919</v>
      </c>
      <c r="BF85" s="9" t="s">
        <v>496</v>
      </c>
      <c r="BG85" s="9" t="s">
        <v>375</v>
      </c>
      <c r="BH85" s="9" t="s">
        <v>3920</v>
      </c>
      <c r="BI85" s="9" t="s">
        <v>493</v>
      </c>
      <c r="BJ85" s="9" t="s">
        <v>493</v>
      </c>
      <c r="BK85" s="9" t="s">
        <v>3921</v>
      </c>
      <c r="BN85" s="9" t="s">
        <v>3922</v>
      </c>
      <c r="BO85" s="9" t="s">
        <v>3923</v>
      </c>
      <c r="BP85" s="9" t="s">
        <v>495</v>
      </c>
      <c r="BQ85" s="9" t="s">
        <v>162</v>
      </c>
      <c r="BR85" s="9" t="s">
        <v>162</v>
      </c>
      <c r="BS85" s="9" t="s">
        <v>162</v>
      </c>
      <c r="BT85" s="9" t="s">
        <v>162</v>
      </c>
      <c r="BV85" s="9" t="s">
        <v>3924</v>
      </c>
      <c r="BZ85" s="9" t="s">
        <v>3925</v>
      </c>
      <c r="CA85" s="9" t="s">
        <v>3926</v>
      </c>
      <c r="CC85" s="9" t="s">
        <v>162</v>
      </c>
      <c r="CD85" s="9" t="s">
        <v>162</v>
      </c>
      <c r="CE85" s="9" t="s">
        <v>162</v>
      </c>
      <c r="CF85" s="9" t="s">
        <v>162</v>
      </c>
      <c r="CG85" s="9" t="s">
        <v>162</v>
      </c>
      <c r="CH85" s="9" t="s">
        <v>162</v>
      </c>
      <c r="CI85" s="9" t="s">
        <v>162</v>
      </c>
      <c r="CJ85" s="9" t="s">
        <v>162</v>
      </c>
      <c r="CL85" s="9" t="s">
        <v>3912</v>
      </c>
      <c r="CM85" s="9" t="s">
        <v>3927</v>
      </c>
      <c r="CN85" s="9" t="s">
        <v>3928</v>
      </c>
      <c r="CP85" s="9" t="s">
        <v>384</v>
      </c>
      <c r="CQ85" s="9" t="s">
        <v>475</v>
      </c>
      <c r="CT85" s="9" t="s">
        <v>3929</v>
      </c>
      <c r="CW85" s="9">
        <v>3</v>
      </c>
      <c r="CX85" s="9" t="s">
        <v>162</v>
      </c>
      <c r="CY85" s="9" t="s">
        <v>263</v>
      </c>
      <c r="CZ85" s="9">
        <v>30</v>
      </c>
      <c r="DA85" s="9">
        <v>30</v>
      </c>
      <c r="DB85" s="9">
        <v>40</v>
      </c>
      <c r="DC85" s="9">
        <v>60.5</v>
      </c>
      <c r="DD85" s="9">
        <v>0.5</v>
      </c>
      <c r="DE85" s="9">
        <v>147</v>
      </c>
      <c r="DF85" s="9">
        <v>81</v>
      </c>
      <c r="DG85" s="9">
        <f t="shared" si="1"/>
        <v>4.2485462598546171</v>
      </c>
      <c r="DH85" s="9">
        <v>16.2</v>
      </c>
      <c r="DI85" s="9">
        <v>5.15</v>
      </c>
      <c r="DJ85" s="9">
        <v>6</v>
      </c>
      <c r="DK85" s="9">
        <v>8.6999999999999993</v>
      </c>
      <c r="DL85" s="9">
        <v>35.299999999999997</v>
      </c>
      <c r="DM85" s="9">
        <v>95.5</v>
      </c>
      <c r="DU85" s="9">
        <v>6.8</v>
      </c>
    </row>
    <row r="86" spans="1:157" x14ac:dyDescent="0.2">
      <c r="A86" s="56">
        <v>341</v>
      </c>
      <c r="B86" s="8">
        <v>42933</v>
      </c>
      <c r="C86" s="9" t="s">
        <v>107</v>
      </c>
      <c r="D86" s="9">
        <v>29</v>
      </c>
      <c r="E86" s="49" t="s">
        <v>899</v>
      </c>
      <c r="F86" s="17">
        <v>32083</v>
      </c>
      <c r="G86" s="9" t="s">
        <v>1509</v>
      </c>
      <c r="H86" s="9" t="s">
        <v>3001</v>
      </c>
      <c r="M86" s="10" t="s">
        <v>99</v>
      </c>
      <c r="N86" s="9" t="s">
        <v>99</v>
      </c>
      <c r="O86" s="10" t="s">
        <v>99</v>
      </c>
      <c r="P86" s="10" t="s">
        <v>99</v>
      </c>
      <c r="Q86" s="10" t="s">
        <v>110</v>
      </c>
      <c r="R86" s="9" t="s">
        <v>99</v>
      </c>
      <c r="S86" s="9" t="s">
        <v>110</v>
      </c>
      <c r="T86" s="9" t="s">
        <v>110</v>
      </c>
      <c r="U86" s="9" t="s">
        <v>99</v>
      </c>
      <c r="V86" s="9" t="s">
        <v>99</v>
      </c>
      <c r="W86" s="9" t="s">
        <v>99</v>
      </c>
      <c r="X86" s="9" t="s">
        <v>99</v>
      </c>
      <c r="AA86" s="49" t="s">
        <v>797</v>
      </c>
      <c r="AB86" s="49" t="s">
        <v>797</v>
      </c>
      <c r="AC86" s="49" t="s">
        <v>797</v>
      </c>
      <c r="AD86" s="49" t="s">
        <v>797</v>
      </c>
      <c r="AE86" s="10" t="s">
        <v>99</v>
      </c>
      <c r="AF86" s="10" t="s">
        <v>4037</v>
      </c>
      <c r="AG86" s="9" t="s">
        <v>4038</v>
      </c>
      <c r="AH86" s="10" t="s">
        <v>99</v>
      </c>
      <c r="AI86" s="9" t="s">
        <v>99</v>
      </c>
      <c r="AJ86" s="9" t="s">
        <v>99</v>
      </c>
      <c r="AK86" s="9" t="s">
        <v>4039</v>
      </c>
      <c r="AL86" s="9">
        <v>46.3</v>
      </c>
      <c r="AM86" s="9">
        <v>160</v>
      </c>
      <c r="AN86" s="10">
        <v>65</v>
      </c>
      <c r="AO86" s="9">
        <v>84</v>
      </c>
      <c r="AP86" s="9">
        <v>8.5</v>
      </c>
      <c r="AQ86" s="9">
        <v>2</v>
      </c>
      <c r="AR86" s="9">
        <v>42.4</v>
      </c>
      <c r="AS86" s="9">
        <v>18</v>
      </c>
      <c r="AT86" s="9">
        <v>18.100000000000001</v>
      </c>
      <c r="AU86" s="9">
        <v>115</v>
      </c>
      <c r="AV86" s="9">
        <v>77</v>
      </c>
      <c r="DG86" s="9" t="e">
        <f t="shared" si="1"/>
        <v>#NUM!</v>
      </c>
      <c r="DQ86" s="6"/>
    </row>
    <row r="87" spans="1:157" x14ac:dyDescent="0.2">
      <c r="A87" s="7" t="s">
        <v>4813</v>
      </c>
      <c r="B87" s="21">
        <v>43644</v>
      </c>
      <c r="C87" s="20" t="s">
        <v>3955</v>
      </c>
      <c r="D87" s="20">
        <v>72</v>
      </c>
      <c r="E87" s="20" t="s">
        <v>96</v>
      </c>
      <c r="F87" s="51">
        <v>17192</v>
      </c>
      <c r="G87" s="20" t="s">
        <v>4814</v>
      </c>
      <c r="H87" s="20" t="s">
        <v>4815</v>
      </c>
      <c r="I87" s="20"/>
      <c r="J87" s="20"/>
      <c r="K87" s="20"/>
      <c r="L87" s="20"/>
      <c r="M87" s="20" t="s">
        <v>99</v>
      </c>
      <c r="N87" s="20" t="s">
        <v>99</v>
      </c>
      <c r="O87" s="20" t="s">
        <v>99</v>
      </c>
      <c r="P87" s="20" t="s">
        <v>99</v>
      </c>
      <c r="Q87" s="20" t="s">
        <v>4816</v>
      </c>
      <c r="R87" s="20" t="s">
        <v>99</v>
      </c>
      <c r="S87" s="20" t="s">
        <v>99</v>
      </c>
      <c r="T87" s="20" t="s">
        <v>110</v>
      </c>
      <c r="U87" s="20" t="s">
        <v>4817</v>
      </c>
      <c r="V87" s="20"/>
      <c r="W87" s="20" t="s">
        <v>99</v>
      </c>
      <c r="X87" s="20" t="s">
        <v>99</v>
      </c>
      <c r="Y87" s="20" t="s">
        <v>99</v>
      </c>
      <c r="Z87" s="20" t="s">
        <v>99</v>
      </c>
      <c r="AA87" s="123" t="s">
        <v>155</v>
      </c>
      <c r="AB87" s="123" t="s">
        <v>155</v>
      </c>
      <c r="AC87" s="20" t="s">
        <v>949</v>
      </c>
      <c r="AD87" s="123" t="s">
        <v>155</v>
      </c>
      <c r="AE87" s="20" t="s">
        <v>99</v>
      </c>
      <c r="AF87" s="22" t="s">
        <v>664</v>
      </c>
      <c r="AG87" s="20" t="s">
        <v>99</v>
      </c>
      <c r="AH87" s="20" t="s">
        <v>99</v>
      </c>
      <c r="AI87" s="20" t="s">
        <v>99</v>
      </c>
      <c r="AJ87" s="20" t="s">
        <v>99</v>
      </c>
      <c r="AK87" s="20" t="s">
        <v>99</v>
      </c>
      <c r="AL87" s="20" t="s">
        <v>4818</v>
      </c>
      <c r="AM87" s="20"/>
      <c r="AN87" s="20">
        <v>68</v>
      </c>
      <c r="AO87" s="20">
        <v>93</v>
      </c>
      <c r="AP87" s="20" t="s">
        <v>4819</v>
      </c>
      <c r="AQ87" s="20">
        <v>8</v>
      </c>
      <c r="AR87" s="20" t="s">
        <v>4820</v>
      </c>
      <c r="AS87" s="20">
        <v>45</v>
      </c>
      <c r="AT87" s="20">
        <v>23</v>
      </c>
      <c r="AU87" s="20">
        <v>123</v>
      </c>
      <c r="AV87" s="20">
        <v>77</v>
      </c>
      <c r="AW87" s="20"/>
      <c r="AX87" s="20" t="s">
        <v>4821</v>
      </c>
      <c r="AY87" s="20" t="s">
        <v>125</v>
      </c>
      <c r="AZ87" s="20" t="s">
        <v>573</v>
      </c>
      <c r="BA87" s="20"/>
      <c r="BB87" s="20" t="s">
        <v>1080</v>
      </c>
      <c r="BC87" s="20" t="s">
        <v>750</v>
      </c>
      <c r="BD87" s="20" t="s">
        <v>4822</v>
      </c>
      <c r="BE87" s="20"/>
      <c r="BF87" s="20" t="s">
        <v>853</v>
      </c>
      <c r="BG87" s="20" t="s">
        <v>4791</v>
      </c>
      <c r="BH87" s="20" t="s">
        <v>852</v>
      </c>
      <c r="BI87" s="20" t="s">
        <v>853</v>
      </c>
      <c r="BJ87" s="20" t="s">
        <v>4823</v>
      </c>
      <c r="BK87" s="20" t="s">
        <v>4824</v>
      </c>
      <c r="BL87" s="20"/>
      <c r="BM87" s="20" t="s">
        <v>4825</v>
      </c>
      <c r="BN87" s="20" t="s">
        <v>179</v>
      </c>
      <c r="BO87" s="20" t="s">
        <v>219</v>
      </c>
      <c r="BP87" s="20" t="s">
        <v>180</v>
      </c>
      <c r="BQ87" s="20" t="s">
        <v>110</v>
      </c>
      <c r="BR87" s="20"/>
      <c r="BS87" s="20"/>
      <c r="BT87" s="20"/>
      <c r="BU87" s="20" t="s">
        <v>99</v>
      </c>
      <c r="BV87" s="20"/>
      <c r="BW87" s="20"/>
      <c r="BX87" s="20"/>
      <c r="BY87" s="20" t="s">
        <v>176</v>
      </c>
      <c r="BZ87" s="20" t="s">
        <v>752</v>
      </c>
      <c r="CA87" s="20" t="s">
        <v>183</v>
      </c>
      <c r="CB87" s="20" t="s">
        <v>2575</v>
      </c>
      <c r="CC87" s="20" t="s">
        <v>99</v>
      </c>
      <c r="CD87" s="20"/>
      <c r="CE87" s="20"/>
      <c r="CF87" s="20"/>
      <c r="CG87" s="20" t="s">
        <v>99</v>
      </c>
      <c r="CH87" s="20"/>
      <c r="CI87" s="20"/>
      <c r="CJ87" s="20"/>
      <c r="CK87" s="20"/>
      <c r="CL87" s="20" t="s">
        <v>4826</v>
      </c>
      <c r="CM87" s="20" t="s">
        <v>4827</v>
      </c>
      <c r="CN87" s="20" t="s">
        <v>825</v>
      </c>
      <c r="CO87" s="20"/>
      <c r="CP87" s="20" t="s">
        <v>361</v>
      </c>
      <c r="CQ87" s="20" t="s">
        <v>3272</v>
      </c>
      <c r="CR87" s="20" t="s">
        <v>362</v>
      </c>
      <c r="CS87" s="20" t="s">
        <v>2769</v>
      </c>
      <c r="CT87" s="20"/>
      <c r="CU87" s="20"/>
      <c r="CV87" s="20"/>
      <c r="CW87" s="20">
        <v>3</v>
      </c>
      <c r="CX87" s="20" t="s">
        <v>110</v>
      </c>
      <c r="CY87" s="22" t="s">
        <v>2756</v>
      </c>
      <c r="CZ87" s="20">
        <v>30</v>
      </c>
      <c r="DA87" s="20">
        <v>35</v>
      </c>
      <c r="DB87" s="20">
        <v>25</v>
      </c>
      <c r="DC87" s="20" t="s">
        <v>4828</v>
      </c>
      <c r="DD87" s="20" t="s">
        <v>4829</v>
      </c>
      <c r="DE87" s="20">
        <v>199</v>
      </c>
      <c r="DF87" s="20">
        <v>129</v>
      </c>
      <c r="DG87" s="9">
        <f t="shared" si="1"/>
        <v>4.6547488437546845</v>
      </c>
      <c r="DH87" s="20" t="s">
        <v>4830</v>
      </c>
      <c r="DI87" s="20" t="s">
        <v>4831</v>
      </c>
      <c r="DJ87" s="20"/>
      <c r="DK87" s="20"/>
      <c r="DL87" s="20" t="s">
        <v>4832</v>
      </c>
      <c r="DM87" s="20" t="s">
        <v>4833</v>
      </c>
      <c r="DP87" s="11">
        <v>3</v>
      </c>
      <c r="DQ87" s="9">
        <v>2</v>
      </c>
      <c r="DR87" s="30">
        <v>1</v>
      </c>
      <c r="DT87" s="9">
        <v>10</v>
      </c>
      <c r="DU87" s="9">
        <v>5.2</v>
      </c>
    </row>
    <row r="88" spans="1:157" x14ac:dyDescent="0.2">
      <c r="A88" s="7" t="s">
        <v>4926</v>
      </c>
      <c r="B88" s="8">
        <v>43644</v>
      </c>
      <c r="C88" s="9" t="s">
        <v>95</v>
      </c>
      <c r="D88" s="9">
        <v>54</v>
      </c>
      <c r="E88" s="9" t="s">
        <v>100</v>
      </c>
      <c r="F88" s="17">
        <v>23635</v>
      </c>
      <c r="G88" s="9" t="s">
        <v>3950</v>
      </c>
      <c r="H88" s="9" t="s">
        <v>4927</v>
      </c>
      <c r="I88" s="9">
        <v>12</v>
      </c>
      <c r="J88" s="9" t="s">
        <v>3113</v>
      </c>
      <c r="K88" s="9">
        <v>2002</v>
      </c>
      <c r="L88" s="9">
        <v>3</v>
      </c>
      <c r="M88" s="9" t="s">
        <v>99</v>
      </c>
      <c r="N88" s="9" t="s">
        <v>99</v>
      </c>
      <c r="O88" s="9" t="s">
        <v>99</v>
      </c>
      <c r="P88" s="9" t="s">
        <v>99</v>
      </c>
      <c r="Q88" s="9" t="s">
        <v>2385</v>
      </c>
      <c r="S88" s="9" t="s">
        <v>1971</v>
      </c>
      <c r="T88" s="9" t="s">
        <v>110</v>
      </c>
      <c r="V88" s="9">
        <v>2005</v>
      </c>
      <c r="Y88" s="9" t="s">
        <v>1903</v>
      </c>
      <c r="AA88" s="9" t="s">
        <v>100</v>
      </c>
      <c r="AB88" s="9" t="s">
        <v>100</v>
      </c>
      <c r="AC88" s="9" t="s">
        <v>100</v>
      </c>
      <c r="AD88" s="9" t="s">
        <v>100</v>
      </c>
      <c r="AE88" s="9" t="s">
        <v>99</v>
      </c>
      <c r="AF88" s="9" t="s">
        <v>126</v>
      </c>
      <c r="AG88" s="9" t="s">
        <v>4928</v>
      </c>
      <c r="AH88" s="9" t="s">
        <v>99</v>
      </c>
      <c r="AI88" s="9" t="s">
        <v>110</v>
      </c>
      <c r="AK88" s="9" t="s">
        <v>4929</v>
      </c>
      <c r="AL88" s="9">
        <v>57.6</v>
      </c>
      <c r="AM88" s="9">
        <v>1.65</v>
      </c>
      <c r="AN88" s="9">
        <v>79</v>
      </c>
      <c r="AO88" s="9">
        <v>94</v>
      </c>
      <c r="AP88" s="9">
        <v>43.2</v>
      </c>
      <c r="AQ88" s="9">
        <v>6</v>
      </c>
      <c r="AR88" s="9">
        <v>24.8</v>
      </c>
      <c r="AS88" s="9">
        <v>38</v>
      </c>
      <c r="AT88" s="9">
        <v>21.4</v>
      </c>
      <c r="AU88" s="9">
        <v>103</v>
      </c>
      <c r="AV88" s="9">
        <v>76</v>
      </c>
      <c r="AX88" s="9" t="s">
        <v>4930</v>
      </c>
      <c r="AY88" s="9" t="s">
        <v>2878</v>
      </c>
      <c r="AZ88" s="9" t="s">
        <v>679</v>
      </c>
      <c r="BB88" s="9" t="s">
        <v>346</v>
      </c>
      <c r="BC88" s="9" t="s">
        <v>3390</v>
      </c>
      <c r="BD88" s="9" t="s">
        <v>3121</v>
      </c>
      <c r="BF88" s="9" t="s">
        <v>1099</v>
      </c>
      <c r="BG88" s="9" t="s">
        <v>4931</v>
      </c>
      <c r="BH88" s="9" t="s">
        <v>4932</v>
      </c>
      <c r="BI88" s="9" t="s">
        <v>110</v>
      </c>
      <c r="BJ88" s="9" t="s">
        <v>2570</v>
      </c>
      <c r="BK88" s="9" t="s">
        <v>4933</v>
      </c>
      <c r="BM88" s="9" t="s">
        <v>4934</v>
      </c>
      <c r="BN88" s="9" t="s">
        <v>2446</v>
      </c>
      <c r="BO88" s="9" t="s">
        <v>2694</v>
      </c>
      <c r="BP88" s="9" t="s">
        <v>4935</v>
      </c>
      <c r="BY88" s="9" t="s">
        <v>176</v>
      </c>
      <c r="BZ88" s="9" t="s">
        <v>4936</v>
      </c>
      <c r="CA88" s="9" t="s">
        <v>709</v>
      </c>
      <c r="CB88" s="9" t="s">
        <v>4937</v>
      </c>
      <c r="CK88" s="9" t="s">
        <v>635</v>
      </c>
      <c r="CL88" s="9" t="s">
        <v>4938</v>
      </c>
      <c r="CM88" s="9" t="s">
        <v>4939</v>
      </c>
      <c r="CN88" s="9" t="s">
        <v>4940</v>
      </c>
      <c r="CO88" s="9" t="s">
        <v>176</v>
      </c>
      <c r="CP88" s="9" t="s">
        <v>716</v>
      </c>
      <c r="CQ88" s="9" t="s">
        <v>4941</v>
      </c>
      <c r="CR88" s="9" t="s">
        <v>4942</v>
      </c>
      <c r="CS88" s="9" t="s">
        <v>2368</v>
      </c>
      <c r="CW88" s="45" t="s">
        <v>2861</v>
      </c>
      <c r="CX88" s="9" t="s">
        <v>110</v>
      </c>
      <c r="CY88" s="9" t="s">
        <v>4943</v>
      </c>
      <c r="CZ88" s="9">
        <v>60</v>
      </c>
      <c r="DA88" s="9">
        <v>20</v>
      </c>
      <c r="DB88" s="9">
        <v>20</v>
      </c>
      <c r="DC88" s="9">
        <v>86.9</v>
      </c>
      <c r="DD88" s="9">
        <v>0.68</v>
      </c>
      <c r="DE88" s="9">
        <v>167</v>
      </c>
      <c r="DF88" s="9">
        <v>94</v>
      </c>
      <c r="DG88" s="9">
        <f t="shared" si="1"/>
        <v>4.5040264072706755</v>
      </c>
      <c r="DH88" s="9">
        <v>18.8</v>
      </c>
      <c r="DI88" s="9">
        <v>3.29</v>
      </c>
      <c r="DL88" s="9">
        <v>61.7</v>
      </c>
      <c r="DM88" s="9">
        <v>86.5</v>
      </c>
      <c r="DR88" s="9">
        <v>2</v>
      </c>
    </row>
    <row r="89" spans="1:157" customFormat="1" x14ac:dyDescent="0.2">
      <c r="A89" s="70" t="s">
        <v>5087</v>
      </c>
      <c r="B89" s="69">
        <v>43799</v>
      </c>
      <c r="C89" s="29" t="s">
        <v>196</v>
      </c>
      <c r="D89" s="29">
        <v>41</v>
      </c>
      <c r="E89" s="29" t="s">
        <v>100</v>
      </c>
      <c r="F89" s="69">
        <v>28698</v>
      </c>
      <c r="G89" s="29" t="s">
        <v>234</v>
      </c>
      <c r="H89" s="29" t="s">
        <v>340</v>
      </c>
      <c r="I89" s="29"/>
      <c r="J89" s="29"/>
      <c r="K89" s="29">
        <v>2010</v>
      </c>
      <c r="L89" s="29">
        <v>4</v>
      </c>
      <c r="M89" s="29" t="s">
        <v>99</v>
      </c>
      <c r="N89" s="29" t="s">
        <v>99</v>
      </c>
      <c r="O89" s="29" t="s">
        <v>99</v>
      </c>
      <c r="P89" s="29" t="s">
        <v>99</v>
      </c>
      <c r="Q89" s="29" t="s">
        <v>99</v>
      </c>
      <c r="R89" s="29" t="s">
        <v>99</v>
      </c>
      <c r="S89" s="29" t="s">
        <v>99</v>
      </c>
      <c r="T89" s="29" t="s">
        <v>99</v>
      </c>
      <c r="U89" s="29" t="s">
        <v>99</v>
      </c>
      <c r="V89" s="29" t="s">
        <v>99</v>
      </c>
      <c r="W89" s="29" t="s">
        <v>99</v>
      </c>
      <c r="X89" s="29" t="s">
        <v>99</v>
      </c>
      <c r="Y89" s="29" t="s">
        <v>99</v>
      </c>
      <c r="Z89" s="29"/>
      <c r="AA89" s="29" t="s">
        <v>100</v>
      </c>
      <c r="AB89" s="29" t="s">
        <v>100</v>
      </c>
      <c r="AC89" s="29" t="s">
        <v>100</v>
      </c>
      <c r="AD89" s="29" t="s">
        <v>100</v>
      </c>
      <c r="AE89" s="29" t="s">
        <v>246</v>
      </c>
      <c r="AF89" s="29" t="s">
        <v>1905</v>
      </c>
      <c r="AG89" s="29" t="s">
        <v>99</v>
      </c>
      <c r="AH89" s="29" t="s">
        <v>343</v>
      </c>
      <c r="AI89" s="29"/>
      <c r="AJ89" s="29"/>
      <c r="AK89" s="29"/>
      <c r="AL89" s="29">
        <v>66</v>
      </c>
      <c r="AM89" s="29">
        <v>166</v>
      </c>
      <c r="AN89" s="29">
        <v>97</v>
      </c>
      <c r="AO89" s="29">
        <v>107</v>
      </c>
      <c r="AP89" s="29">
        <v>13</v>
      </c>
      <c r="AQ89" s="29">
        <v>8</v>
      </c>
      <c r="AR89" s="29">
        <v>10.3</v>
      </c>
      <c r="AS89" s="29">
        <v>18</v>
      </c>
      <c r="AT89" s="70">
        <v>24</v>
      </c>
      <c r="AU89" s="29">
        <v>112</v>
      </c>
      <c r="AV89" s="29">
        <v>78</v>
      </c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>
        <v>81.2</v>
      </c>
      <c r="DD89" s="29">
        <v>0.62</v>
      </c>
      <c r="DE89" s="48">
        <v>200</v>
      </c>
      <c r="DF89" s="29">
        <v>65</v>
      </c>
      <c r="DG89" s="9">
        <f t="shared" si="1"/>
        <v>4.2856512585316349</v>
      </c>
      <c r="DH89" s="29">
        <v>13</v>
      </c>
      <c r="DI89" s="29">
        <v>3.28</v>
      </c>
      <c r="DJ89" s="29"/>
      <c r="DK89" s="29"/>
      <c r="DL89" s="29">
        <v>61.2</v>
      </c>
      <c r="DM89" s="29">
        <v>125.8</v>
      </c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</row>
    <row r="90" spans="1:157" customFormat="1" x14ac:dyDescent="0.2">
      <c r="A90" s="70" t="s">
        <v>5106</v>
      </c>
      <c r="B90" s="69">
        <v>43797</v>
      </c>
      <c r="C90" s="29" t="s">
        <v>675</v>
      </c>
      <c r="D90" s="29">
        <v>23</v>
      </c>
      <c r="E90" s="29" t="s">
        <v>100</v>
      </c>
      <c r="F90" s="69">
        <v>43754</v>
      </c>
      <c r="G90" s="29" t="s">
        <v>4905</v>
      </c>
      <c r="H90" s="29" t="s">
        <v>5107</v>
      </c>
      <c r="I90" s="29"/>
      <c r="J90" s="29"/>
      <c r="K90" s="29"/>
      <c r="L90" s="29"/>
      <c r="M90" s="29" t="s">
        <v>99</v>
      </c>
      <c r="N90" s="29" t="s">
        <v>99</v>
      </c>
      <c r="O90" s="29" t="s">
        <v>99</v>
      </c>
      <c r="P90" s="29" t="s">
        <v>99</v>
      </c>
      <c r="Q90" s="29" t="s">
        <v>690</v>
      </c>
      <c r="R90" s="29"/>
      <c r="S90" s="29" t="s">
        <v>99</v>
      </c>
      <c r="T90" s="29" t="s">
        <v>99</v>
      </c>
      <c r="U90" s="29" t="s">
        <v>99</v>
      </c>
      <c r="V90" s="29" t="s">
        <v>99</v>
      </c>
      <c r="W90" s="29" t="s">
        <v>99</v>
      </c>
      <c r="X90" s="29" t="s">
        <v>99</v>
      </c>
      <c r="Y90" s="29" t="s">
        <v>99</v>
      </c>
      <c r="Z90" s="29"/>
      <c r="AA90" s="29" t="s">
        <v>100</v>
      </c>
      <c r="AB90" s="29" t="s">
        <v>100</v>
      </c>
      <c r="AC90" s="29" t="s">
        <v>100</v>
      </c>
      <c r="AD90" s="29" t="s">
        <v>100</v>
      </c>
      <c r="AE90" s="29" t="s">
        <v>246</v>
      </c>
      <c r="AF90" s="29" t="s">
        <v>1127</v>
      </c>
      <c r="AG90" s="29"/>
      <c r="AH90" s="29"/>
      <c r="AI90" s="29"/>
      <c r="AJ90" s="29"/>
      <c r="AK90" s="29"/>
      <c r="AL90" s="29">
        <v>77.3</v>
      </c>
      <c r="AM90" s="29">
        <v>184</v>
      </c>
      <c r="AN90" s="29">
        <v>87</v>
      </c>
      <c r="AO90" s="29">
        <v>98</v>
      </c>
      <c r="AP90" s="29">
        <v>27.2</v>
      </c>
      <c r="AQ90" s="29">
        <v>6</v>
      </c>
      <c r="AR90" s="29">
        <v>33.4</v>
      </c>
      <c r="AS90" s="29">
        <v>46</v>
      </c>
      <c r="AT90" s="70">
        <v>22.8</v>
      </c>
      <c r="AU90" s="29">
        <v>97</v>
      </c>
      <c r="AV90" s="29">
        <v>58</v>
      </c>
      <c r="AW90" s="29"/>
      <c r="AX90" s="29" t="s">
        <v>573</v>
      </c>
      <c r="AY90" s="29" t="s">
        <v>1656</v>
      </c>
      <c r="AZ90" s="29" t="s">
        <v>592</v>
      </c>
      <c r="BA90" s="29"/>
      <c r="BB90" s="29" t="s">
        <v>2541</v>
      </c>
      <c r="BC90" s="29" t="s">
        <v>1080</v>
      </c>
      <c r="BD90" s="29"/>
      <c r="BE90" s="29"/>
      <c r="BF90" s="29" t="s">
        <v>351</v>
      </c>
      <c r="BG90" s="29" t="s">
        <v>351</v>
      </c>
      <c r="BH90" s="29" t="s">
        <v>350</v>
      </c>
      <c r="BI90" s="29" t="s">
        <v>350</v>
      </c>
      <c r="BJ90" s="29" t="s">
        <v>351</v>
      </c>
      <c r="BK90" s="29" t="s">
        <v>350</v>
      </c>
      <c r="BL90" s="29" t="s">
        <v>351</v>
      </c>
      <c r="BM90" s="29"/>
      <c r="BN90" s="29" t="s">
        <v>179</v>
      </c>
      <c r="BO90" s="29" t="s">
        <v>352</v>
      </c>
      <c r="BP90" s="29" t="s">
        <v>1664</v>
      </c>
      <c r="BQ90" s="29"/>
      <c r="BR90" s="29"/>
      <c r="BS90" s="29"/>
      <c r="BT90" s="29"/>
      <c r="BU90" s="29"/>
      <c r="BV90" s="29" t="s">
        <v>5108</v>
      </c>
      <c r="BW90" s="29"/>
      <c r="BX90" s="29"/>
      <c r="BY90" s="29" t="s">
        <v>351</v>
      </c>
      <c r="BZ90" s="29" t="s">
        <v>183</v>
      </c>
      <c r="CA90" s="29" t="s">
        <v>2096</v>
      </c>
      <c r="CB90" s="29" t="s">
        <v>182</v>
      </c>
      <c r="CC90" s="29"/>
      <c r="CD90" s="29"/>
      <c r="CE90" s="29" t="s">
        <v>5109</v>
      </c>
      <c r="CF90" s="29"/>
      <c r="CG90" s="29"/>
      <c r="CH90" s="29" t="s">
        <v>5110</v>
      </c>
      <c r="CI90" s="29"/>
      <c r="CJ90" s="29"/>
      <c r="CK90" s="29"/>
      <c r="CL90" s="29" t="s">
        <v>1181</v>
      </c>
      <c r="CM90" s="29" t="s">
        <v>1731</v>
      </c>
      <c r="CN90" s="29" t="s">
        <v>5111</v>
      </c>
      <c r="CO90" s="29"/>
      <c r="CP90" s="29" t="s">
        <v>4986</v>
      </c>
      <c r="CQ90" s="29" t="s">
        <v>5112</v>
      </c>
      <c r="CR90" s="29"/>
      <c r="CS90" s="29"/>
      <c r="CT90" s="29" t="s">
        <v>187</v>
      </c>
      <c r="CU90" s="29" t="s">
        <v>1660</v>
      </c>
      <c r="CV90" s="29"/>
      <c r="CW90" s="29">
        <v>5</v>
      </c>
      <c r="CX90" s="29" t="s">
        <v>110</v>
      </c>
      <c r="CY90" s="29" t="s">
        <v>110</v>
      </c>
      <c r="CZ90" s="29">
        <v>20</v>
      </c>
      <c r="DA90" s="29">
        <v>30</v>
      </c>
      <c r="DB90" s="29">
        <v>50</v>
      </c>
      <c r="DC90" s="29">
        <v>88.9</v>
      </c>
      <c r="DD90" s="29">
        <v>0.99</v>
      </c>
      <c r="DE90" s="29">
        <v>137</v>
      </c>
      <c r="DF90" s="29">
        <v>77</v>
      </c>
      <c r="DG90" s="9">
        <f t="shared" si="1"/>
        <v>4.415658782186771</v>
      </c>
      <c r="DH90" s="29">
        <v>15.4</v>
      </c>
      <c r="DI90" s="29">
        <v>5.58</v>
      </c>
      <c r="DJ90" s="29"/>
      <c r="DK90" s="29"/>
      <c r="DL90" s="29">
        <v>45.9</v>
      </c>
      <c r="DM90" s="29">
        <v>75.7</v>
      </c>
      <c r="DN90" s="29"/>
      <c r="DO90" s="29"/>
      <c r="DP90" s="29"/>
      <c r="DQ90" s="29"/>
      <c r="DR90" s="29">
        <v>3</v>
      </c>
      <c r="DS90" s="29"/>
      <c r="DT90" s="29"/>
      <c r="DU90" s="29">
        <v>5.5</v>
      </c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</row>
    <row r="91" spans="1:157" customFormat="1" x14ac:dyDescent="0.2">
      <c r="A91" s="72">
        <v>445</v>
      </c>
      <c r="B91" s="26">
        <v>43798</v>
      </c>
      <c r="C91" t="s">
        <v>95</v>
      </c>
      <c r="D91">
        <v>27</v>
      </c>
      <c r="F91" s="26">
        <v>33810</v>
      </c>
      <c r="I91" t="s">
        <v>1610</v>
      </c>
      <c r="M91" t="s">
        <v>99</v>
      </c>
      <c r="N91" t="s">
        <v>99</v>
      </c>
      <c r="O91" t="s">
        <v>99</v>
      </c>
      <c r="P91" t="s">
        <v>5262</v>
      </c>
      <c r="Q91" t="s">
        <v>1699</v>
      </c>
      <c r="R91" t="s">
        <v>99</v>
      </c>
      <c r="S91" t="s">
        <v>99</v>
      </c>
      <c r="T91" t="s">
        <v>99</v>
      </c>
      <c r="U91" t="s">
        <v>99</v>
      </c>
      <c r="V91" t="s">
        <v>99</v>
      </c>
      <c r="Z91" t="s">
        <v>5263</v>
      </c>
      <c r="AA91" t="s">
        <v>96</v>
      </c>
      <c r="AB91" t="s">
        <v>96</v>
      </c>
      <c r="AC91" t="s">
        <v>96</v>
      </c>
      <c r="AD91" t="s">
        <v>96</v>
      </c>
      <c r="AE91" t="s">
        <v>99</v>
      </c>
      <c r="AF91" t="s">
        <v>99</v>
      </c>
      <c r="AG91" t="s">
        <v>5264</v>
      </c>
      <c r="AH91" t="s">
        <v>5265</v>
      </c>
      <c r="AI91" t="s">
        <v>99</v>
      </c>
      <c r="AJ91" t="s">
        <v>99</v>
      </c>
      <c r="AL91">
        <v>53.4</v>
      </c>
      <c r="AM91">
        <v>157</v>
      </c>
      <c r="AN91">
        <v>74</v>
      </c>
      <c r="AO91">
        <v>96</v>
      </c>
      <c r="AP91">
        <v>31.7</v>
      </c>
      <c r="AQ91">
        <v>4</v>
      </c>
      <c r="AR91">
        <v>27.8</v>
      </c>
      <c r="AS91">
        <v>29</v>
      </c>
      <c r="AT91">
        <v>21.7</v>
      </c>
      <c r="AU91" t="s">
        <v>5266</v>
      </c>
      <c r="AV91" t="s">
        <v>5267</v>
      </c>
      <c r="AW91" t="s">
        <v>4158</v>
      </c>
      <c r="AX91" t="s">
        <v>1826</v>
      </c>
      <c r="AY91" t="s">
        <v>5268</v>
      </c>
      <c r="AZ91" t="s">
        <v>1152</v>
      </c>
      <c r="BF91" t="s">
        <v>5269</v>
      </c>
      <c r="BG91" t="s">
        <v>1818</v>
      </c>
      <c r="BH91" t="s">
        <v>1923</v>
      </c>
      <c r="BI91" t="s">
        <v>322</v>
      </c>
      <c r="BJ91" t="s">
        <v>322</v>
      </c>
      <c r="BK91" t="s">
        <v>1922</v>
      </c>
      <c r="BN91" t="s">
        <v>1886</v>
      </c>
      <c r="BO91" t="s">
        <v>5270</v>
      </c>
      <c r="BP91" t="s">
        <v>1072</v>
      </c>
      <c r="BV91" t="s">
        <v>1152</v>
      </c>
      <c r="BZ91" t="s">
        <v>1865</v>
      </c>
      <c r="CA91" t="s">
        <v>277</v>
      </c>
      <c r="CB91" t="s">
        <v>2030</v>
      </c>
      <c r="CD91" t="s">
        <v>4222</v>
      </c>
      <c r="CH91" t="s">
        <v>1249</v>
      </c>
      <c r="CI91" t="s">
        <v>1110</v>
      </c>
      <c r="CL91" t="s">
        <v>5271</v>
      </c>
      <c r="CM91" t="s">
        <v>5272</v>
      </c>
      <c r="CT91" t="s">
        <v>5273</v>
      </c>
      <c r="CU91" t="s">
        <v>5274</v>
      </c>
      <c r="CW91">
        <v>3</v>
      </c>
      <c r="CX91" t="s">
        <v>110</v>
      </c>
      <c r="CY91" t="s">
        <v>110</v>
      </c>
      <c r="DC91">
        <v>83.9</v>
      </c>
      <c r="DD91">
        <v>0.56000000000000005</v>
      </c>
      <c r="DE91">
        <v>162</v>
      </c>
      <c r="DF91">
        <v>45</v>
      </c>
      <c r="DG91" s="9">
        <f t="shared" si="1"/>
        <v>4.1181440516217398</v>
      </c>
      <c r="DH91">
        <v>9</v>
      </c>
      <c r="DI91">
        <v>2.69</v>
      </c>
      <c r="DL91">
        <v>53.4</v>
      </c>
      <c r="DM91">
        <v>99.6</v>
      </c>
      <c r="DP91">
        <v>1</v>
      </c>
      <c r="DR91">
        <v>2</v>
      </c>
    </row>
    <row r="92" spans="1:157" x14ac:dyDescent="0.2">
      <c r="A92" s="79">
        <v>457</v>
      </c>
      <c r="B92" s="38">
        <v>42944</v>
      </c>
      <c r="C92" s="9" t="s">
        <v>196</v>
      </c>
      <c r="D92" s="9">
        <v>36</v>
      </c>
      <c r="E92" s="9" t="s">
        <v>100</v>
      </c>
      <c r="F92" s="17">
        <v>29694</v>
      </c>
      <c r="G92" s="9" t="s">
        <v>197</v>
      </c>
      <c r="H92" s="9" t="s">
        <v>5355</v>
      </c>
      <c r="I92" s="9">
        <v>12</v>
      </c>
      <c r="J92" s="9" t="s">
        <v>99</v>
      </c>
      <c r="K92" s="9">
        <v>31</v>
      </c>
      <c r="L92" s="9">
        <v>4</v>
      </c>
      <c r="M92" s="9" t="s">
        <v>99</v>
      </c>
      <c r="N92" s="9" t="s">
        <v>99</v>
      </c>
      <c r="O92" s="9" t="s">
        <v>99</v>
      </c>
      <c r="P92" s="9" t="s">
        <v>99</v>
      </c>
      <c r="Q92" s="9" t="s">
        <v>99</v>
      </c>
      <c r="R92" s="9" t="s">
        <v>99</v>
      </c>
      <c r="S92" s="9" t="s">
        <v>110</v>
      </c>
      <c r="T92" s="9" t="s">
        <v>110</v>
      </c>
      <c r="U92" s="9" t="s">
        <v>99</v>
      </c>
      <c r="V92" s="9" t="s">
        <v>99</v>
      </c>
      <c r="W92" s="9" t="s">
        <v>5356</v>
      </c>
      <c r="X92" s="9" t="s">
        <v>99</v>
      </c>
      <c r="AA92" s="9" t="s">
        <v>100</v>
      </c>
      <c r="AB92" s="9" t="s">
        <v>3194</v>
      </c>
      <c r="AC92" s="9" t="s">
        <v>3194</v>
      </c>
      <c r="AD92" s="9" t="s">
        <v>3194</v>
      </c>
      <c r="AE92" s="9" t="s">
        <v>5357</v>
      </c>
      <c r="AF92" s="9" t="s">
        <v>118</v>
      </c>
      <c r="AG92" s="9" t="s">
        <v>99</v>
      </c>
      <c r="AH92" s="9" t="s">
        <v>99</v>
      </c>
      <c r="AI92" s="9" t="s">
        <v>99</v>
      </c>
      <c r="AJ92" s="9" t="s">
        <v>99</v>
      </c>
      <c r="AK92" s="9" t="s">
        <v>99</v>
      </c>
      <c r="AL92" s="9">
        <v>52.5</v>
      </c>
      <c r="AM92" s="9">
        <v>160</v>
      </c>
      <c r="AN92" s="7">
        <v>79</v>
      </c>
      <c r="AO92" s="9">
        <v>94</v>
      </c>
      <c r="AP92" s="9">
        <v>23.8</v>
      </c>
      <c r="AQ92" s="9">
        <v>4</v>
      </c>
      <c r="AR92" s="9">
        <v>32.6</v>
      </c>
      <c r="AS92" s="9">
        <v>28</v>
      </c>
      <c r="AT92" s="7">
        <v>20.5</v>
      </c>
      <c r="AU92" s="9">
        <v>100</v>
      </c>
      <c r="AV92" s="9">
        <v>70</v>
      </c>
      <c r="AW92" s="9" t="s">
        <v>176</v>
      </c>
      <c r="AX92" s="9" t="s">
        <v>729</v>
      </c>
      <c r="AY92" s="9" t="s">
        <v>2566</v>
      </c>
      <c r="AZ92" s="9" t="s">
        <v>187</v>
      </c>
      <c r="BA92" s="9" t="s">
        <v>176</v>
      </c>
      <c r="BF92" s="9" t="s">
        <v>2407</v>
      </c>
      <c r="BG92" s="9" t="s">
        <v>2407</v>
      </c>
      <c r="BH92" s="9" t="s">
        <v>2407</v>
      </c>
      <c r="BI92" s="9" t="s">
        <v>2654</v>
      </c>
      <c r="BJ92" s="9" t="s">
        <v>176</v>
      </c>
      <c r="BK92" s="9" t="s">
        <v>5358</v>
      </c>
      <c r="BM92" s="9" t="s">
        <v>350</v>
      </c>
      <c r="BN92" s="9" t="s">
        <v>178</v>
      </c>
      <c r="BO92" s="9" t="s">
        <v>180</v>
      </c>
      <c r="BP92" s="9" t="s">
        <v>219</v>
      </c>
      <c r="BR92" s="9" t="s">
        <v>99</v>
      </c>
      <c r="BV92" s="9" t="s">
        <v>99</v>
      </c>
      <c r="BY92" s="9" t="s">
        <v>176</v>
      </c>
      <c r="BZ92" s="9" t="s">
        <v>182</v>
      </c>
      <c r="CA92" s="9" t="s">
        <v>2484</v>
      </c>
      <c r="CB92" s="9" t="s">
        <v>3382</v>
      </c>
      <c r="CD92" s="9" t="s">
        <v>99</v>
      </c>
      <c r="CH92" s="9" t="s">
        <v>99</v>
      </c>
      <c r="CL92" s="9" t="s">
        <v>5359</v>
      </c>
      <c r="CM92" s="9" t="s">
        <v>5360</v>
      </c>
      <c r="CO92" s="9" t="s">
        <v>176</v>
      </c>
      <c r="CP92" s="9" t="s">
        <v>361</v>
      </c>
      <c r="CQ92" s="9" t="s">
        <v>362</v>
      </c>
      <c r="CR92" s="9" t="s">
        <v>716</v>
      </c>
      <c r="CT92" s="9" t="s">
        <v>99</v>
      </c>
      <c r="CW92" s="9">
        <v>2</v>
      </c>
      <c r="CX92" s="9" t="s">
        <v>99</v>
      </c>
      <c r="CY92" s="9" t="s">
        <v>99</v>
      </c>
      <c r="DC92" s="9">
        <v>95.7</v>
      </c>
      <c r="DD92" s="9">
        <v>0.71</v>
      </c>
      <c r="DE92" s="9">
        <v>132</v>
      </c>
      <c r="DF92" s="9" t="s">
        <v>5361</v>
      </c>
      <c r="DG92" s="9" t="e">
        <f t="shared" si="1"/>
        <v>#VALUE!</v>
      </c>
      <c r="DH92" s="9">
        <v>12</v>
      </c>
      <c r="DI92" s="9">
        <v>3.15</v>
      </c>
      <c r="DP92" s="11">
        <v>3</v>
      </c>
      <c r="DQ92" s="6" t="s">
        <v>111</v>
      </c>
      <c r="DR92" s="9">
        <v>3</v>
      </c>
      <c r="DU92" s="9">
        <v>7</v>
      </c>
    </row>
    <row r="93" spans="1:157" customFormat="1" x14ac:dyDescent="0.2">
      <c r="A93" s="143" t="s">
        <v>5514</v>
      </c>
      <c r="B93" s="128">
        <v>43802</v>
      </c>
      <c r="C93" s="127" t="s">
        <v>196</v>
      </c>
      <c r="D93" s="127">
        <v>40</v>
      </c>
      <c r="E93" s="127" t="s">
        <v>100</v>
      </c>
      <c r="F93" s="128">
        <v>29038</v>
      </c>
      <c r="G93" s="127" t="s">
        <v>2495</v>
      </c>
      <c r="H93" s="127" t="s">
        <v>5515</v>
      </c>
      <c r="I93" s="127" t="s">
        <v>500</v>
      </c>
      <c r="J93" s="127" t="s">
        <v>500</v>
      </c>
      <c r="K93" s="128">
        <v>38972</v>
      </c>
      <c r="L93" s="127">
        <v>2</v>
      </c>
      <c r="M93" s="127" t="s">
        <v>99</v>
      </c>
      <c r="N93" s="127" t="s">
        <v>500</v>
      </c>
      <c r="O93" s="127" t="s">
        <v>99</v>
      </c>
      <c r="P93" s="127" t="s">
        <v>99</v>
      </c>
      <c r="Q93" s="127" t="s">
        <v>99</v>
      </c>
      <c r="R93" s="127" t="s">
        <v>99</v>
      </c>
      <c r="S93" s="127" t="s">
        <v>99</v>
      </c>
      <c r="T93" s="127" t="s">
        <v>5493</v>
      </c>
      <c r="U93" s="127" t="s">
        <v>99</v>
      </c>
      <c r="V93" s="127" t="s">
        <v>99</v>
      </c>
      <c r="W93" s="127" t="s">
        <v>5516</v>
      </c>
      <c r="X93" s="127" t="s">
        <v>99</v>
      </c>
      <c r="Y93" s="127" t="s">
        <v>99</v>
      </c>
      <c r="Z93" s="127" t="s">
        <v>99</v>
      </c>
      <c r="AA93" s="127" t="s">
        <v>2777</v>
      </c>
      <c r="AB93" s="127" t="s">
        <v>1123</v>
      </c>
      <c r="AC93" s="127" t="s">
        <v>100</v>
      </c>
      <c r="AD93" s="127" t="s">
        <v>100</v>
      </c>
      <c r="AE93" s="127" t="s">
        <v>110</v>
      </c>
      <c r="AF93" s="127" t="s">
        <v>110</v>
      </c>
      <c r="AG93" s="127" t="s">
        <v>99</v>
      </c>
      <c r="AH93" s="129" t="s">
        <v>99</v>
      </c>
      <c r="AI93" s="127" t="s">
        <v>5517</v>
      </c>
      <c r="AJ93" s="9" t="s">
        <v>99</v>
      </c>
      <c r="AK93" s="9" t="s">
        <v>99</v>
      </c>
      <c r="AL93" s="9">
        <v>53.3</v>
      </c>
      <c r="AM93" s="9">
        <v>154</v>
      </c>
      <c r="AN93" s="7">
        <v>70</v>
      </c>
      <c r="AO93" s="9">
        <v>90</v>
      </c>
      <c r="AP93" s="9">
        <v>33.4</v>
      </c>
      <c r="AQ93" s="9">
        <v>5</v>
      </c>
      <c r="AR93" s="9">
        <v>27</v>
      </c>
      <c r="AS93" s="9">
        <v>40</v>
      </c>
      <c r="AT93" s="7">
        <v>22.5</v>
      </c>
      <c r="AU93" s="9">
        <v>112</v>
      </c>
      <c r="AV93" s="9">
        <v>80</v>
      </c>
      <c r="AW93" s="9" t="s">
        <v>110</v>
      </c>
      <c r="AX93" s="9" t="s">
        <v>5518</v>
      </c>
      <c r="AY93" s="9" t="s">
        <v>500</v>
      </c>
      <c r="AZ93" s="9" t="s">
        <v>500</v>
      </c>
      <c r="BA93" s="9" t="s">
        <v>351</v>
      </c>
      <c r="BB93" s="9" t="s">
        <v>500</v>
      </c>
      <c r="BC93" s="9" t="s">
        <v>500</v>
      </c>
      <c r="BD93" s="9" t="s">
        <v>500</v>
      </c>
      <c r="BE93" s="9" t="s">
        <v>110</v>
      </c>
      <c r="BF93" s="9" t="s">
        <v>176</v>
      </c>
      <c r="BG93" s="9" t="s">
        <v>99</v>
      </c>
      <c r="BH93" s="9" t="s">
        <v>99</v>
      </c>
      <c r="BI93" s="9" t="s">
        <v>707</v>
      </c>
      <c r="BJ93" s="9" t="s">
        <v>707</v>
      </c>
      <c r="BK93" s="9" t="s">
        <v>1469</v>
      </c>
      <c r="BL93" s="9" t="s">
        <v>110</v>
      </c>
      <c r="BM93" s="9" t="s">
        <v>1469</v>
      </c>
      <c r="BN93" s="9" t="s">
        <v>500</v>
      </c>
      <c r="BO93" s="9" t="s">
        <v>500</v>
      </c>
      <c r="BP93" s="9" t="s">
        <v>500</v>
      </c>
      <c r="BQ93" s="9" t="s">
        <v>99</v>
      </c>
      <c r="BR93" s="9" t="s">
        <v>500</v>
      </c>
      <c r="BS93" s="9" t="s">
        <v>500</v>
      </c>
      <c r="BT93" s="9" t="s">
        <v>500</v>
      </c>
      <c r="BU93" s="9" t="s">
        <v>99</v>
      </c>
      <c r="BV93" s="9" t="s">
        <v>500</v>
      </c>
      <c r="BW93" s="9" t="s">
        <v>500</v>
      </c>
      <c r="BX93" s="9" t="s">
        <v>500</v>
      </c>
      <c r="BY93" s="9" t="s">
        <v>110</v>
      </c>
      <c r="BZ93" s="9" t="s">
        <v>213</v>
      </c>
      <c r="CA93" s="9" t="s">
        <v>500</v>
      </c>
      <c r="CB93" s="9" t="s">
        <v>500</v>
      </c>
      <c r="CC93" s="9" t="s">
        <v>99</v>
      </c>
      <c r="CD93" s="9" t="s">
        <v>500</v>
      </c>
      <c r="CE93" s="9" t="s">
        <v>500</v>
      </c>
      <c r="CF93" s="9" t="s">
        <v>500</v>
      </c>
      <c r="CG93" s="9" t="s">
        <v>99</v>
      </c>
      <c r="CH93" s="9" t="s">
        <v>500</v>
      </c>
      <c r="CI93" s="9" t="s">
        <v>500</v>
      </c>
      <c r="CJ93" s="9" t="s">
        <v>500</v>
      </c>
      <c r="CK93" s="9" t="s">
        <v>176</v>
      </c>
      <c r="CL93" s="9" t="s">
        <v>579</v>
      </c>
      <c r="CM93" s="9" t="s">
        <v>500</v>
      </c>
      <c r="CN93" s="9" t="s">
        <v>500</v>
      </c>
      <c r="CO93" s="9" t="s">
        <v>110</v>
      </c>
      <c r="CP93" s="9" t="s">
        <v>5498</v>
      </c>
      <c r="CQ93" s="9" t="s">
        <v>500</v>
      </c>
      <c r="CR93" s="9" t="s">
        <v>500</v>
      </c>
      <c r="CS93" s="9" t="s">
        <v>99</v>
      </c>
      <c r="CT93" s="9" t="s">
        <v>500</v>
      </c>
      <c r="CU93" s="9" t="s">
        <v>500</v>
      </c>
      <c r="CV93" s="9" t="s">
        <v>500</v>
      </c>
      <c r="CW93" s="9">
        <v>3</v>
      </c>
      <c r="CX93" s="9" t="s">
        <v>99</v>
      </c>
      <c r="CY93" s="9" t="s">
        <v>110</v>
      </c>
      <c r="CZ93" s="9">
        <v>30</v>
      </c>
      <c r="DA93" s="9">
        <v>30</v>
      </c>
      <c r="DB93" s="9">
        <v>40</v>
      </c>
      <c r="DC93" s="9">
        <v>83.2</v>
      </c>
      <c r="DD93" s="9">
        <v>0.76</v>
      </c>
      <c r="DE93" s="9">
        <v>198</v>
      </c>
      <c r="DF93" s="9">
        <v>80</v>
      </c>
      <c r="DG93" s="9">
        <f t="shared" si="1"/>
        <v>4.4016369912505224</v>
      </c>
      <c r="DH93" s="9">
        <v>16</v>
      </c>
      <c r="DI93" s="9">
        <v>4.3600000000000003</v>
      </c>
      <c r="DJ93" s="9"/>
      <c r="DK93" s="9"/>
      <c r="DL93" s="9">
        <v>60.4</v>
      </c>
      <c r="DM93" s="9">
        <v>121.6</v>
      </c>
      <c r="DN93" s="9"/>
      <c r="DO93" s="9"/>
      <c r="DP93" s="53">
        <v>3</v>
      </c>
      <c r="DR93">
        <v>3</v>
      </c>
      <c r="DU93">
        <v>4.5</v>
      </c>
    </row>
    <row r="94" spans="1:157" x14ac:dyDescent="0.2">
      <c r="A94" s="79">
        <v>507</v>
      </c>
      <c r="B94" s="17">
        <v>43035</v>
      </c>
      <c r="C94" s="9" t="s">
        <v>95</v>
      </c>
      <c r="D94" s="9">
        <v>27</v>
      </c>
      <c r="E94" s="9" t="s">
        <v>2234</v>
      </c>
      <c r="F94" s="17">
        <v>32906</v>
      </c>
      <c r="G94" s="9" t="s">
        <v>1509</v>
      </c>
      <c r="I94" s="9">
        <v>13</v>
      </c>
      <c r="M94" s="9" t="s">
        <v>99</v>
      </c>
      <c r="N94" s="9" t="s">
        <v>99</v>
      </c>
      <c r="O94" s="9" t="s">
        <v>99</v>
      </c>
      <c r="P94" s="9" t="s">
        <v>5435</v>
      </c>
      <c r="Q94" s="9" t="s">
        <v>5629</v>
      </c>
      <c r="R94" s="9" t="s">
        <v>110</v>
      </c>
      <c r="S94" s="9" t="s">
        <v>110</v>
      </c>
      <c r="T94" s="9" t="s">
        <v>99</v>
      </c>
      <c r="U94" s="9" t="s">
        <v>99</v>
      </c>
      <c r="V94" s="9" t="s">
        <v>99</v>
      </c>
      <c r="W94" s="9" t="s">
        <v>99</v>
      </c>
      <c r="Z94" s="9" t="s">
        <v>5630</v>
      </c>
      <c r="AA94" s="9" t="s">
        <v>2234</v>
      </c>
      <c r="AB94" s="9" t="s">
        <v>2234</v>
      </c>
      <c r="AC94" s="9" t="s">
        <v>100</v>
      </c>
      <c r="AD94" s="9" t="s">
        <v>2234</v>
      </c>
      <c r="AE94" s="9" t="s">
        <v>5631</v>
      </c>
      <c r="AF94" s="9" t="s">
        <v>99</v>
      </c>
      <c r="AG94" s="9" t="s">
        <v>5632</v>
      </c>
      <c r="AH94" s="9" t="s">
        <v>5633</v>
      </c>
      <c r="AI94" s="9" t="s">
        <v>99</v>
      </c>
      <c r="AJ94" s="9" t="s">
        <v>99</v>
      </c>
      <c r="AK94" s="9" t="s">
        <v>99</v>
      </c>
      <c r="AL94" s="9">
        <v>50.6</v>
      </c>
      <c r="AM94" s="9">
        <v>156</v>
      </c>
      <c r="AN94" s="9">
        <v>70</v>
      </c>
      <c r="AO94" s="9">
        <v>91</v>
      </c>
      <c r="AP94" s="9">
        <v>32.700000000000003</v>
      </c>
      <c r="AQ94" s="9">
        <v>4</v>
      </c>
      <c r="AR94" s="9">
        <v>24.5</v>
      </c>
      <c r="AS94" s="9">
        <v>24</v>
      </c>
      <c r="AT94" s="9">
        <v>20.8</v>
      </c>
      <c r="AU94" s="9">
        <v>96</v>
      </c>
      <c r="AV94" s="9">
        <v>71</v>
      </c>
      <c r="AX94" s="9" t="s">
        <v>5634</v>
      </c>
      <c r="AY94" s="9" t="s">
        <v>5635</v>
      </c>
      <c r="AZ94" s="9" t="s">
        <v>5636</v>
      </c>
      <c r="BB94" s="9" t="s">
        <v>3556</v>
      </c>
      <c r="BC94" s="9" t="s">
        <v>5637</v>
      </c>
      <c r="BD94" s="9" t="s">
        <v>5638</v>
      </c>
      <c r="BF94" s="9" t="s">
        <v>5639</v>
      </c>
      <c r="BG94" s="9" t="s">
        <v>5640</v>
      </c>
      <c r="BH94" s="9" t="s">
        <v>5641</v>
      </c>
      <c r="BI94" s="9" t="s">
        <v>5642</v>
      </c>
      <c r="BJ94" s="9" t="s">
        <v>5643</v>
      </c>
      <c r="BK94" s="9" t="s">
        <v>646</v>
      </c>
      <c r="BL94" s="9" t="s">
        <v>635</v>
      </c>
      <c r="BM94" s="9" t="s">
        <v>5644</v>
      </c>
      <c r="BN94" s="9" t="s">
        <v>5645</v>
      </c>
      <c r="BO94" s="9" t="s">
        <v>5646</v>
      </c>
      <c r="BY94" s="9" t="s">
        <v>635</v>
      </c>
      <c r="BZ94" s="9" t="s">
        <v>2434</v>
      </c>
      <c r="CA94" s="9" t="s">
        <v>2721</v>
      </c>
      <c r="CB94" s="9" t="s">
        <v>2466</v>
      </c>
      <c r="CL94" s="9" t="s">
        <v>5647</v>
      </c>
      <c r="CM94" s="9" t="s">
        <v>5648</v>
      </c>
      <c r="CN94" s="9" t="s">
        <v>5649</v>
      </c>
      <c r="CO94" s="9" t="s">
        <v>635</v>
      </c>
      <c r="CP94" s="9" t="s">
        <v>637</v>
      </c>
      <c r="CQ94" s="9" t="s">
        <v>636</v>
      </c>
      <c r="CR94" s="9" t="s">
        <v>5650</v>
      </c>
      <c r="CS94" s="9" t="s">
        <v>323</v>
      </c>
      <c r="CT94" s="9" t="s">
        <v>5651</v>
      </c>
      <c r="CU94" s="9" t="s">
        <v>2727</v>
      </c>
      <c r="CV94" s="9" t="s">
        <v>5652</v>
      </c>
      <c r="CW94" s="9">
        <v>5</v>
      </c>
      <c r="CX94" s="9" t="s">
        <v>483</v>
      </c>
      <c r="CY94" s="9" t="s">
        <v>5653</v>
      </c>
      <c r="DC94" s="9">
        <v>82.9</v>
      </c>
      <c r="DD94" s="9">
        <v>0.77</v>
      </c>
      <c r="DE94" s="9">
        <v>185</v>
      </c>
      <c r="DF94" s="9">
        <v>44</v>
      </c>
      <c r="DG94" s="9">
        <f t="shared" si="1"/>
        <v>4.1009123480297553</v>
      </c>
      <c r="DH94" s="9">
        <v>8.8000000000000007</v>
      </c>
      <c r="DI94" s="9">
        <v>3.98</v>
      </c>
      <c r="DJ94" s="9">
        <v>17.899999999999999</v>
      </c>
      <c r="DL94" s="9">
        <v>86.3</v>
      </c>
      <c r="DM94" s="9">
        <v>89.9</v>
      </c>
      <c r="DP94" s="11">
        <v>2</v>
      </c>
      <c r="DT94" s="9">
        <v>7</v>
      </c>
      <c r="DU94" s="9">
        <v>4.8499999999999996</v>
      </c>
    </row>
    <row r="95" spans="1:157" x14ac:dyDescent="0.2">
      <c r="A95" s="70" t="s">
        <v>5786</v>
      </c>
      <c r="B95" s="69">
        <v>43266</v>
      </c>
      <c r="C95" s="29" t="s">
        <v>95</v>
      </c>
      <c r="D95" s="29">
        <v>33</v>
      </c>
      <c r="E95" s="29" t="s">
        <v>96</v>
      </c>
      <c r="F95" s="69">
        <v>30993</v>
      </c>
      <c r="G95" s="29" t="s">
        <v>5787</v>
      </c>
      <c r="H95"/>
      <c r="I95" s="29">
        <v>13</v>
      </c>
      <c r="J95"/>
      <c r="K95" s="29">
        <v>2010</v>
      </c>
      <c r="L95" s="29">
        <v>1</v>
      </c>
      <c r="M95" s="29" t="s">
        <v>483</v>
      </c>
      <c r="N95" s="29" t="s">
        <v>588</v>
      </c>
      <c r="O95" s="29" t="s">
        <v>483</v>
      </c>
      <c r="P95" s="29" t="s">
        <v>483</v>
      </c>
      <c r="Q95" s="29" t="s">
        <v>588</v>
      </c>
      <c r="R95" s="29" t="s">
        <v>588</v>
      </c>
      <c r="S95" s="29" t="s">
        <v>588</v>
      </c>
      <c r="T95" s="29" t="s">
        <v>5788</v>
      </c>
      <c r="U95" s="29" t="s">
        <v>4078</v>
      </c>
      <c r="V95" s="29" t="s">
        <v>483</v>
      </c>
      <c r="W95" s="29" t="s">
        <v>5789</v>
      </c>
      <c r="X95"/>
      <c r="Y95" s="29" t="s">
        <v>5790</v>
      </c>
      <c r="Z95"/>
      <c r="AA95" s="29" t="s">
        <v>150</v>
      </c>
      <c r="AB95" s="29" t="s">
        <v>313</v>
      </c>
      <c r="AC95" s="29" t="s">
        <v>150</v>
      </c>
      <c r="AD95" s="29" t="s">
        <v>313</v>
      </c>
      <c r="AE95" s="29" t="s">
        <v>1242</v>
      </c>
      <c r="AF95" s="29" t="s">
        <v>5791</v>
      </c>
      <c r="AG95" s="29" t="s">
        <v>483</v>
      </c>
      <c r="AH95" s="29" t="s">
        <v>5792</v>
      </c>
      <c r="AI95" s="29" t="s">
        <v>919</v>
      </c>
      <c r="AJ95" s="29" t="s">
        <v>483</v>
      </c>
      <c r="AK95"/>
      <c r="AL95" s="29">
        <v>58.4</v>
      </c>
      <c r="AM95" s="29">
        <v>1.63</v>
      </c>
      <c r="AN95" s="29">
        <v>92</v>
      </c>
      <c r="AO95" s="29">
        <v>95</v>
      </c>
      <c r="AP95" s="29">
        <v>33.299999999999997</v>
      </c>
      <c r="AQ95" s="29">
        <v>5</v>
      </c>
      <c r="AR95" s="29">
        <v>27</v>
      </c>
      <c r="AS95" s="29">
        <v>32</v>
      </c>
      <c r="AT95" s="70">
        <v>22</v>
      </c>
      <c r="AU95" s="29">
        <v>113</v>
      </c>
      <c r="AV95" s="29">
        <v>84</v>
      </c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 s="29">
        <v>86</v>
      </c>
      <c r="DD95" s="29">
        <v>0.83</v>
      </c>
      <c r="DE95" s="29">
        <v>146</v>
      </c>
      <c r="DF95" s="29">
        <v>55</v>
      </c>
      <c r="DG95" s="9">
        <f t="shared" si="1"/>
        <v>4.2308402407429897</v>
      </c>
      <c r="DH95" s="29">
        <v>11</v>
      </c>
      <c r="DI95" s="29">
        <v>4.55</v>
      </c>
      <c r="DJ95" s="29">
        <v>19</v>
      </c>
      <c r="DK95" s="29">
        <v>19.7</v>
      </c>
      <c r="DL95"/>
      <c r="DM95"/>
      <c r="DN95"/>
      <c r="DO95"/>
      <c r="DP95" s="29">
        <v>2</v>
      </c>
      <c r="DQ95" s="29">
        <v>2</v>
      </c>
      <c r="DR95">
        <v>2</v>
      </c>
      <c r="DS95"/>
      <c r="DT95">
        <v>13</v>
      </c>
      <c r="DU95">
        <v>5.08</v>
      </c>
      <c r="DV95"/>
    </row>
    <row r="96" spans="1:157" x14ac:dyDescent="0.2">
      <c r="A96" s="9" t="s">
        <v>5816</v>
      </c>
      <c r="B96" s="38">
        <v>43175</v>
      </c>
      <c r="C96" s="9" t="s">
        <v>95</v>
      </c>
      <c r="D96" s="9">
        <v>21</v>
      </c>
      <c r="E96" s="9" t="s">
        <v>96</v>
      </c>
      <c r="F96" s="17">
        <v>35250</v>
      </c>
      <c r="G96" s="9" t="s">
        <v>1509</v>
      </c>
      <c r="H96" s="9" t="s">
        <v>5817</v>
      </c>
      <c r="M96" s="9" t="s">
        <v>99</v>
      </c>
      <c r="N96" s="9" t="s">
        <v>99</v>
      </c>
      <c r="O96" s="9" t="s">
        <v>99</v>
      </c>
      <c r="P96" s="9" t="s">
        <v>99</v>
      </c>
      <c r="Q96" s="9" t="s">
        <v>99</v>
      </c>
      <c r="S96" s="9" t="s">
        <v>110</v>
      </c>
      <c r="T96" s="9" t="s">
        <v>110</v>
      </c>
      <c r="U96" s="9" t="s">
        <v>5818</v>
      </c>
      <c r="Y96" s="9" t="s">
        <v>5819</v>
      </c>
      <c r="AA96" s="9" t="s">
        <v>100</v>
      </c>
      <c r="AB96" s="9" t="s">
        <v>100</v>
      </c>
      <c r="AC96" s="9" t="s">
        <v>100</v>
      </c>
      <c r="AD96" s="9" t="s">
        <v>100</v>
      </c>
      <c r="AE96" s="9" t="s">
        <v>99</v>
      </c>
      <c r="AF96" s="9" t="s">
        <v>5820</v>
      </c>
      <c r="AG96" s="9" t="s">
        <v>99</v>
      </c>
      <c r="AH96" s="9" t="s">
        <v>99</v>
      </c>
      <c r="AI96" s="9" t="s">
        <v>5633</v>
      </c>
      <c r="AJ96" s="9" t="s">
        <v>99</v>
      </c>
      <c r="AK96" s="9" t="s">
        <v>5821</v>
      </c>
      <c r="AL96" s="9">
        <v>45.6</v>
      </c>
      <c r="AM96" s="9">
        <v>168</v>
      </c>
      <c r="AN96" s="9">
        <v>66</v>
      </c>
      <c r="AO96" s="9">
        <v>86</v>
      </c>
      <c r="AP96" s="9">
        <v>16.7</v>
      </c>
      <c r="AQ96" s="9">
        <v>1</v>
      </c>
      <c r="AR96" s="9">
        <v>30.9</v>
      </c>
      <c r="AS96" s="9">
        <v>18</v>
      </c>
      <c r="AT96" s="7">
        <v>16.100000000000001</v>
      </c>
      <c r="AU96" s="9">
        <v>84</v>
      </c>
      <c r="AV96" s="9">
        <v>62</v>
      </c>
      <c r="DC96" s="9">
        <v>81.8</v>
      </c>
      <c r="DD96" s="9">
        <v>0.79</v>
      </c>
      <c r="DE96" s="9">
        <v>189</v>
      </c>
      <c r="DF96" s="9">
        <v>37</v>
      </c>
      <c r="DG96" s="9">
        <f t="shared" si="1"/>
        <v>4.0075975781264628</v>
      </c>
      <c r="DH96" s="9">
        <v>7.4</v>
      </c>
      <c r="DI96" s="9">
        <v>3.16</v>
      </c>
      <c r="DU96" s="9">
        <v>8</v>
      </c>
    </row>
    <row r="97" spans="1:125" customFormat="1" x14ac:dyDescent="0.2">
      <c r="A97" s="143" t="s">
        <v>6027</v>
      </c>
      <c r="B97" s="128">
        <v>43803</v>
      </c>
      <c r="C97" s="127" t="s">
        <v>196</v>
      </c>
      <c r="D97" s="127">
        <v>7</v>
      </c>
      <c r="E97" s="127" t="s">
        <v>100</v>
      </c>
      <c r="F97" s="128">
        <v>40944</v>
      </c>
      <c r="G97" s="127" t="s">
        <v>500</v>
      </c>
      <c r="H97" s="127" t="s">
        <v>5841</v>
      </c>
      <c r="I97" s="127" t="s">
        <v>500</v>
      </c>
      <c r="J97" s="127" t="s">
        <v>500</v>
      </c>
      <c r="K97" s="127" t="s">
        <v>500</v>
      </c>
      <c r="L97" s="127" t="s">
        <v>500</v>
      </c>
      <c r="M97" s="127" t="s">
        <v>500</v>
      </c>
      <c r="N97" s="127" t="s">
        <v>500</v>
      </c>
      <c r="O97" s="127" t="s">
        <v>99</v>
      </c>
      <c r="P97" s="127" t="s">
        <v>99</v>
      </c>
      <c r="Q97" s="127" t="s">
        <v>99</v>
      </c>
      <c r="R97" s="127" t="s">
        <v>99</v>
      </c>
      <c r="S97" s="127" t="s">
        <v>99</v>
      </c>
      <c r="T97" s="127" t="s">
        <v>99</v>
      </c>
      <c r="U97" s="127" t="s">
        <v>99</v>
      </c>
      <c r="V97" s="127" t="s">
        <v>99</v>
      </c>
      <c r="W97" s="127" t="s">
        <v>99</v>
      </c>
      <c r="X97" s="127" t="s">
        <v>99</v>
      </c>
      <c r="Y97" s="127" t="s">
        <v>99</v>
      </c>
      <c r="Z97" s="127" t="s">
        <v>6028</v>
      </c>
      <c r="AA97" s="127" t="s">
        <v>100</v>
      </c>
      <c r="AB97" s="127" t="s">
        <v>100</v>
      </c>
      <c r="AC97" s="127" t="s">
        <v>1123</v>
      </c>
      <c r="AD97" s="127" t="s">
        <v>1123</v>
      </c>
      <c r="AE97" s="127" t="s">
        <v>99</v>
      </c>
      <c r="AF97" s="127" t="s">
        <v>343</v>
      </c>
      <c r="AG97" s="127" t="s">
        <v>99</v>
      </c>
      <c r="AH97" s="129" t="s">
        <v>99</v>
      </c>
      <c r="AI97" s="127" t="s">
        <v>99</v>
      </c>
      <c r="AJ97" s="9" t="s">
        <v>99</v>
      </c>
      <c r="AK97" s="9" t="s">
        <v>6029</v>
      </c>
      <c r="AL97" s="9">
        <v>28.3</v>
      </c>
      <c r="AM97" s="9">
        <v>120</v>
      </c>
      <c r="AN97" s="7">
        <v>63</v>
      </c>
      <c r="AO97" s="9">
        <v>73</v>
      </c>
      <c r="AP97" s="9">
        <v>26.4</v>
      </c>
      <c r="AQ97" s="9" t="s">
        <v>500</v>
      </c>
      <c r="AR97" s="9" t="s">
        <v>500</v>
      </c>
      <c r="AS97" s="9" t="s">
        <v>500</v>
      </c>
      <c r="AT97" s="7">
        <v>19.7</v>
      </c>
      <c r="AU97" s="9">
        <v>109</v>
      </c>
      <c r="AV97" s="9">
        <v>51</v>
      </c>
      <c r="AW97" s="9" t="s">
        <v>110</v>
      </c>
      <c r="AX97" s="9" t="s">
        <v>573</v>
      </c>
      <c r="AY97" s="9" t="s">
        <v>1657</v>
      </c>
      <c r="AZ97" s="9" t="s">
        <v>500</v>
      </c>
      <c r="BA97" s="9" t="s">
        <v>110</v>
      </c>
      <c r="BB97" s="9" t="s">
        <v>346</v>
      </c>
      <c r="BC97" s="9" t="s">
        <v>5610</v>
      </c>
      <c r="BD97" s="9" t="s">
        <v>500</v>
      </c>
      <c r="BE97" s="9" t="s">
        <v>110</v>
      </c>
      <c r="BF97" s="9" t="s">
        <v>176</v>
      </c>
      <c r="BG97" s="9" t="s">
        <v>176</v>
      </c>
      <c r="BH97" s="9" t="s">
        <v>350</v>
      </c>
      <c r="BI97" s="9" t="s">
        <v>350</v>
      </c>
      <c r="BJ97" s="9" t="s">
        <v>176</v>
      </c>
      <c r="BK97" s="9" t="s">
        <v>350</v>
      </c>
      <c r="BL97" s="9" t="s">
        <v>110</v>
      </c>
      <c r="BM97" s="9" t="s">
        <v>176</v>
      </c>
      <c r="BN97" s="9" t="s">
        <v>179</v>
      </c>
      <c r="BO97" s="9" t="s">
        <v>219</v>
      </c>
      <c r="BP97" s="9" t="s">
        <v>180</v>
      </c>
      <c r="BQ97" s="9" t="s">
        <v>99</v>
      </c>
      <c r="BR97" s="9" t="s">
        <v>500</v>
      </c>
      <c r="BS97" s="9" t="s">
        <v>500</v>
      </c>
      <c r="BT97" s="9" t="s">
        <v>500</v>
      </c>
      <c r="BU97" s="9" t="s">
        <v>350</v>
      </c>
      <c r="BV97" s="9" t="s">
        <v>857</v>
      </c>
      <c r="BW97" s="9" t="s">
        <v>5863</v>
      </c>
      <c r="BX97" s="9" t="s">
        <v>500</v>
      </c>
      <c r="BY97" s="9" t="s">
        <v>351</v>
      </c>
      <c r="BZ97" s="9" t="s">
        <v>183</v>
      </c>
      <c r="CA97" s="9" t="s">
        <v>182</v>
      </c>
      <c r="CB97" s="9" t="s">
        <v>709</v>
      </c>
      <c r="CC97" s="9" t="s">
        <v>99</v>
      </c>
      <c r="CD97" s="9" t="s">
        <v>500</v>
      </c>
      <c r="CE97" s="9" t="s">
        <v>500</v>
      </c>
      <c r="CF97" s="9" t="s">
        <v>500</v>
      </c>
      <c r="CG97" s="9" t="s">
        <v>99</v>
      </c>
      <c r="CH97" s="9" t="s">
        <v>500</v>
      </c>
      <c r="CI97" s="9" t="s">
        <v>500</v>
      </c>
      <c r="CJ97" s="9" t="s">
        <v>500</v>
      </c>
      <c r="CK97" s="9" t="s">
        <v>500</v>
      </c>
      <c r="CL97" s="9" t="s">
        <v>500</v>
      </c>
      <c r="CM97" s="9" t="s">
        <v>500</v>
      </c>
      <c r="CN97" s="9" t="s">
        <v>500</v>
      </c>
      <c r="CO97" s="9" t="s">
        <v>176</v>
      </c>
      <c r="CP97" s="9" t="s">
        <v>2641</v>
      </c>
      <c r="CQ97" s="9" t="s">
        <v>2534</v>
      </c>
      <c r="CR97" s="9" t="s">
        <v>2892</v>
      </c>
      <c r="CS97" s="9" t="s">
        <v>350</v>
      </c>
      <c r="CT97" s="9" t="s">
        <v>983</v>
      </c>
      <c r="CU97" s="9" t="s">
        <v>5414</v>
      </c>
      <c r="CV97" s="9" t="s">
        <v>500</v>
      </c>
      <c r="CW97" s="9">
        <v>3</v>
      </c>
      <c r="CX97" s="9" t="s">
        <v>5867</v>
      </c>
      <c r="CY97" s="9" t="s">
        <v>110</v>
      </c>
      <c r="CZ97" s="9">
        <v>50</v>
      </c>
      <c r="DA97" s="9" t="s">
        <v>500</v>
      </c>
      <c r="DB97" s="9">
        <v>50</v>
      </c>
      <c r="DC97" s="9">
        <v>77.400000000000006</v>
      </c>
      <c r="DD97" s="9">
        <v>0.56999999999999995</v>
      </c>
      <c r="DE97" s="9">
        <v>150</v>
      </c>
      <c r="DF97" s="9">
        <v>90</v>
      </c>
      <c r="DG97" s="9">
        <f t="shared" si="1"/>
        <v>4.4243982254629737</v>
      </c>
      <c r="DH97" s="9">
        <v>18</v>
      </c>
      <c r="DI97" s="9">
        <v>2.19</v>
      </c>
      <c r="DJ97" s="9"/>
      <c r="DK97" s="9"/>
      <c r="DL97" s="9">
        <v>52.4</v>
      </c>
      <c r="DM97" s="9">
        <v>79.599999999999994</v>
      </c>
      <c r="DN97" s="9"/>
      <c r="DO97" s="9"/>
      <c r="DP97" s="53">
        <v>1</v>
      </c>
      <c r="DR97" s="33">
        <v>1</v>
      </c>
      <c r="DU97">
        <v>5.3</v>
      </c>
    </row>
    <row r="98" spans="1:125" customFormat="1" x14ac:dyDescent="0.2">
      <c r="A98" s="143" t="s">
        <v>6073</v>
      </c>
      <c r="B98" s="128">
        <v>43802</v>
      </c>
      <c r="C98" s="127" t="s">
        <v>675</v>
      </c>
      <c r="D98" s="127">
        <v>22</v>
      </c>
      <c r="E98" s="127" t="s">
        <v>100</v>
      </c>
      <c r="F98" s="128">
        <v>35755</v>
      </c>
      <c r="G98" s="127" t="s">
        <v>234</v>
      </c>
      <c r="H98" s="127" t="s">
        <v>5515</v>
      </c>
      <c r="I98" s="127"/>
      <c r="J98" s="127"/>
      <c r="K98" s="127"/>
      <c r="L98" s="127"/>
      <c r="M98" s="127" t="s">
        <v>99</v>
      </c>
      <c r="N98" s="127" t="s">
        <v>99</v>
      </c>
      <c r="O98" s="127" t="s">
        <v>99</v>
      </c>
      <c r="P98" s="127" t="s">
        <v>99</v>
      </c>
      <c r="Q98" s="127" t="s">
        <v>99</v>
      </c>
      <c r="R98" s="127" t="s">
        <v>99</v>
      </c>
      <c r="S98" s="127" t="s">
        <v>5490</v>
      </c>
      <c r="T98" s="127" t="s">
        <v>99</v>
      </c>
      <c r="U98" s="127" t="s">
        <v>99</v>
      </c>
      <c r="V98" s="127" t="s">
        <v>99</v>
      </c>
      <c r="W98" s="127"/>
      <c r="X98" s="127"/>
      <c r="Y98" s="127"/>
      <c r="Z98" s="127"/>
      <c r="AA98" s="127" t="s">
        <v>100</v>
      </c>
      <c r="AB98" s="127" t="s">
        <v>100</v>
      </c>
      <c r="AC98" s="127" t="s">
        <v>204</v>
      </c>
      <c r="AD98" s="127" t="s">
        <v>100</v>
      </c>
      <c r="AE98" s="127" t="s">
        <v>6074</v>
      </c>
      <c r="AF98" s="127" t="s">
        <v>6075</v>
      </c>
      <c r="AG98" s="127" t="s">
        <v>6074</v>
      </c>
      <c r="AH98" s="129" t="s">
        <v>6075</v>
      </c>
      <c r="AI98" s="127" t="s">
        <v>99</v>
      </c>
      <c r="AJ98" s="9" t="s">
        <v>99</v>
      </c>
      <c r="AK98" s="9" t="s">
        <v>6076</v>
      </c>
      <c r="AL98" s="9">
        <v>69.099999999999994</v>
      </c>
      <c r="AM98" s="9">
        <v>173</v>
      </c>
      <c r="AN98" s="7">
        <v>80</v>
      </c>
      <c r="AO98" s="9">
        <v>102</v>
      </c>
      <c r="AP98" s="9">
        <v>23.9</v>
      </c>
      <c r="AQ98" s="9">
        <v>6</v>
      </c>
      <c r="AR98" s="9">
        <v>37.4</v>
      </c>
      <c r="AS98" s="9">
        <v>31</v>
      </c>
      <c r="AT98" s="7">
        <v>23.3</v>
      </c>
      <c r="AU98" s="9">
        <v>127</v>
      </c>
      <c r="AV98" s="9">
        <v>70</v>
      </c>
      <c r="AW98" s="9"/>
      <c r="AX98" s="9" t="s">
        <v>6077</v>
      </c>
      <c r="AY98" s="9" t="s">
        <v>4983</v>
      </c>
      <c r="AZ98" s="9" t="s">
        <v>6078</v>
      </c>
      <c r="BA98" s="9"/>
      <c r="BB98" s="9" t="s">
        <v>3031</v>
      </c>
      <c r="BC98" s="9" t="s">
        <v>749</v>
      </c>
      <c r="BD98" s="9"/>
      <c r="BE98" s="9"/>
      <c r="BF98" s="9" t="s">
        <v>1643</v>
      </c>
      <c r="BG98" s="9"/>
      <c r="BH98" s="9" t="s">
        <v>682</v>
      </c>
      <c r="BI98" s="9" t="s">
        <v>1468</v>
      </c>
      <c r="BJ98" s="9" t="s">
        <v>681</v>
      </c>
      <c r="BK98" s="9" t="s">
        <v>1134</v>
      </c>
      <c r="BL98" s="9"/>
      <c r="BM98" s="9"/>
      <c r="BN98" s="9" t="s">
        <v>6079</v>
      </c>
      <c r="BO98" s="9" t="s">
        <v>6080</v>
      </c>
      <c r="BP98" s="9" t="s">
        <v>6081</v>
      </c>
      <c r="BQ98" s="9"/>
      <c r="BR98" s="9"/>
      <c r="BS98" s="9"/>
      <c r="BT98" s="9"/>
      <c r="BU98" s="9"/>
      <c r="BV98" s="9"/>
      <c r="BW98" s="9"/>
      <c r="BX98" s="9"/>
      <c r="BY98" s="9"/>
      <c r="BZ98" s="9" t="s">
        <v>182</v>
      </c>
      <c r="CA98" s="9" t="s">
        <v>577</v>
      </c>
      <c r="CB98" s="9" t="s">
        <v>6082</v>
      </c>
      <c r="CC98" s="9"/>
      <c r="CD98" s="9"/>
      <c r="CE98" s="9"/>
      <c r="CF98" s="9"/>
      <c r="CG98" s="9"/>
      <c r="CH98" s="9"/>
      <c r="CI98" s="9"/>
      <c r="CJ98" s="9"/>
      <c r="CK98" s="9"/>
      <c r="CL98" s="9" t="s">
        <v>579</v>
      </c>
      <c r="CM98" s="9" t="s">
        <v>980</v>
      </c>
      <c r="CN98" s="9" t="s">
        <v>4015</v>
      </c>
      <c r="CO98" s="9"/>
      <c r="CP98" s="9" t="s">
        <v>6083</v>
      </c>
      <c r="CQ98" s="9" t="s">
        <v>716</v>
      </c>
      <c r="CR98" s="9" t="s">
        <v>361</v>
      </c>
      <c r="CS98" s="9"/>
      <c r="CT98" s="9" t="s">
        <v>187</v>
      </c>
      <c r="CU98" s="9" t="s">
        <v>830</v>
      </c>
      <c r="CV98" s="9"/>
      <c r="CW98" s="9">
        <v>4</v>
      </c>
      <c r="CX98" s="9" t="s">
        <v>99</v>
      </c>
      <c r="CY98" s="9" t="s">
        <v>99</v>
      </c>
      <c r="CZ98" s="9">
        <v>25</v>
      </c>
      <c r="DA98" s="9">
        <v>15</v>
      </c>
      <c r="DB98" s="9">
        <v>60</v>
      </c>
      <c r="DC98" s="9">
        <v>89</v>
      </c>
      <c r="DD98" s="9">
        <v>0.75</v>
      </c>
      <c r="DE98" s="9">
        <v>180</v>
      </c>
      <c r="DF98" s="9">
        <v>111</v>
      </c>
      <c r="DG98" s="9">
        <f t="shared" si="1"/>
        <v>4.5990832855222372</v>
      </c>
      <c r="DH98" s="9">
        <v>22.2</v>
      </c>
      <c r="DI98" s="9"/>
      <c r="DJ98" s="9"/>
      <c r="DK98" s="9"/>
      <c r="DL98" s="9">
        <v>40.200000000000003</v>
      </c>
      <c r="DM98" s="9">
        <v>117.6</v>
      </c>
      <c r="DN98" s="9"/>
      <c r="DO98" s="9"/>
      <c r="DR98">
        <v>2</v>
      </c>
      <c r="DU98">
        <v>8.1999999999999993</v>
      </c>
    </row>
    <row r="99" spans="1:125" customFormat="1" x14ac:dyDescent="0.2">
      <c r="A99" s="143" t="s">
        <v>6119</v>
      </c>
      <c r="B99" s="128">
        <v>43802</v>
      </c>
      <c r="C99" s="127" t="s">
        <v>196</v>
      </c>
      <c r="D99" s="127">
        <v>37</v>
      </c>
      <c r="E99" s="127" t="s">
        <v>100</v>
      </c>
      <c r="F99" s="128">
        <v>30619</v>
      </c>
      <c r="G99" s="127" t="s">
        <v>4972</v>
      </c>
      <c r="H99" s="127" t="s">
        <v>6120</v>
      </c>
      <c r="I99" s="127" t="s">
        <v>5582</v>
      </c>
      <c r="J99" s="127"/>
      <c r="K99" s="127">
        <v>2004</v>
      </c>
      <c r="L99" s="127">
        <v>1</v>
      </c>
      <c r="M99" s="127" t="s">
        <v>99</v>
      </c>
      <c r="N99" s="127" t="s">
        <v>99</v>
      </c>
      <c r="O99" s="127" t="s">
        <v>99</v>
      </c>
      <c r="P99" s="127" t="s">
        <v>99</v>
      </c>
      <c r="Q99" s="127" t="s">
        <v>6121</v>
      </c>
      <c r="R99" s="127" t="s">
        <v>5099</v>
      </c>
      <c r="S99" s="127" t="s">
        <v>99</v>
      </c>
      <c r="T99" s="127" t="s">
        <v>6122</v>
      </c>
      <c r="U99" s="127" t="s">
        <v>6123</v>
      </c>
      <c r="V99" s="127" t="s">
        <v>99</v>
      </c>
      <c r="W99" s="127" t="s">
        <v>6124</v>
      </c>
      <c r="X99" s="127" t="s">
        <v>99</v>
      </c>
      <c r="Y99" s="127" t="s">
        <v>99</v>
      </c>
      <c r="Z99" s="127" t="s">
        <v>99</v>
      </c>
      <c r="AA99" s="127" t="s">
        <v>100</v>
      </c>
      <c r="AB99" s="127" t="s">
        <v>100</v>
      </c>
      <c r="AC99" s="127" t="s">
        <v>3194</v>
      </c>
      <c r="AD99" s="127" t="s">
        <v>6125</v>
      </c>
      <c r="AE99" s="127" t="s">
        <v>6126</v>
      </c>
      <c r="AF99" s="127" t="s">
        <v>6127</v>
      </c>
      <c r="AG99" s="127" t="s">
        <v>6128</v>
      </c>
      <c r="AH99" s="129" t="s">
        <v>99</v>
      </c>
      <c r="AI99" s="127" t="s">
        <v>99</v>
      </c>
      <c r="AJ99" s="9" t="s">
        <v>99</v>
      </c>
      <c r="AK99" s="9" t="s">
        <v>99</v>
      </c>
      <c r="AL99" s="9">
        <v>56.6</v>
      </c>
      <c r="AM99" s="9">
        <v>158</v>
      </c>
      <c r="AN99" s="7">
        <v>74</v>
      </c>
      <c r="AO99" s="9">
        <v>93</v>
      </c>
      <c r="AP99" s="9">
        <v>33</v>
      </c>
      <c r="AQ99" s="9">
        <v>5</v>
      </c>
      <c r="AR99" s="9">
        <v>27.8</v>
      </c>
      <c r="AS99" s="9">
        <v>37</v>
      </c>
      <c r="AT99" s="7">
        <v>22.7</v>
      </c>
      <c r="AU99" s="9">
        <v>111</v>
      </c>
      <c r="AV99" s="9">
        <v>64</v>
      </c>
      <c r="AW99" s="9"/>
      <c r="AX99" s="9" t="s">
        <v>6129</v>
      </c>
      <c r="AY99" s="9" t="s">
        <v>592</v>
      </c>
      <c r="AZ99" s="9" t="s">
        <v>573</v>
      </c>
      <c r="BA99" s="9" t="s">
        <v>351</v>
      </c>
      <c r="BB99" s="9" t="s">
        <v>5595</v>
      </c>
      <c r="BC99" s="9"/>
      <c r="BD99" s="9"/>
      <c r="BE99" s="9" t="s">
        <v>351</v>
      </c>
      <c r="BF99" s="9" t="s">
        <v>6130</v>
      </c>
      <c r="BG99" s="9" t="s">
        <v>350</v>
      </c>
      <c r="BH99" s="9" t="s">
        <v>1979</v>
      </c>
      <c r="BI99" s="9" t="s">
        <v>350</v>
      </c>
      <c r="BJ99" s="9" t="s">
        <v>176</v>
      </c>
      <c r="BK99" s="9" t="s">
        <v>1979</v>
      </c>
      <c r="BL99" s="9" t="s">
        <v>351</v>
      </c>
      <c r="BM99" s="9"/>
      <c r="BN99" s="9" t="s">
        <v>219</v>
      </c>
      <c r="BO99" s="9" t="s">
        <v>179</v>
      </c>
      <c r="BP99" s="9" t="s">
        <v>3236</v>
      </c>
      <c r="BQ99" s="9"/>
      <c r="BR99" s="9"/>
      <c r="BS99" s="9"/>
      <c r="BT99" s="9"/>
      <c r="BU99" s="9"/>
      <c r="BV99" s="9"/>
      <c r="BW99" s="9"/>
      <c r="BX99" s="9"/>
      <c r="BY99" s="9" t="s">
        <v>351</v>
      </c>
      <c r="BZ99" s="9" t="s">
        <v>182</v>
      </c>
      <c r="CA99" s="9" t="s">
        <v>6131</v>
      </c>
      <c r="CB99" s="9" t="s">
        <v>822</v>
      </c>
      <c r="CC99" s="9"/>
      <c r="CD99" s="9"/>
      <c r="CE99" s="9"/>
      <c r="CF99" s="9"/>
      <c r="CG99" s="9"/>
      <c r="CH99" s="9"/>
      <c r="CI99" s="9"/>
      <c r="CJ99" s="9"/>
      <c r="CK99" s="9"/>
      <c r="CL99" s="9" t="s">
        <v>1181</v>
      </c>
      <c r="CM99" s="9" t="s">
        <v>6132</v>
      </c>
      <c r="CN99" s="9"/>
      <c r="CO99" s="9" t="s">
        <v>351</v>
      </c>
      <c r="CP99" s="9" t="s">
        <v>362</v>
      </c>
      <c r="CQ99" s="9" t="s">
        <v>716</v>
      </c>
      <c r="CR99" s="9"/>
      <c r="CS99" s="9" t="s">
        <v>350</v>
      </c>
      <c r="CT99" s="9" t="s">
        <v>1732</v>
      </c>
      <c r="CU99" s="9"/>
      <c r="CV99" s="9"/>
      <c r="CW99" s="9">
        <v>5</v>
      </c>
      <c r="CX99" s="9" t="s">
        <v>5490</v>
      </c>
      <c r="CY99" s="9" t="s">
        <v>5490</v>
      </c>
      <c r="CZ99" s="9"/>
      <c r="DA99" s="9"/>
      <c r="DB99" s="9"/>
      <c r="DC99" s="9">
        <v>84.3</v>
      </c>
      <c r="DD99" s="9">
        <v>1.01</v>
      </c>
      <c r="DE99" s="9">
        <v>170</v>
      </c>
      <c r="DF99" s="9">
        <v>72</v>
      </c>
      <c r="DG99" s="9">
        <f t="shared" si="1"/>
        <v>4.3555239920119329</v>
      </c>
      <c r="DH99" s="9">
        <v>14.4</v>
      </c>
      <c r="DI99" s="9">
        <v>3.92</v>
      </c>
      <c r="DJ99" s="9"/>
      <c r="DK99" s="9"/>
      <c r="DL99" s="9">
        <v>60.8</v>
      </c>
      <c r="DM99" s="9">
        <v>94.8</v>
      </c>
      <c r="DN99" s="9"/>
      <c r="DO99" s="9"/>
      <c r="DR99">
        <v>2</v>
      </c>
      <c r="DU99">
        <v>11</v>
      </c>
    </row>
    <row r="100" spans="1:125" customFormat="1" x14ac:dyDescent="0.2">
      <c r="A100" s="165" t="s">
        <v>6133</v>
      </c>
      <c r="B100" s="69">
        <v>43801</v>
      </c>
      <c r="C100" s="138" t="s">
        <v>196</v>
      </c>
      <c r="D100" s="136">
        <v>21</v>
      </c>
      <c r="E100" s="136" t="s">
        <v>100</v>
      </c>
      <c r="F100" s="69">
        <v>35948</v>
      </c>
      <c r="G100" s="136" t="s">
        <v>1509</v>
      </c>
      <c r="H100" s="136" t="s">
        <v>6134</v>
      </c>
      <c r="I100" s="136" t="s">
        <v>5582</v>
      </c>
      <c r="J100" s="136" t="s">
        <v>500</v>
      </c>
      <c r="K100" s="137" t="s">
        <v>500</v>
      </c>
      <c r="L100" s="138" t="s">
        <v>500</v>
      </c>
      <c r="M100" s="136" t="s">
        <v>99</v>
      </c>
      <c r="N100" s="136" t="s">
        <v>99</v>
      </c>
      <c r="O100" s="136" t="s">
        <v>99</v>
      </c>
      <c r="P100" s="136" t="s">
        <v>99</v>
      </c>
      <c r="Q100" s="136" t="s">
        <v>99</v>
      </c>
      <c r="R100" s="136" t="s">
        <v>99</v>
      </c>
      <c r="S100" s="136" t="s">
        <v>99</v>
      </c>
      <c r="T100" s="136" t="s">
        <v>99</v>
      </c>
      <c r="U100" s="136" t="s">
        <v>99</v>
      </c>
      <c r="V100" s="136" t="s">
        <v>99</v>
      </c>
      <c r="W100" s="136" t="s">
        <v>99</v>
      </c>
      <c r="X100" s="136" t="s">
        <v>99</v>
      </c>
      <c r="Y100" s="136" t="s">
        <v>99</v>
      </c>
      <c r="Z100" s="136" t="s">
        <v>99</v>
      </c>
      <c r="AA100" s="136" t="s">
        <v>100</v>
      </c>
      <c r="AB100" s="136" t="s">
        <v>500</v>
      </c>
      <c r="AC100" s="136" t="s">
        <v>100</v>
      </c>
      <c r="AD100" s="136" t="s">
        <v>500</v>
      </c>
      <c r="AE100" s="136" t="s">
        <v>110</v>
      </c>
      <c r="AF100" s="136" t="s">
        <v>110</v>
      </c>
      <c r="AG100" s="136" t="s">
        <v>99</v>
      </c>
      <c r="AH100" s="137" t="s">
        <v>110</v>
      </c>
      <c r="AI100" s="136" t="s">
        <v>99</v>
      </c>
      <c r="AJ100" s="53" t="s">
        <v>99</v>
      </c>
      <c r="AK100" s="53" t="s">
        <v>99</v>
      </c>
      <c r="AL100" s="53">
        <v>50.6</v>
      </c>
      <c r="AM100" s="53">
        <v>158</v>
      </c>
      <c r="AN100" s="146">
        <v>68</v>
      </c>
      <c r="AO100" s="53">
        <v>91</v>
      </c>
      <c r="AP100" s="53">
        <v>30.5</v>
      </c>
      <c r="AQ100" s="53">
        <v>3</v>
      </c>
      <c r="AR100" s="53">
        <v>26.5</v>
      </c>
      <c r="AS100" s="53">
        <v>20</v>
      </c>
      <c r="AT100" s="146">
        <v>20.3</v>
      </c>
      <c r="AU100" s="53">
        <v>82</v>
      </c>
      <c r="AV100" s="53">
        <v>50</v>
      </c>
      <c r="AW100" s="53" t="s">
        <v>350</v>
      </c>
      <c r="AX100" s="53" t="s">
        <v>125</v>
      </c>
      <c r="AY100" s="53" t="s">
        <v>3894</v>
      </c>
      <c r="AZ100" s="53" t="s">
        <v>573</v>
      </c>
      <c r="BA100" s="53" t="s">
        <v>351</v>
      </c>
      <c r="BB100" s="53" t="s">
        <v>2652</v>
      </c>
      <c r="BC100" s="53" t="s">
        <v>750</v>
      </c>
      <c r="BD100" s="53" t="s">
        <v>2053</v>
      </c>
      <c r="BE100" s="53" t="s">
        <v>110</v>
      </c>
      <c r="BF100" s="53" t="s">
        <v>707</v>
      </c>
      <c r="BG100" s="53" t="s">
        <v>212</v>
      </c>
      <c r="BH100" s="53" t="s">
        <v>99</v>
      </c>
      <c r="BI100" s="53" t="s">
        <v>707</v>
      </c>
      <c r="BJ100" s="53" t="s">
        <v>176</v>
      </c>
      <c r="BK100" s="53" t="s">
        <v>213</v>
      </c>
      <c r="BL100" s="53" t="s">
        <v>110</v>
      </c>
      <c r="BM100" s="53" t="s">
        <v>176</v>
      </c>
      <c r="BN100" s="53" t="s">
        <v>178</v>
      </c>
      <c r="BO100" s="53" t="s">
        <v>6135</v>
      </c>
      <c r="BP100" s="53" t="s">
        <v>2534</v>
      </c>
      <c r="BQ100" s="53" t="s">
        <v>99</v>
      </c>
      <c r="BR100" s="53" t="s">
        <v>500</v>
      </c>
      <c r="BS100" s="53" t="s">
        <v>500</v>
      </c>
      <c r="BT100" s="53" t="s">
        <v>500</v>
      </c>
      <c r="BU100" s="53" t="s">
        <v>1979</v>
      </c>
      <c r="BV100" s="53" t="s">
        <v>857</v>
      </c>
      <c r="BW100" s="53" t="s">
        <v>179</v>
      </c>
      <c r="BX100" s="53" t="s">
        <v>3240</v>
      </c>
      <c r="BY100" s="53" t="s">
        <v>350</v>
      </c>
      <c r="BZ100" s="53" t="s">
        <v>822</v>
      </c>
      <c r="CA100" s="53" t="s">
        <v>182</v>
      </c>
      <c r="CB100" s="53" t="s">
        <v>6136</v>
      </c>
      <c r="CC100" s="53" t="s">
        <v>99</v>
      </c>
      <c r="CD100" s="53" t="s">
        <v>500</v>
      </c>
      <c r="CE100" s="53" t="s">
        <v>500</v>
      </c>
      <c r="CF100" s="29" t="s">
        <v>500</v>
      </c>
      <c r="CG100" s="53" t="s">
        <v>99</v>
      </c>
      <c r="CH100" s="53" t="s">
        <v>500</v>
      </c>
      <c r="CI100" s="53" t="s">
        <v>500</v>
      </c>
      <c r="CJ100" s="53" t="s">
        <v>500</v>
      </c>
      <c r="CK100" s="53" t="s">
        <v>176</v>
      </c>
      <c r="CL100" s="53" t="s">
        <v>579</v>
      </c>
      <c r="CM100" s="53" t="s">
        <v>980</v>
      </c>
      <c r="CN100" s="53" t="s">
        <v>4015</v>
      </c>
      <c r="CO100" s="53" t="s">
        <v>350</v>
      </c>
      <c r="CP100" s="53" t="s">
        <v>361</v>
      </c>
      <c r="CQ100" s="53" t="s">
        <v>716</v>
      </c>
      <c r="CR100" s="53" t="s">
        <v>362</v>
      </c>
      <c r="CS100" s="53" t="s">
        <v>350</v>
      </c>
      <c r="CT100" s="53" t="s">
        <v>363</v>
      </c>
      <c r="CU100" s="53" t="s">
        <v>500</v>
      </c>
      <c r="CV100" s="53" t="s">
        <v>500</v>
      </c>
      <c r="CW100" s="53">
        <v>3</v>
      </c>
      <c r="CX100" s="53" t="s">
        <v>110</v>
      </c>
      <c r="CY100" s="53" t="s">
        <v>99</v>
      </c>
      <c r="CZ100" s="29">
        <v>70</v>
      </c>
      <c r="DA100" s="29">
        <v>30</v>
      </c>
      <c r="DB100" s="29">
        <v>60</v>
      </c>
      <c r="DC100" s="29">
        <v>66.3</v>
      </c>
      <c r="DD100" s="29">
        <v>0.71</v>
      </c>
      <c r="DE100" s="29">
        <v>156</v>
      </c>
      <c r="DF100" s="29">
        <v>40</v>
      </c>
      <c r="DG100" s="9">
        <f t="shared" si="1"/>
        <v>3.9415346756528766</v>
      </c>
      <c r="DH100" s="29">
        <v>8</v>
      </c>
      <c r="DI100" s="29">
        <v>3.17</v>
      </c>
      <c r="DL100" s="29">
        <v>58.3</v>
      </c>
      <c r="DM100" s="29">
        <v>89.7</v>
      </c>
      <c r="DP100" s="29">
        <v>1</v>
      </c>
      <c r="DR100">
        <v>2</v>
      </c>
    </row>
    <row r="101" spans="1:125" x14ac:dyDescent="0.2">
      <c r="A101" s="7">
        <v>599</v>
      </c>
      <c r="B101" s="166">
        <v>43283</v>
      </c>
      <c r="C101" s="9" t="s">
        <v>95</v>
      </c>
      <c r="D101" s="9">
        <v>20</v>
      </c>
      <c r="E101" s="52" t="s">
        <v>1697</v>
      </c>
      <c r="F101" s="17" t="s">
        <v>6143</v>
      </c>
      <c r="G101" s="9" t="s">
        <v>97</v>
      </c>
      <c r="H101" s="9" t="s">
        <v>6144</v>
      </c>
      <c r="I101" s="9">
        <v>2012</v>
      </c>
      <c r="J101" s="9" t="s">
        <v>162</v>
      </c>
      <c r="K101" s="9" t="s">
        <v>263</v>
      </c>
      <c r="L101" s="9" t="s">
        <v>263</v>
      </c>
      <c r="M101" s="9" t="s">
        <v>263</v>
      </c>
      <c r="N101" s="9" t="s">
        <v>263</v>
      </c>
      <c r="O101" s="9" t="s">
        <v>263</v>
      </c>
      <c r="P101" s="10" t="s">
        <v>276</v>
      </c>
      <c r="Q101" s="10" t="s">
        <v>369</v>
      </c>
      <c r="R101" s="9" t="s">
        <v>263</v>
      </c>
      <c r="S101" s="9" t="s">
        <v>6145</v>
      </c>
      <c r="T101" s="9" t="s">
        <v>6146</v>
      </c>
      <c r="U101" s="9" t="s">
        <v>263</v>
      </c>
      <c r="V101" s="9" t="s">
        <v>263</v>
      </c>
      <c r="W101" s="10" t="s">
        <v>6147</v>
      </c>
      <c r="X101" s="9" t="s">
        <v>263</v>
      </c>
      <c r="Y101" s="9" t="s">
        <v>6148</v>
      </c>
      <c r="Z101" s="9" t="s">
        <v>6149</v>
      </c>
      <c r="AA101" s="52" t="s">
        <v>1697</v>
      </c>
      <c r="AB101" s="52" t="s">
        <v>1697</v>
      </c>
      <c r="AC101" s="52" t="s">
        <v>1697</v>
      </c>
      <c r="AD101" s="52" t="s">
        <v>1697</v>
      </c>
      <c r="AE101" s="9" t="s">
        <v>263</v>
      </c>
      <c r="AF101" s="9" t="s">
        <v>263</v>
      </c>
      <c r="AG101" s="10" t="s">
        <v>6150</v>
      </c>
      <c r="AH101" s="9" t="s">
        <v>263</v>
      </c>
      <c r="AI101" s="9" t="s">
        <v>263</v>
      </c>
      <c r="AJ101" s="9" t="s">
        <v>263</v>
      </c>
      <c r="AK101" s="10" t="s">
        <v>6151</v>
      </c>
      <c r="AL101" s="9">
        <v>53.2</v>
      </c>
      <c r="AM101" s="9">
        <v>160</v>
      </c>
      <c r="AN101" s="9">
        <v>73.5</v>
      </c>
      <c r="AO101" s="9">
        <v>99.4</v>
      </c>
      <c r="AP101" s="9">
        <v>33.4</v>
      </c>
      <c r="AQ101" s="9">
        <v>3</v>
      </c>
      <c r="AR101" s="9">
        <v>24.1</v>
      </c>
      <c r="AS101" s="9">
        <v>18</v>
      </c>
      <c r="AT101" s="9">
        <v>20.8</v>
      </c>
      <c r="AU101" s="9">
        <v>86</v>
      </c>
      <c r="AV101" s="9">
        <v>65</v>
      </c>
      <c r="AX101" s="9" t="s">
        <v>391</v>
      </c>
      <c r="AY101" s="9" t="s">
        <v>390</v>
      </c>
      <c r="AZ101" s="9" t="s">
        <v>1034</v>
      </c>
      <c r="BB101" s="9" t="s">
        <v>374</v>
      </c>
      <c r="BF101" s="9" t="s">
        <v>322</v>
      </c>
      <c r="BG101" s="9" t="s">
        <v>322</v>
      </c>
      <c r="BH101" s="9" t="s">
        <v>322</v>
      </c>
      <c r="BI101" s="9" t="s">
        <v>375</v>
      </c>
      <c r="BJ101" s="9" t="s">
        <v>322</v>
      </c>
      <c r="BK101" s="9" t="s">
        <v>375</v>
      </c>
      <c r="BN101" s="9" t="s">
        <v>503</v>
      </c>
      <c r="BO101" s="9" t="s">
        <v>6152</v>
      </c>
      <c r="BP101" s="9" t="s">
        <v>6153</v>
      </c>
      <c r="BR101" s="9" t="s">
        <v>6154</v>
      </c>
      <c r="BS101" s="9" t="s">
        <v>6155</v>
      </c>
      <c r="BV101" s="9" t="s">
        <v>162</v>
      </c>
      <c r="BW101" s="9" t="s">
        <v>162</v>
      </c>
      <c r="BX101" s="9" t="s">
        <v>162</v>
      </c>
      <c r="BZ101" s="9" t="s">
        <v>502</v>
      </c>
      <c r="CA101" s="9" t="s">
        <v>4010</v>
      </c>
      <c r="CB101" s="9" t="s">
        <v>501</v>
      </c>
      <c r="CD101" s="9" t="s">
        <v>6156</v>
      </c>
      <c r="CH101" s="9" t="s">
        <v>162</v>
      </c>
      <c r="CI101" s="9" t="s">
        <v>162</v>
      </c>
      <c r="CJ101" s="9" t="s">
        <v>162</v>
      </c>
      <c r="CL101" s="9" t="s">
        <v>3912</v>
      </c>
      <c r="CM101" s="9" t="s">
        <v>6157</v>
      </c>
      <c r="CN101" s="9" t="s">
        <v>383</v>
      </c>
      <c r="CP101" s="9" t="s">
        <v>384</v>
      </c>
      <c r="CQ101" s="9" t="s">
        <v>1706</v>
      </c>
      <c r="CT101" s="9" t="s">
        <v>6158</v>
      </c>
      <c r="CU101" s="9" t="s">
        <v>6159</v>
      </c>
      <c r="CW101" s="9">
        <v>3</v>
      </c>
      <c r="CX101" s="9" t="s">
        <v>368</v>
      </c>
      <c r="CY101" s="9" t="s">
        <v>368</v>
      </c>
      <c r="CZ101" s="9">
        <v>10</v>
      </c>
      <c r="DA101" s="9">
        <v>40</v>
      </c>
      <c r="DB101" s="9">
        <v>50</v>
      </c>
      <c r="DG101" s="9" t="e">
        <f t="shared" si="1"/>
        <v>#NUM!</v>
      </c>
      <c r="DP101" s="11">
        <v>2</v>
      </c>
      <c r="DQ101" s="9">
        <v>2</v>
      </c>
      <c r="DR101" s="9">
        <v>2</v>
      </c>
    </row>
    <row r="102" spans="1:125" x14ac:dyDescent="0.2">
      <c r="A102" s="7">
        <v>605</v>
      </c>
      <c r="B102" s="38">
        <v>43279</v>
      </c>
      <c r="C102" s="9" t="s">
        <v>95</v>
      </c>
      <c r="D102" s="9">
        <v>31</v>
      </c>
      <c r="E102" s="52" t="s">
        <v>1697</v>
      </c>
      <c r="F102" s="8">
        <v>31927</v>
      </c>
      <c r="G102" s="9" t="s">
        <v>314</v>
      </c>
      <c r="H102" s="9" t="s">
        <v>6200</v>
      </c>
      <c r="I102" s="9" t="s">
        <v>162</v>
      </c>
      <c r="J102" s="9" t="s">
        <v>162</v>
      </c>
      <c r="K102" s="9" t="s">
        <v>162</v>
      </c>
      <c r="L102" s="9" t="s">
        <v>162</v>
      </c>
      <c r="M102" s="9" t="s">
        <v>263</v>
      </c>
      <c r="N102" s="9" t="s">
        <v>263</v>
      </c>
      <c r="O102" s="9" t="s">
        <v>263</v>
      </c>
      <c r="P102" s="9" t="s">
        <v>263</v>
      </c>
      <c r="Q102" s="10" t="s">
        <v>369</v>
      </c>
      <c r="R102" s="9" t="s">
        <v>368</v>
      </c>
      <c r="S102" s="9" t="s">
        <v>162</v>
      </c>
      <c r="T102" s="9" t="s">
        <v>162</v>
      </c>
      <c r="U102" s="9" t="s">
        <v>162</v>
      </c>
      <c r="V102" s="9" t="s">
        <v>162</v>
      </c>
      <c r="W102" s="9" t="s">
        <v>263</v>
      </c>
      <c r="X102" s="9" t="s">
        <v>263</v>
      </c>
      <c r="Y102" s="9" t="s">
        <v>162</v>
      </c>
      <c r="Z102" s="9" t="s">
        <v>162</v>
      </c>
      <c r="AA102" s="52" t="s">
        <v>1697</v>
      </c>
      <c r="AB102" s="49" t="s">
        <v>533</v>
      </c>
      <c r="AC102" s="52" t="s">
        <v>1697</v>
      </c>
      <c r="AD102" s="49" t="s">
        <v>533</v>
      </c>
      <c r="AE102" s="10" t="s">
        <v>6201</v>
      </c>
      <c r="AF102" s="9" t="s">
        <v>263</v>
      </c>
      <c r="AG102" s="9" t="s">
        <v>263</v>
      </c>
      <c r="AH102" s="9" t="s">
        <v>263</v>
      </c>
      <c r="AI102" s="9" t="s">
        <v>263</v>
      </c>
      <c r="AJ102" s="9" t="s">
        <v>263</v>
      </c>
      <c r="AK102" s="9" t="s">
        <v>162</v>
      </c>
      <c r="AL102" s="9">
        <v>51.7</v>
      </c>
      <c r="AM102" s="9">
        <v>160</v>
      </c>
      <c r="AN102" s="9">
        <v>68.7</v>
      </c>
      <c r="AO102" s="9">
        <v>93.5</v>
      </c>
      <c r="AP102" s="9">
        <v>31.4</v>
      </c>
      <c r="AQ102" s="9">
        <v>4</v>
      </c>
      <c r="AR102" s="9">
        <v>24.9</v>
      </c>
      <c r="AS102" s="9">
        <v>22</v>
      </c>
      <c r="AT102" s="7">
        <v>20.2</v>
      </c>
      <c r="AU102" s="9">
        <v>104</v>
      </c>
      <c r="AV102" s="9">
        <v>73</v>
      </c>
      <c r="AX102" s="9" t="s">
        <v>6202</v>
      </c>
      <c r="AY102" s="9" t="s">
        <v>6203</v>
      </c>
      <c r="AZ102" s="9" t="s">
        <v>1034</v>
      </c>
      <c r="BB102" s="9" t="s">
        <v>6188</v>
      </c>
      <c r="BC102" s="9" t="s">
        <v>6204</v>
      </c>
      <c r="BF102" s="9" t="s">
        <v>375</v>
      </c>
      <c r="BG102" s="9" t="s">
        <v>322</v>
      </c>
      <c r="BH102" s="9" t="s">
        <v>1778</v>
      </c>
      <c r="BI102" s="9" t="s">
        <v>375</v>
      </c>
      <c r="BJ102" s="9" t="s">
        <v>375</v>
      </c>
      <c r="BK102" s="9" t="s">
        <v>375</v>
      </c>
      <c r="BM102" s="9" t="s">
        <v>322</v>
      </c>
      <c r="BR102" s="9" t="s">
        <v>162</v>
      </c>
      <c r="BS102" s="9" t="s">
        <v>162</v>
      </c>
      <c r="BT102" s="9" t="s">
        <v>162</v>
      </c>
      <c r="BV102" s="9" t="s">
        <v>162</v>
      </c>
      <c r="BW102" s="9" t="s">
        <v>162</v>
      </c>
      <c r="BX102" s="9" t="s">
        <v>162</v>
      </c>
      <c r="BZ102" s="9" t="s">
        <v>6156</v>
      </c>
      <c r="CA102" s="9" t="s">
        <v>1489</v>
      </c>
      <c r="CB102" s="9" t="s">
        <v>501</v>
      </c>
      <c r="CD102" s="9" t="s">
        <v>162</v>
      </c>
      <c r="CE102" s="9" t="s">
        <v>162</v>
      </c>
      <c r="CF102" s="9" t="s">
        <v>162</v>
      </c>
      <c r="CH102" s="9" t="s">
        <v>162</v>
      </c>
      <c r="CI102" s="9" t="s">
        <v>162</v>
      </c>
      <c r="CJ102" s="9" t="s">
        <v>162</v>
      </c>
      <c r="CL102" s="9" t="s">
        <v>3912</v>
      </c>
      <c r="CM102" s="9" t="s">
        <v>383</v>
      </c>
      <c r="CN102" s="9" t="s">
        <v>6205</v>
      </c>
      <c r="CP102" s="9" t="s">
        <v>162</v>
      </c>
      <c r="CQ102" s="9" t="s">
        <v>162</v>
      </c>
      <c r="CR102" s="9" t="s">
        <v>162</v>
      </c>
      <c r="CT102" s="9" t="s">
        <v>436</v>
      </c>
      <c r="CU102" s="9" t="s">
        <v>1158</v>
      </c>
      <c r="CW102" s="9">
        <v>3</v>
      </c>
      <c r="CX102" s="9" t="s">
        <v>368</v>
      </c>
      <c r="CY102" s="9" t="s">
        <v>368</v>
      </c>
      <c r="CZ102" s="9" t="s">
        <v>162</v>
      </c>
      <c r="DA102" s="9" t="s">
        <v>162</v>
      </c>
      <c r="DB102" s="9" t="s">
        <v>162</v>
      </c>
      <c r="DC102" s="9">
        <v>68.099999999999994</v>
      </c>
      <c r="DD102" s="9">
        <v>0.38</v>
      </c>
      <c r="DE102" s="9">
        <v>153</v>
      </c>
      <c r="DF102" s="9">
        <v>56</v>
      </c>
      <c r="DG102" s="9">
        <f t="shared" si="1"/>
        <v>4.1231644519453079</v>
      </c>
      <c r="DH102" s="9">
        <v>11.2</v>
      </c>
      <c r="DI102" s="9">
        <v>4.2699999999999996</v>
      </c>
      <c r="DJ102" s="9">
        <v>16.3</v>
      </c>
      <c r="DK102" s="9">
        <v>29.3</v>
      </c>
      <c r="DL102" s="9">
        <v>66.3</v>
      </c>
      <c r="DM102" s="9">
        <v>75.5</v>
      </c>
      <c r="DP102" s="11">
        <v>2</v>
      </c>
      <c r="DQ102" s="9">
        <v>3</v>
      </c>
      <c r="DR102" s="9">
        <v>3</v>
      </c>
      <c r="DU102" s="9">
        <v>4.4000000000000004</v>
      </c>
    </row>
    <row r="103" spans="1:125" x14ac:dyDescent="0.2">
      <c r="A103" s="7">
        <v>609</v>
      </c>
      <c r="B103" s="38">
        <v>43279</v>
      </c>
      <c r="C103" s="9" t="s">
        <v>95</v>
      </c>
      <c r="D103" s="9">
        <v>33</v>
      </c>
      <c r="E103" s="9" t="s">
        <v>96</v>
      </c>
      <c r="F103" s="8">
        <v>30867</v>
      </c>
      <c r="G103" s="9" t="s">
        <v>314</v>
      </c>
      <c r="H103" s="9" t="s">
        <v>162</v>
      </c>
      <c r="I103" s="9">
        <v>1994</v>
      </c>
      <c r="J103" s="9" t="s">
        <v>162</v>
      </c>
      <c r="K103" s="9" t="s">
        <v>162</v>
      </c>
      <c r="L103" s="9" t="s">
        <v>162</v>
      </c>
      <c r="M103" s="9" t="s">
        <v>263</v>
      </c>
      <c r="N103" s="9" t="s">
        <v>263</v>
      </c>
      <c r="O103" s="9" t="s">
        <v>263</v>
      </c>
      <c r="P103" s="9" t="s">
        <v>263</v>
      </c>
      <c r="Q103" s="9" t="s">
        <v>263</v>
      </c>
      <c r="R103" s="9" t="s">
        <v>368</v>
      </c>
      <c r="S103" s="10" t="s">
        <v>6221</v>
      </c>
      <c r="T103" s="9" t="s">
        <v>6222</v>
      </c>
      <c r="U103" s="9" t="s">
        <v>263</v>
      </c>
      <c r="V103" s="9" t="s">
        <v>263</v>
      </c>
      <c r="W103" s="9" t="s">
        <v>6223</v>
      </c>
      <c r="X103" s="9" t="s">
        <v>263</v>
      </c>
      <c r="Y103" s="9" t="s">
        <v>6224</v>
      </c>
      <c r="Z103" s="9" t="s">
        <v>6225</v>
      </c>
      <c r="AA103" s="9" t="s">
        <v>96</v>
      </c>
      <c r="AB103" s="9" t="s">
        <v>96</v>
      </c>
      <c r="AC103" s="9" t="s">
        <v>96</v>
      </c>
      <c r="AD103" s="9" t="s">
        <v>96</v>
      </c>
      <c r="AE103" s="10" t="s">
        <v>6226</v>
      </c>
      <c r="AF103" s="10" t="s">
        <v>6227</v>
      </c>
      <c r="AG103" s="10" t="s">
        <v>6228</v>
      </c>
      <c r="AH103" s="10" t="s">
        <v>6229</v>
      </c>
      <c r="AI103" s="10" t="s">
        <v>6230</v>
      </c>
      <c r="AJ103" s="9" t="s">
        <v>263</v>
      </c>
      <c r="AK103" s="9" t="s">
        <v>263</v>
      </c>
      <c r="AL103" s="9">
        <v>60.6</v>
      </c>
      <c r="AM103" s="9">
        <v>165</v>
      </c>
      <c r="AN103" s="9">
        <v>80.099999999999994</v>
      </c>
      <c r="AO103" s="9">
        <v>105.3</v>
      </c>
      <c r="AP103" s="9">
        <v>35.700000000000003</v>
      </c>
      <c r="AQ103" s="9">
        <v>5</v>
      </c>
      <c r="AR103" s="9">
        <v>25.3</v>
      </c>
      <c r="AS103" s="9">
        <v>31</v>
      </c>
      <c r="AT103" s="7">
        <v>22.3</v>
      </c>
      <c r="AU103" s="9">
        <v>108</v>
      </c>
      <c r="AV103" s="9">
        <v>81</v>
      </c>
      <c r="AX103" s="9" t="s">
        <v>162</v>
      </c>
      <c r="AY103" s="9" t="s">
        <v>162</v>
      </c>
      <c r="AZ103" s="9" t="s">
        <v>162</v>
      </c>
      <c r="BB103" s="9" t="s">
        <v>162</v>
      </c>
      <c r="BC103" s="9" t="s">
        <v>162</v>
      </c>
      <c r="BD103" s="9" t="s">
        <v>162</v>
      </c>
      <c r="BF103" s="9" t="s">
        <v>322</v>
      </c>
      <c r="BG103" s="9" t="s">
        <v>375</v>
      </c>
      <c r="BH103" s="9" t="s">
        <v>375</v>
      </c>
      <c r="BI103" s="9" t="s">
        <v>375</v>
      </c>
      <c r="BJ103" s="9" t="s">
        <v>162</v>
      </c>
      <c r="BK103" s="9" t="s">
        <v>162</v>
      </c>
      <c r="BN103" s="9" t="s">
        <v>162</v>
      </c>
      <c r="BO103" s="9" t="s">
        <v>162</v>
      </c>
      <c r="BP103" s="9" t="s">
        <v>162</v>
      </c>
      <c r="BR103" s="9" t="s">
        <v>162</v>
      </c>
      <c r="BS103" s="9" t="s">
        <v>162</v>
      </c>
      <c r="BT103" s="9" t="s">
        <v>162</v>
      </c>
      <c r="BV103" s="9" t="s">
        <v>162</v>
      </c>
      <c r="BW103" s="9" t="s">
        <v>162</v>
      </c>
      <c r="BX103" s="9" t="s">
        <v>162</v>
      </c>
      <c r="BZ103" s="9" t="s">
        <v>162</v>
      </c>
      <c r="CA103" s="9" t="s">
        <v>162</v>
      </c>
      <c r="CB103" s="9" t="s">
        <v>162</v>
      </c>
      <c r="CD103" s="9" t="s">
        <v>162</v>
      </c>
      <c r="CE103" s="9" t="s">
        <v>162</v>
      </c>
      <c r="CF103" s="9" t="s">
        <v>162</v>
      </c>
      <c r="CH103" s="9" t="s">
        <v>162</v>
      </c>
      <c r="CI103" s="9" t="s">
        <v>162</v>
      </c>
      <c r="CJ103" s="9" t="s">
        <v>162</v>
      </c>
      <c r="CL103" s="9" t="s">
        <v>162</v>
      </c>
      <c r="CM103" s="9" t="s">
        <v>162</v>
      </c>
      <c r="CN103" s="9" t="s">
        <v>162</v>
      </c>
      <c r="CP103" s="9" t="s">
        <v>162</v>
      </c>
      <c r="CQ103" s="9" t="s">
        <v>162</v>
      </c>
      <c r="CR103" s="9" t="s">
        <v>162</v>
      </c>
      <c r="CT103" s="9" t="s">
        <v>162</v>
      </c>
      <c r="CU103" s="9" t="s">
        <v>162</v>
      </c>
      <c r="CV103" s="9" t="s">
        <v>162</v>
      </c>
      <c r="CW103" s="9">
        <v>3</v>
      </c>
      <c r="CX103" s="9" t="s">
        <v>588</v>
      </c>
      <c r="CY103" s="9" t="s">
        <v>368</v>
      </c>
      <c r="CZ103" s="9" t="s">
        <v>162</v>
      </c>
      <c r="DA103" s="9" t="s">
        <v>162</v>
      </c>
      <c r="DB103" s="9" t="s">
        <v>162</v>
      </c>
      <c r="DC103" s="9">
        <v>71.5</v>
      </c>
      <c r="DD103" s="9">
        <v>0.51</v>
      </c>
      <c r="DE103" s="9">
        <v>184</v>
      </c>
      <c r="DF103" s="9">
        <v>69</v>
      </c>
      <c r="DG103" s="9">
        <f t="shared" si="1"/>
        <v>4.2519019771486111</v>
      </c>
      <c r="DH103" s="9">
        <v>13.8</v>
      </c>
      <c r="DI103" s="9">
        <v>3</v>
      </c>
      <c r="DJ103" s="9">
        <v>18</v>
      </c>
      <c r="DK103" s="9">
        <v>20.7</v>
      </c>
      <c r="DL103" s="9">
        <v>56.4</v>
      </c>
      <c r="DM103" s="9">
        <v>113.8</v>
      </c>
      <c r="DQ103" s="9">
        <v>2</v>
      </c>
      <c r="DU103" s="9">
        <v>5.5</v>
      </c>
    </row>
    <row r="104" spans="1:125" x14ac:dyDescent="0.2">
      <c r="A104" s="9">
        <v>615</v>
      </c>
      <c r="B104" s="166">
        <v>43279</v>
      </c>
      <c r="C104" s="9" t="s">
        <v>95</v>
      </c>
      <c r="D104" s="9">
        <v>22</v>
      </c>
      <c r="E104" s="9" t="s">
        <v>96</v>
      </c>
      <c r="F104" s="8">
        <v>35089</v>
      </c>
      <c r="G104" s="9" t="s">
        <v>97</v>
      </c>
      <c r="H104" s="9" t="s">
        <v>6255</v>
      </c>
      <c r="I104" s="9" t="s">
        <v>162</v>
      </c>
      <c r="J104" s="9" t="s">
        <v>162</v>
      </c>
      <c r="K104" s="9" t="s">
        <v>162</v>
      </c>
      <c r="L104" s="9" t="s">
        <v>162</v>
      </c>
      <c r="M104" s="9" t="s">
        <v>263</v>
      </c>
      <c r="N104" s="9" t="s">
        <v>263</v>
      </c>
      <c r="O104" s="9" t="s">
        <v>263</v>
      </c>
      <c r="P104" s="9" t="s">
        <v>263</v>
      </c>
      <c r="Q104" s="10" t="s">
        <v>369</v>
      </c>
      <c r="R104" s="9" t="s">
        <v>263</v>
      </c>
      <c r="S104" s="9" t="s">
        <v>263</v>
      </c>
      <c r="T104" s="9" t="s">
        <v>263</v>
      </c>
      <c r="U104" s="9" t="s">
        <v>162</v>
      </c>
      <c r="V104" s="9" t="s">
        <v>162</v>
      </c>
      <c r="W104" s="9" t="s">
        <v>162</v>
      </c>
      <c r="X104" s="10" t="s">
        <v>5689</v>
      </c>
      <c r="Y104" s="9" t="s">
        <v>162</v>
      </c>
      <c r="Z104" s="9" t="s">
        <v>162</v>
      </c>
      <c r="AA104" s="52" t="s">
        <v>1697</v>
      </c>
      <c r="AB104" s="9" t="s">
        <v>96</v>
      </c>
      <c r="AC104" s="52" t="s">
        <v>1697</v>
      </c>
      <c r="AD104" s="9" t="s">
        <v>96</v>
      </c>
      <c r="AE104" s="10" t="s">
        <v>6256</v>
      </c>
      <c r="AF104" s="9" t="s">
        <v>263</v>
      </c>
      <c r="AG104" s="10" t="s">
        <v>3571</v>
      </c>
      <c r="AH104" s="9" t="s">
        <v>263</v>
      </c>
      <c r="AI104" s="9" t="s">
        <v>263</v>
      </c>
      <c r="AJ104" s="9" t="s">
        <v>263</v>
      </c>
      <c r="AK104" s="9" t="s">
        <v>263</v>
      </c>
      <c r="AL104" s="9">
        <v>46.1</v>
      </c>
      <c r="AM104" s="9">
        <v>152</v>
      </c>
      <c r="AN104" s="9">
        <v>72</v>
      </c>
      <c r="AO104" s="9">
        <v>93</v>
      </c>
      <c r="AP104" s="9">
        <v>29.8</v>
      </c>
      <c r="AQ104" s="9">
        <v>3</v>
      </c>
      <c r="AR104" s="9">
        <v>25.6</v>
      </c>
      <c r="AS104" s="9">
        <v>20</v>
      </c>
      <c r="AT104" s="7">
        <v>20</v>
      </c>
      <c r="AU104" s="9">
        <v>101</v>
      </c>
      <c r="AV104" s="9">
        <v>76</v>
      </c>
      <c r="AX104" s="9" t="s">
        <v>5160</v>
      </c>
      <c r="AY104" s="9" t="s">
        <v>6257</v>
      </c>
      <c r="AZ104" s="9" t="s">
        <v>6258</v>
      </c>
      <c r="BB104" s="9" t="s">
        <v>6214</v>
      </c>
      <c r="BC104" s="9" t="s">
        <v>492</v>
      </c>
      <c r="BF104" s="9" t="s">
        <v>375</v>
      </c>
      <c r="BG104" s="9" t="s">
        <v>322</v>
      </c>
      <c r="BH104" s="9" t="s">
        <v>375</v>
      </c>
      <c r="BI104" s="9" t="s">
        <v>375</v>
      </c>
      <c r="BJ104" s="9" t="s">
        <v>322</v>
      </c>
      <c r="BK104" s="9" t="s">
        <v>375</v>
      </c>
      <c r="BN104" s="9" t="s">
        <v>503</v>
      </c>
      <c r="BO104" s="9" t="s">
        <v>376</v>
      </c>
      <c r="BP104" s="9" t="s">
        <v>6259</v>
      </c>
      <c r="BR104" s="9" t="s">
        <v>263</v>
      </c>
      <c r="BS104" s="9" t="s">
        <v>162</v>
      </c>
      <c r="BT104" s="9" t="s">
        <v>162</v>
      </c>
      <c r="BV104" s="9" t="s">
        <v>1152</v>
      </c>
      <c r="BW104" s="9" t="s">
        <v>6260</v>
      </c>
      <c r="BX104" s="9" t="s">
        <v>162</v>
      </c>
      <c r="BZ104" s="9" t="s">
        <v>4010</v>
      </c>
      <c r="CA104" s="9" t="s">
        <v>557</v>
      </c>
      <c r="CB104" s="9" t="s">
        <v>3642</v>
      </c>
      <c r="CD104" s="9" t="s">
        <v>162</v>
      </c>
      <c r="CE104" s="9" t="s">
        <v>162</v>
      </c>
      <c r="CF104" s="9" t="s">
        <v>162</v>
      </c>
      <c r="CH104" s="9" t="s">
        <v>162</v>
      </c>
      <c r="CI104" s="9" t="s">
        <v>162</v>
      </c>
      <c r="CJ104" s="9" t="s">
        <v>162</v>
      </c>
      <c r="CL104" s="9" t="s">
        <v>504</v>
      </c>
      <c r="CM104" s="9" t="s">
        <v>6261</v>
      </c>
      <c r="CN104" s="9" t="s">
        <v>6262</v>
      </c>
      <c r="CP104" s="9" t="s">
        <v>384</v>
      </c>
      <c r="CQ104" s="9" t="s">
        <v>475</v>
      </c>
      <c r="CR104" s="9" t="s">
        <v>6263</v>
      </c>
      <c r="CT104" s="9" t="s">
        <v>6264</v>
      </c>
      <c r="CU104" s="9" t="s">
        <v>6265</v>
      </c>
      <c r="CW104" s="9">
        <v>3</v>
      </c>
      <c r="CX104" s="9" t="s">
        <v>368</v>
      </c>
      <c r="CY104" s="9" t="s">
        <v>368</v>
      </c>
      <c r="CZ104" s="9">
        <v>25</v>
      </c>
      <c r="DA104" s="9">
        <v>60</v>
      </c>
      <c r="DB104" s="9">
        <v>40</v>
      </c>
      <c r="DC104" s="9">
        <v>73</v>
      </c>
      <c r="DE104" s="9">
        <v>199</v>
      </c>
      <c r="DF104" s="9">
        <v>90</v>
      </c>
      <c r="DG104" s="9">
        <f t="shared" si="1"/>
        <v>4.395134555739328</v>
      </c>
      <c r="DH104" s="9">
        <v>18</v>
      </c>
      <c r="DI104" s="9">
        <v>5.04</v>
      </c>
      <c r="DJ104" s="9">
        <v>9.6999999999999993</v>
      </c>
      <c r="DK104" s="10">
        <v>32.700000000000003</v>
      </c>
      <c r="DL104" s="9">
        <v>104.5</v>
      </c>
      <c r="DT104" s="9">
        <v>13.4</v>
      </c>
      <c r="DU104" s="9">
        <v>4</v>
      </c>
    </row>
    <row r="105" spans="1:125" x14ac:dyDescent="0.2">
      <c r="A105" s="9">
        <v>618</v>
      </c>
      <c r="B105" s="8">
        <v>43279</v>
      </c>
      <c r="C105" s="9" t="s">
        <v>95</v>
      </c>
      <c r="D105" s="9">
        <v>30</v>
      </c>
      <c r="E105" s="9" t="s">
        <v>96</v>
      </c>
      <c r="F105" s="8">
        <v>31968</v>
      </c>
      <c r="G105" s="9" t="s">
        <v>314</v>
      </c>
      <c r="H105" s="9" t="s">
        <v>1544</v>
      </c>
      <c r="I105" s="9">
        <v>1999</v>
      </c>
      <c r="J105" s="9" t="s">
        <v>162</v>
      </c>
      <c r="K105" s="8">
        <v>42473</v>
      </c>
      <c r="L105" s="9">
        <v>2</v>
      </c>
      <c r="M105" s="9" t="s">
        <v>263</v>
      </c>
      <c r="N105" s="9" t="s">
        <v>263</v>
      </c>
      <c r="O105" s="9" t="s">
        <v>263</v>
      </c>
      <c r="P105" s="9" t="s">
        <v>263</v>
      </c>
      <c r="Q105" s="10" t="s">
        <v>369</v>
      </c>
      <c r="R105" s="9" t="s">
        <v>263</v>
      </c>
      <c r="S105" s="9" t="s">
        <v>263</v>
      </c>
      <c r="T105" s="10" t="s">
        <v>6279</v>
      </c>
      <c r="U105" s="10" t="s">
        <v>6280</v>
      </c>
      <c r="V105" s="9" t="s">
        <v>263</v>
      </c>
      <c r="W105" s="9" t="s">
        <v>162</v>
      </c>
      <c r="X105" s="9" t="s">
        <v>263</v>
      </c>
      <c r="Y105" s="9" t="s">
        <v>162</v>
      </c>
      <c r="Z105" s="9" t="s">
        <v>162</v>
      </c>
      <c r="AA105" s="9" t="s">
        <v>96</v>
      </c>
      <c r="AB105" s="9" t="s">
        <v>96</v>
      </c>
      <c r="AC105" s="9" t="s">
        <v>96</v>
      </c>
      <c r="AD105" s="35" t="s">
        <v>6281</v>
      </c>
      <c r="AE105" s="9" t="s">
        <v>263</v>
      </c>
      <c r="AF105" s="10" t="s">
        <v>6282</v>
      </c>
      <c r="AG105" s="10" t="s">
        <v>6256</v>
      </c>
      <c r="AH105" s="10" t="s">
        <v>6282</v>
      </c>
      <c r="AI105" s="10" t="s">
        <v>6282</v>
      </c>
      <c r="AJ105" s="9" t="s">
        <v>263</v>
      </c>
      <c r="AK105" s="9" t="s">
        <v>162</v>
      </c>
      <c r="AL105" s="9">
        <v>64.2</v>
      </c>
      <c r="AM105" s="9">
        <v>166</v>
      </c>
      <c r="AN105" s="9">
        <v>86.5</v>
      </c>
      <c r="AO105" s="9">
        <v>100</v>
      </c>
      <c r="AP105" s="9">
        <v>38.5</v>
      </c>
      <c r="AQ105" s="9">
        <v>5</v>
      </c>
      <c r="AR105" s="9">
        <v>24.1</v>
      </c>
      <c r="AS105" s="9">
        <v>33</v>
      </c>
      <c r="AT105" s="7">
        <v>23.3</v>
      </c>
      <c r="AU105" s="9">
        <v>109</v>
      </c>
      <c r="AV105" s="9">
        <v>84</v>
      </c>
      <c r="AX105" s="9" t="s">
        <v>426</v>
      </c>
      <c r="AY105" s="9" t="s">
        <v>427</v>
      </c>
      <c r="AZ105" s="9" t="s">
        <v>6283</v>
      </c>
      <c r="BB105" s="9" t="s">
        <v>5779</v>
      </c>
      <c r="BC105" s="9" t="s">
        <v>6284</v>
      </c>
      <c r="BD105" s="9" t="s">
        <v>515</v>
      </c>
      <c r="BF105" s="9" t="s">
        <v>322</v>
      </c>
      <c r="BG105" s="9" t="s">
        <v>322</v>
      </c>
      <c r="BH105" s="9" t="s">
        <v>322</v>
      </c>
      <c r="BI105" s="9" t="s">
        <v>322</v>
      </c>
      <c r="BJ105" s="9" t="s">
        <v>322</v>
      </c>
      <c r="BK105" s="9" t="s">
        <v>6285</v>
      </c>
      <c r="BN105" s="9" t="s">
        <v>6286</v>
      </c>
      <c r="BO105" s="9" t="s">
        <v>395</v>
      </c>
      <c r="BP105" s="9" t="s">
        <v>6287</v>
      </c>
      <c r="BR105" s="9" t="s">
        <v>162</v>
      </c>
      <c r="BS105" s="9" t="s">
        <v>162</v>
      </c>
      <c r="BT105" s="9" t="s">
        <v>162</v>
      </c>
      <c r="BV105" s="9" t="s">
        <v>162</v>
      </c>
      <c r="BW105" s="9" t="s">
        <v>162</v>
      </c>
      <c r="BX105" s="9" t="s">
        <v>162</v>
      </c>
      <c r="BZ105" s="9" t="s">
        <v>5782</v>
      </c>
      <c r="CA105" s="9" t="s">
        <v>6288</v>
      </c>
      <c r="CB105" s="9" t="s">
        <v>4010</v>
      </c>
      <c r="CD105" s="9" t="s">
        <v>162</v>
      </c>
      <c r="CE105" s="9" t="s">
        <v>162</v>
      </c>
      <c r="CF105" s="9" t="s">
        <v>162</v>
      </c>
      <c r="CH105" s="9" t="s">
        <v>162</v>
      </c>
      <c r="CI105" s="9" t="s">
        <v>162</v>
      </c>
      <c r="CJ105" s="9" t="s">
        <v>162</v>
      </c>
      <c r="CL105" s="9" t="s">
        <v>162</v>
      </c>
      <c r="CM105" s="9" t="s">
        <v>162</v>
      </c>
      <c r="CN105" s="9" t="s">
        <v>162</v>
      </c>
      <c r="CP105" s="9" t="s">
        <v>162</v>
      </c>
      <c r="CQ105" s="9" t="s">
        <v>162</v>
      </c>
      <c r="CR105" s="9" t="s">
        <v>162</v>
      </c>
      <c r="CT105" s="9" t="s">
        <v>6289</v>
      </c>
      <c r="CU105" s="9" t="s">
        <v>6290</v>
      </c>
      <c r="CW105" s="9">
        <v>3</v>
      </c>
      <c r="CX105" s="9" t="s">
        <v>263</v>
      </c>
      <c r="CY105" s="9" t="s">
        <v>263</v>
      </c>
      <c r="CZ105" s="9">
        <v>25</v>
      </c>
      <c r="DA105" s="9">
        <v>25</v>
      </c>
      <c r="DB105" s="9">
        <v>50</v>
      </c>
      <c r="DC105" s="9">
        <v>80.900000000000006</v>
      </c>
      <c r="DD105" s="9">
        <v>0.36</v>
      </c>
      <c r="DE105" s="10">
        <v>206</v>
      </c>
      <c r="DF105" s="9">
        <v>139</v>
      </c>
      <c r="DG105" s="9">
        <f t="shared" si="1"/>
        <v>4.6638438785975689</v>
      </c>
      <c r="DH105" s="9">
        <v>27.8</v>
      </c>
      <c r="DI105" s="9">
        <v>3.9</v>
      </c>
      <c r="DJ105" s="9">
        <v>19</v>
      </c>
      <c r="DK105" s="9">
        <v>20</v>
      </c>
      <c r="DL105" s="9">
        <v>52.8</v>
      </c>
      <c r="DM105" s="9">
        <v>125.4</v>
      </c>
      <c r="DP105" s="11">
        <v>3</v>
      </c>
      <c r="DQ105" s="9">
        <v>2</v>
      </c>
      <c r="DR105" s="9">
        <v>2</v>
      </c>
    </row>
    <row r="106" spans="1:125" x14ac:dyDescent="0.2">
      <c r="A106" s="9">
        <v>619</v>
      </c>
      <c r="B106" s="17">
        <v>43279</v>
      </c>
      <c r="C106" s="9" t="s">
        <v>95</v>
      </c>
      <c r="D106" s="9">
        <v>51</v>
      </c>
      <c r="E106" s="9" t="s">
        <v>96</v>
      </c>
      <c r="F106" s="17">
        <v>24631</v>
      </c>
      <c r="G106" s="9" t="s">
        <v>6291</v>
      </c>
      <c r="H106" s="9" t="s">
        <v>6292</v>
      </c>
      <c r="K106" s="9">
        <v>1991</v>
      </c>
      <c r="L106" s="9">
        <v>3</v>
      </c>
      <c r="M106" s="9" t="s">
        <v>99</v>
      </c>
      <c r="N106" s="9" t="s">
        <v>99</v>
      </c>
      <c r="O106" s="9" t="s">
        <v>99</v>
      </c>
      <c r="P106" s="9" t="s">
        <v>99</v>
      </c>
      <c r="Q106" s="9" t="s">
        <v>2368</v>
      </c>
      <c r="R106" s="9" t="s">
        <v>99</v>
      </c>
      <c r="U106" s="9" t="s">
        <v>6293</v>
      </c>
      <c r="W106" s="9" t="s">
        <v>6294</v>
      </c>
      <c r="X106" s="9" t="s">
        <v>99</v>
      </c>
      <c r="Y106" s="9" t="s">
        <v>6295</v>
      </c>
      <c r="AA106" s="9" t="s">
        <v>1419</v>
      </c>
      <c r="AB106" s="9" t="s">
        <v>1419</v>
      </c>
      <c r="AC106" s="9" t="s">
        <v>1419</v>
      </c>
      <c r="AD106" s="9" t="s">
        <v>1419</v>
      </c>
      <c r="AE106" s="9" t="s">
        <v>99</v>
      </c>
      <c r="AF106" s="9" t="s">
        <v>118</v>
      </c>
      <c r="AG106" s="9" t="s">
        <v>99</v>
      </c>
      <c r="AH106" s="9" t="s">
        <v>99</v>
      </c>
      <c r="AI106" s="9" t="s">
        <v>99</v>
      </c>
      <c r="AJ106" s="9" t="s">
        <v>99</v>
      </c>
      <c r="AK106" s="9" t="s">
        <v>99</v>
      </c>
      <c r="AL106" s="9">
        <v>59.8</v>
      </c>
      <c r="AM106" s="9">
        <v>150</v>
      </c>
      <c r="AN106" s="9">
        <v>81</v>
      </c>
      <c r="AO106" s="9">
        <v>98.6</v>
      </c>
      <c r="AP106" s="9">
        <v>34.6</v>
      </c>
      <c r="AQ106" s="9">
        <v>6</v>
      </c>
      <c r="AR106" s="9">
        <v>26.2</v>
      </c>
      <c r="AS106" s="9">
        <v>48</v>
      </c>
      <c r="AT106" s="7">
        <v>22.6</v>
      </c>
      <c r="AU106" s="9">
        <v>91</v>
      </c>
      <c r="AV106" s="9">
        <v>59</v>
      </c>
      <c r="AX106" s="9" t="s">
        <v>5758</v>
      </c>
      <c r="AY106" s="9" t="s">
        <v>6296</v>
      </c>
      <c r="AZ106" s="9" t="s">
        <v>427</v>
      </c>
      <c r="BE106" s="9" t="s">
        <v>375</v>
      </c>
      <c r="BF106" s="9" t="s">
        <v>6297</v>
      </c>
      <c r="BG106" s="9" t="s">
        <v>375</v>
      </c>
      <c r="BH106" s="9" t="s">
        <v>375</v>
      </c>
      <c r="BI106" s="9" t="s">
        <v>263</v>
      </c>
      <c r="BJ106" s="9" t="s">
        <v>368</v>
      </c>
      <c r="BL106" s="9" t="s">
        <v>517</v>
      </c>
      <c r="BM106" s="9" t="s">
        <v>1963</v>
      </c>
      <c r="BN106" s="9" t="s">
        <v>519</v>
      </c>
      <c r="BV106" s="9" t="s">
        <v>64</v>
      </c>
      <c r="BW106" s="9" t="s">
        <v>1536</v>
      </c>
      <c r="BZ106" s="9" t="s">
        <v>557</v>
      </c>
      <c r="CA106" s="9" t="s">
        <v>526</v>
      </c>
      <c r="CB106" s="9" t="s">
        <v>4010</v>
      </c>
      <c r="CL106" s="9" t="s">
        <v>504</v>
      </c>
      <c r="CM106" s="9" t="s">
        <v>6298</v>
      </c>
      <c r="CN106" s="9" t="s">
        <v>505</v>
      </c>
      <c r="CP106" s="9" t="s">
        <v>6191</v>
      </c>
      <c r="CQ106" s="9" t="s">
        <v>6299</v>
      </c>
      <c r="CT106" s="9" t="s">
        <v>6300</v>
      </c>
      <c r="CU106" s="9" t="s">
        <v>6301</v>
      </c>
      <c r="CW106" s="9">
        <v>3</v>
      </c>
      <c r="CX106" s="9" t="s">
        <v>6180</v>
      </c>
      <c r="CY106" s="9" t="s">
        <v>283</v>
      </c>
      <c r="DC106" s="9">
        <v>77</v>
      </c>
      <c r="DD106" s="9">
        <v>0.77</v>
      </c>
      <c r="DE106" s="9">
        <v>288</v>
      </c>
      <c r="DF106" s="9">
        <v>117</v>
      </c>
      <c r="DG106" s="9">
        <f t="shared" si="1"/>
        <v>4.5529896783257202</v>
      </c>
      <c r="DH106" s="9">
        <v>23.4</v>
      </c>
      <c r="DI106" s="9">
        <v>3.73</v>
      </c>
      <c r="DJ106" s="9">
        <v>14</v>
      </c>
      <c r="DK106" s="9">
        <v>20</v>
      </c>
      <c r="DL106" s="9">
        <v>64.599999999999994</v>
      </c>
      <c r="DQ106" s="9">
        <v>3</v>
      </c>
    </row>
    <row r="107" spans="1:125" x14ac:dyDescent="0.2">
      <c r="A107" s="9">
        <v>620</v>
      </c>
      <c r="B107" s="8">
        <v>43279</v>
      </c>
      <c r="C107" s="9" t="s">
        <v>95</v>
      </c>
      <c r="D107" s="9">
        <v>29</v>
      </c>
      <c r="E107" s="9" t="s">
        <v>96</v>
      </c>
      <c r="F107" s="8">
        <v>32607</v>
      </c>
      <c r="G107" s="9" t="s">
        <v>314</v>
      </c>
      <c r="H107" s="9" t="s">
        <v>6302</v>
      </c>
      <c r="I107" s="9" t="s">
        <v>162</v>
      </c>
      <c r="J107" s="9" t="s">
        <v>162</v>
      </c>
      <c r="K107" s="8">
        <v>40006</v>
      </c>
      <c r="L107" s="9">
        <v>1</v>
      </c>
      <c r="M107" s="9" t="s">
        <v>263</v>
      </c>
      <c r="N107" s="9" t="s">
        <v>263</v>
      </c>
      <c r="O107" s="9" t="s">
        <v>263</v>
      </c>
      <c r="P107" s="9" t="s">
        <v>263</v>
      </c>
      <c r="Q107" s="9" t="s">
        <v>263</v>
      </c>
      <c r="R107" s="9" t="s">
        <v>263</v>
      </c>
      <c r="S107" s="9" t="s">
        <v>162</v>
      </c>
      <c r="T107" s="9" t="s">
        <v>162</v>
      </c>
      <c r="U107" s="9" t="s">
        <v>263</v>
      </c>
      <c r="V107" s="9" t="s">
        <v>162</v>
      </c>
      <c r="W107" s="9" t="s">
        <v>6303</v>
      </c>
      <c r="X107" s="9" t="s">
        <v>162</v>
      </c>
      <c r="Y107" s="9" t="s">
        <v>6304</v>
      </c>
      <c r="Z107" s="9" t="s">
        <v>545</v>
      </c>
      <c r="AA107" s="41" t="s">
        <v>461</v>
      </c>
      <c r="AB107" s="41" t="s">
        <v>151</v>
      </c>
      <c r="AC107" s="41" t="s">
        <v>461</v>
      </c>
      <c r="AD107" s="41" t="s">
        <v>461</v>
      </c>
      <c r="AE107" s="9" t="s">
        <v>368</v>
      </c>
      <c r="AF107" s="9" t="s">
        <v>263</v>
      </c>
      <c r="AG107" s="9" t="s">
        <v>4123</v>
      </c>
      <c r="AH107" s="9" t="s">
        <v>263</v>
      </c>
      <c r="AI107" s="9" t="s">
        <v>35</v>
      </c>
      <c r="AJ107" s="9" t="s">
        <v>263</v>
      </c>
      <c r="AK107" s="9" t="s">
        <v>263</v>
      </c>
      <c r="AL107" s="9">
        <v>59</v>
      </c>
      <c r="AM107" s="9">
        <v>175</v>
      </c>
      <c r="AN107" s="9">
        <v>73</v>
      </c>
      <c r="AO107" s="9">
        <v>96</v>
      </c>
      <c r="AP107" s="9">
        <v>26.7</v>
      </c>
      <c r="AQ107" s="9">
        <v>3</v>
      </c>
      <c r="AR107" s="9">
        <v>29.6</v>
      </c>
      <c r="AS107" s="9">
        <v>29</v>
      </c>
      <c r="AT107" s="7">
        <v>19.3</v>
      </c>
      <c r="AU107" s="9">
        <v>106</v>
      </c>
      <c r="AV107" s="9">
        <v>70</v>
      </c>
      <c r="AX107" s="9" t="s">
        <v>162</v>
      </c>
      <c r="AY107" s="9" t="s">
        <v>162</v>
      </c>
      <c r="AZ107" s="9" t="s">
        <v>162</v>
      </c>
      <c r="BB107" s="9" t="s">
        <v>162</v>
      </c>
      <c r="BC107" s="9" t="s">
        <v>162</v>
      </c>
      <c r="BD107" s="9" t="s">
        <v>162</v>
      </c>
      <c r="BF107" s="9" t="s">
        <v>162</v>
      </c>
      <c r="BG107" s="9" t="s">
        <v>162</v>
      </c>
      <c r="BH107" s="9" t="s">
        <v>162</v>
      </c>
      <c r="BI107" s="9" t="s">
        <v>162</v>
      </c>
      <c r="BJ107" s="9" t="s">
        <v>162</v>
      </c>
      <c r="BK107" s="9" t="s">
        <v>162</v>
      </c>
      <c r="BN107" s="9" t="s">
        <v>162</v>
      </c>
      <c r="BO107" s="9" t="s">
        <v>162</v>
      </c>
      <c r="BP107" s="9" t="s">
        <v>162</v>
      </c>
      <c r="BR107" s="9" t="s">
        <v>162</v>
      </c>
      <c r="BS107" s="9" t="s">
        <v>162</v>
      </c>
      <c r="BT107" s="9" t="s">
        <v>162</v>
      </c>
      <c r="BV107" s="9" t="s">
        <v>162</v>
      </c>
      <c r="BW107" s="9" t="s">
        <v>162</v>
      </c>
      <c r="BX107" s="9" t="s">
        <v>162</v>
      </c>
      <c r="BZ107" s="9" t="s">
        <v>162</v>
      </c>
      <c r="CA107" s="9" t="s">
        <v>162</v>
      </c>
      <c r="CB107" s="9" t="s">
        <v>162</v>
      </c>
      <c r="CD107" s="9" t="s">
        <v>162</v>
      </c>
      <c r="CE107" s="9" t="s">
        <v>162</v>
      </c>
      <c r="CF107" s="9" t="s">
        <v>162</v>
      </c>
      <c r="CH107" s="9" t="s">
        <v>162</v>
      </c>
      <c r="CI107" s="9" t="s">
        <v>162</v>
      </c>
      <c r="CJ107" s="9" t="s">
        <v>162</v>
      </c>
      <c r="CL107" s="9" t="s">
        <v>162</v>
      </c>
      <c r="CM107" s="9" t="s">
        <v>162</v>
      </c>
      <c r="CN107" s="9" t="s">
        <v>162</v>
      </c>
      <c r="CP107" s="9" t="s">
        <v>162</v>
      </c>
      <c r="CQ107" s="9" t="s">
        <v>162</v>
      </c>
      <c r="CR107" s="9" t="s">
        <v>162</v>
      </c>
      <c r="CT107" s="9" t="s">
        <v>162</v>
      </c>
      <c r="CU107" s="9" t="s">
        <v>162</v>
      </c>
      <c r="CV107" s="9" t="s">
        <v>162</v>
      </c>
      <c r="CW107" s="9">
        <v>3</v>
      </c>
      <c r="CX107" s="9" t="s">
        <v>263</v>
      </c>
      <c r="CY107" s="9" t="s">
        <v>263</v>
      </c>
      <c r="CZ107" s="9">
        <v>80</v>
      </c>
      <c r="DA107" s="9">
        <v>40</v>
      </c>
      <c r="DB107" s="9">
        <v>50</v>
      </c>
      <c r="DC107" s="9">
        <v>80.2</v>
      </c>
      <c r="DE107" s="10">
        <v>209</v>
      </c>
      <c r="DF107" s="9">
        <v>110</v>
      </c>
      <c r="DG107" s="9">
        <f t="shared" si="1"/>
        <v>4.5425019403324427</v>
      </c>
      <c r="DH107" s="9">
        <v>22</v>
      </c>
      <c r="DI107" s="9">
        <v>4.2300000000000004</v>
      </c>
      <c r="DJ107" s="9">
        <v>5.7</v>
      </c>
      <c r="DK107" s="9">
        <v>28.7</v>
      </c>
      <c r="DL107" s="9">
        <v>80.099999999999994</v>
      </c>
      <c r="DM107" s="9">
        <v>106.9</v>
      </c>
      <c r="DP107" s="11">
        <v>2</v>
      </c>
      <c r="DR107" s="9">
        <v>2</v>
      </c>
    </row>
    <row r="108" spans="1:125" x14ac:dyDescent="0.2">
      <c r="A108" s="7">
        <v>621</v>
      </c>
      <c r="B108" s="8">
        <v>43279</v>
      </c>
      <c r="C108" s="9" t="s">
        <v>95</v>
      </c>
      <c r="D108" s="9">
        <v>29</v>
      </c>
      <c r="E108" s="9" t="s">
        <v>96</v>
      </c>
      <c r="F108" s="8">
        <v>32541</v>
      </c>
      <c r="G108" s="9" t="s">
        <v>314</v>
      </c>
      <c r="H108" s="9" t="s">
        <v>162</v>
      </c>
      <c r="I108" s="9" t="s">
        <v>162</v>
      </c>
      <c r="J108" s="9" t="s">
        <v>162</v>
      </c>
      <c r="K108" s="9" t="s">
        <v>162</v>
      </c>
      <c r="L108" s="9" t="s">
        <v>162</v>
      </c>
      <c r="M108" s="9" t="s">
        <v>162</v>
      </c>
      <c r="N108" s="9" t="s">
        <v>162</v>
      </c>
      <c r="O108" s="9" t="s">
        <v>162</v>
      </c>
      <c r="P108" s="9" t="s">
        <v>162</v>
      </c>
      <c r="Q108" s="10" t="s">
        <v>322</v>
      </c>
      <c r="R108" s="9" t="s">
        <v>162</v>
      </c>
      <c r="S108" s="9" t="s">
        <v>162</v>
      </c>
      <c r="T108" s="9" t="s">
        <v>162</v>
      </c>
      <c r="U108" s="9" t="s">
        <v>162</v>
      </c>
      <c r="V108" s="9" t="s">
        <v>162</v>
      </c>
      <c r="W108" s="9" t="s">
        <v>162</v>
      </c>
      <c r="X108" s="9" t="s">
        <v>162</v>
      </c>
      <c r="Y108" s="9" t="s">
        <v>162</v>
      </c>
      <c r="Z108" s="10" t="s">
        <v>6305</v>
      </c>
      <c r="AA108" s="9" t="s">
        <v>96</v>
      </c>
      <c r="AB108" s="9" t="s">
        <v>162</v>
      </c>
      <c r="AC108" s="9" t="s">
        <v>96</v>
      </c>
      <c r="AD108" s="9" t="s">
        <v>162</v>
      </c>
      <c r="AE108" s="10" t="s">
        <v>35</v>
      </c>
      <c r="AF108" s="9" t="s">
        <v>162</v>
      </c>
      <c r="AG108" s="9" t="s">
        <v>162</v>
      </c>
      <c r="AH108" s="9" t="s">
        <v>162</v>
      </c>
      <c r="AI108" s="9" t="s">
        <v>162</v>
      </c>
      <c r="AJ108" s="9" t="s">
        <v>162</v>
      </c>
      <c r="AK108" s="9" t="s">
        <v>162</v>
      </c>
      <c r="AL108" s="9">
        <v>46.4</v>
      </c>
      <c r="AM108" s="9">
        <v>158</v>
      </c>
      <c r="AN108" s="9">
        <v>62.6</v>
      </c>
      <c r="AO108" s="9">
        <v>86.5</v>
      </c>
      <c r="AP108" s="9">
        <v>22.9</v>
      </c>
      <c r="AQ108" s="9">
        <v>3</v>
      </c>
      <c r="AR108" s="9">
        <v>30.6</v>
      </c>
      <c r="AS108" s="9">
        <v>18</v>
      </c>
      <c r="AT108" s="7">
        <v>18.600000000000001</v>
      </c>
      <c r="AU108" s="9">
        <v>111</v>
      </c>
      <c r="AV108" s="9">
        <v>71</v>
      </c>
      <c r="AX108" s="9" t="s">
        <v>162</v>
      </c>
      <c r="AY108" s="9" t="s">
        <v>162</v>
      </c>
      <c r="AZ108" s="9" t="s">
        <v>162</v>
      </c>
      <c r="BB108" s="9" t="s">
        <v>162</v>
      </c>
      <c r="BC108" s="9" t="s">
        <v>162</v>
      </c>
      <c r="BD108" s="9" t="s">
        <v>162</v>
      </c>
      <c r="BF108" s="9" t="s">
        <v>162</v>
      </c>
      <c r="BG108" s="9" t="s">
        <v>162</v>
      </c>
      <c r="BH108" s="9" t="s">
        <v>162</v>
      </c>
      <c r="BI108" s="9" t="s">
        <v>162</v>
      </c>
      <c r="BJ108" s="9" t="s">
        <v>162</v>
      </c>
      <c r="BK108" s="9" t="s">
        <v>162</v>
      </c>
      <c r="BN108" s="9" t="s">
        <v>162</v>
      </c>
      <c r="BO108" s="9" t="s">
        <v>162</v>
      </c>
      <c r="BP108" s="9" t="s">
        <v>162</v>
      </c>
      <c r="BR108" s="9" t="s">
        <v>162</v>
      </c>
      <c r="BS108" s="9" t="s">
        <v>162</v>
      </c>
      <c r="BT108" s="9" t="s">
        <v>162</v>
      </c>
      <c r="BV108" s="9" t="s">
        <v>162</v>
      </c>
      <c r="BW108" s="9" t="s">
        <v>162</v>
      </c>
      <c r="BX108" s="9" t="s">
        <v>162</v>
      </c>
      <c r="BZ108" s="9" t="s">
        <v>162</v>
      </c>
      <c r="CA108" s="9" t="s">
        <v>162</v>
      </c>
      <c r="CB108" s="9" t="s">
        <v>162</v>
      </c>
      <c r="CD108" s="9" t="s">
        <v>162</v>
      </c>
      <c r="CE108" s="9" t="s">
        <v>162</v>
      </c>
      <c r="CF108" s="9" t="s">
        <v>162</v>
      </c>
      <c r="CH108" s="9" t="s">
        <v>162</v>
      </c>
      <c r="CI108" s="9" t="s">
        <v>162</v>
      </c>
      <c r="CJ108" s="9" t="s">
        <v>162</v>
      </c>
      <c r="CL108" s="9" t="s">
        <v>162</v>
      </c>
      <c r="CM108" s="9" t="s">
        <v>162</v>
      </c>
      <c r="CN108" s="9" t="s">
        <v>162</v>
      </c>
      <c r="CP108" s="9" t="s">
        <v>162</v>
      </c>
      <c r="CQ108" s="9" t="s">
        <v>162</v>
      </c>
      <c r="CR108" s="9" t="s">
        <v>162</v>
      </c>
      <c r="CT108" s="9" t="s">
        <v>162</v>
      </c>
      <c r="CU108" s="9" t="s">
        <v>162</v>
      </c>
      <c r="CV108" s="9" t="s">
        <v>162</v>
      </c>
      <c r="CW108" s="9" t="s">
        <v>162</v>
      </c>
      <c r="CX108" s="9" t="s">
        <v>162</v>
      </c>
      <c r="CY108" s="9" t="s">
        <v>162</v>
      </c>
      <c r="CZ108" s="9" t="s">
        <v>162</v>
      </c>
      <c r="DA108" s="9" t="s">
        <v>162</v>
      </c>
      <c r="DB108" s="9" t="s">
        <v>162</v>
      </c>
      <c r="DC108" s="9">
        <v>75.5</v>
      </c>
      <c r="DD108" s="9">
        <v>0.48</v>
      </c>
      <c r="DE108" s="9">
        <v>116</v>
      </c>
      <c r="DF108" s="9">
        <v>26</v>
      </c>
      <c r="DG108" s="9">
        <f t="shared" si="1"/>
        <v>3.7911145971382307</v>
      </c>
      <c r="DH108" s="9">
        <v>5.2</v>
      </c>
      <c r="DI108" s="9">
        <v>2.86</v>
      </c>
      <c r="DJ108" s="9">
        <v>19</v>
      </c>
      <c r="DK108" s="9">
        <v>21</v>
      </c>
      <c r="DL108" s="9">
        <v>46.4</v>
      </c>
      <c r="DM108" s="9">
        <v>64.400000000000006</v>
      </c>
      <c r="DP108" s="11">
        <v>3</v>
      </c>
      <c r="DQ108" s="9">
        <v>3</v>
      </c>
      <c r="DR108" s="9">
        <v>2</v>
      </c>
      <c r="DU108" s="9">
        <v>4</v>
      </c>
    </row>
    <row r="109" spans="1:125" x14ac:dyDescent="0.2">
      <c r="A109" s="9">
        <v>634</v>
      </c>
      <c r="B109" s="8">
        <v>43279</v>
      </c>
      <c r="C109" s="9" t="s">
        <v>95</v>
      </c>
      <c r="D109" s="9">
        <v>45</v>
      </c>
      <c r="E109" s="9" t="s">
        <v>96</v>
      </c>
      <c r="F109" s="8">
        <v>26524</v>
      </c>
      <c r="G109" s="9" t="s">
        <v>314</v>
      </c>
      <c r="H109" s="9" t="s">
        <v>162</v>
      </c>
      <c r="I109" s="9" t="s">
        <v>162</v>
      </c>
      <c r="J109" s="9" t="s">
        <v>162</v>
      </c>
      <c r="K109" s="9" t="s">
        <v>162</v>
      </c>
      <c r="L109" s="9" t="s">
        <v>162</v>
      </c>
      <c r="M109" s="9" t="s">
        <v>263</v>
      </c>
      <c r="N109" s="9" t="s">
        <v>263</v>
      </c>
      <c r="O109" s="9" t="s">
        <v>162</v>
      </c>
      <c r="P109" s="9" t="s">
        <v>263</v>
      </c>
      <c r="Q109" s="10" t="s">
        <v>456</v>
      </c>
      <c r="R109" s="9" t="s">
        <v>263</v>
      </c>
      <c r="S109" s="9" t="s">
        <v>162</v>
      </c>
      <c r="T109" s="9" t="s">
        <v>162</v>
      </c>
      <c r="U109" s="9" t="s">
        <v>162</v>
      </c>
      <c r="V109" s="9" t="s">
        <v>162</v>
      </c>
      <c r="W109" s="9" t="s">
        <v>162</v>
      </c>
      <c r="X109" s="9" t="s">
        <v>162</v>
      </c>
      <c r="Y109" s="9" t="s">
        <v>162</v>
      </c>
      <c r="Z109" s="9" t="s">
        <v>545</v>
      </c>
      <c r="AA109" s="9" t="s">
        <v>6399</v>
      </c>
      <c r="AB109" s="9" t="s">
        <v>96</v>
      </c>
      <c r="AC109" s="9" t="s">
        <v>96</v>
      </c>
      <c r="AD109" s="9" t="s">
        <v>96</v>
      </c>
      <c r="AE109" s="9" t="s">
        <v>263</v>
      </c>
      <c r="AF109" s="9" t="s">
        <v>424</v>
      </c>
      <c r="AG109" s="9" t="s">
        <v>6400</v>
      </c>
      <c r="AH109" s="9" t="s">
        <v>263</v>
      </c>
      <c r="AI109" s="9" t="s">
        <v>263</v>
      </c>
      <c r="AJ109" s="9" t="s">
        <v>263</v>
      </c>
      <c r="AK109" s="9" t="s">
        <v>263</v>
      </c>
      <c r="AL109" s="9">
        <v>57.3</v>
      </c>
      <c r="AM109" s="9">
        <v>169</v>
      </c>
      <c r="AN109" s="9">
        <v>74</v>
      </c>
      <c r="AO109" s="9">
        <v>98</v>
      </c>
      <c r="AP109" s="9">
        <v>13.9</v>
      </c>
      <c r="AQ109" s="9">
        <v>2.5</v>
      </c>
      <c r="AR109" s="9">
        <v>46.8</v>
      </c>
      <c r="AS109" s="9">
        <v>15</v>
      </c>
      <c r="AT109" s="7">
        <v>20.059999999999999</v>
      </c>
      <c r="AU109" s="9">
        <v>114</v>
      </c>
      <c r="AV109" s="9">
        <v>70</v>
      </c>
      <c r="AX109" s="9" t="s">
        <v>391</v>
      </c>
      <c r="AY109" s="9" t="s">
        <v>426</v>
      </c>
      <c r="AZ109" s="9" t="s">
        <v>6401</v>
      </c>
      <c r="BB109" s="9" t="s">
        <v>162</v>
      </c>
      <c r="BC109" s="9" t="s">
        <v>162</v>
      </c>
      <c r="BD109" s="47" t="s">
        <v>162</v>
      </c>
      <c r="BF109" s="9" t="s">
        <v>375</v>
      </c>
      <c r="BG109" s="9" t="s">
        <v>375</v>
      </c>
      <c r="BH109" s="9" t="s">
        <v>375</v>
      </c>
      <c r="BI109" s="9" t="s">
        <v>375</v>
      </c>
      <c r="BJ109" s="9" t="s">
        <v>375</v>
      </c>
      <c r="BK109" s="9" t="s">
        <v>375</v>
      </c>
      <c r="BN109" s="9" t="s">
        <v>376</v>
      </c>
      <c r="BO109" s="9" t="s">
        <v>499</v>
      </c>
      <c r="BP109" s="9" t="s">
        <v>430</v>
      </c>
      <c r="BR109" s="9" t="s">
        <v>162</v>
      </c>
      <c r="BS109" s="9" t="s">
        <v>162</v>
      </c>
      <c r="BT109" s="9" t="s">
        <v>162</v>
      </c>
      <c r="BV109" s="9" t="s">
        <v>162</v>
      </c>
      <c r="BW109" s="9" t="s">
        <v>162</v>
      </c>
      <c r="BX109" s="9" t="s">
        <v>162</v>
      </c>
      <c r="BZ109" s="9" t="s">
        <v>1053</v>
      </c>
      <c r="CA109" s="9" t="s">
        <v>2466</v>
      </c>
      <c r="CD109" s="9" t="s">
        <v>162</v>
      </c>
      <c r="CE109" s="9" t="s">
        <v>162</v>
      </c>
      <c r="CF109" s="9" t="s">
        <v>162</v>
      </c>
      <c r="CH109" s="9" t="s">
        <v>6402</v>
      </c>
      <c r="CI109" s="9" t="s">
        <v>162</v>
      </c>
      <c r="CJ109" s="9" t="s">
        <v>162</v>
      </c>
      <c r="CL109" s="9" t="s">
        <v>333</v>
      </c>
      <c r="CM109" s="9" t="s">
        <v>162</v>
      </c>
      <c r="CN109" s="9" t="s">
        <v>162</v>
      </c>
      <c r="CP109" s="9" t="s">
        <v>162</v>
      </c>
      <c r="CQ109" s="9" t="s">
        <v>162</v>
      </c>
      <c r="CR109" s="9" t="s">
        <v>162</v>
      </c>
      <c r="CT109" s="9" t="s">
        <v>162</v>
      </c>
      <c r="CU109" s="9" t="s">
        <v>162</v>
      </c>
      <c r="CV109" s="9" t="s">
        <v>162</v>
      </c>
      <c r="CW109" s="9" t="s">
        <v>1633</v>
      </c>
      <c r="CX109" s="9" t="s">
        <v>368</v>
      </c>
      <c r="CY109" s="9" t="s">
        <v>368</v>
      </c>
      <c r="CZ109" s="9" t="s">
        <v>162</v>
      </c>
      <c r="DA109" s="9" t="s">
        <v>162</v>
      </c>
      <c r="DB109" s="9" t="s">
        <v>162</v>
      </c>
      <c r="DC109" s="9">
        <v>44.6</v>
      </c>
      <c r="DD109" s="9">
        <v>0.71</v>
      </c>
      <c r="DE109" s="10">
        <v>245</v>
      </c>
      <c r="DF109" s="10">
        <v>155</v>
      </c>
      <c r="DG109" s="9">
        <f t="shared" si="1"/>
        <v>4.4205794879726321</v>
      </c>
      <c r="DH109" s="9">
        <v>31</v>
      </c>
      <c r="DI109" s="9">
        <v>4.47</v>
      </c>
      <c r="DJ109" s="9">
        <v>21</v>
      </c>
      <c r="DK109" s="9">
        <v>26</v>
      </c>
      <c r="DL109" s="9">
        <v>50.9</v>
      </c>
      <c r="DM109" s="9">
        <v>163.1</v>
      </c>
      <c r="DP109" s="11">
        <v>2</v>
      </c>
      <c r="DR109" s="9">
        <v>3</v>
      </c>
      <c r="DT109" s="9">
        <v>15</v>
      </c>
      <c r="DU109" s="9">
        <v>4.62</v>
      </c>
    </row>
    <row r="110" spans="1:125" x14ac:dyDescent="0.2">
      <c r="A110" s="30">
        <v>638</v>
      </c>
      <c r="B110" s="8">
        <v>43279</v>
      </c>
      <c r="C110" s="9" t="s">
        <v>95</v>
      </c>
      <c r="D110" s="9">
        <v>45</v>
      </c>
      <c r="E110" s="9" t="s">
        <v>162</v>
      </c>
      <c r="F110" s="8">
        <v>26666</v>
      </c>
      <c r="G110" s="9" t="s">
        <v>162</v>
      </c>
      <c r="H110" s="9" t="s">
        <v>162</v>
      </c>
      <c r="I110" s="9" t="s">
        <v>162</v>
      </c>
      <c r="J110" s="9" t="s">
        <v>162</v>
      </c>
      <c r="K110" s="9">
        <v>2010</v>
      </c>
      <c r="L110" s="9">
        <v>4</v>
      </c>
      <c r="M110" s="9" t="s">
        <v>263</v>
      </c>
      <c r="N110" s="9" t="s">
        <v>263</v>
      </c>
      <c r="O110" s="9" t="s">
        <v>263</v>
      </c>
      <c r="P110" s="10" t="s">
        <v>322</v>
      </c>
      <c r="Q110" s="10" t="s">
        <v>456</v>
      </c>
      <c r="R110" s="9" t="s">
        <v>263</v>
      </c>
      <c r="S110" s="9" t="s">
        <v>263</v>
      </c>
      <c r="T110" s="9" t="s">
        <v>263</v>
      </c>
      <c r="U110" s="9" t="s">
        <v>263</v>
      </c>
      <c r="V110" s="9" t="s">
        <v>263</v>
      </c>
      <c r="W110" s="9" t="s">
        <v>6409</v>
      </c>
      <c r="X110" s="9" t="s">
        <v>263</v>
      </c>
      <c r="Y110" s="9" t="s">
        <v>162</v>
      </c>
      <c r="Z110" s="9" t="s">
        <v>162</v>
      </c>
      <c r="AA110" s="9" t="s">
        <v>96</v>
      </c>
      <c r="AB110" s="9" t="s">
        <v>96</v>
      </c>
      <c r="AC110" s="9" t="s">
        <v>96</v>
      </c>
      <c r="AD110" s="9" t="s">
        <v>96</v>
      </c>
      <c r="AE110" s="9" t="s">
        <v>263</v>
      </c>
      <c r="AF110" s="9" t="s">
        <v>263</v>
      </c>
      <c r="AG110" s="9" t="s">
        <v>263</v>
      </c>
      <c r="AH110" s="9" t="s">
        <v>263</v>
      </c>
      <c r="AI110" s="9" t="s">
        <v>263</v>
      </c>
      <c r="AJ110" s="9" t="s">
        <v>263</v>
      </c>
      <c r="AK110" s="9" t="s">
        <v>263</v>
      </c>
      <c r="AL110" s="9">
        <v>63.4</v>
      </c>
      <c r="AM110" s="9">
        <v>166</v>
      </c>
      <c r="AN110" s="9">
        <v>81</v>
      </c>
      <c r="AO110" s="9">
        <v>105</v>
      </c>
      <c r="AP110" s="9">
        <v>42.2</v>
      </c>
      <c r="AQ110" s="9">
        <v>1.9</v>
      </c>
      <c r="AR110" s="9">
        <v>34.700000000000003</v>
      </c>
      <c r="AS110" s="9">
        <v>50</v>
      </c>
      <c r="AT110" s="7">
        <v>19.09</v>
      </c>
      <c r="AU110" s="9">
        <v>103</v>
      </c>
      <c r="AV110" s="9">
        <v>74</v>
      </c>
      <c r="AX110" s="9" t="s">
        <v>162</v>
      </c>
      <c r="AY110" s="9" t="s">
        <v>162</v>
      </c>
      <c r="AZ110" s="9" t="s">
        <v>162</v>
      </c>
      <c r="BB110" s="9" t="s">
        <v>162</v>
      </c>
      <c r="BC110" s="9" t="s">
        <v>162</v>
      </c>
      <c r="BD110" s="9" t="s">
        <v>162</v>
      </c>
      <c r="BF110" s="9" t="s">
        <v>162</v>
      </c>
      <c r="BG110" s="9" t="s">
        <v>162</v>
      </c>
      <c r="BH110" s="9" t="s">
        <v>162</v>
      </c>
      <c r="BI110" s="9" t="s">
        <v>162</v>
      </c>
      <c r="BJ110" s="9" t="s">
        <v>162</v>
      </c>
      <c r="BK110" s="9" t="s">
        <v>162</v>
      </c>
      <c r="BN110" s="9" t="s">
        <v>162</v>
      </c>
      <c r="BO110" s="9" t="s">
        <v>162</v>
      </c>
      <c r="BP110" s="9" t="s">
        <v>162</v>
      </c>
      <c r="BR110" s="9" t="s">
        <v>162</v>
      </c>
      <c r="BS110" s="9" t="s">
        <v>162</v>
      </c>
      <c r="BT110" s="9" t="s">
        <v>162</v>
      </c>
      <c r="BV110" s="9" t="s">
        <v>162</v>
      </c>
      <c r="BW110" s="9" t="s">
        <v>162</v>
      </c>
      <c r="BX110" s="9" t="s">
        <v>162</v>
      </c>
      <c r="BZ110" s="9" t="s">
        <v>162</v>
      </c>
      <c r="CA110" s="9" t="s">
        <v>162</v>
      </c>
      <c r="CB110" s="9" t="s">
        <v>162</v>
      </c>
      <c r="CD110" s="9" t="s">
        <v>162</v>
      </c>
      <c r="CE110" s="9" t="s">
        <v>162</v>
      </c>
      <c r="CF110" s="9" t="s">
        <v>162</v>
      </c>
      <c r="CH110" s="9" t="s">
        <v>162</v>
      </c>
      <c r="CI110" s="9" t="s">
        <v>162</v>
      </c>
      <c r="CJ110" s="9" t="s">
        <v>162</v>
      </c>
      <c r="CL110" s="9" t="s">
        <v>162</v>
      </c>
      <c r="CM110" s="9" t="s">
        <v>162</v>
      </c>
      <c r="CN110" s="9" t="s">
        <v>162</v>
      </c>
      <c r="CP110" s="9" t="s">
        <v>162</v>
      </c>
      <c r="CQ110" s="9" t="s">
        <v>162</v>
      </c>
      <c r="CR110" s="9" t="s">
        <v>162</v>
      </c>
      <c r="CT110" s="9" t="s">
        <v>162</v>
      </c>
      <c r="CU110" s="9" t="s">
        <v>162</v>
      </c>
      <c r="CV110" s="9" t="s">
        <v>162</v>
      </c>
      <c r="CW110" s="9" t="s">
        <v>162</v>
      </c>
      <c r="CX110" s="9" t="s">
        <v>162</v>
      </c>
      <c r="CY110" s="9" t="s">
        <v>162</v>
      </c>
      <c r="CZ110" s="9" t="s">
        <v>162</v>
      </c>
      <c r="DA110" s="9" t="s">
        <v>162</v>
      </c>
      <c r="DB110" s="9" t="s">
        <v>162</v>
      </c>
      <c r="DC110" s="9">
        <v>75.5</v>
      </c>
      <c r="DD110" s="9">
        <v>0.52</v>
      </c>
      <c r="DE110" s="10">
        <v>222</v>
      </c>
      <c r="DF110" s="9">
        <v>86</v>
      </c>
      <c r="DG110" s="9">
        <f t="shared" si="1"/>
        <v>4.3892399762542436</v>
      </c>
      <c r="DH110" s="9">
        <v>17.2</v>
      </c>
      <c r="DI110" s="9">
        <v>3.19</v>
      </c>
      <c r="DJ110" s="9">
        <v>9</v>
      </c>
      <c r="DK110" s="9">
        <v>17</v>
      </c>
      <c r="DL110" s="9">
        <v>55.4</v>
      </c>
      <c r="DM110" s="9">
        <v>149.4</v>
      </c>
      <c r="DP110" s="11">
        <v>3</v>
      </c>
      <c r="DQ110" s="9">
        <v>2</v>
      </c>
      <c r="DR110" s="9">
        <v>3</v>
      </c>
    </row>
    <row r="111" spans="1:125" x14ac:dyDescent="0.2">
      <c r="A111" s="39">
        <v>639</v>
      </c>
      <c r="B111" s="8">
        <v>43279</v>
      </c>
      <c r="C111" s="9" t="s">
        <v>95</v>
      </c>
      <c r="D111" s="9" t="s">
        <v>162</v>
      </c>
      <c r="E111" s="9" t="s">
        <v>162</v>
      </c>
      <c r="F111" s="9" t="s">
        <v>162</v>
      </c>
      <c r="G111" s="9" t="s">
        <v>162</v>
      </c>
      <c r="H111" s="9" t="s">
        <v>162</v>
      </c>
      <c r="I111" s="9">
        <v>1962</v>
      </c>
      <c r="J111" s="10">
        <v>2004</v>
      </c>
      <c r="K111" s="9">
        <v>1974</v>
      </c>
      <c r="L111" s="9">
        <v>3</v>
      </c>
      <c r="M111" s="9" t="s">
        <v>162</v>
      </c>
      <c r="N111" s="9" t="s">
        <v>162</v>
      </c>
      <c r="O111" s="9" t="s">
        <v>162</v>
      </c>
      <c r="P111" s="47" t="s">
        <v>162</v>
      </c>
      <c r="Q111" s="9" t="s">
        <v>162</v>
      </c>
      <c r="R111" s="9" t="s">
        <v>162</v>
      </c>
      <c r="S111" s="9" t="s">
        <v>162</v>
      </c>
      <c r="T111" s="9" t="s">
        <v>368</v>
      </c>
      <c r="U111" s="9">
        <v>2018</v>
      </c>
      <c r="V111" s="9" t="s">
        <v>162</v>
      </c>
      <c r="W111" s="9" t="s">
        <v>162</v>
      </c>
      <c r="X111" s="9" t="s">
        <v>162</v>
      </c>
      <c r="Y111" s="9" t="s">
        <v>162</v>
      </c>
      <c r="Z111" s="9" t="s">
        <v>6410</v>
      </c>
      <c r="AA111" s="9" t="s">
        <v>96</v>
      </c>
      <c r="AB111" s="9" t="s">
        <v>96</v>
      </c>
      <c r="AC111" s="9" t="s">
        <v>96</v>
      </c>
      <c r="AD111" s="9" t="s">
        <v>96</v>
      </c>
      <c r="AE111" s="10" t="s">
        <v>35</v>
      </c>
      <c r="AF111" s="9" t="s">
        <v>162</v>
      </c>
      <c r="AG111" s="10" t="s">
        <v>6172</v>
      </c>
      <c r="AH111" s="9" t="s">
        <v>162</v>
      </c>
      <c r="AI111" s="10" t="s">
        <v>3718</v>
      </c>
      <c r="AJ111" s="9" t="s">
        <v>162</v>
      </c>
      <c r="AK111" s="9" t="s">
        <v>162</v>
      </c>
      <c r="AL111" s="9">
        <v>62.9</v>
      </c>
      <c r="AM111" s="9">
        <v>173</v>
      </c>
      <c r="AN111" s="9">
        <v>82</v>
      </c>
      <c r="AO111" s="9">
        <v>103.1</v>
      </c>
      <c r="AP111" s="9">
        <v>34.4</v>
      </c>
      <c r="AQ111" s="9">
        <v>7</v>
      </c>
      <c r="AR111" s="9">
        <v>27.4</v>
      </c>
      <c r="AS111" s="9">
        <v>54</v>
      </c>
      <c r="AT111" s="7">
        <v>23.7</v>
      </c>
      <c r="AU111" s="9">
        <v>115</v>
      </c>
      <c r="AV111" s="9">
        <v>80</v>
      </c>
      <c r="AX111" s="9" t="s">
        <v>162</v>
      </c>
      <c r="AY111" s="9" t="s">
        <v>162</v>
      </c>
      <c r="AZ111" s="9" t="s">
        <v>162</v>
      </c>
      <c r="BB111" s="9" t="s">
        <v>162</v>
      </c>
      <c r="BC111" s="9" t="s">
        <v>162</v>
      </c>
      <c r="BD111" s="9" t="s">
        <v>162</v>
      </c>
      <c r="BF111" s="9" t="s">
        <v>375</v>
      </c>
      <c r="BG111" s="9" t="s">
        <v>375</v>
      </c>
      <c r="BH111" s="9" t="s">
        <v>162</v>
      </c>
      <c r="BI111" s="9" t="s">
        <v>162</v>
      </c>
      <c r="BJ111" s="9" t="s">
        <v>162</v>
      </c>
      <c r="BK111" s="9" t="s">
        <v>162</v>
      </c>
      <c r="BN111" s="9" t="s">
        <v>6411</v>
      </c>
      <c r="BO111" s="9" t="s">
        <v>466</v>
      </c>
      <c r="BP111" s="9" t="s">
        <v>6412</v>
      </c>
      <c r="BR111" s="9" t="s">
        <v>162</v>
      </c>
      <c r="BS111" s="9" t="s">
        <v>162</v>
      </c>
      <c r="BT111" s="9" t="s">
        <v>162</v>
      </c>
      <c r="BV111" s="9" t="s">
        <v>6413</v>
      </c>
      <c r="BW111" s="9" t="s">
        <v>162</v>
      </c>
      <c r="BX111" s="9" t="s">
        <v>162</v>
      </c>
      <c r="BZ111" s="9" t="s">
        <v>526</v>
      </c>
      <c r="CA111" s="9" t="s">
        <v>433</v>
      </c>
      <c r="CB111" s="9" t="s">
        <v>432</v>
      </c>
      <c r="CD111" s="9" t="s">
        <v>162</v>
      </c>
      <c r="CE111" s="9" t="s">
        <v>162</v>
      </c>
      <c r="CF111" s="9" t="s">
        <v>162</v>
      </c>
      <c r="CH111" s="9" t="s">
        <v>162</v>
      </c>
      <c r="CI111" s="9" t="s">
        <v>162</v>
      </c>
      <c r="CJ111" s="9" t="s">
        <v>162</v>
      </c>
      <c r="CL111" s="9" t="s">
        <v>162</v>
      </c>
      <c r="CM111" s="9" t="s">
        <v>162</v>
      </c>
      <c r="CN111" s="9" t="s">
        <v>162</v>
      </c>
      <c r="CP111" s="9" t="s">
        <v>162</v>
      </c>
      <c r="CQ111" s="9" t="s">
        <v>162</v>
      </c>
      <c r="CR111" s="47" t="s">
        <v>162</v>
      </c>
      <c r="CT111" s="9" t="s">
        <v>1157</v>
      </c>
      <c r="CU111" s="9" t="s">
        <v>162</v>
      </c>
      <c r="CV111" s="9" t="s">
        <v>162</v>
      </c>
      <c r="CW111" s="9">
        <v>1</v>
      </c>
      <c r="CX111" s="9" t="s">
        <v>263</v>
      </c>
      <c r="CY111" s="9" t="s">
        <v>263</v>
      </c>
      <c r="CZ111" s="9">
        <v>100</v>
      </c>
      <c r="DA111" s="9">
        <v>0</v>
      </c>
      <c r="DB111" s="9">
        <v>45</v>
      </c>
      <c r="DC111" s="9">
        <v>84.4</v>
      </c>
      <c r="DD111" s="9">
        <v>0.55000000000000004</v>
      </c>
      <c r="DE111" s="10">
        <v>270</v>
      </c>
      <c r="DF111" s="10">
        <v>155</v>
      </c>
      <c r="DG111" s="9">
        <f t="shared" si="1"/>
        <v>4.7394962592605792</v>
      </c>
      <c r="DH111" s="9">
        <v>31</v>
      </c>
      <c r="DI111" s="9">
        <v>4.0999999999999996</v>
      </c>
      <c r="DJ111" s="9">
        <v>19</v>
      </c>
      <c r="DK111" s="9">
        <v>15.3</v>
      </c>
      <c r="DL111" s="9">
        <v>47.5</v>
      </c>
      <c r="DM111" s="9">
        <v>191.5</v>
      </c>
      <c r="DP111" s="11">
        <v>3</v>
      </c>
    </row>
    <row r="112" spans="1:125" x14ac:dyDescent="0.2">
      <c r="A112" s="7">
        <v>640</v>
      </c>
      <c r="B112" s="8">
        <v>43279</v>
      </c>
      <c r="C112" s="9" t="s">
        <v>95</v>
      </c>
      <c r="D112" s="9">
        <v>41</v>
      </c>
      <c r="E112" s="9" t="s">
        <v>96</v>
      </c>
      <c r="F112" s="8">
        <v>27996</v>
      </c>
      <c r="G112" s="9" t="s">
        <v>314</v>
      </c>
      <c r="H112" s="9" t="s">
        <v>6414</v>
      </c>
      <c r="I112" s="9" t="s">
        <v>162</v>
      </c>
      <c r="J112" s="9" t="s">
        <v>162</v>
      </c>
      <c r="K112" s="9">
        <v>2013</v>
      </c>
      <c r="L112" s="9">
        <v>1</v>
      </c>
      <c r="M112" s="9" t="s">
        <v>263</v>
      </c>
      <c r="N112" s="9" t="s">
        <v>263</v>
      </c>
      <c r="O112" s="10" t="s">
        <v>368</v>
      </c>
      <c r="P112" s="9" t="s">
        <v>263</v>
      </c>
      <c r="Q112" s="9" t="s">
        <v>263</v>
      </c>
      <c r="R112" s="9" t="s">
        <v>368</v>
      </c>
      <c r="S112" s="9" t="s">
        <v>368</v>
      </c>
      <c r="T112" s="9" t="s">
        <v>263</v>
      </c>
      <c r="U112" s="9" t="s">
        <v>263</v>
      </c>
      <c r="V112" s="9" t="s">
        <v>162</v>
      </c>
      <c r="W112" s="9" t="s">
        <v>6409</v>
      </c>
      <c r="X112" s="9" t="s">
        <v>162</v>
      </c>
      <c r="Y112" s="9" t="s">
        <v>162</v>
      </c>
      <c r="Z112" s="9" t="s">
        <v>162</v>
      </c>
      <c r="AA112" s="9" t="s">
        <v>96</v>
      </c>
      <c r="AB112" s="9" t="s">
        <v>96</v>
      </c>
      <c r="AC112" s="9" t="s">
        <v>96</v>
      </c>
      <c r="AD112" s="9" t="s">
        <v>96</v>
      </c>
      <c r="AE112" s="10" t="s">
        <v>6415</v>
      </c>
      <c r="AF112" s="10" t="s">
        <v>6416</v>
      </c>
      <c r="AG112" s="10" t="s">
        <v>6416</v>
      </c>
      <c r="AH112" s="9" t="s">
        <v>162</v>
      </c>
      <c r="AI112" s="9" t="s">
        <v>162</v>
      </c>
      <c r="AJ112" s="9" t="s">
        <v>162</v>
      </c>
      <c r="AK112" s="9" t="s">
        <v>162</v>
      </c>
      <c r="AL112" s="9">
        <v>63.2</v>
      </c>
      <c r="AM112" s="9">
        <v>160</v>
      </c>
      <c r="AN112" s="9">
        <v>85.7</v>
      </c>
      <c r="AO112" s="9">
        <v>102.3</v>
      </c>
      <c r="AP112" s="9">
        <v>35.5</v>
      </c>
      <c r="AQ112" s="9">
        <v>6</v>
      </c>
      <c r="AR112" s="9">
        <v>27.6</v>
      </c>
      <c r="AS112" s="9">
        <v>44</v>
      </c>
      <c r="AT112" s="7">
        <v>24.7</v>
      </c>
      <c r="AU112" s="39">
        <v>102</v>
      </c>
      <c r="AV112" s="9">
        <v>75</v>
      </c>
      <c r="AX112" s="9" t="s">
        <v>389</v>
      </c>
      <c r="AY112" s="9" t="s">
        <v>5160</v>
      </c>
      <c r="AZ112" s="9" t="s">
        <v>6417</v>
      </c>
      <c r="BB112" s="9" t="s">
        <v>6188</v>
      </c>
      <c r="BC112" s="9" t="s">
        <v>6418</v>
      </c>
      <c r="BD112" s="9" t="s">
        <v>162</v>
      </c>
      <c r="BF112" s="9" t="s">
        <v>322</v>
      </c>
      <c r="BG112" s="9" t="s">
        <v>325</v>
      </c>
      <c r="BH112" s="9" t="s">
        <v>483</v>
      </c>
      <c r="BI112" s="9" t="s">
        <v>322</v>
      </c>
      <c r="BJ112" s="9" t="s">
        <v>322</v>
      </c>
      <c r="BK112" s="9" t="s">
        <v>276</v>
      </c>
      <c r="BN112" s="9" t="s">
        <v>6419</v>
      </c>
      <c r="BR112" s="9" t="s">
        <v>162</v>
      </c>
      <c r="BS112" s="9" t="s">
        <v>162</v>
      </c>
      <c r="BT112" s="9" t="s">
        <v>162</v>
      </c>
      <c r="BV112" s="9" t="s">
        <v>162</v>
      </c>
      <c r="BW112" s="9" t="s">
        <v>162</v>
      </c>
      <c r="BX112" s="9" t="s">
        <v>162</v>
      </c>
      <c r="BZ112" s="9" t="s">
        <v>6420</v>
      </c>
      <c r="CA112" s="9" t="s">
        <v>162</v>
      </c>
      <c r="CB112" s="9" t="s">
        <v>162</v>
      </c>
      <c r="CD112" s="9" t="s">
        <v>162</v>
      </c>
      <c r="CE112" s="9" t="s">
        <v>162</v>
      </c>
      <c r="CF112" s="9" t="s">
        <v>162</v>
      </c>
      <c r="CH112" s="9" t="s">
        <v>162</v>
      </c>
      <c r="CI112" s="9" t="s">
        <v>162</v>
      </c>
      <c r="CJ112" s="9" t="s">
        <v>162</v>
      </c>
      <c r="CL112" s="9" t="s">
        <v>333</v>
      </c>
      <c r="CM112" s="9" t="s">
        <v>923</v>
      </c>
      <c r="CP112" s="9" t="s">
        <v>6421</v>
      </c>
      <c r="CT112" s="9" t="s">
        <v>6422</v>
      </c>
      <c r="CW112" s="9">
        <v>3</v>
      </c>
      <c r="CX112" s="9" t="s">
        <v>368</v>
      </c>
      <c r="CY112" s="9" t="s">
        <v>263</v>
      </c>
      <c r="CZ112" s="9" t="s">
        <v>162</v>
      </c>
      <c r="DA112" s="9" t="s">
        <v>162</v>
      </c>
      <c r="DB112" s="9" t="s">
        <v>162</v>
      </c>
      <c r="DC112" s="9">
        <v>80.8</v>
      </c>
      <c r="DD112" s="9">
        <v>0.67</v>
      </c>
      <c r="DE112" s="9">
        <v>173</v>
      </c>
      <c r="DF112" s="9">
        <v>101</v>
      </c>
      <c r="DG112" s="9">
        <f t="shared" si="1"/>
        <v>4.5035487411841544</v>
      </c>
      <c r="DH112" s="9">
        <v>20.2</v>
      </c>
      <c r="DI112" s="9">
        <v>3.2</v>
      </c>
      <c r="DJ112" s="9">
        <v>6.7</v>
      </c>
      <c r="DK112" s="9">
        <v>20.7</v>
      </c>
      <c r="DL112" s="9">
        <v>54.8</v>
      </c>
      <c r="DM112" s="9">
        <v>98</v>
      </c>
      <c r="DP112" s="11">
        <v>3</v>
      </c>
      <c r="DR112" s="9">
        <v>2</v>
      </c>
      <c r="DT112" s="9">
        <v>7.7</v>
      </c>
      <c r="DU112" s="9">
        <v>2.66</v>
      </c>
    </row>
    <row r="113" spans="1:125" x14ac:dyDescent="0.2">
      <c r="A113" s="39">
        <v>641</v>
      </c>
      <c r="B113" s="8">
        <v>43279</v>
      </c>
      <c r="C113" s="9" t="s">
        <v>95</v>
      </c>
      <c r="D113" s="9">
        <v>42</v>
      </c>
      <c r="E113" s="9" t="s">
        <v>96</v>
      </c>
      <c r="F113" s="8">
        <v>27611</v>
      </c>
      <c r="G113" s="9" t="s">
        <v>314</v>
      </c>
      <c r="H113" s="9" t="s">
        <v>6423</v>
      </c>
      <c r="I113" s="9">
        <v>1986</v>
      </c>
      <c r="J113" s="9" t="s">
        <v>162</v>
      </c>
      <c r="K113" s="9" t="s">
        <v>162</v>
      </c>
      <c r="L113" s="9">
        <v>0</v>
      </c>
      <c r="M113" s="9" t="s">
        <v>263</v>
      </c>
      <c r="N113" s="9" t="s">
        <v>263</v>
      </c>
      <c r="O113" s="9" t="s">
        <v>263</v>
      </c>
      <c r="P113" s="9" t="s">
        <v>263</v>
      </c>
      <c r="Q113" s="9" t="s">
        <v>263</v>
      </c>
      <c r="R113" s="9" t="s">
        <v>263</v>
      </c>
      <c r="S113" s="9" t="s">
        <v>368</v>
      </c>
      <c r="T113" s="9" t="s">
        <v>368</v>
      </c>
      <c r="U113" s="8">
        <v>42828</v>
      </c>
      <c r="V113" s="9" t="s">
        <v>263</v>
      </c>
      <c r="W113" s="9" t="s">
        <v>162</v>
      </c>
      <c r="X113" s="9" t="s">
        <v>263</v>
      </c>
      <c r="Y113" s="9" t="s">
        <v>162</v>
      </c>
      <c r="Z113" s="9" t="s">
        <v>545</v>
      </c>
      <c r="AA113" s="9" t="s">
        <v>5024</v>
      </c>
      <c r="AB113" s="9" t="s">
        <v>96</v>
      </c>
      <c r="AC113" s="9" t="s">
        <v>96</v>
      </c>
      <c r="AD113" s="9" t="s">
        <v>96</v>
      </c>
      <c r="AE113" s="9" t="s">
        <v>263</v>
      </c>
      <c r="AF113" s="9" t="s">
        <v>263</v>
      </c>
      <c r="AG113" s="10" t="s">
        <v>6424</v>
      </c>
      <c r="AH113" s="9" t="s">
        <v>263</v>
      </c>
      <c r="AI113" s="9" t="s">
        <v>263</v>
      </c>
      <c r="AJ113" s="9" t="s">
        <v>263</v>
      </c>
      <c r="AK113" s="9" t="s">
        <v>162</v>
      </c>
      <c r="AL113" s="9">
        <v>68.7</v>
      </c>
      <c r="AM113" s="9">
        <v>1.69</v>
      </c>
      <c r="AN113" s="9">
        <v>76.900000000000006</v>
      </c>
      <c r="AO113" s="9">
        <v>101</v>
      </c>
      <c r="AP113" s="9">
        <v>38</v>
      </c>
      <c r="AQ113" s="9">
        <v>6</v>
      </c>
      <c r="AR113" s="9">
        <v>25.5</v>
      </c>
      <c r="AS113" s="9">
        <v>41</v>
      </c>
      <c r="AT113" s="7">
        <v>24.1</v>
      </c>
      <c r="AU113" s="9">
        <v>100</v>
      </c>
      <c r="AV113" s="9">
        <v>73</v>
      </c>
      <c r="AX113" s="9" t="s">
        <v>1233</v>
      </c>
      <c r="AY113" s="9" t="s">
        <v>6425</v>
      </c>
      <c r="AZ113" s="9" t="s">
        <v>6426</v>
      </c>
      <c r="BB113" s="9" t="s">
        <v>162</v>
      </c>
      <c r="BC113" s="9" t="s">
        <v>162</v>
      </c>
      <c r="BD113" s="9" t="s">
        <v>162</v>
      </c>
      <c r="BF113" s="9" t="s">
        <v>322</v>
      </c>
      <c r="BG113" s="9" t="s">
        <v>322</v>
      </c>
      <c r="BH113" s="9" t="s">
        <v>263</v>
      </c>
      <c r="BI113" s="9" t="s">
        <v>375</v>
      </c>
      <c r="BJ113" s="9" t="s">
        <v>375</v>
      </c>
      <c r="BK113" s="9" t="s">
        <v>276</v>
      </c>
      <c r="BN113" s="9" t="s">
        <v>6277</v>
      </c>
      <c r="BO113" s="9" t="s">
        <v>411</v>
      </c>
      <c r="BP113" s="9" t="s">
        <v>6412</v>
      </c>
      <c r="BR113" s="9" t="s">
        <v>263</v>
      </c>
      <c r="BS113" s="9" t="s">
        <v>162</v>
      </c>
      <c r="BT113" s="9" t="s">
        <v>162</v>
      </c>
      <c r="BV113" s="9" t="s">
        <v>263</v>
      </c>
      <c r="BW113" s="9" t="s">
        <v>162</v>
      </c>
      <c r="BX113" s="9" t="s">
        <v>162</v>
      </c>
      <c r="BZ113" s="9" t="s">
        <v>5782</v>
      </c>
      <c r="CA113" s="9" t="s">
        <v>433</v>
      </c>
      <c r="CB113" s="9" t="s">
        <v>526</v>
      </c>
      <c r="CD113" s="9" t="s">
        <v>483</v>
      </c>
      <c r="CE113" s="9" t="s">
        <v>162</v>
      </c>
      <c r="CF113" s="9" t="s">
        <v>162</v>
      </c>
      <c r="CH113" s="9" t="s">
        <v>483</v>
      </c>
      <c r="CI113" s="9" t="s">
        <v>162</v>
      </c>
      <c r="CJ113" s="9" t="s">
        <v>162</v>
      </c>
      <c r="CL113" s="9" t="s">
        <v>333</v>
      </c>
      <c r="CM113" s="9" t="s">
        <v>162</v>
      </c>
      <c r="CN113" s="9" t="s">
        <v>162</v>
      </c>
      <c r="CP113" s="9" t="s">
        <v>635</v>
      </c>
      <c r="CQ113" s="9" t="s">
        <v>162</v>
      </c>
      <c r="CR113" s="9" t="s">
        <v>162</v>
      </c>
      <c r="CT113" s="9" t="s">
        <v>162</v>
      </c>
      <c r="CU113" s="9" t="s">
        <v>162</v>
      </c>
      <c r="CV113" s="9" t="s">
        <v>162</v>
      </c>
      <c r="CW113" s="9">
        <v>3</v>
      </c>
      <c r="CX113" s="9" t="s">
        <v>368</v>
      </c>
      <c r="CY113" s="9" t="s">
        <v>368</v>
      </c>
      <c r="CZ113" s="9">
        <v>100</v>
      </c>
      <c r="DA113" s="9">
        <v>40</v>
      </c>
      <c r="DB113" s="9">
        <v>40</v>
      </c>
      <c r="DC113" s="9">
        <v>77.2</v>
      </c>
      <c r="DD113" s="9">
        <v>0.56000000000000005</v>
      </c>
      <c r="DE113" s="10">
        <v>253</v>
      </c>
      <c r="DF113" s="9">
        <v>91</v>
      </c>
      <c r="DG113" s="9">
        <f t="shared" si="1"/>
        <v>4.4286294817737906</v>
      </c>
      <c r="DH113" s="9">
        <v>18.2</v>
      </c>
      <c r="DI113" s="9">
        <v>4.5</v>
      </c>
      <c r="DJ113" s="10">
        <v>80.3</v>
      </c>
      <c r="DK113" s="9">
        <v>15.7</v>
      </c>
      <c r="DL113" s="9">
        <v>55.7</v>
      </c>
      <c r="DM113" s="9">
        <v>179.1</v>
      </c>
      <c r="DP113" s="11">
        <v>3</v>
      </c>
    </row>
    <row r="114" spans="1:125" x14ac:dyDescent="0.2">
      <c r="A114" s="7">
        <v>644</v>
      </c>
      <c r="B114" s="8">
        <v>43279</v>
      </c>
      <c r="C114" s="9" t="s">
        <v>95</v>
      </c>
      <c r="D114" s="9">
        <v>47</v>
      </c>
      <c r="E114" s="9" t="s">
        <v>96</v>
      </c>
      <c r="F114" s="8">
        <v>25861</v>
      </c>
      <c r="G114" s="9" t="s">
        <v>162</v>
      </c>
      <c r="H114" s="9" t="s">
        <v>162</v>
      </c>
      <c r="I114" s="9" t="s">
        <v>162</v>
      </c>
      <c r="J114" s="9" t="s">
        <v>162</v>
      </c>
      <c r="K114" s="8">
        <v>43119</v>
      </c>
      <c r="L114" s="9">
        <v>3</v>
      </c>
      <c r="M114" s="9" t="s">
        <v>263</v>
      </c>
      <c r="N114" s="9" t="s">
        <v>263</v>
      </c>
      <c r="O114" s="9" t="s">
        <v>263</v>
      </c>
      <c r="P114" s="9" t="s">
        <v>263</v>
      </c>
      <c r="Q114" s="10" t="s">
        <v>369</v>
      </c>
      <c r="R114" s="9" t="s">
        <v>162</v>
      </c>
      <c r="S114" s="9" t="s">
        <v>162</v>
      </c>
      <c r="T114" s="9" t="s">
        <v>162</v>
      </c>
      <c r="U114" s="9" t="s">
        <v>162</v>
      </c>
      <c r="V114" s="9" t="s">
        <v>162</v>
      </c>
      <c r="W114" s="10" t="s">
        <v>6441</v>
      </c>
      <c r="X114" s="9" t="s">
        <v>162</v>
      </c>
      <c r="Y114" s="9" t="s">
        <v>6442</v>
      </c>
      <c r="Z114" s="9" t="s">
        <v>6443</v>
      </c>
      <c r="AA114" s="9" t="s">
        <v>96</v>
      </c>
      <c r="AB114" s="9" t="s">
        <v>96</v>
      </c>
      <c r="AC114" s="9" t="s">
        <v>162</v>
      </c>
      <c r="AD114" s="9" t="s">
        <v>162</v>
      </c>
      <c r="AE114" s="10" t="s">
        <v>35</v>
      </c>
      <c r="AF114" s="10" t="s">
        <v>35</v>
      </c>
      <c r="AG114" s="9" t="s">
        <v>263</v>
      </c>
      <c r="AH114" s="10" t="s">
        <v>6248</v>
      </c>
      <c r="AI114" s="10" t="s">
        <v>6383</v>
      </c>
      <c r="AJ114" s="9" t="s">
        <v>263</v>
      </c>
      <c r="AK114" s="9" t="s">
        <v>162</v>
      </c>
      <c r="AL114" s="9">
        <v>64.099999999999994</v>
      </c>
      <c r="AM114" s="9">
        <v>162</v>
      </c>
      <c r="AN114" s="46">
        <v>92</v>
      </c>
      <c r="AO114" s="9">
        <v>102</v>
      </c>
      <c r="AP114" s="9">
        <v>40</v>
      </c>
      <c r="AQ114" s="9">
        <v>7</v>
      </c>
      <c r="AR114" s="9">
        <v>23.6</v>
      </c>
      <c r="AS114" s="9">
        <v>47</v>
      </c>
      <c r="AT114" s="7">
        <v>24.4</v>
      </c>
      <c r="AU114" s="9">
        <v>114</v>
      </c>
      <c r="AV114" s="9">
        <v>74</v>
      </c>
      <c r="AX114" s="9" t="s">
        <v>1034</v>
      </c>
      <c r="AY114" s="9" t="s">
        <v>162</v>
      </c>
      <c r="AZ114" s="9" t="s">
        <v>162</v>
      </c>
      <c r="BB114" s="9" t="s">
        <v>322</v>
      </c>
      <c r="BC114" s="9" t="s">
        <v>162</v>
      </c>
      <c r="BD114" s="9" t="s">
        <v>162</v>
      </c>
      <c r="BF114" s="9" t="s">
        <v>322</v>
      </c>
      <c r="BG114" s="9" t="s">
        <v>322</v>
      </c>
      <c r="BH114" s="9" t="s">
        <v>162</v>
      </c>
      <c r="BI114" s="9" t="s">
        <v>322</v>
      </c>
      <c r="BJ114" s="9" t="s">
        <v>322</v>
      </c>
      <c r="BK114" s="9" t="s">
        <v>162</v>
      </c>
      <c r="BN114" s="9" t="s">
        <v>323</v>
      </c>
      <c r="BO114" s="9" t="s">
        <v>162</v>
      </c>
      <c r="BP114" s="9" t="s">
        <v>162</v>
      </c>
      <c r="BR114" s="9" t="s">
        <v>162</v>
      </c>
      <c r="BS114" s="9" t="s">
        <v>162</v>
      </c>
      <c r="BT114" s="9" t="s">
        <v>162</v>
      </c>
      <c r="BV114" s="9" t="s">
        <v>162</v>
      </c>
      <c r="BW114" s="9" t="s">
        <v>162</v>
      </c>
      <c r="BX114" s="9" t="s">
        <v>162</v>
      </c>
      <c r="BZ114" s="9" t="s">
        <v>322</v>
      </c>
      <c r="CA114" s="9" t="s">
        <v>162</v>
      </c>
      <c r="CB114" s="9" t="s">
        <v>162</v>
      </c>
      <c r="CD114" s="9" t="s">
        <v>162</v>
      </c>
      <c r="CE114" s="9" t="s">
        <v>162</v>
      </c>
      <c r="CF114" s="9" t="s">
        <v>162</v>
      </c>
      <c r="CH114" s="9" t="s">
        <v>162</v>
      </c>
      <c r="CI114" s="9" t="s">
        <v>162</v>
      </c>
      <c r="CJ114" s="9" t="s">
        <v>162</v>
      </c>
      <c r="CL114" s="9" t="s">
        <v>450</v>
      </c>
      <c r="CM114" s="9" t="s">
        <v>162</v>
      </c>
      <c r="CN114" s="9" t="s">
        <v>162</v>
      </c>
      <c r="CP114" s="9" t="s">
        <v>322</v>
      </c>
      <c r="CQ114" s="9" t="s">
        <v>162</v>
      </c>
      <c r="CR114" s="9" t="s">
        <v>162</v>
      </c>
      <c r="CT114" s="9" t="s">
        <v>375</v>
      </c>
      <c r="CU114" s="9" t="s">
        <v>162</v>
      </c>
      <c r="CV114" s="9" t="s">
        <v>162</v>
      </c>
      <c r="CW114" s="9" t="s">
        <v>969</v>
      </c>
      <c r="CX114" s="9" t="s">
        <v>263</v>
      </c>
      <c r="CY114" s="9" t="s">
        <v>263</v>
      </c>
      <c r="CZ114" s="9" t="s">
        <v>162</v>
      </c>
      <c r="DA114" s="9" t="s">
        <v>162</v>
      </c>
      <c r="DB114" s="9" t="s">
        <v>162</v>
      </c>
      <c r="DC114" s="9">
        <v>80.099999999999994</v>
      </c>
      <c r="DD114" s="9">
        <v>0.47</v>
      </c>
      <c r="DE114" s="9">
        <v>114</v>
      </c>
      <c r="DF114" s="9">
        <v>146</v>
      </c>
      <c r="DG114" s="9">
        <f t="shared" si="1"/>
        <v>4.6834412378913246</v>
      </c>
      <c r="DH114" s="9">
        <v>27.6</v>
      </c>
      <c r="DI114" s="9">
        <v>3.82</v>
      </c>
      <c r="DJ114" s="9">
        <v>18.3</v>
      </c>
      <c r="DK114" s="9">
        <v>17.3</v>
      </c>
      <c r="DL114" s="9">
        <v>51.2</v>
      </c>
      <c r="DM114" s="9">
        <v>35.200000000000003</v>
      </c>
      <c r="DP114" s="18">
        <v>1</v>
      </c>
      <c r="DR114" s="9">
        <v>2</v>
      </c>
      <c r="DT114" s="9">
        <v>11.4</v>
      </c>
      <c r="DU114" s="9">
        <v>5.5</v>
      </c>
    </row>
    <row r="115" spans="1:125" x14ac:dyDescent="0.2">
      <c r="A115" s="7">
        <v>650</v>
      </c>
      <c r="B115" s="8">
        <v>43279</v>
      </c>
      <c r="C115" s="9" t="s">
        <v>95</v>
      </c>
      <c r="D115" s="9">
        <v>43</v>
      </c>
      <c r="E115" s="9" t="s">
        <v>96</v>
      </c>
      <c r="F115" s="8">
        <v>27334</v>
      </c>
      <c r="G115" s="9" t="s">
        <v>4268</v>
      </c>
      <c r="H115" s="9" t="s">
        <v>162</v>
      </c>
      <c r="I115" s="9" t="s">
        <v>162</v>
      </c>
      <c r="J115" s="9" t="s">
        <v>162</v>
      </c>
      <c r="K115" s="8">
        <v>36150</v>
      </c>
      <c r="L115" s="9">
        <v>2</v>
      </c>
      <c r="M115" s="9" t="s">
        <v>263</v>
      </c>
      <c r="N115" s="9" t="s">
        <v>263</v>
      </c>
      <c r="O115" s="9" t="s">
        <v>263</v>
      </c>
      <c r="P115" s="9" t="s">
        <v>162</v>
      </c>
      <c r="Q115" s="10" t="s">
        <v>369</v>
      </c>
      <c r="R115" s="9" t="s">
        <v>263</v>
      </c>
      <c r="S115" s="9" t="s">
        <v>263</v>
      </c>
      <c r="T115" s="9" t="s">
        <v>263</v>
      </c>
      <c r="U115" s="9" t="s">
        <v>263</v>
      </c>
      <c r="V115" s="9" t="s">
        <v>263</v>
      </c>
      <c r="W115" s="9" t="s">
        <v>263</v>
      </c>
      <c r="X115" s="9" t="s">
        <v>263</v>
      </c>
      <c r="Y115" s="9" t="s">
        <v>162</v>
      </c>
      <c r="Z115" s="9" t="s">
        <v>6443</v>
      </c>
      <c r="AA115" s="9" t="s">
        <v>96</v>
      </c>
      <c r="AB115" s="9" t="s">
        <v>3535</v>
      </c>
      <c r="AC115" s="9" t="s">
        <v>96</v>
      </c>
      <c r="AD115" s="52" t="s">
        <v>1697</v>
      </c>
      <c r="AE115" s="10" t="s">
        <v>6416</v>
      </c>
      <c r="AF115" s="10" t="s">
        <v>901</v>
      </c>
      <c r="AG115" s="10" t="s">
        <v>424</v>
      </c>
      <c r="AH115" s="10" t="s">
        <v>6400</v>
      </c>
      <c r="AI115" s="9" t="s">
        <v>263</v>
      </c>
      <c r="AJ115" s="10" t="s">
        <v>6483</v>
      </c>
      <c r="AK115" s="10" t="s">
        <v>6484</v>
      </c>
      <c r="AL115" s="9">
        <v>69.7</v>
      </c>
      <c r="AM115" s="9">
        <v>170</v>
      </c>
      <c r="AN115" s="9">
        <v>83.1</v>
      </c>
      <c r="AO115" s="9">
        <v>106</v>
      </c>
      <c r="AP115" s="9">
        <v>38.200000000000003</v>
      </c>
      <c r="AQ115" s="9">
        <v>6</v>
      </c>
      <c r="AR115" s="9">
        <v>25.4</v>
      </c>
      <c r="AS115" s="9">
        <v>42</v>
      </c>
      <c r="AT115" s="7">
        <v>24.1</v>
      </c>
      <c r="AU115" s="9">
        <v>94</v>
      </c>
      <c r="AV115" s="9">
        <v>66</v>
      </c>
      <c r="AX115" s="9" t="s">
        <v>426</v>
      </c>
      <c r="AY115" s="9" t="s">
        <v>6485</v>
      </c>
      <c r="AZ115" s="9" t="s">
        <v>6486</v>
      </c>
      <c r="BB115" s="9" t="s">
        <v>5714</v>
      </c>
      <c r="BC115" s="9" t="s">
        <v>5713</v>
      </c>
      <c r="BD115" s="9" t="s">
        <v>446</v>
      </c>
      <c r="BF115" s="9" t="s">
        <v>375</v>
      </c>
      <c r="BG115" s="9" t="s">
        <v>375</v>
      </c>
      <c r="BH115" s="9" t="s">
        <v>263</v>
      </c>
      <c r="BI115" s="9" t="s">
        <v>375</v>
      </c>
      <c r="BJ115" s="9" t="s">
        <v>276</v>
      </c>
      <c r="BK115" s="9" t="s">
        <v>375</v>
      </c>
      <c r="BN115" s="9" t="s">
        <v>6487</v>
      </c>
      <c r="BO115" s="9" t="s">
        <v>6488</v>
      </c>
      <c r="BP115" s="9" t="s">
        <v>5646</v>
      </c>
      <c r="BR115" s="9" t="s">
        <v>162</v>
      </c>
      <c r="BS115" s="9" t="s">
        <v>162</v>
      </c>
      <c r="BT115" s="9" t="s">
        <v>162</v>
      </c>
      <c r="BV115" s="9" t="s">
        <v>2465</v>
      </c>
      <c r="BW115" s="9" t="s">
        <v>6489</v>
      </c>
      <c r="BX115" s="9" t="s">
        <v>3984</v>
      </c>
      <c r="BZ115" s="9" t="s">
        <v>2721</v>
      </c>
      <c r="CA115" s="9" t="s">
        <v>6490</v>
      </c>
      <c r="CB115" s="9" t="s">
        <v>6491</v>
      </c>
      <c r="CD115" s="9" t="s">
        <v>162</v>
      </c>
      <c r="CE115" s="9" t="s">
        <v>162</v>
      </c>
      <c r="CF115" s="9" t="s">
        <v>162</v>
      </c>
      <c r="CH115" s="9" t="s">
        <v>162</v>
      </c>
      <c r="CI115" s="9" t="s">
        <v>162</v>
      </c>
      <c r="CJ115" s="9" t="s">
        <v>162</v>
      </c>
      <c r="CL115" s="9" t="s">
        <v>333</v>
      </c>
      <c r="CM115" s="9" t="s">
        <v>472</v>
      </c>
      <c r="CN115" s="9" t="s">
        <v>560</v>
      </c>
      <c r="CP115" s="9" t="s">
        <v>637</v>
      </c>
      <c r="CQ115" s="9" t="s">
        <v>636</v>
      </c>
      <c r="CR115" s="9" t="s">
        <v>6492</v>
      </c>
      <c r="CT115" s="9" t="s">
        <v>998</v>
      </c>
      <c r="CU115" s="9" t="s">
        <v>6493</v>
      </c>
      <c r="CV115" s="9" t="s">
        <v>1269</v>
      </c>
      <c r="CW115" s="9">
        <v>3</v>
      </c>
      <c r="CX115" s="9" t="s">
        <v>162</v>
      </c>
      <c r="CY115" s="9" t="s">
        <v>368</v>
      </c>
      <c r="CZ115" s="9" t="s">
        <v>162</v>
      </c>
      <c r="DA115" s="9" t="s">
        <v>162</v>
      </c>
      <c r="DB115" s="9" t="s">
        <v>162</v>
      </c>
      <c r="DC115" s="9">
        <v>89.2</v>
      </c>
      <c r="DD115" s="9">
        <v>0.26</v>
      </c>
      <c r="DE115" s="10">
        <v>230</v>
      </c>
      <c r="DF115" s="10">
        <v>197</v>
      </c>
      <c r="DG115" s="9">
        <f t="shared" si="1"/>
        <v>4.8870423841619761</v>
      </c>
      <c r="DH115" s="9">
        <v>39.4</v>
      </c>
      <c r="DI115" s="9">
        <v>4.76</v>
      </c>
      <c r="DJ115" s="9">
        <v>17</v>
      </c>
      <c r="DK115" s="10">
        <v>32.299999999999997</v>
      </c>
      <c r="DL115" s="10">
        <v>43</v>
      </c>
      <c r="DM115" s="9">
        <v>147.6</v>
      </c>
      <c r="DP115" s="11">
        <v>2</v>
      </c>
      <c r="DT115" s="9">
        <v>13</v>
      </c>
      <c r="DU115" s="9">
        <v>6</v>
      </c>
    </row>
    <row r="116" spans="1:125" x14ac:dyDescent="0.2">
      <c r="A116" s="7">
        <v>658</v>
      </c>
      <c r="B116" s="8">
        <v>43279</v>
      </c>
      <c r="C116" s="9" t="s">
        <v>95</v>
      </c>
      <c r="D116" s="9">
        <v>43</v>
      </c>
      <c r="E116" s="9" t="s">
        <v>96</v>
      </c>
      <c r="F116" s="8">
        <v>27413</v>
      </c>
      <c r="G116" s="9" t="s">
        <v>162</v>
      </c>
      <c r="H116" s="9" t="s">
        <v>5766</v>
      </c>
      <c r="I116" s="9">
        <v>1989</v>
      </c>
      <c r="J116" s="9" t="s">
        <v>162</v>
      </c>
      <c r="K116" s="9">
        <v>2002</v>
      </c>
      <c r="L116" s="9">
        <v>1</v>
      </c>
      <c r="M116" s="9" t="s">
        <v>263</v>
      </c>
      <c r="N116" s="9" t="s">
        <v>263</v>
      </c>
      <c r="O116" s="9" t="s">
        <v>263</v>
      </c>
      <c r="P116" s="10" t="s">
        <v>368</v>
      </c>
      <c r="Q116" s="10" t="s">
        <v>368</v>
      </c>
      <c r="R116" s="9" t="s">
        <v>263</v>
      </c>
      <c r="S116" s="9" t="s">
        <v>4006</v>
      </c>
      <c r="T116" s="9" t="s">
        <v>6525</v>
      </c>
      <c r="U116" s="9" t="s">
        <v>263</v>
      </c>
      <c r="V116" s="9" t="s">
        <v>263</v>
      </c>
      <c r="W116" s="9" t="s">
        <v>263</v>
      </c>
      <c r="X116" s="9" t="s">
        <v>263</v>
      </c>
      <c r="Y116" s="9" t="s">
        <v>162</v>
      </c>
      <c r="Z116" s="9" t="s">
        <v>162</v>
      </c>
      <c r="AA116" s="9" t="s">
        <v>1419</v>
      </c>
      <c r="AB116" s="9" t="s">
        <v>162</v>
      </c>
      <c r="AC116" s="9" t="s">
        <v>1419</v>
      </c>
      <c r="AD116" s="9" t="s">
        <v>162</v>
      </c>
      <c r="AE116" s="10" t="s">
        <v>6526</v>
      </c>
      <c r="AF116" s="10" t="s">
        <v>35</v>
      </c>
      <c r="AG116" s="9" t="s">
        <v>263</v>
      </c>
      <c r="AH116" s="9" t="s">
        <v>263</v>
      </c>
      <c r="AI116" s="10" t="s">
        <v>6350</v>
      </c>
      <c r="AJ116" s="9" t="s">
        <v>162</v>
      </c>
      <c r="AK116" s="10" t="s">
        <v>6527</v>
      </c>
      <c r="AL116" s="9">
        <v>36.700000000000003</v>
      </c>
      <c r="AM116" s="9">
        <v>145</v>
      </c>
      <c r="AN116" s="9">
        <v>66</v>
      </c>
      <c r="AO116" s="9">
        <v>84</v>
      </c>
      <c r="AP116" s="9">
        <v>20</v>
      </c>
      <c r="AQ116" s="9">
        <v>3</v>
      </c>
      <c r="AR116" s="9">
        <v>24.4</v>
      </c>
      <c r="AS116" s="9">
        <v>18</v>
      </c>
      <c r="AT116" s="7">
        <v>17.5</v>
      </c>
      <c r="AU116" s="9">
        <v>82</v>
      </c>
      <c r="AV116" s="9">
        <v>59</v>
      </c>
      <c r="AX116" s="9" t="s">
        <v>162</v>
      </c>
      <c r="AY116" s="9" t="s">
        <v>162</v>
      </c>
      <c r="AZ116" s="9" t="s">
        <v>162</v>
      </c>
      <c r="BB116" s="9" t="s">
        <v>162</v>
      </c>
      <c r="BC116" s="9" t="s">
        <v>162</v>
      </c>
      <c r="BD116" s="9" t="s">
        <v>162</v>
      </c>
      <c r="BF116" s="9" t="s">
        <v>162</v>
      </c>
      <c r="BG116" s="9" t="s">
        <v>162</v>
      </c>
      <c r="BH116" s="9" t="s">
        <v>162</v>
      </c>
      <c r="BI116" s="9" t="s">
        <v>162</v>
      </c>
      <c r="BJ116" s="9" t="s">
        <v>162</v>
      </c>
      <c r="BK116" s="9" t="s">
        <v>162</v>
      </c>
      <c r="BN116" s="9" t="s">
        <v>162</v>
      </c>
      <c r="BO116" s="9" t="s">
        <v>162</v>
      </c>
      <c r="BP116" s="9" t="s">
        <v>162</v>
      </c>
      <c r="BR116" s="9" t="s">
        <v>162</v>
      </c>
      <c r="BS116" s="9" t="s">
        <v>162</v>
      </c>
      <c r="BT116" s="9" t="s">
        <v>162</v>
      </c>
      <c r="BV116" s="9" t="s">
        <v>162</v>
      </c>
      <c r="BW116" s="9" t="s">
        <v>162</v>
      </c>
      <c r="BX116" s="9" t="s">
        <v>162</v>
      </c>
      <c r="BZ116" s="9" t="s">
        <v>162</v>
      </c>
      <c r="CA116" s="9" t="s">
        <v>162</v>
      </c>
      <c r="CB116" s="9" t="s">
        <v>162</v>
      </c>
      <c r="CD116" s="9" t="s">
        <v>162</v>
      </c>
      <c r="CE116" s="9" t="s">
        <v>162</v>
      </c>
      <c r="CF116" s="9" t="s">
        <v>162</v>
      </c>
      <c r="CH116" s="9" t="s">
        <v>162</v>
      </c>
      <c r="CI116" s="9" t="s">
        <v>162</v>
      </c>
      <c r="CJ116" s="9" t="s">
        <v>162</v>
      </c>
      <c r="CL116" s="9" t="s">
        <v>162</v>
      </c>
      <c r="CM116" s="9" t="s">
        <v>162</v>
      </c>
      <c r="CN116" s="9" t="s">
        <v>162</v>
      </c>
      <c r="CP116" s="9" t="s">
        <v>162</v>
      </c>
      <c r="CQ116" s="9" t="s">
        <v>162</v>
      </c>
      <c r="CR116" s="9" t="s">
        <v>162</v>
      </c>
      <c r="CT116" s="9" t="s">
        <v>162</v>
      </c>
      <c r="CU116" s="9" t="s">
        <v>162</v>
      </c>
      <c r="CV116" s="9" t="s">
        <v>162</v>
      </c>
      <c r="CW116" s="9" t="s">
        <v>162</v>
      </c>
      <c r="CX116" s="9" t="s">
        <v>162</v>
      </c>
      <c r="CY116" s="9" t="s">
        <v>162</v>
      </c>
      <c r="CZ116" s="9" t="s">
        <v>162</v>
      </c>
      <c r="DA116" s="9" t="s">
        <v>162</v>
      </c>
      <c r="DB116" s="9" t="s">
        <v>162</v>
      </c>
      <c r="DC116" s="30">
        <v>100</v>
      </c>
      <c r="DD116" s="9">
        <v>0.4</v>
      </c>
      <c r="DE116" s="9">
        <v>128</v>
      </c>
      <c r="DF116" s="9">
        <v>99</v>
      </c>
      <c r="DG116" s="9">
        <f t="shared" si="1"/>
        <v>4.6001450180613404</v>
      </c>
      <c r="DH116" s="9">
        <v>19.8</v>
      </c>
      <c r="DI116" s="9">
        <v>4.21</v>
      </c>
      <c r="DL116" s="9">
        <v>60.7</v>
      </c>
      <c r="DM116" s="9">
        <v>47.5</v>
      </c>
      <c r="DU116" s="9">
        <v>6</v>
      </c>
    </row>
    <row r="117" spans="1:125" x14ac:dyDescent="0.2">
      <c r="A117" s="7">
        <v>659</v>
      </c>
      <c r="B117" s="8">
        <v>43279</v>
      </c>
      <c r="C117" s="9" t="s">
        <v>95</v>
      </c>
      <c r="D117" s="9">
        <v>46</v>
      </c>
      <c r="E117" s="9" t="s">
        <v>96</v>
      </c>
      <c r="F117" s="8">
        <v>26265</v>
      </c>
      <c r="G117" s="9" t="s">
        <v>400</v>
      </c>
      <c r="H117" s="9" t="s">
        <v>162</v>
      </c>
      <c r="I117" s="9">
        <v>1985</v>
      </c>
      <c r="J117" s="9" t="s">
        <v>162</v>
      </c>
      <c r="K117" s="9">
        <v>2008</v>
      </c>
      <c r="L117" s="9">
        <v>2</v>
      </c>
      <c r="M117" s="9" t="s">
        <v>263</v>
      </c>
      <c r="N117" s="9" t="s">
        <v>263</v>
      </c>
      <c r="O117" s="9" t="s">
        <v>162</v>
      </c>
      <c r="P117" s="9" t="s">
        <v>263</v>
      </c>
      <c r="Q117" s="9" t="s">
        <v>263</v>
      </c>
      <c r="R117" s="9" t="s">
        <v>162</v>
      </c>
      <c r="S117" s="9" t="s">
        <v>162</v>
      </c>
      <c r="T117" s="9" t="s">
        <v>162</v>
      </c>
      <c r="U117" s="9" t="s">
        <v>162</v>
      </c>
      <c r="V117" s="9" t="s">
        <v>162</v>
      </c>
      <c r="W117" s="9" t="s">
        <v>162</v>
      </c>
      <c r="X117" s="9" t="s">
        <v>162</v>
      </c>
      <c r="Y117" s="9" t="s">
        <v>162</v>
      </c>
      <c r="Z117" s="9" t="s">
        <v>162</v>
      </c>
      <c r="AA117" s="9" t="s">
        <v>96</v>
      </c>
      <c r="AB117" s="52" t="s">
        <v>6499</v>
      </c>
      <c r="AC117" s="9" t="s">
        <v>96</v>
      </c>
      <c r="AD117" s="52" t="s">
        <v>6499</v>
      </c>
      <c r="AE117" s="10" t="s">
        <v>6528</v>
      </c>
      <c r="AF117" s="10" t="s">
        <v>6528</v>
      </c>
      <c r="AG117" s="10" t="s">
        <v>6529</v>
      </c>
      <c r="AH117" s="9" t="s">
        <v>263</v>
      </c>
      <c r="AI117" s="10" t="s">
        <v>35</v>
      </c>
      <c r="AJ117" s="9" t="s">
        <v>263</v>
      </c>
      <c r="AK117" s="9" t="s">
        <v>263</v>
      </c>
      <c r="AL117" s="9">
        <v>60.3</v>
      </c>
      <c r="AM117" s="9">
        <v>158</v>
      </c>
      <c r="AN117" s="9">
        <v>83.6</v>
      </c>
      <c r="AO117" s="9">
        <v>99.7</v>
      </c>
      <c r="AP117" s="9">
        <v>39.700000000000003</v>
      </c>
      <c r="AQ117" s="9">
        <v>6</v>
      </c>
      <c r="AR117" s="9">
        <v>23.3</v>
      </c>
      <c r="AS117" s="9">
        <v>46</v>
      </c>
      <c r="AT117" s="7">
        <v>24.2</v>
      </c>
      <c r="AU117" s="9">
        <v>97</v>
      </c>
      <c r="AV117" s="9">
        <v>69</v>
      </c>
      <c r="AX117" s="9" t="s">
        <v>162</v>
      </c>
      <c r="AY117" s="9" t="s">
        <v>162</v>
      </c>
      <c r="AZ117" s="9" t="s">
        <v>162</v>
      </c>
      <c r="BB117" s="9" t="s">
        <v>162</v>
      </c>
      <c r="BC117" s="9" t="s">
        <v>162</v>
      </c>
      <c r="BD117" s="9" t="s">
        <v>162</v>
      </c>
      <c r="BF117" s="9" t="s">
        <v>162</v>
      </c>
      <c r="BG117" s="9" t="s">
        <v>162</v>
      </c>
      <c r="BH117" s="9" t="s">
        <v>162</v>
      </c>
      <c r="BI117" s="9" t="s">
        <v>162</v>
      </c>
      <c r="BJ117" s="9" t="s">
        <v>162</v>
      </c>
      <c r="BK117" s="9" t="s">
        <v>162</v>
      </c>
      <c r="BN117" s="9" t="s">
        <v>162</v>
      </c>
      <c r="BO117" s="9" t="s">
        <v>162</v>
      </c>
      <c r="BP117" s="9" t="s">
        <v>162</v>
      </c>
      <c r="BR117" s="9" t="s">
        <v>162</v>
      </c>
      <c r="BS117" s="9" t="s">
        <v>162</v>
      </c>
      <c r="BT117" s="9" t="s">
        <v>162</v>
      </c>
      <c r="BV117" s="9" t="s">
        <v>162</v>
      </c>
      <c r="BW117" s="9" t="s">
        <v>162</v>
      </c>
      <c r="BX117" s="9" t="s">
        <v>162</v>
      </c>
      <c r="BZ117" s="9" t="s">
        <v>162</v>
      </c>
      <c r="CA117" s="9" t="s">
        <v>162</v>
      </c>
      <c r="CB117" s="9" t="s">
        <v>162</v>
      </c>
      <c r="CD117" s="9" t="s">
        <v>162</v>
      </c>
      <c r="CE117" s="9" t="s">
        <v>162</v>
      </c>
      <c r="CF117" s="9" t="s">
        <v>162</v>
      </c>
      <c r="CH117" s="9" t="s">
        <v>162</v>
      </c>
      <c r="CI117" s="9" t="s">
        <v>162</v>
      </c>
      <c r="CJ117" s="9" t="s">
        <v>162</v>
      </c>
      <c r="CL117" s="9" t="s">
        <v>162</v>
      </c>
      <c r="CM117" s="9" t="s">
        <v>162</v>
      </c>
      <c r="CN117" s="9" t="s">
        <v>162</v>
      </c>
      <c r="CP117" s="9" t="s">
        <v>162</v>
      </c>
      <c r="CQ117" s="9" t="s">
        <v>162</v>
      </c>
      <c r="CR117" s="9" t="s">
        <v>162</v>
      </c>
      <c r="CT117" s="9" t="s">
        <v>162</v>
      </c>
      <c r="CU117" s="9" t="s">
        <v>162</v>
      </c>
      <c r="CV117" s="9" t="s">
        <v>162</v>
      </c>
      <c r="CW117" s="9" t="s">
        <v>162</v>
      </c>
      <c r="CX117" s="9" t="s">
        <v>162</v>
      </c>
      <c r="CY117" s="9" t="s">
        <v>162</v>
      </c>
      <c r="CZ117" s="9" t="s">
        <v>162</v>
      </c>
      <c r="DA117" s="9" t="s">
        <v>162</v>
      </c>
      <c r="DB117" s="9" t="s">
        <v>162</v>
      </c>
      <c r="DC117" s="9">
        <v>75.400000000000006</v>
      </c>
      <c r="DD117" s="9">
        <v>0.56000000000000005</v>
      </c>
      <c r="DE117" s="9">
        <v>222</v>
      </c>
      <c r="DF117" s="9">
        <v>89</v>
      </c>
      <c r="DG117" s="9">
        <f t="shared" si="1"/>
        <v>4.4057218223730255</v>
      </c>
      <c r="DH117" s="9">
        <v>17.8</v>
      </c>
      <c r="DI117" s="9">
        <v>4.8</v>
      </c>
      <c r="DJ117" s="9">
        <v>23</v>
      </c>
      <c r="DK117" s="9">
        <v>26</v>
      </c>
      <c r="DL117" s="9">
        <v>69.3</v>
      </c>
      <c r="DM117" s="9">
        <v>134.9</v>
      </c>
      <c r="DP117" s="11">
        <v>2</v>
      </c>
      <c r="DQ117" s="9">
        <v>2</v>
      </c>
      <c r="DU117" s="9">
        <v>5</v>
      </c>
    </row>
    <row r="118" spans="1:125" x14ac:dyDescent="0.2">
      <c r="A118" s="39">
        <v>670</v>
      </c>
      <c r="B118" s="8">
        <v>43279</v>
      </c>
      <c r="C118" s="9" t="s">
        <v>107</v>
      </c>
      <c r="D118" s="9">
        <v>43</v>
      </c>
      <c r="E118" s="9" t="s">
        <v>96</v>
      </c>
      <c r="F118" s="8">
        <v>27511</v>
      </c>
      <c r="G118" s="9" t="s">
        <v>366</v>
      </c>
      <c r="H118" s="9" t="s">
        <v>6266</v>
      </c>
      <c r="I118" s="9" t="s">
        <v>162</v>
      </c>
      <c r="J118" s="9" t="s">
        <v>162</v>
      </c>
      <c r="K118" s="9" t="s">
        <v>162</v>
      </c>
      <c r="L118" s="9" t="s">
        <v>162</v>
      </c>
      <c r="M118" s="9" t="s">
        <v>263</v>
      </c>
      <c r="N118" s="9" t="s">
        <v>263</v>
      </c>
      <c r="O118" s="9" t="s">
        <v>162</v>
      </c>
      <c r="P118" s="9" t="s">
        <v>263</v>
      </c>
      <c r="Q118" s="10" t="s">
        <v>456</v>
      </c>
      <c r="R118" s="9" t="s">
        <v>162</v>
      </c>
      <c r="S118" s="9" t="s">
        <v>162</v>
      </c>
      <c r="T118" s="9" t="s">
        <v>162</v>
      </c>
      <c r="U118" s="9" t="s">
        <v>6568</v>
      </c>
      <c r="V118" s="9">
        <v>1988</v>
      </c>
      <c r="W118" s="9" t="s">
        <v>162</v>
      </c>
      <c r="X118" s="9" t="s">
        <v>162</v>
      </c>
      <c r="Y118" s="10" t="s">
        <v>6569</v>
      </c>
      <c r="Z118" s="9" t="s">
        <v>162</v>
      </c>
      <c r="AA118" s="9" t="s">
        <v>96</v>
      </c>
      <c r="AB118" s="9" t="s">
        <v>96</v>
      </c>
      <c r="AC118" s="9" t="s">
        <v>96</v>
      </c>
      <c r="AD118" s="9" t="s">
        <v>96</v>
      </c>
      <c r="AE118" s="9" t="s">
        <v>263</v>
      </c>
      <c r="AF118" s="10" t="s">
        <v>3915</v>
      </c>
      <c r="AG118" s="10" t="s">
        <v>6570</v>
      </c>
      <c r="AH118" s="10" t="s">
        <v>6571</v>
      </c>
      <c r="AI118" s="10" t="s">
        <v>6400</v>
      </c>
      <c r="AJ118" s="9" t="s">
        <v>263</v>
      </c>
      <c r="AK118" s="9" t="s">
        <v>162</v>
      </c>
      <c r="AL118" s="9">
        <v>77.400000000000006</v>
      </c>
      <c r="AM118" s="9">
        <v>179</v>
      </c>
      <c r="AN118" s="9">
        <v>93</v>
      </c>
      <c r="AO118" s="9">
        <v>104</v>
      </c>
      <c r="AP118" s="9">
        <v>43.7</v>
      </c>
      <c r="AQ118" s="9">
        <v>2.2000000000000002</v>
      </c>
      <c r="AR118" s="9">
        <v>41.4</v>
      </c>
      <c r="AS118" s="9">
        <v>50</v>
      </c>
      <c r="AT118" s="7">
        <v>24.16</v>
      </c>
      <c r="AU118" s="9">
        <v>110</v>
      </c>
      <c r="AV118" s="9">
        <v>85</v>
      </c>
      <c r="AX118" s="9" t="s">
        <v>321</v>
      </c>
      <c r="AY118" s="9" t="s">
        <v>6572</v>
      </c>
      <c r="AZ118" s="9" t="s">
        <v>162</v>
      </c>
      <c r="BB118" s="9" t="s">
        <v>162</v>
      </c>
      <c r="BC118" s="9" t="s">
        <v>162</v>
      </c>
      <c r="BD118" s="9" t="s">
        <v>162</v>
      </c>
      <c r="BF118" s="9" t="s">
        <v>375</v>
      </c>
      <c r="BG118" s="9" t="s">
        <v>325</v>
      </c>
      <c r="BH118" s="9" t="s">
        <v>276</v>
      </c>
      <c r="BI118" s="9" t="s">
        <v>325</v>
      </c>
      <c r="BJ118" s="9" t="s">
        <v>375</v>
      </c>
      <c r="BK118" s="9" t="s">
        <v>276</v>
      </c>
      <c r="BN118" s="9" t="s">
        <v>380</v>
      </c>
      <c r="BO118" s="9" t="s">
        <v>379</v>
      </c>
      <c r="BP118" s="9" t="s">
        <v>6503</v>
      </c>
      <c r="BR118" s="9" t="s">
        <v>162</v>
      </c>
      <c r="BS118" s="9" t="s">
        <v>162</v>
      </c>
      <c r="BT118" s="9" t="s">
        <v>162</v>
      </c>
      <c r="BV118" s="9" t="s">
        <v>6573</v>
      </c>
      <c r="BW118" s="9" t="s">
        <v>162</v>
      </c>
      <c r="BX118" s="9" t="s">
        <v>162</v>
      </c>
      <c r="BZ118" s="9" t="s">
        <v>162</v>
      </c>
      <c r="CA118" s="9" t="s">
        <v>162</v>
      </c>
      <c r="CB118" s="9" t="s">
        <v>162</v>
      </c>
      <c r="CD118" s="9" t="s">
        <v>162</v>
      </c>
      <c r="CE118" s="9" t="s">
        <v>162</v>
      </c>
      <c r="CF118" s="9" t="s">
        <v>162</v>
      </c>
      <c r="CH118" s="9" t="s">
        <v>162</v>
      </c>
      <c r="CI118" s="9" t="s">
        <v>162</v>
      </c>
      <c r="CJ118" s="9" t="s">
        <v>162</v>
      </c>
      <c r="CL118" s="9" t="s">
        <v>162</v>
      </c>
      <c r="CM118" s="9" t="s">
        <v>162</v>
      </c>
      <c r="CN118" s="9" t="s">
        <v>162</v>
      </c>
      <c r="CP118" s="9" t="s">
        <v>1285</v>
      </c>
      <c r="CQ118" s="9" t="s">
        <v>6574</v>
      </c>
      <c r="CR118" s="9" t="s">
        <v>162</v>
      </c>
      <c r="CT118" s="9" t="s">
        <v>162</v>
      </c>
      <c r="CU118" s="9" t="s">
        <v>162</v>
      </c>
      <c r="CV118" s="9" t="s">
        <v>162</v>
      </c>
      <c r="CW118" s="9">
        <v>3</v>
      </c>
      <c r="CX118" s="9" t="s">
        <v>368</v>
      </c>
      <c r="CY118" s="9" t="s">
        <v>368</v>
      </c>
      <c r="CZ118" s="9">
        <v>30</v>
      </c>
      <c r="DA118" s="9">
        <v>40</v>
      </c>
      <c r="DB118" s="9">
        <v>60</v>
      </c>
      <c r="DC118" s="9">
        <v>87.1</v>
      </c>
      <c r="DD118" s="9">
        <v>0.78</v>
      </c>
      <c r="DE118" s="10">
        <v>235</v>
      </c>
      <c r="DF118" s="9">
        <v>114</v>
      </c>
      <c r="DG118" s="9">
        <f t="shared" si="1"/>
        <v>4.6016276661264763</v>
      </c>
      <c r="DH118" s="9">
        <v>22.8</v>
      </c>
      <c r="DI118" s="9">
        <v>6.35</v>
      </c>
      <c r="DJ118" s="9">
        <v>16.3</v>
      </c>
      <c r="DK118" s="9">
        <v>22.3</v>
      </c>
      <c r="DL118" s="10">
        <v>31.3</v>
      </c>
      <c r="DM118" s="9">
        <v>180.9</v>
      </c>
      <c r="DP118" s="11">
        <v>2</v>
      </c>
      <c r="DQ118" s="9">
        <v>2</v>
      </c>
    </row>
    <row r="119" spans="1:125" x14ac:dyDescent="0.2">
      <c r="A119" s="7">
        <v>671</v>
      </c>
      <c r="B119" s="17">
        <v>43285</v>
      </c>
      <c r="C119" s="9" t="s">
        <v>675</v>
      </c>
      <c r="D119" s="9">
        <v>83</v>
      </c>
      <c r="E119" s="9" t="s">
        <v>96</v>
      </c>
      <c r="F119" s="17">
        <v>11505</v>
      </c>
      <c r="H119" s="9" t="s">
        <v>6575</v>
      </c>
      <c r="M119" s="9" t="s">
        <v>483</v>
      </c>
      <c r="N119" s="9" t="s">
        <v>483</v>
      </c>
      <c r="O119" s="9" t="s">
        <v>483</v>
      </c>
      <c r="P119" s="9" t="s">
        <v>483</v>
      </c>
      <c r="Q119" s="9" t="s">
        <v>6576</v>
      </c>
      <c r="R119" s="9" t="s">
        <v>588</v>
      </c>
      <c r="S119" s="9" t="s">
        <v>588</v>
      </c>
      <c r="T119" s="9" t="s">
        <v>588</v>
      </c>
      <c r="U119" s="9" t="s">
        <v>6577</v>
      </c>
      <c r="V119" s="9" t="s">
        <v>99</v>
      </c>
      <c r="Y119" s="9" t="s">
        <v>6578</v>
      </c>
      <c r="Z119" s="9" t="s">
        <v>99</v>
      </c>
      <c r="AA119" s="9" t="s">
        <v>100</v>
      </c>
      <c r="AB119" s="9" t="s">
        <v>100</v>
      </c>
      <c r="AC119" s="9" t="s">
        <v>100</v>
      </c>
      <c r="AD119" s="9" t="s">
        <v>100</v>
      </c>
      <c r="AE119" s="9" t="s">
        <v>99</v>
      </c>
      <c r="AF119" s="9" t="s">
        <v>99</v>
      </c>
      <c r="AG119" s="9" t="s">
        <v>99</v>
      </c>
      <c r="AH119" s="9" t="s">
        <v>6579</v>
      </c>
      <c r="AI119" s="9" t="s">
        <v>99</v>
      </c>
      <c r="AJ119" s="9" t="s">
        <v>99</v>
      </c>
      <c r="AK119" s="9" t="s">
        <v>6580</v>
      </c>
      <c r="AL119" s="9">
        <v>58.5</v>
      </c>
      <c r="AM119" s="9">
        <v>1.7</v>
      </c>
      <c r="AN119" s="9" t="s">
        <v>500</v>
      </c>
      <c r="AO119" s="9" t="s">
        <v>500</v>
      </c>
      <c r="AP119" s="9" t="s">
        <v>500</v>
      </c>
      <c r="AQ119" s="9" t="s">
        <v>500</v>
      </c>
      <c r="AR119" s="9" t="s">
        <v>500</v>
      </c>
      <c r="AS119" s="9" t="s">
        <v>500</v>
      </c>
      <c r="AT119" s="7">
        <v>20.239999999999998</v>
      </c>
      <c r="AU119" s="9">
        <v>125</v>
      </c>
      <c r="AV119" s="9">
        <v>59</v>
      </c>
      <c r="DC119" s="9">
        <v>86.3</v>
      </c>
      <c r="DD119" s="9">
        <v>0.73</v>
      </c>
      <c r="DE119" s="9">
        <v>163</v>
      </c>
      <c r="DF119" s="9">
        <v>75</v>
      </c>
      <c r="DG119" s="9">
        <f t="shared" si="1"/>
        <v>4.3876588558128464</v>
      </c>
      <c r="DH119" s="9">
        <v>15</v>
      </c>
      <c r="DI119" s="9">
        <v>6.09</v>
      </c>
      <c r="DK119" s="9">
        <v>22</v>
      </c>
      <c r="DL119" s="9">
        <v>60.3</v>
      </c>
      <c r="DM119" s="9">
        <v>87.7</v>
      </c>
      <c r="DP119" s="11">
        <v>3</v>
      </c>
      <c r="DQ119" s="9">
        <v>3</v>
      </c>
      <c r="DU119" s="9">
        <v>6</v>
      </c>
    </row>
    <row r="120" spans="1:125" s="39" customFormat="1" x14ac:dyDescent="0.2">
      <c r="A120" s="7">
        <v>673</v>
      </c>
      <c r="B120" s="38">
        <v>43279</v>
      </c>
      <c r="C120" s="39" t="s">
        <v>95</v>
      </c>
      <c r="D120" s="39">
        <v>35</v>
      </c>
      <c r="E120" s="39" t="s">
        <v>96</v>
      </c>
      <c r="F120" s="38">
        <v>30342</v>
      </c>
      <c r="G120" s="39" t="s">
        <v>314</v>
      </c>
      <c r="H120" s="39" t="s">
        <v>98</v>
      </c>
      <c r="I120" s="39" t="s">
        <v>162</v>
      </c>
      <c r="J120" s="39">
        <v>2018</v>
      </c>
      <c r="K120" s="39" t="s">
        <v>6582</v>
      </c>
      <c r="L120" s="39">
        <v>2</v>
      </c>
      <c r="M120" s="39" t="s">
        <v>263</v>
      </c>
      <c r="N120" s="39" t="s">
        <v>263</v>
      </c>
      <c r="O120" s="39" t="s">
        <v>263</v>
      </c>
      <c r="P120" s="39" t="s">
        <v>263</v>
      </c>
      <c r="Q120" s="10" t="s">
        <v>369</v>
      </c>
      <c r="R120" s="39" t="s">
        <v>263</v>
      </c>
      <c r="S120" s="39" t="s">
        <v>263</v>
      </c>
      <c r="T120" s="39" t="s">
        <v>263</v>
      </c>
      <c r="U120" s="39" t="s">
        <v>263</v>
      </c>
      <c r="V120" s="39" t="s">
        <v>263</v>
      </c>
      <c r="W120" s="39" t="s">
        <v>263</v>
      </c>
      <c r="X120" s="39" t="s">
        <v>263</v>
      </c>
      <c r="Y120" s="39" t="s">
        <v>162</v>
      </c>
      <c r="Z120" s="10" t="s">
        <v>6583</v>
      </c>
      <c r="AA120" s="35" t="s">
        <v>155</v>
      </c>
      <c r="AB120" s="39" t="s">
        <v>96</v>
      </c>
      <c r="AC120" s="39" t="s">
        <v>162</v>
      </c>
      <c r="AD120" s="39" t="s">
        <v>162</v>
      </c>
      <c r="AE120" s="10" t="s">
        <v>425</v>
      </c>
      <c r="AF120" s="39" t="s">
        <v>263</v>
      </c>
      <c r="AG120" s="10" t="s">
        <v>425</v>
      </c>
      <c r="AH120" s="39" t="s">
        <v>263</v>
      </c>
      <c r="AI120" s="39" t="s">
        <v>263</v>
      </c>
      <c r="AJ120" s="39" t="s">
        <v>263</v>
      </c>
      <c r="AK120" s="39" t="s">
        <v>162</v>
      </c>
      <c r="AL120" s="39">
        <v>59.7</v>
      </c>
      <c r="AM120" s="39">
        <v>162</v>
      </c>
      <c r="AN120" s="39">
        <v>87</v>
      </c>
      <c r="AO120" s="39">
        <v>99</v>
      </c>
      <c r="AP120" s="39">
        <v>37.799999999999997</v>
      </c>
      <c r="AQ120" s="39">
        <v>5</v>
      </c>
      <c r="AR120" s="39">
        <v>23.4</v>
      </c>
      <c r="AS120" s="39">
        <v>34</v>
      </c>
      <c r="AT120" s="7">
        <v>22.7</v>
      </c>
      <c r="AU120" s="39">
        <v>96</v>
      </c>
      <c r="AV120" s="39">
        <v>69</v>
      </c>
      <c r="AX120" s="39" t="s">
        <v>162</v>
      </c>
      <c r="AY120" s="39" t="s">
        <v>162</v>
      </c>
      <c r="AZ120" s="39" t="s">
        <v>162</v>
      </c>
      <c r="BA120" s="39" t="s">
        <v>162</v>
      </c>
      <c r="BB120" s="39" t="s">
        <v>162</v>
      </c>
      <c r="BC120" s="39" t="s">
        <v>162</v>
      </c>
      <c r="BD120" s="39" t="s">
        <v>162</v>
      </c>
      <c r="BF120" s="39" t="s">
        <v>375</v>
      </c>
      <c r="BG120" s="39" t="s">
        <v>162</v>
      </c>
      <c r="BH120" s="39" t="s">
        <v>162</v>
      </c>
      <c r="BI120" s="39" t="s">
        <v>162</v>
      </c>
      <c r="BJ120" s="39" t="s">
        <v>162</v>
      </c>
      <c r="BK120" s="39" t="s">
        <v>276</v>
      </c>
      <c r="BN120" s="39" t="s">
        <v>162</v>
      </c>
      <c r="BO120" s="39" t="s">
        <v>162</v>
      </c>
      <c r="BP120" s="55" t="s">
        <v>162</v>
      </c>
      <c r="BR120" s="39" t="s">
        <v>162</v>
      </c>
      <c r="BS120" s="39" t="s">
        <v>162</v>
      </c>
      <c r="BT120" s="39" t="s">
        <v>162</v>
      </c>
      <c r="BV120" s="39" t="s">
        <v>162</v>
      </c>
      <c r="BW120" s="39" t="s">
        <v>162</v>
      </c>
      <c r="BX120" s="39" t="s">
        <v>162</v>
      </c>
      <c r="BZ120" s="39" t="s">
        <v>162</v>
      </c>
      <c r="CA120" s="39" t="s">
        <v>162</v>
      </c>
      <c r="CB120" s="39" t="s">
        <v>162</v>
      </c>
      <c r="CD120" s="39" t="s">
        <v>162</v>
      </c>
      <c r="CE120" s="39" t="s">
        <v>162</v>
      </c>
      <c r="CF120" s="39" t="s">
        <v>162</v>
      </c>
      <c r="CH120" s="39" t="s">
        <v>162</v>
      </c>
      <c r="CI120" s="39" t="s">
        <v>162</v>
      </c>
      <c r="CJ120" s="39" t="s">
        <v>162</v>
      </c>
      <c r="CL120" s="39" t="s">
        <v>162</v>
      </c>
      <c r="CM120" s="39" t="s">
        <v>162</v>
      </c>
      <c r="CN120" s="39" t="s">
        <v>162</v>
      </c>
      <c r="CP120" s="39" t="s">
        <v>162</v>
      </c>
      <c r="CQ120" s="39" t="s">
        <v>162</v>
      </c>
      <c r="CR120" s="39" t="s">
        <v>162</v>
      </c>
      <c r="CT120" s="39" t="s">
        <v>162</v>
      </c>
      <c r="CU120" s="39" t="s">
        <v>162</v>
      </c>
      <c r="CV120" s="39" t="s">
        <v>162</v>
      </c>
      <c r="CW120" s="39" t="s">
        <v>162</v>
      </c>
      <c r="CX120" s="39" t="s">
        <v>162</v>
      </c>
      <c r="CY120" s="39" t="s">
        <v>162</v>
      </c>
      <c r="CZ120" s="39" t="s">
        <v>162</v>
      </c>
      <c r="DA120" s="39" t="s">
        <v>162</v>
      </c>
      <c r="DB120" s="39" t="s">
        <v>162</v>
      </c>
      <c r="DC120" s="39">
        <v>79</v>
      </c>
      <c r="DD120" s="39">
        <v>0.49</v>
      </c>
      <c r="DE120" s="39">
        <v>191</v>
      </c>
      <c r="DF120" s="39">
        <v>115</v>
      </c>
      <c r="DG120" s="9">
        <f t="shared" si="1"/>
        <v>4.5571899904151358</v>
      </c>
      <c r="DH120" s="39">
        <v>23</v>
      </c>
      <c r="DI120" s="39">
        <v>3.17</v>
      </c>
      <c r="DJ120" s="39">
        <v>18</v>
      </c>
      <c r="DK120" s="39">
        <v>18.7</v>
      </c>
      <c r="DL120" s="39">
        <v>50.4</v>
      </c>
      <c r="DM120" s="39">
        <v>117</v>
      </c>
      <c r="DP120" s="40">
        <v>2</v>
      </c>
      <c r="DQ120" s="30" t="s">
        <v>774</v>
      </c>
      <c r="DR120" s="39">
        <v>3</v>
      </c>
      <c r="DU120" s="39">
        <v>4.5</v>
      </c>
    </row>
    <row r="121" spans="1:125" x14ac:dyDescent="0.2">
      <c r="A121" s="9">
        <v>674</v>
      </c>
      <c r="B121" s="8">
        <v>43279</v>
      </c>
      <c r="C121" s="9" t="s">
        <v>107</v>
      </c>
      <c r="D121" s="9">
        <v>43</v>
      </c>
      <c r="E121" s="41" t="s">
        <v>5730</v>
      </c>
      <c r="F121" s="8">
        <v>27389</v>
      </c>
      <c r="G121" s="9" t="s">
        <v>314</v>
      </c>
      <c r="H121" s="9" t="s">
        <v>6584</v>
      </c>
      <c r="I121" s="9" t="s">
        <v>162</v>
      </c>
      <c r="J121" s="9" t="s">
        <v>162</v>
      </c>
      <c r="K121" s="9" t="s">
        <v>162</v>
      </c>
      <c r="L121" s="9" t="s">
        <v>162</v>
      </c>
      <c r="M121" s="9" t="s">
        <v>263</v>
      </c>
      <c r="N121" s="9" t="s">
        <v>263</v>
      </c>
      <c r="O121" s="9" t="s">
        <v>263</v>
      </c>
      <c r="P121" s="9" t="s">
        <v>263</v>
      </c>
      <c r="Q121" s="10" t="s">
        <v>456</v>
      </c>
      <c r="R121" s="9" t="s">
        <v>263</v>
      </c>
      <c r="S121" s="9" t="s">
        <v>263</v>
      </c>
      <c r="T121" s="9" t="s">
        <v>263</v>
      </c>
      <c r="U121" s="9" t="s">
        <v>263</v>
      </c>
      <c r="V121" s="9" t="s">
        <v>263</v>
      </c>
      <c r="W121" s="9" t="s">
        <v>162</v>
      </c>
      <c r="X121" s="9" t="s">
        <v>162</v>
      </c>
      <c r="Y121" s="9" t="s">
        <v>162</v>
      </c>
      <c r="Z121" s="9" t="s">
        <v>6585</v>
      </c>
      <c r="AA121" s="41" t="s">
        <v>441</v>
      </c>
      <c r="AB121" s="41" t="s">
        <v>5730</v>
      </c>
      <c r="AC121" s="41" t="s">
        <v>440</v>
      </c>
      <c r="AD121" s="41" t="s">
        <v>5730</v>
      </c>
      <c r="AE121" s="10" t="s">
        <v>6571</v>
      </c>
      <c r="AF121" s="9" t="s">
        <v>263</v>
      </c>
      <c r="AG121" s="10" t="s">
        <v>425</v>
      </c>
      <c r="AH121" s="9" t="s">
        <v>263</v>
      </c>
      <c r="AI121" s="9" t="s">
        <v>263</v>
      </c>
      <c r="AJ121" s="9" t="s">
        <v>263</v>
      </c>
      <c r="AK121" s="9" t="s">
        <v>162</v>
      </c>
      <c r="AL121" s="9">
        <v>70.2</v>
      </c>
      <c r="AM121" s="9">
        <v>169</v>
      </c>
      <c r="AN121" s="9">
        <v>93</v>
      </c>
      <c r="AO121" s="9">
        <v>105</v>
      </c>
      <c r="AP121" s="9">
        <v>25.3</v>
      </c>
      <c r="AQ121" s="9">
        <v>9</v>
      </c>
      <c r="AR121" s="9">
        <v>34.700000000000003</v>
      </c>
      <c r="AS121" s="9">
        <v>42</v>
      </c>
      <c r="AT121" s="7">
        <v>24.6</v>
      </c>
      <c r="AU121" s="9">
        <v>126</v>
      </c>
      <c r="AV121" s="9">
        <v>84</v>
      </c>
      <c r="AX121" s="9" t="s">
        <v>162</v>
      </c>
      <c r="AY121" s="9" t="s">
        <v>162</v>
      </c>
      <c r="AZ121" s="9" t="s">
        <v>162</v>
      </c>
      <c r="BB121" s="9" t="s">
        <v>162</v>
      </c>
      <c r="BC121" s="9" t="s">
        <v>162</v>
      </c>
      <c r="BD121" s="9" t="s">
        <v>162</v>
      </c>
      <c r="BF121" s="9" t="s">
        <v>162</v>
      </c>
      <c r="BG121" s="9" t="s">
        <v>162</v>
      </c>
      <c r="BH121" s="9" t="s">
        <v>162</v>
      </c>
      <c r="BI121" s="9" t="s">
        <v>162</v>
      </c>
      <c r="BJ121" s="9" t="s">
        <v>162</v>
      </c>
      <c r="BK121" s="9" t="s">
        <v>162</v>
      </c>
      <c r="BN121" s="9" t="s">
        <v>162</v>
      </c>
      <c r="BO121" s="9" t="s">
        <v>162</v>
      </c>
      <c r="BP121" s="9" t="s">
        <v>162</v>
      </c>
      <c r="BR121" s="9" t="s">
        <v>162</v>
      </c>
      <c r="BS121" s="9" t="s">
        <v>162</v>
      </c>
      <c r="BT121" s="9" t="s">
        <v>162</v>
      </c>
      <c r="BV121" s="9" t="s">
        <v>162</v>
      </c>
      <c r="BW121" s="9" t="s">
        <v>162</v>
      </c>
      <c r="BX121" s="9" t="s">
        <v>162</v>
      </c>
      <c r="BZ121" s="9" t="s">
        <v>162</v>
      </c>
      <c r="CA121" s="9" t="s">
        <v>162</v>
      </c>
      <c r="CB121" s="9" t="s">
        <v>162</v>
      </c>
      <c r="CD121" s="9" t="s">
        <v>162</v>
      </c>
      <c r="CE121" s="9" t="s">
        <v>162</v>
      </c>
      <c r="CF121" s="9" t="s">
        <v>162</v>
      </c>
      <c r="CH121" s="9" t="s">
        <v>162</v>
      </c>
      <c r="CI121" s="9" t="s">
        <v>162</v>
      </c>
      <c r="CJ121" s="9" t="s">
        <v>162</v>
      </c>
      <c r="CL121" s="9" t="s">
        <v>162</v>
      </c>
      <c r="CM121" s="9" t="s">
        <v>162</v>
      </c>
      <c r="CN121" s="9" t="s">
        <v>162</v>
      </c>
      <c r="CP121" s="9" t="s">
        <v>162</v>
      </c>
      <c r="CQ121" s="9" t="s">
        <v>162</v>
      </c>
      <c r="CR121" s="9" t="s">
        <v>162</v>
      </c>
      <c r="CT121" s="9" t="s">
        <v>162</v>
      </c>
      <c r="CU121" s="9" t="s">
        <v>162</v>
      </c>
      <c r="CV121" s="9" t="s">
        <v>162</v>
      </c>
      <c r="CW121" s="9" t="s">
        <v>162</v>
      </c>
      <c r="CX121" s="9" t="s">
        <v>162</v>
      </c>
      <c r="CY121" s="9" t="s">
        <v>162</v>
      </c>
      <c r="CZ121" s="9" t="s">
        <v>162</v>
      </c>
      <c r="DA121" s="9" t="s">
        <v>162</v>
      </c>
      <c r="DB121" s="9" t="s">
        <v>162</v>
      </c>
      <c r="DC121" s="9">
        <v>84.1</v>
      </c>
      <c r="DD121" s="9">
        <v>0.77</v>
      </c>
      <c r="DE121" s="10">
        <v>214</v>
      </c>
      <c r="DF121" s="10">
        <v>181</v>
      </c>
      <c r="DG121" s="9">
        <f t="shared" si="1"/>
        <v>4.8152517991223638</v>
      </c>
      <c r="DH121" s="9">
        <v>36.200000000000003</v>
      </c>
      <c r="DI121" s="10">
        <v>8.2200000000000006</v>
      </c>
      <c r="DJ121" s="9">
        <v>28</v>
      </c>
      <c r="DK121" s="9">
        <v>25</v>
      </c>
      <c r="DL121" s="9">
        <v>53.1</v>
      </c>
      <c r="DM121" s="9">
        <v>124.7</v>
      </c>
      <c r="DP121" s="11">
        <v>3</v>
      </c>
      <c r="DQ121" s="9">
        <v>2</v>
      </c>
      <c r="DR121" s="9">
        <v>3</v>
      </c>
    </row>
    <row r="122" spans="1:125" x14ac:dyDescent="0.2">
      <c r="A122" s="7">
        <v>700</v>
      </c>
      <c r="B122" s="45">
        <v>43292</v>
      </c>
      <c r="C122" s="9" t="s">
        <v>107</v>
      </c>
      <c r="D122" s="9">
        <v>19</v>
      </c>
      <c r="E122" s="9" t="s">
        <v>96</v>
      </c>
      <c r="F122" s="17">
        <v>36078</v>
      </c>
      <c r="H122" s="9" t="s">
        <v>6680</v>
      </c>
      <c r="M122" s="9" t="s">
        <v>263</v>
      </c>
      <c r="N122" s="9" t="s">
        <v>263</v>
      </c>
      <c r="O122" s="9" t="s">
        <v>263</v>
      </c>
      <c r="P122" s="9" t="s">
        <v>368</v>
      </c>
      <c r="Q122" s="9" t="s">
        <v>369</v>
      </c>
      <c r="R122" s="9" t="s">
        <v>263</v>
      </c>
      <c r="S122" s="9" t="s">
        <v>3715</v>
      </c>
      <c r="T122" s="9" t="s">
        <v>263</v>
      </c>
      <c r="U122" s="9" t="s">
        <v>263</v>
      </c>
      <c r="V122" s="9" t="s">
        <v>263</v>
      </c>
      <c r="W122" s="9" t="s">
        <v>263</v>
      </c>
      <c r="X122" s="9" t="s">
        <v>5689</v>
      </c>
      <c r="Y122" s="9" t="s">
        <v>263</v>
      </c>
      <c r="Z122" s="9" t="s">
        <v>263</v>
      </c>
      <c r="AA122" s="9" t="s">
        <v>96</v>
      </c>
      <c r="AB122" s="9" t="s">
        <v>96</v>
      </c>
      <c r="AC122" s="9" t="s">
        <v>96</v>
      </c>
      <c r="AD122" s="9" t="s">
        <v>1419</v>
      </c>
      <c r="AE122" s="9" t="s">
        <v>368</v>
      </c>
      <c r="AF122" s="9" t="s">
        <v>368</v>
      </c>
      <c r="AG122" s="9" t="s">
        <v>263</v>
      </c>
      <c r="AH122" s="9" t="s">
        <v>368</v>
      </c>
      <c r="AI122" s="9" t="s">
        <v>368</v>
      </c>
      <c r="AJ122" s="9" t="s">
        <v>263</v>
      </c>
      <c r="AK122" s="9" t="s">
        <v>263</v>
      </c>
      <c r="AL122" s="9">
        <v>59</v>
      </c>
      <c r="AM122" s="9">
        <v>1.55</v>
      </c>
      <c r="AN122" s="9">
        <v>80</v>
      </c>
      <c r="AO122" s="9">
        <v>98</v>
      </c>
      <c r="AP122" s="9">
        <v>23.2</v>
      </c>
      <c r="AQ122" s="9">
        <v>7</v>
      </c>
      <c r="AR122" s="9">
        <v>40.6</v>
      </c>
      <c r="AS122" s="9">
        <v>18</v>
      </c>
      <c r="AT122" s="9">
        <v>24.6</v>
      </c>
      <c r="AU122" s="9">
        <v>118</v>
      </c>
      <c r="AV122" s="9">
        <v>77</v>
      </c>
      <c r="AX122" s="9" t="s">
        <v>6681</v>
      </c>
      <c r="BB122" s="9" t="s">
        <v>6682</v>
      </c>
      <c r="BF122" s="9" t="s">
        <v>322</v>
      </c>
      <c r="BG122" s="9" t="s">
        <v>276</v>
      </c>
      <c r="BH122" s="9" t="s">
        <v>375</v>
      </c>
      <c r="BI122" s="9" t="s">
        <v>322</v>
      </c>
      <c r="BJ122" s="9" t="s">
        <v>375</v>
      </c>
      <c r="BK122" s="9" t="s">
        <v>375</v>
      </c>
      <c r="BN122" s="9" t="s">
        <v>6453</v>
      </c>
      <c r="BO122" s="9" t="s">
        <v>5167</v>
      </c>
      <c r="BP122" s="9" t="s">
        <v>6374</v>
      </c>
      <c r="BV122" s="9" t="s">
        <v>6683</v>
      </c>
      <c r="BW122" s="9" t="s">
        <v>6684</v>
      </c>
      <c r="BY122" s="9" t="s">
        <v>6685</v>
      </c>
      <c r="CC122" s="9" t="s">
        <v>6686</v>
      </c>
      <c r="CG122" s="9" t="s">
        <v>6687</v>
      </c>
      <c r="CL122" s="9" t="s">
        <v>6688</v>
      </c>
      <c r="CM122" s="9" t="s">
        <v>4032</v>
      </c>
      <c r="CN122" s="9" t="s">
        <v>450</v>
      </c>
      <c r="CP122" s="9" t="s">
        <v>6689</v>
      </c>
      <c r="CQ122" s="9" t="s">
        <v>384</v>
      </c>
      <c r="CT122" s="9" t="s">
        <v>1541</v>
      </c>
      <c r="CW122" s="9">
        <v>4</v>
      </c>
      <c r="CX122" s="9" t="s">
        <v>368</v>
      </c>
      <c r="CY122" s="9" t="s">
        <v>368</v>
      </c>
      <c r="CZ122" s="9">
        <v>50</v>
      </c>
      <c r="DA122" s="9">
        <v>25</v>
      </c>
      <c r="DB122" s="9">
        <v>25</v>
      </c>
      <c r="DC122" s="9">
        <v>95.4</v>
      </c>
      <c r="DD122" s="9">
        <v>0.76</v>
      </c>
      <c r="DE122" s="9">
        <v>126</v>
      </c>
      <c r="DF122" s="9">
        <v>123</v>
      </c>
      <c r="DG122" s="9">
        <f t="shared" si="1"/>
        <v>4.6851314669133295</v>
      </c>
      <c r="DH122" s="9">
        <v>24.6</v>
      </c>
      <c r="DI122" s="10">
        <v>9.5399999999999991</v>
      </c>
      <c r="DJ122" s="9">
        <v>19.7</v>
      </c>
      <c r="DK122" s="10">
        <v>54.3</v>
      </c>
      <c r="DL122" s="10">
        <v>27.9</v>
      </c>
      <c r="DM122" s="9">
        <v>73.5</v>
      </c>
      <c r="DP122" s="11">
        <v>3</v>
      </c>
      <c r="DR122" s="9">
        <v>2</v>
      </c>
    </row>
    <row r="123" spans="1:125" x14ac:dyDescent="0.2">
      <c r="A123" s="30">
        <v>712</v>
      </c>
      <c r="B123" s="17">
        <v>43299</v>
      </c>
      <c r="C123" s="9" t="s">
        <v>3955</v>
      </c>
      <c r="D123" s="9">
        <v>76</v>
      </c>
      <c r="E123" s="35" t="s">
        <v>4372</v>
      </c>
      <c r="F123" s="17">
        <v>15364</v>
      </c>
      <c r="G123" s="9" t="s">
        <v>6808</v>
      </c>
      <c r="H123" s="9" t="s">
        <v>6809</v>
      </c>
      <c r="M123" s="9" t="s">
        <v>483</v>
      </c>
      <c r="N123" s="9" t="s">
        <v>483</v>
      </c>
      <c r="O123" s="9" t="s">
        <v>483</v>
      </c>
      <c r="P123" s="9" t="s">
        <v>483</v>
      </c>
      <c r="Q123" s="9" t="s">
        <v>483</v>
      </c>
      <c r="R123" s="9" t="s">
        <v>483</v>
      </c>
      <c r="S123" s="9" t="s">
        <v>6810</v>
      </c>
      <c r="T123" s="9" t="s">
        <v>483</v>
      </c>
      <c r="U123" s="9" t="s">
        <v>483</v>
      </c>
      <c r="V123" s="9" t="s">
        <v>483</v>
      </c>
      <c r="W123" s="9" t="s">
        <v>483</v>
      </c>
      <c r="X123" s="9" t="s">
        <v>483</v>
      </c>
      <c r="Y123" s="9" t="s">
        <v>6811</v>
      </c>
      <c r="Z123" s="10" t="s">
        <v>3659</v>
      </c>
      <c r="AA123" s="35" t="s">
        <v>4372</v>
      </c>
      <c r="AB123" s="35" t="s">
        <v>4372</v>
      </c>
      <c r="AC123" s="35" t="s">
        <v>4372</v>
      </c>
      <c r="AD123" s="35" t="s">
        <v>4372</v>
      </c>
      <c r="AE123" s="9" t="s">
        <v>483</v>
      </c>
      <c r="AF123" s="9" t="s">
        <v>483</v>
      </c>
      <c r="AG123" s="9" t="s">
        <v>483</v>
      </c>
      <c r="AH123" s="9" t="s">
        <v>483</v>
      </c>
      <c r="AI123" s="9" t="s">
        <v>483</v>
      </c>
      <c r="AJ123" s="9" t="s">
        <v>483</v>
      </c>
      <c r="AK123" s="9" t="s">
        <v>483</v>
      </c>
      <c r="AL123" s="9">
        <v>59</v>
      </c>
      <c r="AM123" s="9">
        <v>1.61</v>
      </c>
      <c r="AN123" s="9">
        <v>91</v>
      </c>
      <c r="AO123" s="9">
        <v>91</v>
      </c>
      <c r="AP123" s="9">
        <v>15.1</v>
      </c>
      <c r="AQ123" s="9">
        <v>8</v>
      </c>
      <c r="AR123" s="9">
        <v>36.799999999999997</v>
      </c>
      <c r="AS123" s="9">
        <v>39</v>
      </c>
      <c r="AT123" s="9">
        <v>22.8</v>
      </c>
      <c r="AU123" s="9">
        <v>115</v>
      </c>
      <c r="AV123" s="9">
        <v>73</v>
      </c>
      <c r="DC123" s="9">
        <v>77</v>
      </c>
      <c r="DD123" s="9">
        <v>0.83</v>
      </c>
      <c r="DE123" s="9">
        <v>199</v>
      </c>
      <c r="DF123" s="10">
        <v>159</v>
      </c>
      <c r="DG123" s="9">
        <f t="shared" si="1"/>
        <v>4.7063548120369578</v>
      </c>
      <c r="DH123" s="9">
        <v>31.8</v>
      </c>
      <c r="DI123" s="9">
        <v>6.17</v>
      </c>
      <c r="DJ123" s="9">
        <v>20</v>
      </c>
      <c r="DK123" s="9">
        <v>23.3</v>
      </c>
      <c r="DL123" s="10">
        <v>39.9</v>
      </c>
      <c r="DM123" s="9">
        <v>127.3</v>
      </c>
      <c r="DP123" s="11">
        <v>2</v>
      </c>
      <c r="DQ123" s="30">
        <v>1</v>
      </c>
      <c r="DR123" s="9">
        <v>2</v>
      </c>
    </row>
    <row r="124" spans="1:125" x14ac:dyDescent="0.2">
      <c r="A124" s="30">
        <v>715</v>
      </c>
      <c r="B124" s="17">
        <v>43299</v>
      </c>
      <c r="C124" s="9" t="s">
        <v>107</v>
      </c>
      <c r="D124" s="9">
        <v>55</v>
      </c>
      <c r="E124" s="9" t="s">
        <v>3702</v>
      </c>
      <c r="F124" s="17">
        <v>23201</v>
      </c>
      <c r="G124" s="9" t="s">
        <v>3703</v>
      </c>
      <c r="H124" s="9" t="s">
        <v>6533</v>
      </c>
      <c r="M124" s="9" t="s">
        <v>483</v>
      </c>
      <c r="N124" s="9" t="s">
        <v>263</v>
      </c>
      <c r="O124" s="9" t="s">
        <v>263</v>
      </c>
      <c r="P124" s="9" t="s">
        <v>263</v>
      </c>
      <c r="Q124" s="9" t="s">
        <v>263</v>
      </c>
      <c r="R124" s="9" t="s">
        <v>483</v>
      </c>
      <c r="S124" s="9" t="s">
        <v>263</v>
      </c>
      <c r="T124" s="9" t="s">
        <v>263</v>
      </c>
      <c r="U124" s="9" t="s">
        <v>263</v>
      </c>
      <c r="V124" s="9" t="s">
        <v>263</v>
      </c>
      <c r="W124" s="9" t="s">
        <v>263</v>
      </c>
      <c r="X124" s="9" t="s">
        <v>263</v>
      </c>
      <c r="Y124" s="9" t="s">
        <v>483</v>
      </c>
      <c r="Z124" s="9" t="s">
        <v>483</v>
      </c>
      <c r="AA124" s="9" t="s">
        <v>5749</v>
      </c>
      <c r="AB124" s="9" t="s">
        <v>6714</v>
      </c>
      <c r="AC124" s="9" t="s">
        <v>6714</v>
      </c>
      <c r="AD124" s="9" t="s">
        <v>6714</v>
      </c>
      <c r="AE124" s="10" t="s">
        <v>35</v>
      </c>
      <c r="AF124" s="10" t="s">
        <v>35</v>
      </c>
      <c r="AG124" s="9" t="s">
        <v>263</v>
      </c>
      <c r="AH124" s="10" t="s">
        <v>36</v>
      </c>
      <c r="AI124" s="9" t="s">
        <v>263</v>
      </c>
      <c r="AJ124" s="9" t="s">
        <v>263</v>
      </c>
      <c r="AK124" s="9" t="s">
        <v>263</v>
      </c>
      <c r="AL124" s="9">
        <v>75.7</v>
      </c>
      <c r="AM124" s="9">
        <v>1.81</v>
      </c>
      <c r="AN124" s="9">
        <v>97</v>
      </c>
      <c r="AO124" s="9">
        <v>101</v>
      </c>
      <c r="AP124" s="9">
        <v>25.1</v>
      </c>
      <c r="AQ124" s="9">
        <v>7</v>
      </c>
      <c r="AR124" s="9">
        <v>32.200000000000003</v>
      </c>
      <c r="AS124" s="9">
        <v>55</v>
      </c>
      <c r="AT124" s="9">
        <v>23.1</v>
      </c>
      <c r="AU124" s="9">
        <v>127</v>
      </c>
      <c r="AV124" s="10">
        <v>93</v>
      </c>
      <c r="DC124" s="9">
        <v>87.3</v>
      </c>
      <c r="DD124" s="9">
        <v>0.48</v>
      </c>
      <c r="DE124" s="9">
        <v>189</v>
      </c>
      <c r="DF124" s="9">
        <v>85</v>
      </c>
      <c r="DG124" s="9">
        <f t="shared" si="1"/>
        <v>4.4560008596679364</v>
      </c>
      <c r="DH124" s="9">
        <v>17</v>
      </c>
      <c r="DI124" s="9">
        <v>4.1500000000000004</v>
      </c>
      <c r="DJ124" s="9">
        <v>13.7</v>
      </c>
      <c r="DK124" s="9">
        <v>30.7</v>
      </c>
      <c r="DL124" s="9">
        <v>39.9</v>
      </c>
      <c r="DM124" s="9">
        <v>132.1</v>
      </c>
      <c r="DP124" s="11">
        <v>3</v>
      </c>
      <c r="DR124" s="9">
        <v>3</v>
      </c>
    </row>
    <row r="125" spans="1:125" x14ac:dyDescent="0.2">
      <c r="A125" s="7">
        <v>716</v>
      </c>
      <c r="B125" s="17">
        <v>43299</v>
      </c>
      <c r="C125" s="9" t="s">
        <v>107</v>
      </c>
      <c r="D125" s="9">
        <v>16</v>
      </c>
      <c r="E125" s="9" t="s">
        <v>3702</v>
      </c>
      <c r="F125" s="17">
        <v>37234</v>
      </c>
      <c r="G125" s="9" t="s">
        <v>6830</v>
      </c>
      <c r="H125" s="9" t="s">
        <v>6831</v>
      </c>
      <c r="M125" s="9" t="s">
        <v>263</v>
      </c>
      <c r="N125" s="9" t="s">
        <v>263</v>
      </c>
      <c r="O125" s="9" t="s">
        <v>263</v>
      </c>
      <c r="P125" s="9" t="s">
        <v>263</v>
      </c>
      <c r="Q125" s="9" t="s">
        <v>6804</v>
      </c>
      <c r="R125" s="9" t="s">
        <v>263</v>
      </c>
      <c r="S125" s="9" t="s">
        <v>6832</v>
      </c>
      <c r="T125" s="9" t="s">
        <v>483</v>
      </c>
      <c r="U125" s="9" t="s">
        <v>483</v>
      </c>
      <c r="V125" s="9" t="s">
        <v>263</v>
      </c>
      <c r="W125" s="9" t="s">
        <v>263</v>
      </c>
      <c r="X125" s="9" t="s">
        <v>5689</v>
      </c>
      <c r="Y125" s="9" t="s">
        <v>6833</v>
      </c>
      <c r="Z125" s="9" t="s">
        <v>483</v>
      </c>
      <c r="AA125" s="9" t="s">
        <v>5749</v>
      </c>
      <c r="AB125" s="9" t="s">
        <v>6714</v>
      </c>
      <c r="AC125" s="9" t="s">
        <v>6834</v>
      </c>
      <c r="AD125" s="9" t="s">
        <v>6835</v>
      </c>
      <c r="AE125" s="10" t="s">
        <v>611</v>
      </c>
      <c r="AF125" s="10" t="s">
        <v>611</v>
      </c>
      <c r="AG125" s="9" t="s">
        <v>263</v>
      </c>
      <c r="AH125" s="9" t="s">
        <v>483</v>
      </c>
      <c r="AI125" s="10" t="s">
        <v>4123</v>
      </c>
      <c r="AJ125" s="9" t="s">
        <v>263</v>
      </c>
      <c r="AK125" s="9" t="s">
        <v>263</v>
      </c>
      <c r="AL125" s="9">
        <v>68.3</v>
      </c>
      <c r="AM125" s="9">
        <v>1.69</v>
      </c>
      <c r="AN125" s="9">
        <v>82</v>
      </c>
      <c r="AO125" s="9">
        <v>95</v>
      </c>
      <c r="AP125" s="9">
        <v>16</v>
      </c>
      <c r="AT125" s="9">
        <v>23.9</v>
      </c>
      <c r="AU125" s="9">
        <v>122</v>
      </c>
      <c r="AV125" s="9">
        <v>77</v>
      </c>
      <c r="AX125" s="9" t="s">
        <v>6836</v>
      </c>
      <c r="AY125" s="9" t="s">
        <v>371</v>
      </c>
      <c r="BB125" s="9" t="s">
        <v>3974</v>
      </c>
      <c r="BC125" s="9" t="s">
        <v>6539</v>
      </c>
      <c r="BD125" s="9" t="s">
        <v>6795</v>
      </c>
      <c r="BF125" s="9" t="s">
        <v>323</v>
      </c>
      <c r="BG125" s="9" t="s">
        <v>6837</v>
      </c>
      <c r="BH125" s="9" t="s">
        <v>323</v>
      </c>
      <c r="BI125" s="9" t="s">
        <v>323</v>
      </c>
      <c r="BJ125" s="9" t="s">
        <v>323</v>
      </c>
      <c r="BK125" s="9" t="s">
        <v>323</v>
      </c>
      <c r="BV125" s="9" t="s">
        <v>554</v>
      </c>
      <c r="BZ125" s="9" t="s">
        <v>380</v>
      </c>
      <c r="CA125" s="9" t="s">
        <v>942</v>
      </c>
      <c r="CB125" s="9" t="s">
        <v>6838</v>
      </c>
      <c r="CL125" s="9" t="s">
        <v>997</v>
      </c>
      <c r="CM125" s="9" t="s">
        <v>6767</v>
      </c>
      <c r="CN125" s="9" t="s">
        <v>382</v>
      </c>
      <c r="CP125" s="9" t="s">
        <v>1200</v>
      </c>
      <c r="CQ125" s="9" t="s">
        <v>1285</v>
      </c>
      <c r="CT125" s="9" t="s">
        <v>1278</v>
      </c>
      <c r="CU125" s="9" t="s">
        <v>445</v>
      </c>
      <c r="CW125" s="9">
        <v>3</v>
      </c>
      <c r="CX125" s="9" t="s">
        <v>588</v>
      </c>
      <c r="CY125" s="9" t="s">
        <v>588</v>
      </c>
      <c r="CZ125" s="9">
        <v>25</v>
      </c>
      <c r="DA125" s="9">
        <v>50</v>
      </c>
      <c r="DB125" s="9">
        <v>25</v>
      </c>
      <c r="DC125" s="9">
        <v>88.9</v>
      </c>
      <c r="DD125" s="9">
        <v>0.56999999999999995</v>
      </c>
      <c r="DE125" s="9">
        <v>133</v>
      </c>
      <c r="DF125" s="9">
        <v>80</v>
      </c>
      <c r="DG125" s="9">
        <f t="shared" si="1"/>
        <v>4.4347693885968704</v>
      </c>
      <c r="DH125" s="9">
        <v>15.6</v>
      </c>
      <c r="DI125" s="9">
        <v>5.43</v>
      </c>
      <c r="DJ125" s="9">
        <v>16.3</v>
      </c>
      <c r="DK125" s="9">
        <v>31.3</v>
      </c>
      <c r="DL125" s="9">
        <v>32</v>
      </c>
      <c r="DM125" s="9">
        <v>85.4</v>
      </c>
      <c r="DP125" s="11">
        <v>3</v>
      </c>
      <c r="DR125" s="9">
        <v>3</v>
      </c>
    </row>
    <row r="126" spans="1:125" x14ac:dyDescent="0.2">
      <c r="A126" s="7">
        <v>718</v>
      </c>
      <c r="B126" s="17">
        <v>43299</v>
      </c>
      <c r="C126" s="9" t="s">
        <v>3955</v>
      </c>
      <c r="D126" s="9">
        <v>20</v>
      </c>
      <c r="E126" s="9" t="s">
        <v>3702</v>
      </c>
      <c r="F126" s="17">
        <v>35743</v>
      </c>
      <c r="G126" s="9" t="s">
        <v>6830</v>
      </c>
      <c r="H126" s="9" t="s">
        <v>6844</v>
      </c>
      <c r="M126" s="9" t="s">
        <v>263</v>
      </c>
      <c r="N126" s="9" t="s">
        <v>263</v>
      </c>
      <c r="O126" s="9" t="s">
        <v>263</v>
      </c>
      <c r="P126" s="9" t="s">
        <v>6845</v>
      </c>
      <c r="Q126" s="9" t="s">
        <v>6846</v>
      </c>
      <c r="R126" s="9" t="s">
        <v>263</v>
      </c>
      <c r="S126" s="9" t="s">
        <v>6847</v>
      </c>
      <c r="T126" s="9" t="s">
        <v>263</v>
      </c>
      <c r="U126" s="9" t="s">
        <v>263</v>
      </c>
      <c r="V126" s="9" t="s">
        <v>263</v>
      </c>
      <c r="W126" s="9" t="s">
        <v>6848</v>
      </c>
      <c r="X126" s="9" t="s">
        <v>6849</v>
      </c>
      <c r="Y126" s="9" t="s">
        <v>6850</v>
      </c>
      <c r="Z126" s="9" t="s">
        <v>483</v>
      </c>
      <c r="AA126" s="9" t="s">
        <v>5749</v>
      </c>
      <c r="AB126" s="9" t="s">
        <v>5749</v>
      </c>
      <c r="AC126" s="9" t="s">
        <v>6834</v>
      </c>
      <c r="AD126" s="9" t="s">
        <v>6835</v>
      </c>
      <c r="AE126" s="10" t="s">
        <v>6851</v>
      </c>
      <c r="AF126" s="9" t="s">
        <v>263</v>
      </c>
      <c r="AG126" s="9" t="s">
        <v>263</v>
      </c>
      <c r="AH126" s="9" t="s">
        <v>263</v>
      </c>
      <c r="AI126" s="10" t="s">
        <v>4123</v>
      </c>
      <c r="AJ126" s="9" t="s">
        <v>263</v>
      </c>
      <c r="AK126" s="9" t="s">
        <v>263</v>
      </c>
      <c r="AL126" s="9">
        <v>64.599999999999994</v>
      </c>
      <c r="AM126" s="9">
        <v>1.65</v>
      </c>
      <c r="AN126" s="9">
        <v>83</v>
      </c>
      <c r="AO126" s="9">
        <v>89</v>
      </c>
      <c r="AP126" s="9">
        <v>20.9</v>
      </c>
      <c r="AR126" s="9">
        <v>40.9</v>
      </c>
      <c r="AS126" s="9">
        <v>21</v>
      </c>
      <c r="AT126" s="9">
        <v>23.7</v>
      </c>
      <c r="AU126" s="9">
        <v>106</v>
      </c>
      <c r="AV126" s="9">
        <v>74</v>
      </c>
      <c r="AX126" s="9" t="s">
        <v>6836</v>
      </c>
      <c r="AY126" s="9" t="s">
        <v>5738</v>
      </c>
      <c r="BB126" s="9" t="s">
        <v>409</v>
      </c>
      <c r="BC126" s="9" t="s">
        <v>536</v>
      </c>
      <c r="BF126" s="9" t="s">
        <v>323</v>
      </c>
      <c r="BG126" s="9" t="s">
        <v>323</v>
      </c>
      <c r="BH126" s="9" t="s">
        <v>323</v>
      </c>
      <c r="BI126" s="9" t="s">
        <v>323</v>
      </c>
      <c r="BJ126" s="9" t="s">
        <v>635</v>
      </c>
      <c r="BK126" s="9" t="s">
        <v>323</v>
      </c>
      <c r="BN126" s="9" t="s">
        <v>6405</v>
      </c>
      <c r="BO126" s="9" t="s">
        <v>6513</v>
      </c>
      <c r="BP126" s="9" t="s">
        <v>467</v>
      </c>
      <c r="BV126" s="9" t="s">
        <v>6852</v>
      </c>
      <c r="BW126" s="9" t="s">
        <v>554</v>
      </c>
      <c r="BZ126" s="9" t="s">
        <v>6508</v>
      </c>
      <c r="CA126" s="9" t="s">
        <v>6853</v>
      </c>
      <c r="CB126" s="9" t="s">
        <v>397</v>
      </c>
      <c r="CL126" s="9" t="s">
        <v>6854</v>
      </c>
      <c r="CM126" s="9" t="s">
        <v>997</v>
      </c>
      <c r="CN126" s="9" t="s">
        <v>6767</v>
      </c>
      <c r="CP126" s="9" t="s">
        <v>1200</v>
      </c>
      <c r="CT126" s="9" t="s">
        <v>6716</v>
      </c>
      <c r="CU126" s="9" t="s">
        <v>6376</v>
      </c>
      <c r="CW126" s="9">
        <v>4</v>
      </c>
      <c r="CX126" s="9" t="s">
        <v>483</v>
      </c>
      <c r="CY126" s="9" t="s">
        <v>588</v>
      </c>
      <c r="CZ126" s="9">
        <v>15</v>
      </c>
      <c r="DA126" s="9">
        <v>50</v>
      </c>
      <c r="DB126" s="9">
        <v>35</v>
      </c>
      <c r="DC126" s="9">
        <v>86.6</v>
      </c>
      <c r="DD126" s="9">
        <v>0.68</v>
      </c>
      <c r="DE126" s="9">
        <v>161</v>
      </c>
      <c r="DF126" s="9">
        <v>87</v>
      </c>
      <c r="DG126" s="9">
        <f t="shared" si="1"/>
        <v>4.4636039671114869</v>
      </c>
      <c r="DH126" s="9">
        <v>17.399999999999999</v>
      </c>
      <c r="DI126" s="9">
        <v>5.64</v>
      </c>
      <c r="DJ126" s="9">
        <v>24.7</v>
      </c>
      <c r="DK126" s="9">
        <v>27.3</v>
      </c>
      <c r="DL126" s="10">
        <v>36.6</v>
      </c>
      <c r="DM126" s="9">
        <v>107</v>
      </c>
      <c r="DP126" s="11">
        <v>3</v>
      </c>
      <c r="DR126" s="9">
        <v>3</v>
      </c>
    </row>
    <row r="127" spans="1:125" x14ac:dyDescent="0.2">
      <c r="A127" s="9">
        <v>736</v>
      </c>
      <c r="B127" s="17">
        <v>43285</v>
      </c>
      <c r="C127" s="9" t="s">
        <v>107</v>
      </c>
      <c r="D127" s="9">
        <v>50</v>
      </c>
      <c r="E127" s="9" t="s">
        <v>96</v>
      </c>
      <c r="G127" s="9" t="s">
        <v>6968</v>
      </c>
      <c r="H127" s="9" t="s">
        <v>6969</v>
      </c>
      <c r="J127" s="9" t="s">
        <v>500</v>
      </c>
      <c r="L127" s="9" t="s">
        <v>500</v>
      </c>
      <c r="M127" s="9" t="s">
        <v>263</v>
      </c>
      <c r="N127" s="9" t="s">
        <v>263</v>
      </c>
      <c r="O127" s="9" t="s">
        <v>263</v>
      </c>
      <c r="P127" s="9" t="s">
        <v>263</v>
      </c>
      <c r="Q127" s="10" t="s">
        <v>368</v>
      </c>
      <c r="S127" s="9" t="s">
        <v>368</v>
      </c>
      <c r="T127" s="9" t="s">
        <v>368</v>
      </c>
      <c r="U127" s="9" t="s">
        <v>263</v>
      </c>
      <c r="W127" s="9" t="s">
        <v>6970</v>
      </c>
      <c r="X127" s="9" t="s">
        <v>368</v>
      </c>
      <c r="Y127" s="10" t="s">
        <v>6971</v>
      </c>
      <c r="AA127" s="9" t="s">
        <v>96</v>
      </c>
      <c r="AB127" s="14" t="s">
        <v>151</v>
      </c>
      <c r="AC127" s="9" t="s">
        <v>96</v>
      </c>
      <c r="AD127" s="14" t="s">
        <v>151</v>
      </c>
      <c r="AE127" s="9" t="s">
        <v>6972</v>
      </c>
      <c r="AF127" s="9" t="s">
        <v>263</v>
      </c>
      <c r="AG127" s="9" t="s">
        <v>263</v>
      </c>
      <c r="AH127" s="9" t="s">
        <v>6973</v>
      </c>
      <c r="AI127" s="9" t="s">
        <v>263</v>
      </c>
      <c r="AJ127" s="9" t="s">
        <v>263</v>
      </c>
      <c r="AK127" s="9" t="s">
        <v>263</v>
      </c>
      <c r="AL127" s="9">
        <v>85.8</v>
      </c>
      <c r="AM127" s="9">
        <v>1.85</v>
      </c>
      <c r="AN127" s="9">
        <v>102</v>
      </c>
      <c r="AO127" s="9">
        <v>108</v>
      </c>
      <c r="AP127" s="9">
        <v>35.700000000000003</v>
      </c>
      <c r="AQ127" s="9">
        <v>6</v>
      </c>
      <c r="AR127" s="9">
        <v>28</v>
      </c>
      <c r="AS127" s="9">
        <v>40</v>
      </c>
      <c r="AT127" s="10">
        <v>25.1</v>
      </c>
      <c r="AU127" s="9">
        <v>111</v>
      </c>
      <c r="AV127" s="9">
        <v>88</v>
      </c>
      <c r="AY127" s="9" t="s">
        <v>6974</v>
      </c>
      <c r="BB127" s="9" t="s">
        <v>6975</v>
      </c>
      <c r="BF127" s="9" t="s">
        <v>6475</v>
      </c>
      <c r="BG127" s="9" t="s">
        <v>6476</v>
      </c>
      <c r="BH127" s="9" t="s">
        <v>6476</v>
      </c>
      <c r="BI127" s="9" t="s">
        <v>6476</v>
      </c>
      <c r="BJ127" s="9" t="s">
        <v>6475</v>
      </c>
      <c r="BK127" s="9" t="s">
        <v>6976</v>
      </c>
      <c r="BM127" s="9" t="s">
        <v>6476</v>
      </c>
      <c r="BV127" s="9" t="s">
        <v>6977</v>
      </c>
      <c r="CA127" s="9" t="s">
        <v>6978</v>
      </c>
      <c r="CK127" s="9" t="s">
        <v>368</v>
      </c>
      <c r="CL127" s="9" t="s">
        <v>6979</v>
      </c>
      <c r="CO127" s="9" t="s">
        <v>1334</v>
      </c>
      <c r="CP127" s="9" t="s">
        <v>6980</v>
      </c>
      <c r="CT127" s="9" t="s">
        <v>6981</v>
      </c>
      <c r="CW127" s="9" t="s">
        <v>500</v>
      </c>
      <c r="CX127" s="9" t="s">
        <v>368</v>
      </c>
      <c r="CY127" s="9" t="s">
        <v>263</v>
      </c>
      <c r="CZ127" s="9">
        <v>30</v>
      </c>
      <c r="DA127" s="9">
        <v>30</v>
      </c>
      <c r="DB127" s="9">
        <v>30</v>
      </c>
      <c r="DC127" s="9">
        <v>85.6</v>
      </c>
      <c r="DD127" s="9">
        <v>0.49</v>
      </c>
      <c r="DE127" s="9">
        <v>174</v>
      </c>
      <c r="DF127" s="9">
        <v>146</v>
      </c>
      <c r="DG127" s="9">
        <f t="shared" si="1"/>
        <v>4.7166459524280162</v>
      </c>
      <c r="DH127" s="9">
        <v>29.2</v>
      </c>
      <c r="DI127" s="10">
        <v>7.83</v>
      </c>
      <c r="DJ127" s="9">
        <v>9.6</v>
      </c>
      <c r="DK127" s="9">
        <v>14</v>
      </c>
      <c r="DL127" s="9">
        <v>43.5</v>
      </c>
      <c r="DM127" s="9">
        <v>101.3</v>
      </c>
      <c r="DP127" s="11">
        <v>3</v>
      </c>
      <c r="DQ127" s="9">
        <v>2</v>
      </c>
      <c r="DR127" s="9">
        <v>2</v>
      </c>
    </row>
    <row r="128" spans="1:125" x14ac:dyDescent="0.2">
      <c r="A128" s="7">
        <v>748</v>
      </c>
      <c r="B128" s="17">
        <v>43300</v>
      </c>
      <c r="C128" s="9" t="s">
        <v>3645</v>
      </c>
      <c r="D128" s="9">
        <v>41</v>
      </c>
      <c r="E128" s="9" t="s">
        <v>5749</v>
      </c>
      <c r="F128" s="17">
        <v>28089</v>
      </c>
      <c r="G128" s="9" t="s">
        <v>585</v>
      </c>
      <c r="H128" s="9" t="s">
        <v>7037</v>
      </c>
      <c r="I128" s="9">
        <v>12</v>
      </c>
      <c r="K128" s="9">
        <v>2009</v>
      </c>
      <c r="L128" s="9">
        <v>3</v>
      </c>
      <c r="M128" s="9" t="s">
        <v>483</v>
      </c>
      <c r="N128" s="9" t="s">
        <v>483</v>
      </c>
      <c r="O128" s="9" t="s">
        <v>263</v>
      </c>
      <c r="P128" s="9" t="s">
        <v>483</v>
      </c>
      <c r="Q128" s="9" t="s">
        <v>483</v>
      </c>
      <c r="R128" s="9" t="s">
        <v>588</v>
      </c>
      <c r="S128" s="9" t="s">
        <v>483</v>
      </c>
      <c r="T128" s="9" t="s">
        <v>6936</v>
      </c>
      <c r="U128" s="9" t="s">
        <v>7038</v>
      </c>
      <c r="V128" s="9" t="s">
        <v>483</v>
      </c>
      <c r="W128" s="9" t="s">
        <v>7039</v>
      </c>
      <c r="X128" s="9" t="s">
        <v>483</v>
      </c>
      <c r="Y128" s="9" t="s">
        <v>483</v>
      </c>
      <c r="Z128" s="9" t="s">
        <v>7040</v>
      </c>
      <c r="AA128" s="9" t="s">
        <v>96</v>
      </c>
      <c r="AB128" s="9" t="s">
        <v>96</v>
      </c>
      <c r="AC128" s="9" t="s">
        <v>96</v>
      </c>
      <c r="AD128" s="9" t="s">
        <v>96</v>
      </c>
      <c r="AE128" s="9" t="s">
        <v>483</v>
      </c>
      <c r="AF128" s="9" t="s">
        <v>1017</v>
      </c>
      <c r="AG128" s="9" t="s">
        <v>483</v>
      </c>
      <c r="AH128" s="9" t="s">
        <v>406</v>
      </c>
      <c r="AI128" s="9" t="s">
        <v>483</v>
      </c>
      <c r="AJ128" s="9" t="s">
        <v>483</v>
      </c>
      <c r="AK128" s="9" t="s">
        <v>483</v>
      </c>
      <c r="AL128" s="9">
        <v>64.7</v>
      </c>
      <c r="AM128" s="9">
        <v>1.59</v>
      </c>
      <c r="AN128" s="30">
        <v>76.8</v>
      </c>
      <c r="AO128" s="9">
        <v>98</v>
      </c>
      <c r="AP128" s="9">
        <v>37.5</v>
      </c>
      <c r="AQ128" s="9">
        <v>7</v>
      </c>
      <c r="AR128" s="9">
        <v>26.5</v>
      </c>
      <c r="AS128" s="9">
        <v>47</v>
      </c>
      <c r="AT128" s="30">
        <v>25.6</v>
      </c>
      <c r="AU128" s="9">
        <v>108</v>
      </c>
      <c r="AV128" s="9">
        <v>67</v>
      </c>
      <c r="AX128" s="9" t="s">
        <v>6537</v>
      </c>
      <c r="BB128" s="9" t="s">
        <v>3974</v>
      </c>
      <c r="BE128" s="9" t="s">
        <v>7009</v>
      </c>
      <c r="BF128" s="9" t="s">
        <v>323</v>
      </c>
      <c r="BG128" s="9" t="s">
        <v>483</v>
      </c>
      <c r="BH128" s="9" t="s">
        <v>323</v>
      </c>
      <c r="BI128" s="9" t="s">
        <v>483</v>
      </c>
      <c r="BJ128" s="9" t="s">
        <v>483</v>
      </c>
      <c r="BK128" s="9" t="s">
        <v>323</v>
      </c>
      <c r="BN128" s="9" t="s">
        <v>6513</v>
      </c>
      <c r="BO128" s="9" t="s">
        <v>467</v>
      </c>
      <c r="BP128" s="9" t="s">
        <v>6405</v>
      </c>
      <c r="BZ128" s="9" t="s">
        <v>7010</v>
      </c>
      <c r="CA128" s="9" t="s">
        <v>556</v>
      </c>
      <c r="CB128" s="9" t="s">
        <v>6508</v>
      </c>
      <c r="CL128" s="9" t="s">
        <v>6753</v>
      </c>
      <c r="CM128" s="9" t="s">
        <v>922</v>
      </c>
      <c r="CN128" s="9" t="s">
        <v>7041</v>
      </c>
      <c r="CP128" s="9" t="s">
        <v>6464</v>
      </c>
      <c r="CQ128" s="9" t="s">
        <v>1285</v>
      </c>
      <c r="CR128" s="9" t="s">
        <v>7024</v>
      </c>
      <c r="CT128" s="9" t="s">
        <v>564</v>
      </c>
      <c r="CU128" s="9" t="s">
        <v>6861</v>
      </c>
      <c r="CW128" s="9">
        <v>3</v>
      </c>
      <c r="CX128" s="9" t="s">
        <v>588</v>
      </c>
      <c r="CY128" s="9" t="s">
        <v>483</v>
      </c>
      <c r="CZ128" s="9">
        <v>40</v>
      </c>
      <c r="DA128" s="9">
        <v>20</v>
      </c>
      <c r="DB128" s="9">
        <v>40</v>
      </c>
      <c r="DC128" s="9">
        <v>85.8</v>
      </c>
      <c r="DD128" s="9">
        <v>0.36</v>
      </c>
      <c r="DE128" s="9">
        <v>198</v>
      </c>
      <c r="DF128" s="9">
        <v>48</v>
      </c>
      <c r="DG128" s="9">
        <f t="shared" si="1"/>
        <v>4.1616100087009036</v>
      </c>
      <c r="DH128" s="9">
        <v>9.6</v>
      </c>
      <c r="DI128" s="9">
        <v>3.53</v>
      </c>
      <c r="DJ128" s="9">
        <v>14.3</v>
      </c>
      <c r="DK128" s="9">
        <v>19</v>
      </c>
      <c r="DP128" s="11">
        <v>3</v>
      </c>
      <c r="DQ128" s="9">
        <v>3</v>
      </c>
      <c r="DR128" s="9">
        <v>2</v>
      </c>
    </row>
    <row r="129" spans="1:157" x14ac:dyDescent="0.2">
      <c r="A129" s="9" t="s">
        <v>7146</v>
      </c>
      <c r="B129" s="8">
        <v>43423</v>
      </c>
      <c r="DC129" s="9">
        <v>96</v>
      </c>
      <c r="DD129" s="9">
        <v>136</v>
      </c>
      <c r="DE129" s="9">
        <v>192</v>
      </c>
      <c r="DF129" s="9" t="s">
        <v>7147</v>
      </c>
      <c r="DG129" s="9" t="e">
        <f t="shared" si="1"/>
        <v>#VALUE!</v>
      </c>
      <c r="DH129" s="9">
        <v>11</v>
      </c>
      <c r="DI129" s="9">
        <v>4.13</v>
      </c>
      <c r="DL129" s="10">
        <v>111</v>
      </c>
      <c r="DM129" s="9">
        <v>70</v>
      </c>
      <c r="DP129" s="11">
        <v>2</v>
      </c>
      <c r="DQ129" s="9">
        <v>3</v>
      </c>
      <c r="DR129" s="9">
        <v>2</v>
      </c>
      <c r="DT129" s="9">
        <v>14.5</v>
      </c>
    </row>
    <row r="130" spans="1:157" x14ac:dyDescent="0.2">
      <c r="A130" s="9" t="s">
        <v>7151</v>
      </c>
      <c r="B130" s="8">
        <v>43427</v>
      </c>
      <c r="DC130" s="9">
        <v>95.6</v>
      </c>
      <c r="DD130" s="9">
        <v>1.33</v>
      </c>
      <c r="DE130" s="9" t="s">
        <v>7152</v>
      </c>
      <c r="DF130" s="9">
        <v>136</v>
      </c>
      <c r="DG130" s="9">
        <f t="shared" si="1"/>
        <v>4.7364138528967041</v>
      </c>
      <c r="DH130" s="9">
        <v>27.2</v>
      </c>
      <c r="DI130" s="9">
        <v>6.24</v>
      </c>
      <c r="DL130" s="9">
        <v>63.6</v>
      </c>
      <c r="DM130" s="9">
        <v>110.2</v>
      </c>
      <c r="DP130" s="11">
        <v>2</v>
      </c>
      <c r="DQ130" s="9">
        <v>3</v>
      </c>
      <c r="DR130" s="9">
        <v>2</v>
      </c>
      <c r="DT130" s="9">
        <v>14.4</v>
      </c>
    </row>
    <row r="131" spans="1:157" x14ac:dyDescent="0.2">
      <c r="A131" s="9" t="s">
        <v>7160</v>
      </c>
      <c r="B131" s="8">
        <v>43434</v>
      </c>
      <c r="DC131" s="9">
        <v>88.9</v>
      </c>
      <c r="DD131" s="9">
        <v>0.87</v>
      </c>
      <c r="DE131" s="9">
        <v>194</v>
      </c>
      <c r="DF131" s="9">
        <v>112</v>
      </c>
      <c r="DG131" s="9">
        <f t="shared" si="1"/>
        <v>4.6030055069074765</v>
      </c>
      <c r="DH131" s="9">
        <v>22.4</v>
      </c>
      <c r="DI131" s="9">
        <v>6.33</v>
      </c>
      <c r="DP131" s="11">
        <v>2</v>
      </c>
      <c r="DR131" s="9">
        <v>2</v>
      </c>
      <c r="DT131" s="9">
        <v>12</v>
      </c>
    </row>
    <row r="132" spans="1:157" x14ac:dyDescent="0.2">
      <c r="A132" s="7" t="s">
        <v>7163</v>
      </c>
      <c r="B132" s="8">
        <v>43426</v>
      </c>
      <c r="C132" s="9" t="s">
        <v>3645</v>
      </c>
      <c r="E132" s="9" t="s">
        <v>100</v>
      </c>
      <c r="G132" s="9" t="s">
        <v>7164</v>
      </c>
      <c r="I132" s="9">
        <v>11</v>
      </c>
      <c r="J132" s="9" t="s">
        <v>7165</v>
      </c>
      <c r="L132" s="9" t="s">
        <v>99</v>
      </c>
      <c r="M132" s="9" t="s">
        <v>99</v>
      </c>
      <c r="N132" s="9" t="s">
        <v>99</v>
      </c>
      <c r="O132" s="9" t="s">
        <v>99</v>
      </c>
      <c r="P132" s="9" t="s">
        <v>99</v>
      </c>
      <c r="Q132" s="9" t="s">
        <v>110</v>
      </c>
      <c r="R132" s="9" t="s">
        <v>99</v>
      </c>
      <c r="S132" s="9" t="s">
        <v>99</v>
      </c>
      <c r="T132" s="9" t="s">
        <v>110</v>
      </c>
      <c r="U132" s="9" t="s">
        <v>7166</v>
      </c>
      <c r="V132" s="9" t="s">
        <v>99</v>
      </c>
      <c r="W132" s="9" t="s">
        <v>99</v>
      </c>
      <c r="Y132" s="9" t="s">
        <v>7167</v>
      </c>
      <c r="AA132" s="9" t="s">
        <v>100</v>
      </c>
      <c r="AB132" s="9" t="s">
        <v>100</v>
      </c>
      <c r="AC132" s="9" t="s">
        <v>7168</v>
      </c>
      <c r="AD132" s="9" t="s">
        <v>100</v>
      </c>
      <c r="AE132" s="9" t="s">
        <v>118</v>
      </c>
      <c r="AF132" s="9" t="s">
        <v>118</v>
      </c>
      <c r="AG132" s="9" t="s">
        <v>99</v>
      </c>
      <c r="AH132" s="9" t="s">
        <v>99</v>
      </c>
      <c r="AI132" s="9" t="s">
        <v>976</v>
      </c>
      <c r="AJ132" s="9" t="s">
        <v>99</v>
      </c>
      <c r="AK132" s="9" t="s">
        <v>99</v>
      </c>
      <c r="AL132" s="9">
        <v>50.6</v>
      </c>
      <c r="AM132" s="9">
        <v>158</v>
      </c>
      <c r="AN132" s="9">
        <v>68</v>
      </c>
      <c r="AU132" s="9">
        <v>102</v>
      </c>
      <c r="AV132" s="9">
        <v>80</v>
      </c>
      <c r="AX132" s="9" t="s">
        <v>7169</v>
      </c>
      <c r="AY132" s="9" t="s">
        <v>7170</v>
      </c>
      <c r="AZ132" s="9" t="s">
        <v>7171</v>
      </c>
      <c r="BB132" s="9" t="s">
        <v>7172</v>
      </c>
      <c r="BC132" s="9" t="s">
        <v>7173</v>
      </c>
      <c r="BD132" s="9" t="s">
        <v>7174</v>
      </c>
      <c r="BF132" s="9" t="s">
        <v>7175</v>
      </c>
      <c r="BG132" s="9" t="s">
        <v>7176</v>
      </c>
      <c r="BH132" s="9" t="s">
        <v>7177</v>
      </c>
      <c r="BI132" s="9" t="s">
        <v>7176</v>
      </c>
      <c r="BJ132" s="9" t="s">
        <v>7178</v>
      </c>
      <c r="BK132" s="9" t="s">
        <v>7179</v>
      </c>
      <c r="BN132" s="9" t="s">
        <v>7180</v>
      </c>
      <c r="BO132" s="9" t="s">
        <v>7181</v>
      </c>
      <c r="BP132" s="9" t="s">
        <v>7182</v>
      </c>
      <c r="BV132" s="9" t="s">
        <v>7183</v>
      </c>
      <c r="BW132" s="9" t="s">
        <v>7184</v>
      </c>
      <c r="BZ132" s="9" t="s">
        <v>7185</v>
      </c>
      <c r="CA132" s="9" t="s">
        <v>7186</v>
      </c>
      <c r="CB132" s="9" t="s">
        <v>7187</v>
      </c>
      <c r="CL132" s="9" t="s">
        <v>7188</v>
      </c>
      <c r="CM132" s="9" t="s">
        <v>7189</v>
      </c>
      <c r="CN132" s="9" t="s">
        <v>7190</v>
      </c>
      <c r="CP132" s="9" t="s">
        <v>637</v>
      </c>
      <c r="CQ132" s="9" t="s">
        <v>636</v>
      </c>
      <c r="CR132" s="9" t="s">
        <v>638</v>
      </c>
      <c r="CT132" s="9" t="s">
        <v>7191</v>
      </c>
      <c r="CU132" s="9" t="s">
        <v>7192</v>
      </c>
      <c r="CV132" s="9" t="s">
        <v>7193</v>
      </c>
      <c r="CW132" s="9">
        <v>2</v>
      </c>
      <c r="CX132" s="9" t="s">
        <v>588</v>
      </c>
      <c r="CY132" s="9" t="s">
        <v>588</v>
      </c>
      <c r="CZ132" s="9">
        <v>80</v>
      </c>
      <c r="DA132" s="9">
        <v>10</v>
      </c>
      <c r="DB132" s="9">
        <v>10</v>
      </c>
      <c r="DC132" s="9">
        <v>94</v>
      </c>
      <c r="DD132" s="9">
        <v>0.7</v>
      </c>
      <c r="DE132" s="9">
        <v>202</v>
      </c>
      <c r="DF132" s="9">
        <v>129</v>
      </c>
      <c r="DG132" s="9">
        <f t="shared" ref="DG132:DG166" si="2">LN(DF132*DC132)/2</f>
        <v>4.7015535933158379</v>
      </c>
      <c r="DH132" s="9">
        <v>25.8</v>
      </c>
      <c r="DI132" s="9">
        <v>4.3600000000000003</v>
      </c>
      <c r="DL132" s="9">
        <v>78.7</v>
      </c>
      <c r="DM132" s="9">
        <v>97.5</v>
      </c>
      <c r="DP132" s="11">
        <v>3</v>
      </c>
      <c r="DQ132" s="9">
        <v>2</v>
      </c>
      <c r="DR132" s="9">
        <v>2</v>
      </c>
      <c r="DT132" s="9">
        <v>12</v>
      </c>
      <c r="DU132" s="9">
        <v>6</v>
      </c>
    </row>
    <row r="133" spans="1:157" x14ac:dyDescent="0.2">
      <c r="A133" s="7" t="s">
        <v>7241</v>
      </c>
      <c r="C133" s="9" t="s">
        <v>107</v>
      </c>
      <c r="D133" s="9">
        <v>24</v>
      </c>
      <c r="E133" s="9" t="s">
        <v>96</v>
      </c>
      <c r="AN133" s="9">
        <v>86</v>
      </c>
      <c r="AO133" s="9">
        <v>102</v>
      </c>
      <c r="AP133" s="9" t="s">
        <v>167</v>
      </c>
      <c r="AQ133" s="9">
        <v>7</v>
      </c>
      <c r="AR133" s="9" t="s">
        <v>7242</v>
      </c>
      <c r="AS133" s="9">
        <v>46</v>
      </c>
      <c r="AT133" s="9" t="s">
        <v>7243</v>
      </c>
      <c r="AU133" s="9">
        <v>118</v>
      </c>
      <c r="AV133" s="9">
        <v>84</v>
      </c>
      <c r="DC133" s="9" t="s">
        <v>7244</v>
      </c>
      <c r="DD133" s="9" t="s">
        <v>7245</v>
      </c>
      <c r="DE133" s="9">
        <v>136</v>
      </c>
      <c r="DF133" s="9">
        <v>91</v>
      </c>
      <c r="DG133" s="9">
        <f t="shared" si="2"/>
        <v>4.4755775246573535</v>
      </c>
      <c r="DH133" s="9" t="s">
        <v>7246</v>
      </c>
      <c r="DI133" s="9" t="s">
        <v>7247</v>
      </c>
      <c r="DL133" s="9" t="s">
        <v>7248</v>
      </c>
      <c r="DM133" s="9" t="s">
        <v>7249</v>
      </c>
      <c r="DP133" s="29">
        <v>1</v>
      </c>
      <c r="DQ133" s="9">
        <v>3</v>
      </c>
      <c r="DR133" s="9">
        <v>3</v>
      </c>
      <c r="DT133" s="9">
        <v>10.7</v>
      </c>
      <c r="DU133" s="9">
        <v>6.64</v>
      </c>
    </row>
    <row r="134" spans="1:157" s="33" customFormat="1" x14ac:dyDescent="0.2">
      <c r="A134" s="70" t="s">
        <v>7251</v>
      </c>
      <c r="B134" s="32">
        <v>43794</v>
      </c>
      <c r="C134" s="31" t="s">
        <v>196</v>
      </c>
      <c r="D134" s="31">
        <v>35</v>
      </c>
      <c r="E134" s="31" t="s">
        <v>100</v>
      </c>
      <c r="F134" s="32">
        <v>30682</v>
      </c>
      <c r="G134" s="31" t="s">
        <v>7252</v>
      </c>
      <c r="H134" s="31" t="s">
        <v>2807</v>
      </c>
      <c r="I134" s="31" t="s">
        <v>4974</v>
      </c>
      <c r="J134" s="31"/>
      <c r="K134" s="31">
        <v>2010</v>
      </c>
      <c r="L134" s="31">
        <v>1</v>
      </c>
      <c r="M134" s="31" t="s">
        <v>99</v>
      </c>
      <c r="N134" s="31" t="s">
        <v>99</v>
      </c>
      <c r="O134" s="31" t="s">
        <v>99</v>
      </c>
      <c r="P134" s="31" t="s">
        <v>99</v>
      </c>
      <c r="Q134" s="31" t="s">
        <v>99</v>
      </c>
      <c r="R134" s="31" t="s">
        <v>7253</v>
      </c>
      <c r="S134" s="31" t="s">
        <v>99</v>
      </c>
      <c r="T134" s="31" t="s">
        <v>99</v>
      </c>
      <c r="U134" s="31" t="s">
        <v>5892</v>
      </c>
      <c r="V134" s="31" t="s">
        <v>99</v>
      </c>
      <c r="W134" s="31" t="s">
        <v>7254</v>
      </c>
      <c r="X134" s="31" t="s">
        <v>99</v>
      </c>
      <c r="Y134" s="31"/>
      <c r="Z134" s="31"/>
      <c r="AA134" s="31" t="s">
        <v>100</v>
      </c>
      <c r="AB134" s="31" t="s">
        <v>100</v>
      </c>
      <c r="AC134" s="31" t="s">
        <v>100</v>
      </c>
      <c r="AD134" s="31" t="s">
        <v>100</v>
      </c>
      <c r="AE134" s="31" t="s">
        <v>2047</v>
      </c>
      <c r="AF134" s="31" t="s">
        <v>2047</v>
      </c>
      <c r="AG134" s="31" t="s">
        <v>7255</v>
      </c>
      <c r="AH134" s="31" t="s">
        <v>99</v>
      </c>
      <c r="AI134" s="31" t="s">
        <v>1126</v>
      </c>
      <c r="AJ134" s="31" t="s">
        <v>99</v>
      </c>
      <c r="AK134" s="31" t="s">
        <v>99</v>
      </c>
      <c r="AL134" s="31">
        <v>52.6</v>
      </c>
      <c r="AM134" s="31">
        <v>1.59</v>
      </c>
      <c r="AN134" s="31">
        <v>74</v>
      </c>
      <c r="AO134" s="31">
        <v>84</v>
      </c>
      <c r="AP134" s="31">
        <v>28.5</v>
      </c>
      <c r="AQ134" s="31">
        <v>4</v>
      </c>
      <c r="AR134" s="31">
        <v>29.3</v>
      </c>
      <c r="AS134" s="31">
        <v>30</v>
      </c>
      <c r="AT134" s="31">
        <v>20.8</v>
      </c>
      <c r="AU134" s="31">
        <v>89</v>
      </c>
      <c r="AV134" s="31">
        <v>58</v>
      </c>
      <c r="AW134" s="31"/>
      <c r="AX134" s="31" t="s">
        <v>7256</v>
      </c>
      <c r="AY134" s="31" t="s">
        <v>679</v>
      </c>
      <c r="AZ134" s="31" t="s">
        <v>6087</v>
      </c>
      <c r="BA134" s="31"/>
      <c r="BB134" s="31" t="s">
        <v>346</v>
      </c>
      <c r="BC134" s="31"/>
      <c r="BD134" s="31"/>
      <c r="BE134" s="31"/>
      <c r="BF134" s="31" t="s">
        <v>707</v>
      </c>
      <c r="BG134" s="31" t="s">
        <v>1469</v>
      </c>
      <c r="BH134" s="31" t="s">
        <v>707</v>
      </c>
      <c r="BI134" s="31" t="s">
        <v>213</v>
      </c>
      <c r="BJ134" s="31" t="s">
        <v>176</v>
      </c>
      <c r="BK134" s="31" t="s">
        <v>216</v>
      </c>
      <c r="BL134" s="31"/>
      <c r="BM134" s="31"/>
      <c r="BN134" s="31" t="s">
        <v>125</v>
      </c>
      <c r="BO134" s="31" t="s">
        <v>179</v>
      </c>
      <c r="BP134" s="31" t="s">
        <v>219</v>
      </c>
      <c r="BQ134" s="31"/>
      <c r="BR134" s="31"/>
      <c r="BS134" s="31"/>
      <c r="BT134" s="31"/>
      <c r="BU134" s="31"/>
      <c r="BV134" s="31"/>
      <c r="BW134" s="31"/>
      <c r="BX134" s="31"/>
      <c r="BY134" s="31"/>
      <c r="BZ134" s="31" t="s">
        <v>182</v>
      </c>
      <c r="CA134" s="31" t="s">
        <v>577</v>
      </c>
      <c r="CB134" s="31"/>
      <c r="CC134" s="31"/>
      <c r="CD134" s="31"/>
      <c r="CE134" s="31"/>
      <c r="CF134" s="31"/>
      <c r="CG134" s="31"/>
      <c r="CH134" s="31" t="s">
        <v>7257</v>
      </c>
      <c r="CI134" s="31"/>
      <c r="CJ134" s="31"/>
      <c r="CK134" s="31"/>
      <c r="CL134" s="31" t="s">
        <v>887</v>
      </c>
      <c r="CM134" s="31"/>
      <c r="CN134" s="31"/>
      <c r="CO134" s="31"/>
      <c r="CP134" s="31" t="s">
        <v>890</v>
      </c>
      <c r="CQ134" s="31"/>
      <c r="CR134" s="31"/>
      <c r="CS134" s="31"/>
      <c r="CT134" s="31" t="s">
        <v>7258</v>
      </c>
      <c r="CU134" s="31"/>
      <c r="CV134" s="31"/>
      <c r="CW134" s="31">
        <v>3</v>
      </c>
      <c r="CX134" s="31" t="s">
        <v>99</v>
      </c>
      <c r="CY134" s="31" t="s">
        <v>99</v>
      </c>
      <c r="CZ134" s="31">
        <v>35</v>
      </c>
      <c r="DA134" s="31">
        <v>10</v>
      </c>
      <c r="DB134" s="31">
        <v>55</v>
      </c>
      <c r="DC134" s="31">
        <v>74</v>
      </c>
      <c r="DD134" s="31">
        <v>0.67</v>
      </c>
      <c r="DE134" s="31">
        <v>146</v>
      </c>
      <c r="DF134" s="31">
        <v>49</v>
      </c>
      <c r="DG134" s="9">
        <f t="shared" si="2"/>
        <v>4.0979426956573981</v>
      </c>
      <c r="DH134" s="31">
        <v>9.8000000000000007</v>
      </c>
      <c r="DI134" s="31">
        <v>4.8499999999999996</v>
      </c>
      <c r="DJ134" s="31"/>
      <c r="DK134" s="31"/>
      <c r="DL134" s="31">
        <v>53.5</v>
      </c>
      <c r="DM134" s="31">
        <v>82.7</v>
      </c>
      <c r="DN134" s="31"/>
      <c r="DO134" s="31"/>
      <c r="DP134" s="31"/>
      <c r="DQ134" s="31"/>
      <c r="DR134" s="31">
        <v>2</v>
      </c>
      <c r="DS134" s="31"/>
      <c r="DT134" s="31"/>
      <c r="DU134" s="31">
        <v>4.0999999999999996</v>
      </c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</row>
    <row r="135" spans="1:157" s="33" customFormat="1" x14ac:dyDescent="0.2">
      <c r="A135" s="70" t="s">
        <v>7313</v>
      </c>
      <c r="B135" s="32">
        <v>43794</v>
      </c>
      <c r="C135" s="31" t="s">
        <v>675</v>
      </c>
      <c r="D135" s="31">
        <v>32</v>
      </c>
      <c r="E135" s="31" t="s">
        <v>100</v>
      </c>
      <c r="F135" s="32">
        <v>32021</v>
      </c>
      <c r="G135" s="31" t="s">
        <v>7314</v>
      </c>
      <c r="H135" s="31" t="s">
        <v>7315</v>
      </c>
      <c r="I135" s="31"/>
      <c r="J135" s="31"/>
      <c r="K135" s="31"/>
      <c r="L135" s="31"/>
      <c r="M135" s="31" t="s">
        <v>99</v>
      </c>
      <c r="N135" s="31" t="s">
        <v>99</v>
      </c>
      <c r="O135" s="31" t="s">
        <v>99</v>
      </c>
      <c r="P135" s="31" t="s">
        <v>99</v>
      </c>
      <c r="Q135" s="31" t="s">
        <v>690</v>
      </c>
      <c r="R135" s="31" t="s">
        <v>99</v>
      </c>
      <c r="S135" s="31" t="s">
        <v>110</v>
      </c>
      <c r="T135" s="31" t="s">
        <v>110</v>
      </c>
      <c r="U135" s="31" t="s">
        <v>148</v>
      </c>
      <c r="V135" s="31" t="s">
        <v>99</v>
      </c>
      <c r="W135" s="31" t="s">
        <v>7316</v>
      </c>
      <c r="X135" s="31"/>
      <c r="Y135" s="31"/>
      <c r="Z135" s="31" t="s">
        <v>7317</v>
      </c>
      <c r="AA135" s="31" t="s">
        <v>100</v>
      </c>
      <c r="AB135" s="31" t="s">
        <v>100</v>
      </c>
      <c r="AC135" s="31" t="s">
        <v>100</v>
      </c>
      <c r="AD135" s="31" t="s">
        <v>100</v>
      </c>
      <c r="AE135" s="31" t="s">
        <v>246</v>
      </c>
      <c r="AF135" s="31" t="s">
        <v>99</v>
      </c>
      <c r="AG135" s="31" t="s">
        <v>7318</v>
      </c>
      <c r="AH135" s="31" t="s">
        <v>99</v>
      </c>
      <c r="AI135" s="31" t="s">
        <v>99</v>
      </c>
      <c r="AJ135" s="31" t="s">
        <v>99</v>
      </c>
      <c r="AK135" s="31"/>
      <c r="AL135" s="31">
        <v>72.8</v>
      </c>
      <c r="AM135" s="31">
        <v>171</v>
      </c>
      <c r="AN135" s="31"/>
      <c r="AO135" s="31"/>
      <c r="AP135" s="31">
        <v>20.9</v>
      </c>
      <c r="AQ135" s="31">
        <v>8</v>
      </c>
      <c r="AR135" s="31">
        <v>39.200000000000003</v>
      </c>
      <c r="AS135" s="31">
        <v>36</v>
      </c>
      <c r="AT135" s="31">
        <v>24.9</v>
      </c>
      <c r="AU135" s="31">
        <v>95</v>
      </c>
      <c r="AV135" s="31">
        <v>53</v>
      </c>
      <c r="AW135" s="31"/>
      <c r="AX135" s="31" t="s">
        <v>7319</v>
      </c>
      <c r="AY135" s="31" t="s">
        <v>7320</v>
      </c>
      <c r="AZ135" s="31"/>
      <c r="BA135" s="31"/>
      <c r="BB135" s="31" t="s">
        <v>5551</v>
      </c>
      <c r="BC135" s="31" t="s">
        <v>2965</v>
      </c>
      <c r="BD135" s="31"/>
      <c r="BE135" s="31"/>
      <c r="BF135" s="31" t="s">
        <v>213</v>
      </c>
      <c r="BG135" s="31" t="s">
        <v>176</v>
      </c>
      <c r="BH135" s="31" t="s">
        <v>4984</v>
      </c>
      <c r="BI135" s="31" t="s">
        <v>4984</v>
      </c>
      <c r="BJ135" s="31" t="s">
        <v>5513</v>
      </c>
      <c r="BK135" s="31" t="s">
        <v>5513</v>
      </c>
      <c r="BL135" s="31"/>
      <c r="BM135" s="31"/>
      <c r="BN135" s="31" t="s">
        <v>4014</v>
      </c>
      <c r="BO135" s="31" t="s">
        <v>219</v>
      </c>
      <c r="BP135" s="31" t="s">
        <v>180</v>
      </c>
      <c r="BQ135" s="31"/>
      <c r="BR135" s="31"/>
      <c r="BS135" s="31"/>
      <c r="BT135" s="31"/>
      <c r="BU135" s="31"/>
      <c r="BV135" s="31"/>
      <c r="BW135" s="31"/>
      <c r="BX135" s="31"/>
      <c r="BY135" s="31"/>
      <c r="BZ135" s="31" t="s">
        <v>2096</v>
      </c>
      <c r="CA135" s="31" t="s">
        <v>182</v>
      </c>
      <c r="CB135" s="31" t="s">
        <v>709</v>
      </c>
      <c r="CC135" s="31"/>
      <c r="CD135" s="31"/>
      <c r="CE135" s="31"/>
      <c r="CF135" s="31"/>
      <c r="CG135" s="31"/>
      <c r="CH135" s="31"/>
      <c r="CI135" s="31"/>
      <c r="CJ135" s="31"/>
      <c r="CK135" s="31"/>
      <c r="CL135" s="31" t="s">
        <v>823</v>
      </c>
      <c r="CM135" s="31" t="s">
        <v>7321</v>
      </c>
      <c r="CN135" s="31" t="s">
        <v>580</v>
      </c>
      <c r="CO135" s="31"/>
      <c r="CP135" s="31" t="s">
        <v>716</v>
      </c>
      <c r="CQ135" s="31" t="s">
        <v>362</v>
      </c>
      <c r="CR135" s="31"/>
      <c r="CS135" s="31"/>
      <c r="CT135" s="31" t="s">
        <v>7322</v>
      </c>
      <c r="CU135" s="31" t="s">
        <v>2662</v>
      </c>
      <c r="CV135" s="31"/>
      <c r="CW135" s="31">
        <v>2</v>
      </c>
      <c r="CX135" s="31" t="s">
        <v>99</v>
      </c>
      <c r="CY135" s="31" t="s">
        <v>110</v>
      </c>
      <c r="CZ135" s="31">
        <v>25</v>
      </c>
      <c r="DA135" s="31">
        <v>25</v>
      </c>
      <c r="DB135" s="31">
        <v>45</v>
      </c>
      <c r="DC135" s="31">
        <v>74.7</v>
      </c>
      <c r="DD135" s="31">
        <v>1.1000000000000001</v>
      </c>
      <c r="DE135" s="31">
        <v>175</v>
      </c>
      <c r="DF135" s="31">
        <v>51</v>
      </c>
      <c r="DG135" s="9">
        <f t="shared" si="2"/>
        <v>4.1226528624315488</v>
      </c>
      <c r="DH135" s="31">
        <v>10.199999999999999</v>
      </c>
      <c r="DI135" s="31">
        <v>4.33</v>
      </c>
      <c r="DJ135" s="31"/>
      <c r="DK135" s="31"/>
      <c r="DL135" s="31">
        <v>63.2</v>
      </c>
      <c r="DM135" s="31">
        <v>101.6</v>
      </c>
      <c r="DN135" s="31"/>
      <c r="DO135" s="31"/>
      <c r="DP135" s="31">
        <v>3</v>
      </c>
      <c r="DQ135" s="31"/>
      <c r="DR135" s="31"/>
      <c r="DS135" s="31"/>
      <c r="DT135" s="31"/>
      <c r="DU135" s="31">
        <v>3</v>
      </c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</row>
    <row r="136" spans="1:157" s="171" customFormat="1" x14ac:dyDescent="0.2">
      <c r="A136" s="70" t="s">
        <v>7328</v>
      </c>
      <c r="B136" s="170">
        <v>43794</v>
      </c>
      <c r="C136" s="62" t="s">
        <v>196</v>
      </c>
      <c r="D136" s="62">
        <v>22</v>
      </c>
      <c r="E136" s="62" t="s">
        <v>100</v>
      </c>
      <c r="F136" s="170">
        <v>35736</v>
      </c>
      <c r="G136" s="62" t="s">
        <v>339</v>
      </c>
      <c r="H136" s="62" t="s">
        <v>7329</v>
      </c>
      <c r="I136" s="62" t="s">
        <v>7330</v>
      </c>
      <c r="J136" s="62"/>
      <c r="K136" s="62"/>
      <c r="L136" s="62"/>
      <c r="M136" s="62" t="s">
        <v>99</v>
      </c>
      <c r="N136" s="62" t="s">
        <v>99</v>
      </c>
      <c r="O136" s="62" t="s">
        <v>99</v>
      </c>
      <c r="P136" s="62" t="s">
        <v>99</v>
      </c>
      <c r="Q136" s="62" t="s">
        <v>99</v>
      </c>
      <c r="R136" s="62" t="s">
        <v>99</v>
      </c>
      <c r="S136" s="62" t="s">
        <v>110</v>
      </c>
      <c r="T136" s="62" t="s">
        <v>110</v>
      </c>
      <c r="U136" s="62"/>
      <c r="V136" s="62"/>
      <c r="W136" s="62" t="s">
        <v>7331</v>
      </c>
      <c r="X136" s="62"/>
      <c r="Y136" s="62"/>
      <c r="Z136" s="62"/>
      <c r="AA136" s="62" t="s">
        <v>100</v>
      </c>
      <c r="AB136" s="62" t="s">
        <v>100</v>
      </c>
      <c r="AC136" s="62" t="s">
        <v>100</v>
      </c>
      <c r="AD136" s="62" t="s">
        <v>2234</v>
      </c>
      <c r="AE136" s="62" t="s">
        <v>99</v>
      </c>
      <c r="AF136" s="62" t="s">
        <v>343</v>
      </c>
      <c r="AG136" s="62" t="s">
        <v>343</v>
      </c>
      <c r="AH136" s="62" t="s">
        <v>99</v>
      </c>
      <c r="AI136" s="62" t="s">
        <v>99</v>
      </c>
      <c r="AJ136" s="62" t="s">
        <v>99</v>
      </c>
      <c r="AK136" s="62" t="s">
        <v>99</v>
      </c>
      <c r="AL136" s="62">
        <v>56.4</v>
      </c>
      <c r="AM136" s="62">
        <v>153</v>
      </c>
      <c r="AN136" s="62">
        <v>66</v>
      </c>
      <c r="AO136" s="62">
        <v>95</v>
      </c>
      <c r="AP136" s="62">
        <v>37.4</v>
      </c>
      <c r="AQ136" s="62">
        <v>5</v>
      </c>
      <c r="AR136" s="62">
        <v>25.7</v>
      </c>
      <c r="AS136" s="62">
        <v>36</v>
      </c>
      <c r="AT136" s="62">
        <v>24.1</v>
      </c>
      <c r="AU136" s="62">
        <v>92</v>
      </c>
      <c r="AV136" s="62">
        <v>68</v>
      </c>
      <c r="AW136" s="62"/>
      <c r="AX136" s="62" t="s">
        <v>592</v>
      </c>
      <c r="AY136" s="62" t="s">
        <v>1128</v>
      </c>
      <c r="AZ136" s="62" t="s">
        <v>4983</v>
      </c>
      <c r="BA136" s="62"/>
      <c r="BB136" s="62" t="s">
        <v>750</v>
      </c>
      <c r="BC136" s="62" t="s">
        <v>749</v>
      </c>
      <c r="BD136" s="62" t="s">
        <v>1130</v>
      </c>
      <c r="BE136" s="62"/>
      <c r="BF136" s="62" t="s">
        <v>213</v>
      </c>
      <c r="BG136" s="62" t="s">
        <v>216</v>
      </c>
      <c r="BH136" s="62"/>
      <c r="BI136" s="62" t="s">
        <v>213</v>
      </c>
      <c r="BJ136" s="62" t="s">
        <v>216</v>
      </c>
      <c r="BK136" s="62" t="s">
        <v>213</v>
      </c>
      <c r="BL136" s="62"/>
      <c r="BM136" s="62"/>
      <c r="BN136" s="62" t="s">
        <v>219</v>
      </c>
      <c r="BO136" s="62" t="s">
        <v>125</v>
      </c>
      <c r="BP136" s="62" t="s">
        <v>178</v>
      </c>
      <c r="BQ136" s="62"/>
      <c r="BR136" s="62"/>
      <c r="BS136" s="62"/>
      <c r="BT136" s="62"/>
      <c r="BU136" s="62"/>
      <c r="BV136" s="62" t="s">
        <v>734</v>
      </c>
      <c r="BW136" s="62"/>
      <c r="BX136" s="62"/>
      <c r="BY136" s="62"/>
      <c r="BZ136" s="62" t="s">
        <v>7332</v>
      </c>
      <c r="CA136" s="62" t="s">
        <v>183</v>
      </c>
      <c r="CB136" s="62" t="s">
        <v>822</v>
      </c>
      <c r="CC136" s="62"/>
      <c r="CD136" s="62"/>
      <c r="CE136" s="62"/>
      <c r="CF136" s="62"/>
      <c r="CG136" s="62"/>
      <c r="CH136" s="62"/>
      <c r="CI136" s="62"/>
      <c r="CJ136" s="62"/>
      <c r="CK136" s="62"/>
      <c r="CL136" s="62" t="s">
        <v>579</v>
      </c>
      <c r="CM136" s="62" t="s">
        <v>7333</v>
      </c>
      <c r="CN136" s="62" t="s">
        <v>825</v>
      </c>
      <c r="CO136" s="62"/>
      <c r="CP136" s="62" t="s">
        <v>2098</v>
      </c>
      <c r="CQ136" s="62" t="s">
        <v>3037</v>
      </c>
      <c r="CR136" s="62"/>
      <c r="CS136" s="62"/>
      <c r="CT136" s="62" t="s">
        <v>7334</v>
      </c>
      <c r="CU136" s="62" t="s">
        <v>7335</v>
      </c>
      <c r="CV136" s="62" t="s">
        <v>7336</v>
      </c>
      <c r="CW136" s="62">
        <v>3</v>
      </c>
      <c r="CX136" s="62" t="s">
        <v>110</v>
      </c>
      <c r="CY136" s="62" t="s">
        <v>110</v>
      </c>
      <c r="CZ136" s="62">
        <v>50</v>
      </c>
      <c r="DA136" s="62">
        <v>15</v>
      </c>
      <c r="DB136" s="62">
        <v>35</v>
      </c>
      <c r="DC136" s="62">
        <v>79.400000000000006</v>
      </c>
      <c r="DD136" s="62">
        <v>0.6</v>
      </c>
      <c r="DE136" s="62">
        <v>159</v>
      </c>
      <c r="DF136" s="62">
        <v>76</v>
      </c>
      <c r="DG136" s="9">
        <f t="shared" si="2"/>
        <v>4.3526158542697102</v>
      </c>
      <c r="DH136" s="62">
        <v>15.2</v>
      </c>
      <c r="DI136" s="62">
        <v>4.47</v>
      </c>
      <c r="DJ136" s="62"/>
      <c r="DK136" s="62"/>
      <c r="DL136" s="62">
        <v>50.3</v>
      </c>
      <c r="DM136" s="62">
        <v>93.5</v>
      </c>
      <c r="DN136" s="62"/>
      <c r="DO136" s="62"/>
      <c r="DP136" s="62"/>
      <c r="DQ136" s="62"/>
      <c r="DR136" s="62">
        <v>2</v>
      </c>
      <c r="DS136" s="62"/>
      <c r="DT136" s="62"/>
      <c r="DU136" s="62">
        <v>7.4</v>
      </c>
      <c r="DV136" s="62"/>
      <c r="DW136" s="62"/>
      <c r="DX136" s="62"/>
      <c r="DY136" s="62"/>
      <c r="DZ136" s="62"/>
      <c r="EA136" s="62"/>
      <c r="EB136" s="62"/>
      <c r="EC136" s="62"/>
      <c r="ED136" s="62"/>
      <c r="EE136" s="62"/>
      <c r="EF136" s="62"/>
      <c r="EG136" s="62"/>
      <c r="EH136" s="62"/>
      <c r="EI136" s="62"/>
      <c r="EJ136" s="62"/>
      <c r="EK136" s="62"/>
      <c r="EL136" s="62"/>
      <c r="EM136" s="62"/>
      <c r="EN136" s="62"/>
      <c r="EO136" s="62"/>
      <c r="EP136" s="62"/>
      <c r="EQ136" s="62"/>
      <c r="ER136" s="62"/>
      <c r="ES136" s="62"/>
      <c r="ET136" s="62"/>
      <c r="EU136" s="62"/>
      <c r="EV136" s="62"/>
      <c r="EW136" s="62"/>
      <c r="EX136" s="62"/>
      <c r="EY136" s="62"/>
      <c r="EZ136" s="62"/>
      <c r="FA136" s="62"/>
    </row>
    <row r="137" spans="1:157" s="33" customFormat="1" x14ac:dyDescent="0.2">
      <c r="A137" s="146" t="s">
        <v>7337</v>
      </c>
      <c r="B137" s="32">
        <v>43794</v>
      </c>
      <c r="C137" s="31" t="s">
        <v>196</v>
      </c>
      <c r="D137" s="31">
        <v>24</v>
      </c>
      <c r="E137" s="31" t="s">
        <v>100</v>
      </c>
      <c r="F137" s="32">
        <v>34897</v>
      </c>
      <c r="G137" s="31" t="s">
        <v>234</v>
      </c>
      <c r="H137" s="31" t="s">
        <v>7338</v>
      </c>
      <c r="I137" s="31" t="s">
        <v>236</v>
      </c>
      <c r="J137" s="31"/>
      <c r="K137" s="31"/>
      <c r="L137" s="31"/>
      <c r="M137" s="31" t="s">
        <v>99</v>
      </c>
      <c r="N137" s="31" t="s">
        <v>99</v>
      </c>
      <c r="O137" s="31" t="s">
        <v>99</v>
      </c>
      <c r="P137" s="31" t="s">
        <v>7339</v>
      </c>
      <c r="Q137" s="31" t="s">
        <v>4975</v>
      </c>
      <c r="R137" s="31" t="s">
        <v>110</v>
      </c>
      <c r="S137" s="31"/>
      <c r="T137" s="31" t="s">
        <v>110</v>
      </c>
      <c r="U137" s="31" t="s">
        <v>7340</v>
      </c>
      <c r="V137" s="31"/>
      <c r="W137" s="31"/>
      <c r="X137" s="31"/>
      <c r="Y137" s="31"/>
      <c r="Z137" s="31" t="s">
        <v>7341</v>
      </c>
      <c r="AA137" s="31" t="s">
        <v>1123</v>
      </c>
      <c r="AB137" s="31" t="s">
        <v>100</v>
      </c>
      <c r="AC137" s="31" t="s">
        <v>1123</v>
      </c>
      <c r="AD137" s="31" t="s">
        <v>100</v>
      </c>
      <c r="AE137" s="31" t="s">
        <v>7342</v>
      </c>
      <c r="AF137" s="31" t="s">
        <v>7343</v>
      </c>
      <c r="AG137" s="31" t="s">
        <v>4981</v>
      </c>
      <c r="AH137" s="31" t="s">
        <v>99</v>
      </c>
      <c r="AI137" s="31" t="s">
        <v>99</v>
      </c>
      <c r="AJ137" s="31" t="s">
        <v>99</v>
      </c>
      <c r="AK137" s="31" t="s">
        <v>7344</v>
      </c>
      <c r="AL137" s="31">
        <v>60.9</v>
      </c>
      <c r="AM137" s="31">
        <v>163</v>
      </c>
      <c r="AN137" s="31"/>
      <c r="AO137" s="31"/>
      <c r="AP137" s="31">
        <v>37.700000000000003</v>
      </c>
      <c r="AQ137" s="31">
        <v>4</v>
      </c>
      <c r="AR137" s="31">
        <v>24</v>
      </c>
      <c r="AS137" s="31">
        <v>28</v>
      </c>
      <c r="AT137" s="31">
        <v>22.8</v>
      </c>
      <c r="AU137" s="31"/>
      <c r="AV137" s="31"/>
      <c r="AW137" s="31" t="s">
        <v>176</v>
      </c>
      <c r="AX137" s="31" t="s">
        <v>4983</v>
      </c>
      <c r="AY137" s="31" t="s">
        <v>573</v>
      </c>
      <c r="AZ137" s="31" t="s">
        <v>592</v>
      </c>
      <c r="BA137" s="31" t="s">
        <v>351</v>
      </c>
      <c r="BB137" s="31" t="s">
        <v>749</v>
      </c>
      <c r="BC137" s="31" t="s">
        <v>5595</v>
      </c>
      <c r="BD137" s="31" t="s">
        <v>7345</v>
      </c>
      <c r="BE137" s="31" t="s">
        <v>351</v>
      </c>
      <c r="BF137" s="31" t="s">
        <v>7346</v>
      </c>
      <c r="BG137" s="31" t="s">
        <v>7347</v>
      </c>
      <c r="BH137" s="31" t="s">
        <v>4708</v>
      </c>
      <c r="BI137" s="31" t="s">
        <v>176</v>
      </c>
      <c r="BJ137" s="31" t="s">
        <v>4984</v>
      </c>
      <c r="BK137" s="31" t="s">
        <v>682</v>
      </c>
      <c r="BL137" s="31" t="s">
        <v>351</v>
      </c>
      <c r="BM137" s="31"/>
      <c r="BN137" s="31" t="s">
        <v>353</v>
      </c>
      <c r="BO137" s="31" t="s">
        <v>1664</v>
      </c>
      <c r="BP137" s="31" t="s">
        <v>179</v>
      </c>
      <c r="BQ137" s="31"/>
      <c r="BR137" s="31"/>
      <c r="BS137" s="31"/>
      <c r="BT137" s="31"/>
      <c r="BU137" s="31"/>
      <c r="BV137" s="31"/>
      <c r="BW137" s="31"/>
      <c r="BX137" s="31"/>
      <c r="BY137" s="31" t="s">
        <v>351</v>
      </c>
      <c r="BZ137" s="31" t="s">
        <v>7348</v>
      </c>
      <c r="CA137" s="31" t="s">
        <v>7349</v>
      </c>
      <c r="CB137" s="31" t="s">
        <v>7350</v>
      </c>
      <c r="CC137" s="31"/>
      <c r="CD137" s="31" t="s">
        <v>578</v>
      </c>
      <c r="CE137" s="31" t="s">
        <v>1137</v>
      </c>
      <c r="CF137" s="31"/>
      <c r="CG137" s="31"/>
      <c r="CH137" s="31"/>
      <c r="CI137" s="31"/>
      <c r="CJ137" s="31"/>
      <c r="CK137" s="31"/>
      <c r="CL137" s="31" t="s">
        <v>579</v>
      </c>
      <c r="CM137" s="31" t="s">
        <v>4827</v>
      </c>
      <c r="CN137" s="31" t="s">
        <v>825</v>
      </c>
      <c r="CO137" s="31" t="s">
        <v>351</v>
      </c>
      <c r="CP137" s="31" t="s">
        <v>362</v>
      </c>
      <c r="CQ137" s="31" t="s">
        <v>716</v>
      </c>
      <c r="CR137" s="31" t="s">
        <v>2614</v>
      </c>
      <c r="CS137" s="31" t="s">
        <v>7351</v>
      </c>
      <c r="CT137" s="31" t="s">
        <v>1732</v>
      </c>
      <c r="CU137" s="31"/>
      <c r="CV137" s="31"/>
      <c r="CW137" s="31">
        <v>3</v>
      </c>
      <c r="CX137" s="31"/>
      <c r="CY137" s="31"/>
      <c r="CZ137" s="31"/>
      <c r="DA137" s="31"/>
      <c r="DB137" s="31"/>
      <c r="DC137" s="31">
        <v>75.8</v>
      </c>
      <c r="DD137" s="31">
        <v>0.61</v>
      </c>
      <c r="DE137" s="31">
        <v>192</v>
      </c>
      <c r="DF137" s="31">
        <v>72</v>
      </c>
      <c r="DG137" s="9">
        <f t="shared" si="2"/>
        <v>4.302382205832191</v>
      </c>
      <c r="DH137" s="31">
        <v>14.4</v>
      </c>
      <c r="DI137" s="31">
        <v>3.87</v>
      </c>
      <c r="DJ137" s="31"/>
      <c r="DK137" s="31"/>
      <c r="DL137" s="31">
        <v>63.2</v>
      </c>
      <c r="DM137" s="31">
        <v>114.4</v>
      </c>
      <c r="DN137" s="31"/>
      <c r="DO137" s="31"/>
      <c r="DP137" s="31"/>
      <c r="DQ137" s="31"/>
      <c r="DR137" s="31">
        <v>2</v>
      </c>
      <c r="DS137" s="31"/>
      <c r="DT137" s="31"/>
      <c r="DU137" s="31">
        <v>5.0999999999999996</v>
      </c>
      <c r="DV137" s="31"/>
    </row>
    <row r="138" spans="1:157" s="33" customFormat="1" x14ac:dyDescent="0.2">
      <c r="A138" s="60" t="s">
        <v>7369</v>
      </c>
      <c r="B138" s="32">
        <v>43794</v>
      </c>
      <c r="C138" s="31" t="s">
        <v>675</v>
      </c>
      <c r="D138" s="31">
        <v>43</v>
      </c>
      <c r="E138" s="31" t="s">
        <v>100</v>
      </c>
      <c r="F138" s="32">
        <v>27647</v>
      </c>
      <c r="G138" s="31" t="s">
        <v>339</v>
      </c>
      <c r="H138" s="31"/>
      <c r="I138" s="31"/>
      <c r="J138" s="31"/>
      <c r="K138" s="31"/>
      <c r="L138" s="31"/>
      <c r="M138" s="31" t="s">
        <v>99</v>
      </c>
      <c r="N138" s="31" t="s">
        <v>99</v>
      </c>
      <c r="O138" s="31" t="s">
        <v>99</v>
      </c>
      <c r="P138" s="31" t="s">
        <v>99</v>
      </c>
      <c r="Q138" s="31" t="s">
        <v>7370</v>
      </c>
      <c r="R138" s="31"/>
      <c r="S138" s="31" t="s">
        <v>110</v>
      </c>
      <c r="T138" s="31" t="s">
        <v>99</v>
      </c>
      <c r="U138" s="31" t="s">
        <v>99</v>
      </c>
      <c r="V138" s="31" t="s">
        <v>99</v>
      </c>
      <c r="W138" s="31"/>
      <c r="X138" s="31"/>
      <c r="Y138" s="31"/>
      <c r="Z138" s="31"/>
      <c r="AA138" s="31" t="s">
        <v>100</v>
      </c>
      <c r="AB138" s="31" t="s">
        <v>100</v>
      </c>
      <c r="AC138" s="31" t="s">
        <v>7371</v>
      </c>
      <c r="AD138" s="31" t="s">
        <v>100</v>
      </c>
      <c r="AE138" s="31" t="s">
        <v>99</v>
      </c>
      <c r="AF138" s="31" t="s">
        <v>246</v>
      </c>
      <c r="AG138" s="31" t="s">
        <v>99</v>
      </c>
      <c r="AH138" s="31" t="s">
        <v>246</v>
      </c>
      <c r="AI138" s="31" t="s">
        <v>99</v>
      </c>
      <c r="AJ138" s="31" t="s">
        <v>99</v>
      </c>
      <c r="AK138" s="31" t="s">
        <v>7372</v>
      </c>
      <c r="AL138" s="31">
        <v>104.3</v>
      </c>
      <c r="AM138" s="31">
        <v>167</v>
      </c>
      <c r="AN138" s="31">
        <v>109</v>
      </c>
      <c r="AO138" s="31">
        <v>119</v>
      </c>
      <c r="AP138" s="31">
        <v>36.6</v>
      </c>
      <c r="AQ138" s="31">
        <v>21</v>
      </c>
      <c r="AR138" s="31">
        <v>29.5</v>
      </c>
      <c r="AS138" s="31">
        <v>71</v>
      </c>
      <c r="AT138" s="31">
        <v>37.4</v>
      </c>
      <c r="AU138" s="31">
        <v>114</v>
      </c>
      <c r="AV138" s="31">
        <v>80</v>
      </c>
      <c r="AW138" s="31"/>
      <c r="AX138" s="31" t="s">
        <v>350</v>
      </c>
      <c r="AY138" s="31"/>
      <c r="AZ138" s="31"/>
      <c r="BA138" s="31"/>
      <c r="BB138" s="31" t="s">
        <v>351</v>
      </c>
      <c r="BC138" s="31"/>
      <c r="BD138" s="31"/>
      <c r="BE138" s="31"/>
      <c r="BF138" s="31" t="s">
        <v>351</v>
      </c>
      <c r="BG138" s="31"/>
      <c r="BH138" s="31"/>
      <c r="BI138" s="31" t="s">
        <v>350</v>
      </c>
      <c r="BJ138" s="31"/>
      <c r="BK138" s="31" t="s">
        <v>350</v>
      </c>
      <c r="BL138" s="31"/>
      <c r="BM138" s="31"/>
      <c r="BN138" s="31" t="s">
        <v>351</v>
      </c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 t="s">
        <v>351</v>
      </c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 t="s">
        <v>351</v>
      </c>
      <c r="CM138" s="31"/>
      <c r="CN138" s="31"/>
      <c r="CO138" s="31"/>
      <c r="CP138" s="31" t="s">
        <v>351</v>
      </c>
      <c r="CQ138" s="31"/>
      <c r="CR138" s="31"/>
      <c r="CS138" s="31"/>
      <c r="CT138" s="31" t="s">
        <v>351</v>
      </c>
      <c r="CU138" s="31"/>
      <c r="CV138" s="31"/>
      <c r="CW138" s="31" t="s">
        <v>5419</v>
      </c>
      <c r="CX138" s="31" t="s">
        <v>99</v>
      </c>
      <c r="CY138" s="31" t="s">
        <v>110</v>
      </c>
      <c r="CZ138" s="31">
        <v>50</v>
      </c>
      <c r="DA138" s="31">
        <v>30</v>
      </c>
      <c r="DB138" s="31">
        <v>20</v>
      </c>
      <c r="DC138" s="31">
        <v>75.5</v>
      </c>
      <c r="DD138" s="31">
        <v>0.71</v>
      </c>
      <c r="DE138" s="48">
        <v>207</v>
      </c>
      <c r="DF138" s="48">
        <v>169</v>
      </c>
      <c r="DG138" s="9">
        <f t="shared" si="2"/>
        <v>4.7270156855890262</v>
      </c>
      <c r="DH138" s="31">
        <v>33.799999999999997</v>
      </c>
      <c r="DI138" s="31">
        <v>6.63</v>
      </c>
      <c r="DJ138" s="31"/>
      <c r="DK138" s="31"/>
      <c r="DL138" s="31">
        <v>47.1</v>
      </c>
      <c r="DM138" s="31">
        <v>126.1</v>
      </c>
      <c r="DN138" s="31"/>
      <c r="DO138" s="31"/>
      <c r="DP138" s="31"/>
      <c r="DQ138" s="31"/>
      <c r="DR138" s="31">
        <v>2</v>
      </c>
      <c r="DS138" s="31"/>
      <c r="DT138" s="31"/>
      <c r="DU138" s="31">
        <v>5.6</v>
      </c>
      <c r="DV138" s="31"/>
    </row>
    <row r="139" spans="1:157" s="33" customFormat="1" x14ac:dyDescent="0.2">
      <c r="A139" s="146" t="s">
        <v>7373</v>
      </c>
      <c r="B139" s="32">
        <v>43795</v>
      </c>
      <c r="C139" s="31" t="s">
        <v>196</v>
      </c>
      <c r="D139" s="31">
        <v>49</v>
      </c>
      <c r="E139" s="31" t="s">
        <v>100</v>
      </c>
      <c r="F139" s="32">
        <v>25723</v>
      </c>
      <c r="G139" s="31" t="s">
        <v>7374</v>
      </c>
      <c r="H139" s="31" t="s">
        <v>3102</v>
      </c>
      <c r="I139" s="31" t="s">
        <v>1594</v>
      </c>
      <c r="J139" s="31"/>
      <c r="K139" s="31">
        <v>2005</v>
      </c>
      <c r="L139" s="31">
        <v>1</v>
      </c>
      <c r="M139" s="31" t="s">
        <v>99</v>
      </c>
      <c r="N139" s="31" t="s">
        <v>99</v>
      </c>
      <c r="O139" s="31" t="s">
        <v>99</v>
      </c>
      <c r="P139" s="31" t="s">
        <v>99</v>
      </c>
      <c r="Q139" s="31" t="s">
        <v>5429</v>
      </c>
      <c r="R139" s="31" t="s">
        <v>99</v>
      </c>
      <c r="S139" s="31" t="s">
        <v>99</v>
      </c>
      <c r="T139" s="31" t="s">
        <v>99</v>
      </c>
      <c r="U139" s="31" t="s">
        <v>99</v>
      </c>
      <c r="V139" s="31" t="s">
        <v>99</v>
      </c>
      <c r="W139" s="31" t="s">
        <v>7375</v>
      </c>
      <c r="X139" s="31"/>
      <c r="Y139" s="31"/>
      <c r="Z139" s="31"/>
      <c r="AA139" s="31" t="s">
        <v>100</v>
      </c>
      <c r="AB139" s="31" t="s">
        <v>840</v>
      </c>
      <c r="AC139" s="31" t="s">
        <v>100</v>
      </c>
      <c r="AD139" s="31" t="s">
        <v>7376</v>
      </c>
      <c r="AE139" s="31" t="s">
        <v>7377</v>
      </c>
      <c r="AF139" s="31" t="s">
        <v>99</v>
      </c>
      <c r="AG139" s="31" t="s">
        <v>7378</v>
      </c>
      <c r="AH139" s="31" t="s">
        <v>7379</v>
      </c>
      <c r="AI139" s="31" t="s">
        <v>1127</v>
      </c>
      <c r="AJ139" s="31" t="s">
        <v>99</v>
      </c>
      <c r="AK139" s="31" t="s">
        <v>99</v>
      </c>
      <c r="AL139" s="31">
        <v>59.1</v>
      </c>
      <c r="AM139" s="31">
        <v>167</v>
      </c>
      <c r="AN139" s="31">
        <v>78</v>
      </c>
      <c r="AO139" s="31">
        <v>98</v>
      </c>
      <c r="AP139" s="31">
        <v>32.4</v>
      </c>
      <c r="AQ139" s="31">
        <v>5</v>
      </c>
      <c r="AR139" s="31">
        <v>26.7</v>
      </c>
      <c r="AS139" s="31">
        <v>35</v>
      </c>
      <c r="AT139" s="31">
        <v>21.2</v>
      </c>
      <c r="AU139" s="31">
        <v>97</v>
      </c>
      <c r="AV139" s="31">
        <v>59</v>
      </c>
      <c r="AW139" s="31" t="s">
        <v>351</v>
      </c>
      <c r="AX139" s="31" t="s">
        <v>1656</v>
      </c>
      <c r="AY139" s="31" t="s">
        <v>4983</v>
      </c>
      <c r="AZ139" s="31" t="s">
        <v>1128</v>
      </c>
      <c r="BA139" s="31" t="s">
        <v>350</v>
      </c>
      <c r="BB139" s="31"/>
      <c r="BC139" s="31" t="s">
        <v>1081</v>
      </c>
      <c r="BD139" s="31" t="s">
        <v>2692</v>
      </c>
      <c r="BE139" s="31" t="s">
        <v>351</v>
      </c>
      <c r="BF139" s="31" t="s">
        <v>351</v>
      </c>
      <c r="BG139" s="31" t="s">
        <v>351</v>
      </c>
      <c r="BH139" s="31"/>
      <c r="BI139" s="31"/>
      <c r="BJ139" s="31"/>
      <c r="BK139" s="31" t="s">
        <v>2656</v>
      </c>
      <c r="BL139" s="31"/>
      <c r="BM139" s="31"/>
      <c r="BN139" s="31" t="s">
        <v>351</v>
      </c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 t="s">
        <v>7380</v>
      </c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 t="s">
        <v>7381</v>
      </c>
      <c r="CM139" s="31"/>
      <c r="CN139" s="31"/>
      <c r="CO139" s="31" t="s">
        <v>351</v>
      </c>
      <c r="CP139" s="31"/>
      <c r="CQ139" s="31"/>
      <c r="CR139" s="31"/>
      <c r="CS139" s="31" t="s">
        <v>5513</v>
      </c>
      <c r="CT139" s="31"/>
      <c r="CU139" s="31"/>
      <c r="CV139" s="31"/>
      <c r="CW139" s="31">
        <v>2</v>
      </c>
      <c r="CX139" s="31" t="s">
        <v>99</v>
      </c>
      <c r="CY139" s="31" t="s">
        <v>110</v>
      </c>
      <c r="CZ139" s="31">
        <v>20</v>
      </c>
      <c r="DA139" s="31"/>
      <c r="DB139" s="31">
        <v>80</v>
      </c>
      <c r="DC139" s="31">
        <v>78.3</v>
      </c>
      <c r="DD139" s="31">
        <v>0.36</v>
      </c>
      <c r="DE139" s="31">
        <v>164</v>
      </c>
      <c r="DF139" s="31">
        <v>98</v>
      </c>
      <c r="DG139" s="9">
        <f t="shared" si="2"/>
        <v>4.4727575408336646</v>
      </c>
      <c r="DH139" s="31">
        <v>19.600000000000001</v>
      </c>
      <c r="DI139" s="31">
        <v>5.62</v>
      </c>
      <c r="DJ139" s="31"/>
      <c r="DK139" s="31"/>
      <c r="DL139" s="31">
        <v>58.9</v>
      </c>
      <c r="DM139" s="31">
        <v>85.5</v>
      </c>
      <c r="DN139" s="31"/>
      <c r="DO139" s="31"/>
      <c r="DP139" s="31">
        <v>3</v>
      </c>
      <c r="DQ139" s="31"/>
      <c r="DR139" s="31">
        <v>2</v>
      </c>
      <c r="DS139" s="31"/>
      <c r="DT139" s="31"/>
      <c r="DU139" s="31">
        <v>7.9</v>
      </c>
      <c r="DV139" s="31"/>
    </row>
    <row r="140" spans="1:157" s="171" customFormat="1" x14ac:dyDescent="0.2">
      <c r="A140" s="31" t="s">
        <v>7412</v>
      </c>
      <c r="B140" s="170">
        <v>43795</v>
      </c>
      <c r="C140" s="62" t="s">
        <v>675</v>
      </c>
      <c r="D140" s="62">
        <v>31</v>
      </c>
      <c r="E140" s="62" t="s">
        <v>100</v>
      </c>
      <c r="F140" s="170">
        <v>32250</v>
      </c>
      <c r="G140" s="62"/>
      <c r="H140" s="62"/>
      <c r="I140" s="62"/>
      <c r="J140" s="62"/>
      <c r="K140" s="62"/>
      <c r="L140" s="62"/>
      <c r="M140" s="62" t="s">
        <v>99</v>
      </c>
      <c r="N140" s="62" t="s">
        <v>99</v>
      </c>
      <c r="O140" s="62" t="s">
        <v>99</v>
      </c>
      <c r="P140" s="62" t="s">
        <v>99</v>
      </c>
      <c r="Q140" s="62" t="s">
        <v>1668</v>
      </c>
      <c r="R140" s="62"/>
      <c r="S140" s="62" t="s">
        <v>110</v>
      </c>
      <c r="T140" s="62" t="s">
        <v>110</v>
      </c>
      <c r="U140" s="62" t="s">
        <v>7413</v>
      </c>
      <c r="V140" s="62"/>
      <c r="W140" s="62"/>
      <c r="X140" s="62"/>
      <c r="Y140" s="62"/>
      <c r="Z140" s="62"/>
      <c r="AA140" s="62" t="s">
        <v>100</v>
      </c>
      <c r="AB140" s="62"/>
      <c r="AC140" s="62"/>
      <c r="AD140" s="62"/>
      <c r="AE140" s="62" t="s">
        <v>99</v>
      </c>
      <c r="AF140" s="62" t="s">
        <v>99</v>
      </c>
      <c r="AG140" s="62" t="s">
        <v>99</v>
      </c>
      <c r="AH140" s="62" t="s">
        <v>99</v>
      </c>
      <c r="AI140" s="62" t="s">
        <v>99</v>
      </c>
      <c r="AJ140" s="62" t="s">
        <v>99</v>
      </c>
      <c r="AK140" s="62"/>
      <c r="AL140" s="62">
        <v>77.7</v>
      </c>
      <c r="AM140" s="62">
        <v>176</v>
      </c>
      <c r="AN140" s="62">
        <v>87</v>
      </c>
      <c r="AO140" s="62">
        <v>101</v>
      </c>
      <c r="AP140" s="62">
        <v>21.6</v>
      </c>
      <c r="AQ140" s="62">
        <v>8</v>
      </c>
      <c r="AR140" s="62">
        <v>38.5</v>
      </c>
      <c r="AS140" s="62">
        <v>41</v>
      </c>
      <c r="AT140" s="62">
        <v>25.1</v>
      </c>
      <c r="AU140" s="62">
        <v>96</v>
      </c>
      <c r="AV140" s="62">
        <v>61</v>
      </c>
      <c r="AW140" s="62"/>
      <c r="AX140" s="62" t="s">
        <v>1656</v>
      </c>
      <c r="AY140" s="62"/>
      <c r="AZ140" s="62"/>
      <c r="BA140" s="62"/>
      <c r="BB140" s="62"/>
      <c r="BC140" s="62"/>
      <c r="BD140" s="62"/>
      <c r="BE140" s="62"/>
      <c r="BF140" s="62" t="s">
        <v>176</v>
      </c>
      <c r="BG140" s="62" t="s">
        <v>176</v>
      </c>
      <c r="BH140" s="62" t="s">
        <v>176</v>
      </c>
      <c r="BI140" s="62" t="s">
        <v>176</v>
      </c>
      <c r="BJ140" s="62" t="s">
        <v>176</v>
      </c>
      <c r="BK140" s="62" t="s">
        <v>1979</v>
      </c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>
        <v>78</v>
      </c>
      <c r="DD140" s="62">
        <v>0.83</v>
      </c>
      <c r="DE140" s="62">
        <v>186</v>
      </c>
      <c r="DF140" s="62">
        <v>117</v>
      </c>
      <c r="DG140" s="9">
        <f t="shared" si="2"/>
        <v>4.5594413807436736</v>
      </c>
      <c r="DH140" s="62">
        <v>23.4</v>
      </c>
      <c r="DI140" s="62">
        <v>5.21</v>
      </c>
      <c r="DJ140" s="62"/>
      <c r="DK140" s="62"/>
      <c r="DL140" s="62">
        <v>42.7</v>
      </c>
      <c r="DM140" s="62">
        <v>119.9</v>
      </c>
      <c r="DN140" s="62"/>
      <c r="DO140" s="62"/>
      <c r="DP140" s="62"/>
      <c r="DQ140" s="62"/>
      <c r="DR140" s="62"/>
      <c r="DS140" s="62"/>
      <c r="DT140" s="62"/>
      <c r="DU140" s="62"/>
      <c r="DV140" s="62"/>
      <c r="DW140" s="62"/>
      <c r="DX140" s="62"/>
      <c r="DY140" s="62"/>
      <c r="DZ140" s="62"/>
      <c r="EA140" s="62"/>
      <c r="EB140" s="62"/>
      <c r="EC140" s="62"/>
      <c r="ED140" s="62"/>
      <c r="EE140" s="62"/>
      <c r="EF140" s="62"/>
      <c r="EG140" s="62"/>
      <c r="EH140" s="62"/>
      <c r="EI140" s="62"/>
      <c r="EJ140" s="62"/>
      <c r="EK140" s="62"/>
      <c r="EL140" s="62"/>
      <c r="EM140" s="62"/>
      <c r="EN140" s="62"/>
      <c r="EO140" s="62"/>
      <c r="EP140" s="62"/>
      <c r="EQ140" s="62"/>
      <c r="ER140" s="62"/>
      <c r="ES140" s="62"/>
      <c r="ET140" s="62"/>
      <c r="EU140" s="62"/>
      <c r="EV140" s="62"/>
      <c r="EW140" s="62"/>
      <c r="EX140" s="62"/>
      <c r="EY140" s="62"/>
      <c r="EZ140" s="62"/>
      <c r="FA140" s="62"/>
    </row>
    <row r="141" spans="1:157" s="33" customFormat="1" x14ac:dyDescent="0.2">
      <c r="A141" s="146" t="s">
        <v>7414</v>
      </c>
      <c r="B141" s="31"/>
      <c r="C141" s="31" t="s">
        <v>196</v>
      </c>
      <c r="D141" s="31">
        <v>22</v>
      </c>
      <c r="E141" s="31" t="s">
        <v>100</v>
      </c>
      <c r="F141" s="32">
        <v>35745</v>
      </c>
      <c r="G141" s="31" t="s">
        <v>1509</v>
      </c>
      <c r="H141" s="31" t="s">
        <v>3102</v>
      </c>
      <c r="I141" s="31"/>
      <c r="J141" s="31"/>
      <c r="K141" s="31"/>
      <c r="L141" s="31"/>
      <c r="M141" s="31" t="s">
        <v>99</v>
      </c>
      <c r="N141" s="31" t="s">
        <v>99</v>
      </c>
      <c r="O141" s="31" t="s">
        <v>99</v>
      </c>
      <c r="P141" s="31" t="s">
        <v>99</v>
      </c>
      <c r="Q141" s="31" t="s">
        <v>99</v>
      </c>
      <c r="R141" s="31" t="s">
        <v>99</v>
      </c>
      <c r="S141" s="31" t="s">
        <v>99</v>
      </c>
      <c r="T141" s="31" t="s">
        <v>99</v>
      </c>
      <c r="U141" s="31" t="s">
        <v>99</v>
      </c>
      <c r="V141" s="31" t="s">
        <v>99</v>
      </c>
      <c r="W141" s="31" t="s">
        <v>7415</v>
      </c>
      <c r="X141" s="31"/>
      <c r="Y141" s="31"/>
      <c r="Z141" s="31"/>
      <c r="AA141" s="31" t="s">
        <v>100</v>
      </c>
      <c r="AB141" s="31" t="s">
        <v>7416</v>
      </c>
      <c r="AC141" s="31" t="s">
        <v>100</v>
      </c>
      <c r="AD141" s="31" t="s">
        <v>7416</v>
      </c>
      <c r="AE141" s="31" t="s">
        <v>4725</v>
      </c>
      <c r="AF141" s="31" t="s">
        <v>1511</v>
      </c>
      <c r="AG141" s="31" t="s">
        <v>4981</v>
      </c>
      <c r="AH141" s="31" t="s">
        <v>99</v>
      </c>
      <c r="AI141" s="31" t="s">
        <v>99</v>
      </c>
      <c r="AJ141" s="31" t="s">
        <v>99</v>
      </c>
      <c r="AK141" s="31" t="s">
        <v>7417</v>
      </c>
      <c r="AL141" s="31">
        <v>57.7</v>
      </c>
      <c r="AM141" s="31">
        <v>167</v>
      </c>
      <c r="AN141" s="31">
        <v>68</v>
      </c>
      <c r="AO141" s="31">
        <v>88</v>
      </c>
      <c r="AP141" s="31">
        <v>30.4</v>
      </c>
      <c r="AQ141" s="31">
        <v>3</v>
      </c>
      <c r="AR141" s="31">
        <v>28.2</v>
      </c>
      <c r="AS141" s="31">
        <v>19</v>
      </c>
      <c r="AT141" s="31">
        <v>20.7</v>
      </c>
      <c r="AU141" s="31">
        <v>109</v>
      </c>
      <c r="AV141" s="31">
        <v>72</v>
      </c>
      <c r="AW141" s="31"/>
      <c r="AX141" s="31" t="s">
        <v>572</v>
      </c>
      <c r="AY141" s="31" t="s">
        <v>592</v>
      </c>
      <c r="AZ141" s="31" t="s">
        <v>7418</v>
      </c>
      <c r="BA141" s="31"/>
      <c r="BB141" s="31" t="s">
        <v>2950</v>
      </c>
      <c r="BC141" s="31" t="s">
        <v>7419</v>
      </c>
      <c r="BD141" s="31" t="s">
        <v>750</v>
      </c>
      <c r="BE141" s="31"/>
      <c r="BF141" s="31" t="s">
        <v>707</v>
      </c>
      <c r="BG141" s="31" t="s">
        <v>1469</v>
      </c>
      <c r="BH141" s="31" t="s">
        <v>707</v>
      </c>
      <c r="BI141" s="31" t="s">
        <v>213</v>
      </c>
      <c r="BJ141" s="31" t="s">
        <v>213</v>
      </c>
      <c r="BK141" s="31" t="s">
        <v>216</v>
      </c>
      <c r="BL141" s="31"/>
      <c r="BM141" s="31"/>
      <c r="BN141" s="31" t="s">
        <v>179</v>
      </c>
      <c r="BO141" s="31" t="s">
        <v>219</v>
      </c>
      <c r="BP141" s="31" t="s">
        <v>178</v>
      </c>
      <c r="BQ141" s="31"/>
      <c r="BR141" s="31"/>
      <c r="BS141" s="31"/>
      <c r="BT141" s="31"/>
      <c r="BU141" s="31"/>
      <c r="BV141" s="31" t="s">
        <v>734</v>
      </c>
      <c r="BW141" s="31" t="s">
        <v>1573</v>
      </c>
      <c r="BX141" s="31"/>
      <c r="BY141" s="31"/>
      <c r="BZ141" s="31" t="s">
        <v>182</v>
      </c>
      <c r="CA141" s="31" t="s">
        <v>183</v>
      </c>
      <c r="CB141" s="31" t="s">
        <v>709</v>
      </c>
      <c r="CC141" s="31"/>
      <c r="CD141" s="31"/>
      <c r="CE141" s="31"/>
      <c r="CF141" s="31"/>
      <c r="CG141" s="31"/>
      <c r="CH141" s="31" t="s">
        <v>7420</v>
      </c>
      <c r="CI141" s="31"/>
      <c r="CJ141" s="31"/>
      <c r="CK141" s="31"/>
      <c r="CL141" s="31" t="s">
        <v>7421</v>
      </c>
      <c r="CM141" s="31" t="s">
        <v>7422</v>
      </c>
      <c r="CN141" s="31" t="s">
        <v>3158</v>
      </c>
      <c r="CO141" s="31"/>
      <c r="CP141" s="31" t="s">
        <v>2098</v>
      </c>
      <c r="CQ141" s="31" t="s">
        <v>716</v>
      </c>
      <c r="CR141" s="31"/>
      <c r="CS141" s="31"/>
      <c r="CT141" s="31" t="s">
        <v>2617</v>
      </c>
      <c r="CU141" s="31"/>
      <c r="CV141" s="31"/>
      <c r="CW141" s="31">
        <v>3</v>
      </c>
      <c r="CX141" s="31" t="s">
        <v>110</v>
      </c>
      <c r="CY141" s="31" t="s">
        <v>110</v>
      </c>
      <c r="CZ141" s="31">
        <v>20</v>
      </c>
      <c r="DA141" s="31">
        <v>20</v>
      </c>
      <c r="DB141" s="31">
        <v>60</v>
      </c>
      <c r="DC141" s="31">
        <v>78.8</v>
      </c>
      <c r="DD141" s="31">
        <v>0.56000000000000005</v>
      </c>
      <c r="DE141" s="31">
        <v>145</v>
      </c>
      <c r="DF141" s="31">
        <v>62</v>
      </c>
      <c r="DG141" s="9">
        <f t="shared" si="2"/>
        <v>4.2470236909544621</v>
      </c>
      <c r="DH141" s="31">
        <v>12.4</v>
      </c>
      <c r="DI141" s="31">
        <v>4.32</v>
      </c>
      <c r="DJ141" s="31"/>
      <c r="DK141" s="31"/>
      <c r="DL141" s="31">
        <v>53.2</v>
      </c>
      <c r="DM141" s="31">
        <v>79.400000000000006</v>
      </c>
      <c r="DN141" s="31"/>
      <c r="DO141" s="31"/>
      <c r="DP141" s="31"/>
      <c r="DQ141" s="31"/>
      <c r="DR141" s="31">
        <v>2</v>
      </c>
      <c r="DS141" s="31"/>
      <c r="DT141" s="31"/>
      <c r="DU141" s="31">
        <v>7.8</v>
      </c>
      <c r="DV141" s="31"/>
    </row>
    <row r="142" spans="1:157" customFormat="1" x14ac:dyDescent="0.2">
      <c r="A142" s="127" t="s">
        <v>7436</v>
      </c>
      <c r="B142" s="128">
        <v>43774</v>
      </c>
      <c r="C142" s="127" t="s">
        <v>196</v>
      </c>
      <c r="D142" s="127">
        <v>23</v>
      </c>
      <c r="E142" s="127" t="s">
        <v>100</v>
      </c>
      <c r="F142" s="128">
        <v>35305</v>
      </c>
      <c r="G142" s="127" t="s">
        <v>7437</v>
      </c>
      <c r="H142" s="127" t="s">
        <v>7438</v>
      </c>
      <c r="I142" s="127" t="s">
        <v>3222</v>
      </c>
      <c r="J142" s="127" t="s">
        <v>500</v>
      </c>
      <c r="K142" s="127" t="s">
        <v>500</v>
      </c>
      <c r="L142" s="127" t="s">
        <v>500</v>
      </c>
      <c r="M142" s="127" t="s">
        <v>99</v>
      </c>
      <c r="N142" s="127" t="s">
        <v>99</v>
      </c>
      <c r="O142" s="127" t="s">
        <v>99</v>
      </c>
      <c r="P142" s="127" t="s">
        <v>7439</v>
      </c>
      <c r="Q142" s="127" t="s">
        <v>5421</v>
      </c>
      <c r="R142" s="127" t="s">
        <v>99</v>
      </c>
      <c r="S142" s="127" t="s">
        <v>99</v>
      </c>
      <c r="T142" s="127" t="s">
        <v>99</v>
      </c>
      <c r="U142" s="127" t="s">
        <v>7440</v>
      </c>
      <c r="V142" s="127" t="s">
        <v>500</v>
      </c>
      <c r="W142" s="127" t="s">
        <v>500</v>
      </c>
      <c r="X142" s="127" t="s">
        <v>500</v>
      </c>
      <c r="Y142" s="127" t="s">
        <v>500</v>
      </c>
      <c r="Z142" s="127" t="s">
        <v>500</v>
      </c>
      <c r="AA142" s="127" t="s">
        <v>100</v>
      </c>
      <c r="AB142" s="127" t="s">
        <v>100</v>
      </c>
      <c r="AC142" s="127" t="s">
        <v>100</v>
      </c>
      <c r="AD142" s="127" t="s">
        <v>100</v>
      </c>
      <c r="AE142" s="127" t="s">
        <v>99</v>
      </c>
      <c r="AF142" s="127" t="s">
        <v>99</v>
      </c>
      <c r="AG142" s="127" t="s">
        <v>99</v>
      </c>
      <c r="AH142" s="129" t="s">
        <v>99</v>
      </c>
      <c r="AI142" s="127" t="s">
        <v>99</v>
      </c>
      <c r="AJ142" s="127" t="s">
        <v>99</v>
      </c>
      <c r="AK142" s="127" t="s">
        <v>99</v>
      </c>
      <c r="AL142" s="9">
        <v>60</v>
      </c>
      <c r="AM142" s="9">
        <v>168</v>
      </c>
      <c r="AN142" s="7">
        <v>70</v>
      </c>
      <c r="AO142" s="9">
        <v>90</v>
      </c>
      <c r="AP142" s="9" t="s">
        <v>7441</v>
      </c>
      <c r="AQ142" s="9">
        <v>4</v>
      </c>
      <c r="AR142" s="9" t="s">
        <v>7442</v>
      </c>
      <c r="AS142" s="9">
        <v>27</v>
      </c>
      <c r="AT142" s="7" t="s">
        <v>7443</v>
      </c>
      <c r="AU142" s="9">
        <v>94</v>
      </c>
      <c r="AV142" s="9">
        <v>62</v>
      </c>
      <c r="AW142" s="9"/>
      <c r="AX142" s="9" t="s">
        <v>212</v>
      </c>
      <c r="AY142" s="9"/>
      <c r="AZ142" s="9"/>
      <c r="BA142" s="9"/>
      <c r="BB142" s="9" t="s">
        <v>213</v>
      </c>
      <c r="BC142" s="9"/>
      <c r="BD142" s="9"/>
      <c r="BE142" s="9"/>
      <c r="BF142" s="9" t="s">
        <v>176</v>
      </c>
      <c r="BG142" s="9" t="s">
        <v>707</v>
      </c>
      <c r="BH142" s="9" t="s">
        <v>707</v>
      </c>
      <c r="BI142" s="9" t="s">
        <v>213</v>
      </c>
      <c r="BJ142" s="9" t="s">
        <v>176</v>
      </c>
      <c r="BK142" s="9"/>
      <c r="BL142" s="9" t="s">
        <v>176</v>
      </c>
      <c r="BM142" s="9"/>
      <c r="BN142" s="9" t="s">
        <v>212</v>
      </c>
      <c r="BO142" s="9" t="s">
        <v>500</v>
      </c>
      <c r="BP142" s="9" t="s">
        <v>500</v>
      </c>
      <c r="BQ142" s="9" t="s">
        <v>7444</v>
      </c>
      <c r="BR142" s="9"/>
      <c r="BS142" s="9"/>
      <c r="BT142" s="9"/>
      <c r="BU142" s="9" t="s">
        <v>7444</v>
      </c>
      <c r="BV142" s="9"/>
      <c r="BW142" s="9"/>
      <c r="BX142" s="9"/>
      <c r="BY142" s="9" t="s">
        <v>176</v>
      </c>
      <c r="BZ142" s="9"/>
      <c r="CA142" s="9"/>
      <c r="CB142" s="9"/>
      <c r="CC142" s="9" t="s">
        <v>7444</v>
      </c>
      <c r="CD142" s="9"/>
      <c r="CE142" s="9"/>
      <c r="CF142" s="9"/>
      <c r="CG142" s="9" t="s">
        <v>7444</v>
      </c>
      <c r="CH142" s="9"/>
      <c r="CI142" s="9"/>
      <c r="CJ142" s="9"/>
      <c r="CK142" s="9"/>
      <c r="CL142" s="9" t="s">
        <v>7445</v>
      </c>
      <c r="CM142" s="9"/>
      <c r="CN142" s="9"/>
      <c r="CO142" s="9"/>
      <c r="CP142" s="9"/>
      <c r="CQ142" s="9"/>
      <c r="CR142" s="9"/>
      <c r="CS142" s="9" t="s">
        <v>213</v>
      </c>
      <c r="CT142" s="9"/>
      <c r="CU142" s="9"/>
      <c r="CV142" s="9"/>
      <c r="CW142" s="9">
        <v>4</v>
      </c>
      <c r="CX142" s="9" t="s">
        <v>99</v>
      </c>
      <c r="CY142" s="9" t="s">
        <v>110</v>
      </c>
      <c r="CZ142" s="9">
        <v>30</v>
      </c>
      <c r="DA142" s="9">
        <v>20</v>
      </c>
      <c r="DB142" s="9">
        <v>50</v>
      </c>
      <c r="DC142" s="9">
        <v>77</v>
      </c>
      <c r="DD142" s="9">
        <v>0.67</v>
      </c>
      <c r="DE142" s="10">
        <v>257</v>
      </c>
      <c r="DF142" s="9">
        <v>89</v>
      </c>
      <c r="DG142" s="9">
        <f t="shared" si="2"/>
        <v>4.4162208957929119</v>
      </c>
      <c r="DH142" s="9">
        <v>17.8</v>
      </c>
      <c r="DI142" s="9">
        <v>3.95</v>
      </c>
      <c r="DJ142" s="9"/>
      <c r="DK142" s="9"/>
      <c r="DL142" s="9">
        <v>70</v>
      </c>
      <c r="DM142" s="9">
        <v>169</v>
      </c>
      <c r="DN142" s="9"/>
      <c r="DO142" s="9"/>
      <c r="DR142" s="33">
        <v>1</v>
      </c>
    </row>
    <row r="143" spans="1:157" customFormat="1" x14ac:dyDescent="0.2">
      <c r="A143" s="143" t="s">
        <v>7460</v>
      </c>
      <c r="B143" s="128">
        <v>43805</v>
      </c>
      <c r="C143" s="127" t="s">
        <v>675</v>
      </c>
      <c r="D143" s="127">
        <v>34</v>
      </c>
      <c r="E143" s="127" t="s">
        <v>100</v>
      </c>
      <c r="F143" s="128">
        <v>31328</v>
      </c>
      <c r="G143" s="127" t="s">
        <v>837</v>
      </c>
      <c r="H143" s="127" t="s">
        <v>7461</v>
      </c>
      <c r="I143" s="127"/>
      <c r="J143" s="127"/>
      <c r="K143" s="127"/>
      <c r="L143" s="127"/>
      <c r="M143" s="127" t="s">
        <v>99</v>
      </c>
      <c r="N143" s="127" t="s">
        <v>99</v>
      </c>
      <c r="O143" s="127" t="s">
        <v>110</v>
      </c>
      <c r="P143" s="127" t="s">
        <v>1638</v>
      </c>
      <c r="Q143" s="127" t="s">
        <v>7122</v>
      </c>
      <c r="R143" s="127" t="s">
        <v>110</v>
      </c>
      <c r="S143" s="127" t="s">
        <v>99</v>
      </c>
      <c r="T143" s="127" t="s">
        <v>110</v>
      </c>
      <c r="U143" s="127" t="s">
        <v>99</v>
      </c>
      <c r="V143" s="127" t="s">
        <v>99</v>
      </c>
      <c r="W143" s="127" t="s">
        <v>99</v>
      </c>
      <c r="X143" s="127" t="s">
        <v>500</v>
      </c>
      <c r="Y143" s="127" t="s">
        <v>500</v>
      </c>
      <c r="Z143" s="127" t="s">
        <v>500</v>
      </c>
      <c r="AA143" s="127" t="s">
        <v>100</v>
      </c>
      <c r="AB143" s="127" t="s">
        <v>100</v>
      </c>
      <c r="AC143" s="127" t="s">
        <v>100</v>
      </c>
      <c r="AD143" s="127" t="s">
        <v>100</v>
      </c>
      <c r="AE143" s="127" t="s">
        <v>1959</v>
      </c>
      <c r="AF143" s="127" t="s">
        <v>99</v>
      </c>
      <c r="AG143" s="127" t="s">
        <v>1959</v>
      </c>
      <c r="AH143" s="129" t="s">
        <v>7462</v>
      </c>
      <c r="AI143" s="127" t="s">
        <v>7463</v>
      </c>
      <c r="AJ143" s="9" t="s">
        <v>99</v>
      </c>
      <c r="AK143" s="9" t="s">
        <v>99</v>
      </c>
      <c r="AL143" s="9" t="s">
        <v>4775</v>
      </c>
      <c r="AM143" s="9">
        <v>174</v>
      </c>
      <c r="AN143" s="7">
        <v>80</v>
      </c>
      <c r="AO143" s="9">
        <v>95</v>
      </c>
      <c r="AP143" s="9" t="s">
        <v>7464</v>
      </c>
      <c r="AQ143" s="9">
        <v>6</v>
      </c>
      <c r="AR143" s="9" t="s">
        <v>7465</v>
      </c>
      <c r="AS143" s="9">
        <v>34</v>
      </c>
      <c r="AT143" s="7" t="s">
        <v>7466</v>
      </c>
      <c r="AU143" s="9">
        <v>126</v>
      </c>
      <c r="AV143" s="9">
        <v>85</v>
      </c>
      <c r="AW143" s="9" t="s">
        <v>351</v>
      </c>
      <c r="AX143" s="9" t="s">
        <v>729</v>
      </c>
      <c r="AY143" s="9" t="s">
        <v>1128</v>
      </c>
      <c r="AZ143" s="9" t="s">
        <v>1800</v>
      </c>
      <c r="BA143" s="9" t="s">
        <v>351</v>
      </c>
      <c r="BB143" s="9" t="s">
        <v>2541</v>
      </c>
      <c r="BC143" s="9" t="s">
        <v>5595</v>
      </c>
      <c r="BD143" s="9" t="s">
        <v>1130</v>
      </c>
      <c r="BE143" s="9" t="s">
        <v>351</v>
      </c>
      <c r="BF143" s="9" t="s">
        <v>174</v>
      </c>
      <c r="BG143" s="9" t="s">
        <v>7467</v>
      </c>
      <c r="BH143" s="9" t="s">
        <v>99</v>
      </c>
      <c r="BI143" s="9" t="s">
        <v>7468</v>
      </c>
      <c r="BJ143" s="9" t="s">
        <v>7468</v>
      </c>
      <c r="BK143" s="9" t="s">
        <v>7468</v>
      </c>
      <c r="BL143" s="9" t="s">
        <v>351</v>
      </c>
      <c r="BM143" s="9"/>
      <c r="BN143" s="9" t="s">
        <v>180</v>
      </c>
      <c r="BO143" s="9" t="s">
        <v>219</v>
      </c>
      <c r="BP143" s="9" t="s">
        <v>6000</v>
      </c>
      <c r="BQ143" s="9"/>
      <c r="BR143" s="9" t="s">
        <v>99</v>
      </c>
      <c r="BS143" s="9" t="s">
        <v>99</v>
      </c>
      <c r="BT143" s="9" t="s">
        <v>99</v>
      </c>
      <c r="BU143" s="9"/>
      <c r="BV143" s="9" t="s">
        <v>99</v>
      </c>
      <c r="BW143" s="9" t="s">
        <v>99</v>
      </c>
      <c r="BX143" s="9" t="s">
        <v>99</v>
      </c>
      <c r="BY143" s="9" t="s">
        <v>176</v>
      </c>
      <c r="BZ143" s="9" t="s">
        <v>7222</v>
      </c>
      <c r="CA143" s="9" t="s">
        <v>357</v>
      </c>
      <c r="CB143" s="9" t="s">
        <v>184</v>
      </c>
      <c r="CC143" s="9" t="s">
        <v>99</v>
      </c>
      <c r="CD143" s="9"/>
      <c r="CE143" s="9"/>
      <c r="CF143" s="9"/>
      <c r="CG143" s="9" t="s">
        <v>99</v>
      </c>
      <c r="CH143" s="9"/>
      <c r="CI143" s="9"/>
      <c r="CJ143" s="9"/>
      <c r="CK143" s="9" t="s">
        <v>7469</v>
      </c>
      <c r="CL143" s="9" t="s">
        <v>579</v>
      </c>
      <c r="CM143" s="9" t="s">
        <v>4827</v>
      </c>
      <c r="CN143" s="9" t="s">
        <v>825</v>
      </c>
      <c r="CO143" s="9" t="s">
        <v>351</v>
      </c>
      <c r="CP143" s="9" t="s">
        <v>757</v>
      </c>
      <c r="CQ143" s="9" t="s">
        <v>716</v>
      </c>
      <c r="CR143" s="9" t="s">
        <v>362</v>
      </c>
      <c r="CS143" s="9" t="s">
        <v>350</v>
      </c>
      <c r="CT143" s="9" t="s">
        <v>187</v>
      </c>
      <c r="CU143" s="9" t="s">
        <v>1729</v>
      </c>
      <c r="CV143" s="9" t="s">
        <v>980</v>
      </c>
      <c r="CW143" s="9">
        <v>5</v>
      </c>
      <c r="CX143" s="9" t="s">
        <v>110</v>
      </c>
      <c r="CY143" s="9" t="s">
        <v>110</v>
      </c>
      <c r="CZ143" s="9">
        <v>50</v>
      </c>
      <c r="DA143" s="9">
        <v>40</v>
      </c>
      <c r="DB143" s="9"/>
      <c r="DC143" s="9">
        <v>88.3</v>
      </c>
      <c r="DD143" s="9">
        <v>0.75</v>
      </c>
      <c r="DE143" s="9">
        <v>184</v>
      </c>
      <c r="DF143" s="9">
        <v>94</v>
      </c>
      <c r="DG143" s="9">
        <f t="shared" si="2"/>
        <v>4.5120174449399588</v>
      </c>
      <c r="DH143" s="9">
        <v>18.8</v>
      </c>
      <c r="DI143" s="9">
        <v>5.16</v>
      </c>
      <c r="DJ143" s="9"/>
      <c r="DK143" s="9"/>
      <c r="DL143" s="9">
        <v>47</v>
      </c>
      <c r="DM143" s="9">
        <v>118.2</v>
      </c>
      <c r="DN143" s="9"/>
      <c r="DO143" s="9"/>
      <c r="DP143" s="53">
        <v>1</v>
      </c>
      <c r="DR143">
        <v>3</v>
      </c>
      <c r="DU143">
        <v>4.3</v>
      </c>
    </row>
    <row r="144" spans="1:157" customFormat="1" x14ac:dyDescent="0.2">
      <c r="A144" s="127" t="s">
        <v>7487</v>
      </c>
      <c r="B144" s="127">
        <v>43804</v>
      </c>
      <c r="C144" s="127" t="s">
        <v>196</v>
      </c>
      <c r="D144" s="127">
        <v>46</v>
      </c>
      <c r="E144" s="127" t="s">
        <v>100</v>
      </c>
      <c r="F144" s="127">
        <v>28523</v>
      </c>
      <c r="G144" s="127" t="s">
        <v>837</v>
      </c>
      <c r="H144" s="127" t="s">
        <v>7488</v>
      </c>
      <c r="I144" s="127" t="s">
        <v>198</v>
      </c>
      <c r="J144" s="127" t="s">
        <v>500</v>
      </c>
      <c r="K144" s="127">
        <v>38085</v>
      </c>
      <c r="L144" s="127">
        <v>3</v>
      </c>
      <c r="M144" s="127" t="s">
        <v>99</v>
      </c>
      <c r="N144" s="127" t="s">
        <v>99</v>
      </c>
      <c r="O144" s="127" t="s">
        <v>99</v>
      </c>
      <c r="P144" s="127" t="s">
        <v>99</v>
      </c>
      <c r="Q144" s="127" t="s">
        <v>99</v>
      </c>
      <c r="R144" s="127" t="s">
        <v>99</v>
      </c>
      <c r="S144" s="127" t="s">
        <v>99</v>
      </c>
      <c r="T144" s="127" t="s">
        <v>99</v>
      </c>
      <c r="U144" s="127" t="s">
        <v>99</v>
      </c>
      <c r="V144" s="127" t="s">
        <v>99</v>
      </c>
      <c r="W144" s="127" t="s">
        <v>99</v>
      </c>
      <c r="X144" s="127"/>
      <c r="Y144" s="127"/>
      <c r="Z144" s="127"/>
      <c r="AA144" s="127" t="s">
        <v>7489</v>
      </c>
      <c r="AB144" s="127" t="s">
        <v>7490</v>
      </c>
      <c r="AC144" s="127" t="s">
        <v>7489</v>
      </c>
      <c r="AD144" s="127" t="s">
        <v>5409</v>
      </c>
      <c r="AE144" s="127" t="s">
        <v>99</v>
      </c>
      <c r="AF144" s="127" t="s">
        <v>1127</v>
      </c>
      <c r="AG144" s="127" t="s">
        <v>110</v>
      </c>
      <c r="AH144" s="129" t="s">
        <v>99</v>
      </c>
      <c r="AI144" s="127" t="s">
        <v>99</v>
      </c>
      <c r="AJ144" s="9" t="s">
        <v>99</v>
      </c>
      <c r="AK144" s="9" t="s">
        <v>99</v>
      </c>
      <c r="AL144" s="9">
        <v>66.599999999999994</v>
      </c>
      <c r="AM144" s="9">
        <v>169</v>
      </c>
      <c r="AN144" s="7">
        <v>78</v>
      </c>
      <c r="AO144" s="9">
        <v>98.5</v>
      </c>
      <c r="AP144" s="9">
        <v>40.6</v>
      </c>
      <c r="AQ144" s="9">
        <v>6</v>
      </c>
      <c r="AR144" s="9">
        <v>21.5</v>
      </c>
      <c r="AS144" s="9">
        <v>33</v>
      </c>
      <c r="AT144" s="7">
        <v>23.3</v>
      </c>
      <c r="AU144" s="9">
        <v>117</v>
      </c>
      <c r="AV144" s="9">
        <v>82</v>
      </c>
      <c r="AW144" s="9"/>
      <c r="AX144" s="9" t="s">
        <v>7491</v>
      </c>
      <c r="AY144" s="9"/>
      <c r="AZ144" s="9"/>
      <c r="BA144" s="9"/>
      <c r="BB144" s="9" t="s">
        <v>7451</v>
      </c>
      <c r="BC144" s="9"/>
      <c r="BD144" s="9"/>
      <c r="BE144" s="9"/>
      <c r="BF144" s="9" t="s">
        <v>7492</v>
      </c>
      <c r="BG144" s="9" t="s">
        <v>7483</v>
      </c>
      <c r="BH144" s="9" t="s">
        <v>7493</v>
      </c>
      <c r="BI144" s="9" t="s">
        <v>7482</v>
      </c>
      <c r="BJ144" s="9" t="s">
        <v>7482</v>
      </c>
      <c r="BK144" s="9" t="s">
        <v>7494</v>
      </c>
      <c r="BL144" s="9"/>
      <c r="BM144" s="9"/>
      <c r="BN144" s="9" t="s">
        <v>7493</v>
      </c>
      <c r="BO144" s="9"/>
      <c r="BP144" s="9"/>
      <c r="BQ144" s="9"/>
      <c r="BR144" s="9" t="s">
        <v>7483</v>
      </c>
      <c r="BS144" s="9"/>
      <c r="BT144" s="9"/>
      <c r="BU144" s="9"/>
      <c r="BV144" s="9" t="s">
        <v>7493</v>
      </c>
      <c r="BW144" s="9"/>
      <c r="BX144" s="9"/>
      <c r="BY144" s="9"/>
      <c r="BZ144" s="9" t="s">
        <v>7495</v>
      </c>
      <c r="CA144" s="9"/>
      <c r="CB144" s="9"/>
      <c r="CC144" s="9"/>
      <c r="CD144" s="9" t="s">
        <v>7495</v>
      </c>
      <c r="CE144" s="9"/>
      <c r="CF144" s="9"/>
      <c r="CG144" s="9"/>
      <c r="CH144" s="9" t="s">
        <v>7479</v>
      </c>
      <c r="CI144" s="9"/>
      <c r="CJ144" s="9"/>
      <c r="CK144" s="9"/>
      <c r="CL144" s="9" t="s">
        <v>7496</v>
      </c>
      <c r="CM144" s="9"/>
      <c r="CN144" s="9"/>
      <c r="CO144" s="9"/>
      <c r="CP144" s="9"/>
      <c r="CQ144" s="9"/>
      <c r="CR144" s="9"/>
      <c r="CS144" s="9"/>
      <c r="CT144" s="9" t="s">
        <v>7482</v>
      </c>
      <c r="CU144" s="9"/>
      <c r="CV144" s="9"/>
      <c r="CW144" s="9">
        <v>4</v>
      </c>
      <c r="CX144" s="9" t="s">
        <v>110</v>
      </c>
      <c r="CY144" s="9" t="s">
        <v>110</v>
      </c>
      <c r="CZ144" s="9">
        <v>10</v>
      </c>
      <c r="DA144" s="9">
        <v>10</v>
      </c>
      <c r="DB144" s="9">
        <v>80</v>
      </c>
      <c r="DC144" s="9">
        <v>81.099999999999994</v>
      </c>
      <c r="DD144" s="9">
        <v>0.6</v>
      </c>
      <c r="DE144" s="9">
        <v>198</v>
      </c>
      <c r="DF144" s="9">
        <v>130</v>
      </c>
      <c r="DG144" s="9">
        <f t="shared" si="2"/>
        <v>4.6316087057884747</v>
      </c>
      <c r="DH144" s="9">
        <v>26</v>
      </c>
      <c r="DI144" s="9">
        <v>4.2300000000000004</v>
      </c>
      <c r="DJ144" s="9"/>
      <c r="DK144" s="9"/>
      <c r="DL144" s="173">
        <v>41.9</v>
      </c>
      <c r="DM144" s="9">
        <v>130.1</v>
      </c>
      <c r="DN144" s="9"/>
      <c r="DO144" s="9"/>
      <c r="DR144">
        <v>3</v>
      </c>
    </row>
    <row r="145" spans="1:125" customFormat="1" x14ac:dyDescent="0.2">
      <c r="A145" s="143" t="s">
        <v>7505</v>
      </c>
      <c r="B145" s="127">
        <v>43804</v>
      </c>
      <c r="C145" s="127" t="s">
        <v>196</v>
      </c>
      <c r="D145" s="127">
        <v>28</v>
      </c>
      <c r="E145" s="127" t="s">
        <v>100</v>
      </c>
      <c r="F145" s="127">
        <v>33500</v>
      </c>
      <c r="G145" s="127"/>
      <c r="H145" s="127" t="s">
        <v>7506</v>
      </c>
      <c r="I145" s="127" t="s">
        <v>3222</v>
      </c>
      <c r="J145" s="127" t="s">
        <v>500</v>
      </c>
      <c r="K145" s="127" t="s">
        <v>500</v>
      </c>
      <c r="L145" s="127" t="s">
        <v>99</v>
      </c>
      <c r="M145" s="127" t="s">
        <v>99</v>
      </c>
      <c r="N145" s="127" t="s">
        <v>99</v>
      </c>
      <c r="O145" s="127" t="s">
        <v>99</v>
      </c>
      <c r="P145" s="127" t="s">
        <v>7507</v>
      </c>
      <c r="Q145" s="127" t="s">
        <v>7499</v>
      </c>
      <c r="R145" s="127" t="s">
        <v>99</v>
      </c>
      <c r="S145" s="127" t="s">
        <v>99</v>
      </c>
      <c r="T145" s="127" t="s">
        <v>99</v>
      </c>
      <c r="U145" s="127" t="s">
        <v>99</v>
      </c>
      <c r="V145" s="127" t="s">
        <v>99</v>
      </c>
      <c r="W145" s="127" t="s">
        <v>99</v>
      </c>
      <c r="X145" s="127" t="s">
        <v>99</v>
      </c>
      <c r="Y145" s="127" t="s">
        <v>99</v>
      </c>
      <c r="Z145" s="127" t="s">
        <v>99</v>
      </c>
      <c r="AA145" s="127" t="s">
        <v>100</v>
      </c>
      <c r="AB145" s="127" t="s">
        <v>100</v>
      </c>
      <c r="AC145" s="127" t="s">
        <v>100</v>
      </c>
      <c r="AD145" s="127" t="s">
        <v>100</v>
      </c>
      <c r="AE145" s="127" t="s">
        <v>1905</v>
      </c>
      <c r="AF145" s="127" t="s">
        <v>343</v>
      </c>
      <c r="AG145" s="127" t="s">
        <v>4981</v>
      </c>
      <c r="AH145" s="129" t="s">
        <v>5545</v>
      </c>
      <c r="AI145" s="127" t="s">
        <v>99</v>
      </c>
      <c r="AJ145" s="9" t="s">
        <v>99</v>
      </c>
      <c r="AK145" s="9" t="s">
        <v>99</v>
      </c>
      <c r="AL145" s="9">
        <v>51</v>
      </c>
      <c r="AM145" s="9">
        <v>151</v>
      </c>
      <c r="AN145" s="7">
        <v>74.5</v>
      </c>
      <c r="AO145" s="9">
        <v>91</v>
      </c>
      <c r="AP145" s="9">
        <v>30.3</v>
      </c>
      <c r="AQ145" s="9">
        <v>4</v>
      </c>
      <c r="AR145" s="9">
        <v>29.6</v>
      </c>
      <c r="AS145" s="9">
        <v>34</v>
      </c>
      <c r="AT145" s="7">
        <v>22.4</v>
      </c>
      <c r="AU145" s="9">
        <v>106</v>
      </c>
      <c r="AV145" s="9">
        <v>70</v>
      </c>
      <c r="AW145" s="9"/>
      <c r="AX145" s="9" t="s">
        <v>7508</v>
      </c>
      <c r="AY145" s="9"/>
      <c r="AZ145" s="9"/>
      <c r="BA145" s="9"/>
      <c r="BB145" s="9" t="s">
        <v>7451</v>
      </c>
      <c r="BC145" s="9"/>
      <c r="BD145" s="9"/>
      <c r="BE145" s="9"/>
      <c r="BF145" s="9" t="s">
        <v>7492</v>
      </c>
      <c r="BG145" s="9" t="s">
        <v>7508</v>
      </c>
      <c r="BH145" s="9" t="s">
        <v>7493</v>
      </c>
      <c r="BI145" s="9" t="s">
        <v>7495</v>
      </c>
      <c r="BJ145" s="9" t="s">
        <v>7492</v>
      </c>
      <c r="BK145" s="9" t="s">
        <v>7504</v>
      </c>
      <c r="BL145" s="9"/>
      <c r="BM145" s="9"/>
      <c r="BN145" s="9" t="s">
        <v>7495</v>
      </c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 t="s">
        <v>7493</v>
      </c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 t="s">
        <v>7509</v>
      </c>
      <c r="CM145" s="9"/>
      <c r="CN145" s="9"/>
      <c r="CO145" s="9"/>
      <c r="CP145" s="9" t="s">
        <v>7503</v>
      </c>
      <c r="CQ145" s="9"/>
      <c r="CR145" s="9"/>
      <c r="CS145" s="9"/>
      <c r="CT145" s="9" t="s">
        <v>7495</v>
      </c>
      <c r="CU145" s="9"/>
      <c r="CV145" s="9"/>
      <c r="CW145" s="9">
        <v>3</v>
      </c>
      <c r="CX145" s="9" t="s">
        <v>99</v>
      </c>
      <c r="CY145" s="9" t="s">
        <v>110</v>
      </c>
      <c r="CZ145" s="9">
        <v>5</v>
      </c>
      <c r="DA145" s="9">
        <v>30</v>
      </c>
      <c r="DB145" s="9">
        <v>65</v>
      </c>
      <c r="DC145" s="9">
        <v>88.6</v>
      </c>
      <c r="DD145" s="9">
        <v>0.84</v>
      </c>
      <c r="DE145" s="9">
        <v>169</v>
      </c>
      <c r="DF145" s="9">
        <v>73</v>
      </c>
      <c r="DG145" s="9">
        <f t="shared" si="2"/>
        <v>4.3872956493797135</v>
      </c>
      <c r="DH145" s="9">
        <v>14.6</v>
      </c>
      <c r="DI145" s="9">
        <v>6.13</v>
      </c>
      <c r="DJ145" s="9"/>
      <c r="DK145" s="9"/>
      <c r="DL145" s="9">
        <v>60.6</v>
      </c>
      <c r="DM145" s="9">
        <v>93.8</v>
      </c>
      <c r="DN145" s="9"/>
      <c r="DO145" s="9"/>
      <c r="DP145" s="53">
        <v>3</v>
      </c>
      <c r="DR145">
        <v>3</v>
      </c>
      <c r="DU145">
        <v>7.7</v>
      </c>
    </row>
    <row r="146" spans="1:125" customFormat="1" x14ac:dyDescent="0.2">
      <c r="A146" s="143" t="s">
        <v>7510</v>
      </c>
      <c r="B146" s="127">
        <v>43804</v>
      </c>
      <c r="C146" s="127" t="s">
        <v>196</v>
      </c>
      <c r="D146" s="127">
        <v>52</v>
      </c>
      <c r="E146" s="127" t="s">
        <v>100</v>
      </c>
      <c r="F146" s="127">
        <v>24468</v>
      </c>
      <c r="G146" s="127" t="s">
        <v>7511</v>
      </c>
      <c r="H146" s="127" t="s">
        <v>7512</v>
      </c>
      <c r="I146" s="127" t="s">
        <v>198</v>
      </c>
      <c r="J146" s="127" t="s">
        <v>7513</v>
      </c>
      <c r="K146" s="127">
        <v>1998</v>
      </c>
      <c r="L146" s="127">
        <v>3</v>
      </c>
      <c r="M146" s="127" t="s">
        <v>99</v>
      </c>
      <c r="N146" s="127" t="s">
        <v>99</v>
      </c>
      <c r="O146" s="127" t="s">
        <v>99</v>
      </c>
      <c r="P146" s="127" t="s">
        <v>7514</v>
      </c>
      <c r="Q146" s="127" t="s">
        <v>7515</v>
      </c>
      <c r="R146" s="127" t="s">
        <v>7516</v>
      </c>
      <c r="S146" s="127" t="s">
        <v>99</v>
      </c>
      <c r="T146" s="127" t="s">
        <v>7517</v>
      </c>
      <c r="U146" s="127" t="s">
        <v>7518</v>
      </c>
      <c r="V146" s="127" t="s">
        <v>7519</v>
      </c>
      <c r="W146" s="127" t="s">
        <v>99</v>
      </c>
      <c r="X146" s="127" t="s">
        <v>99</v>
      </c>
      <c r="Y146" s="127" t="s">
        <v>99</v>
      </c>
      <c r="Z146" s="127" t="s">
        <v>99</v>
      </c>
      <c r="AA146" s="127" t="s">
        <v>100</v>
      </c>
      <c r="AB146" s="127" t="s">
        <v>100</v>
      </c>
      <c r="AC146" s="127" t="s">
        <v>100</v>
      </c>
      <c r="AD146" s="127" t="s">
        <v>100</v>
      </c>
      <c r="AE146" s="127" t="s">
        <v>7520</v>
      </c>
      <c r="AF146" s="127" t="s">
        <v>7520</v>
      </c>
      <c r="AG146" s="127" t="s">
        <v>7521</v>
      </c>
      <c r="AH146" s="129" t="s">
        <v>99</v>
      </c>
      <c r="AI146" s="127" t="s">
        <v>110</v>
      </c>
      <c r="AJ146" s="9" t="s">
        <v>99</v>
      </c>
      <c r="AK146" s="9" t="s">
        <v>99</v>
      </c>
      <c r="AL146" s="9">
        <v>65.5</v>
      </c>
      <c r="AM146" s="9">
        <v>172</v>
      </c>
      <c r="AN146" s="7">
        <v>79</v>
      </c>
      <c r="AO146" s="9">
        <v>102</v>
      </c>
      <c r="AP146" s="9">
        <v>32.200000000000003</v>
      </c>
      <c r="AQ146" s="9">
        <v>5</v>
      </c>
      <c r="AR146" s="9">
        <v>28.2</v>
      </c>
      <c r="AS146" s="9">
        <v>38</v>
      </c>
      <c r="AT146" s="7">
        <v>22.1</v>
      </c>
      <c r="AU146" s="9">
        <v>99</v>
      </c>
      <c r="AV146" s="9">
        <v>62</v>
      </c>
      <c r="AW146" s="9"/>
      <c r="AX146" s="9" t="s">
        <v>7522</v>
      </c>
      <c r="AY146" s="9" t="s">
        <v>7523</v>
      </c>
      <c r="AZ146" s="9" t="s">
        <v>2633</v>
      </c>
      <c r="BA146" s="9"/>
      <c r="BB146" s="9" t="s">
        <v>7524</v>
      </c>
      <c r="BC146" s="9" t="s">
        <v>7525</v>
      </c>
      <c r="BD146" s="9" t="s">
        <v>7526</v>
      </c>
      <c r="BE146" s="9"/>
      <c r="BF146" s="9" t="s">
        <v>176</v>
      </c>
      <c r="BG146" s="9" t="s">
        <v>176</v>
      </c>
      <c r="BH146" s="9" t="s">
        <v>99</v>
      </c>
      <c r="BI146" s="9" t="s">
        <v>99</v>
      </c>
      <c r="BJ146" s="9" t="s">
        <v>99</v>
      </c>
      <c r="BK146" s="9" t="s">
        <v>7351</v>
      </c>
      <c r="BL146" s="9"/>
      <c r="BM146" s="9"/>
      <c r="BN146" s="9" t="s">
        <v>1136</v>
      </c>
      <c r="BO146" s="9" t="s">
        <v>7527</v>
      </c>
      <c r="BP146" s="9" t="s">
        <v>7528</v>
      </c>
      <c r="BQ146" s="9"/>
      <c r="BR146" s="9"/>
      <c r="BS146" s="9"/>
      <c r="BT146" s="9"/>
      <c r="BU146" s="9"/>
      <c r="BV146" s="9"/>
      <c r="BW146" s="9"/>
      <c r="BX146" s="9"/>
      <c r="BY146" s="9"/>
      <c r="BZ146" s="9" t="s">
        <v>7529</v>
      </c>
      <c r="CA146" s="9" t="s">
        <v>7530</v>
      </c>
      <c r="CB146" s="9" t="s">
        <v>7531</v>
      </c>
      <c r="CC146" s="9"/>
      <c r="CD146" s="9"/>
      <c r="CE146" s="9"/>
      <c r="CF146" s="9"/>
      <c r="CG146" s="9"/>
      <c r="CH146" s="9"/>
      <c r="CI146" s="9"/>
      <c r="CJ146" s="9"/>
      <c r="CK146" s="9"/>
      <c r="CL146" s="9" t="s">
        <v>7532</v>
      </c>
      <c r="CM146" s="9" t="s">
        <v>7533</v>
      </c>
      <c r="CN146" s="9"/>
      <c r="CO146" s="9" t="s">
        <v>176</v>
      </c>
      <c r="CP146" s="9" t="s">
        <v>716</v>
      </c>
      <c r="CQ146" s="9" t="s">
        <v>362</v>
      </c>
      <c r="CR146" s="9"/>
      <c r="CS146" s="9"/>
      <c r="CT146" s="9" t="s">
        <v>7534</v>
      </c>
      <c r="CU146" s="9"/>
      <c r="CV146" s="9"/>
      <c r="CW146" s="9">
        <v>3</v>
      </c>
      <c r="CX146" s="9" t="s">
        <v>110</v>
      </c>
      <c r="CY146" s="9" t="s">
        <v>110</v>
      </c>
      <c r="CZ146" s="9">
        <v>40</v>
      </c>
      <c r="DA146" s="9">
        <v>30</v>
      </c>
      <c r="DB146" s="9">
        <v>30</v>
      </c>
      <c r="DC146" s="9">
        <v>79.099999999999994</v>
      </c>
      <c r="DD146" s="9">
        <v>0.92</v>
      </c>
      <c r="DE146" s="9">
        <v>191</v>
      </c>
      <c r="DF146" s="9">
        <v>127</v>
      </c>
      <c r="DG146" s="9">
        <f t="shared" si="2"/>
        <v>4.6074499806160993</v>
      </c>
      <c r="DH146" s="9">
        <v>25.4</v>
      </c>
      <c r="DI146" s="9">
        <v>4.9000000000000004</v>
      </c>
      <c r="DJ146" s="9"/>
      <c r="DK146" s="9"/>
      <c r="DL146" s="9">
        <v>50.6</v>
      </c>
      <c r="DM146" s="9">
        <v>115</v>
      </c>
      <c r="DN146" s="9"/>
      <c r="DO146" s="9"/>
      <c r="DP146" s="53">
        <v>1</v>
      </c>
      <c r="DR146">
        <v>2</v>
      </c>
      <c r="DU146">
        <v>5.8</v>
      </c>
    </row>
    <row r="147" spans="1:125" customFormat="1" x14ac:dyDescent="0.2">
      <c r="A147" s="127" t="s">
        <v>7557</v>
      </c>
      <c r="B147" s="127">
        <v>43804</v>
      </c>
      <c r="C147" s="127" t="s">
        <v>196</v>
      </c>
      <c r="D147" s="127">
        <v>29</v>
      </c>
      <c r="E147" s="127" t="s">
        <v>7558</v>
      </c>
      <c r="F147" s="127">
        <v>33112</v>
      </c>
      <c r="G147" s="127" t="s">
        <v>3288</v>
      </c>
      <c r="H147" s="127" t="s">
        <v>5940</v>
      </c>
      <c r="I147" s="127" t="s">
        <v>1594</v>
      </c>
      <c r="J147" s="127"/>
      <c r="K147" s="127" t="s">
        <v>500</v>
      </c>
      <c r="L147" s="127" t="s">
        <v>500</v>
      </c>
      <c r="M147" s="127" t="s">
        <v>99</v>
      </c>
      <c r="N147" s="127" t="s">
        <v>99</v>
      </c>
      <c r="O147" s="127" t="s">
        <v>99</v>
      </c>
      <c r="P147" s="127" t="s">
        <v>99</v>
      </c>
      <c r="Q147" s="127" t="s">
        <v>7559</v>
      </c>
      <c r="R147" s="127" t="s">
        <v>99</v>
      </c>
      <c r="S147" s="127" t="s">
        <v>99</v>
      </c>
      <c r="T147" s="127" t="s">
        <v>110</v>
      </c>
      <c r="U147" s="127" t="s">
        <v>99</v>
      </c>
      <c r="V147" s="127" t="s">
        <v>99</v>
      </c>
      <c r="W147" s="127" t="s">
        <v>7560</v>
      </c>
      <c r="X147" s="127" t="s">
        <v>99</v>
      </c>
      <c r="Y147" s="127"/>
      <c r="Z147" s="127" t="s">
        <v>7561</v>
      </c>
      <c r="AA147" s="127" t="s">
        <v>1654</v>
      </c>
      <c r="AB147" s="127" t="s">
        <v>1654</v>
      </c>
      <c r="AC147" s="127" t="s">
        <v>7562</v>
      </c>
      <c r="AD147" s="127" t="s">
        <v>1654</v>
      </c>
      <c r="AE147" s="127" t="s">
        <v>343</v>
      </c>
      <c r="AF147" s="127" t="s">
        <v>6074</v>
      </c>
      <c r="AG147" s="127" t="s">
        <v>6074</v>
      </c>
      <c r="AH147" s="129" t="s">
        <v>6075</v>
      </c>
      <c r="AI147" s="127" t="s">
        <v>99</v>
      </c>
      <c r="AJ147" s="9" t="s">
        <v>99</v>
      </c>
      <c r="AK147" s="9" t="s">
        <v>99</v>
      </c>
      <c r="AL147" s="9">
        <v>53.2</v>
      </c>
      <c r="AM147" s="9">
        <v>157</v>
      </c>
      <c r="AN147" s="7">
        <v>68</v>
      </c>
      <c r="AO147" s="9">
        <v>95</v>
      </c>
      <c r="AP147" s="9">
        <v>31.4</v>
      </c>
      <c r="AQ147" s="9">
        <v>4</v>
      </c>
      <c r="AR147" s="9">
        <v>28</v>
      </c>
      <c r="AS147" s="9">
        <v>29</v>
      </c>
      <c r="AT147" s="7">
        <v>21.6</v>
      </c>
      <c r="AU147" s="9">
        <v>101</v>
      </c>
      <c r="AV147" s="9">
        <v>73</v>
      </c>
      <c r="AW147" s="9"/>
      <c r="AX147" s="9" t="s">
        <v>7563</v>
      </c>
      <c r="AY147" s="9" t="s">
        <v>7564</v>
      </c>
      <c r="AZ147" s="9"/>
      <c r="BA147" s="9"/>
      <c r="BB147" s="9" t="s">
        <v>1130</v>
      </c>
      <c r="BC147" s="9" t="s">
        <v>5595</v>
      </c>
      <c r="BD147" s="9" t="s">
        <v>749</v>
      </c>
      <c r="BE147" s="9"/>
      <c r="BF147" s="9" t="s">
        <v>176</v>
      </c>
      <c r="BG147" s="9" t="s">
        <v>212</v>
      </c>
      <c r="BH147" s="9" t="s">
        <v>99</v>
      </c>
      <c r="BI147" s="9" t="s">
        <v>176</v>
      </c>
      <c r="BJ147" s="9" t="s">
        <v>176</v>
      </c>
      <c r="BK147" s="9" t="s">
        <v>5871</v>
      </c>
      <c r="BL147" s="9" t="s">
        <v>176</v>
      </c>
      <c r="BM147" s="9" t="s">
        <v>7565</v>
      </c>
      <c r="BN147" s="9" t="s">
        <v>2534</v>
      </c>
      <c r="BO147" s="9" t="s">
        <v>5578</v>
      </c>
      <c r="BP147" s="9"/>
      <c r="BQ147" s="9"/>
      <c r="BR147" s="9"/>
      <c r="BS147" s="9"/>
      <c r="BT147" s="9"/>
      <c r="BU147" s="9"/>
      <c r="BV147" s="9" t="s">
        <v>7566</v>
      </c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 t="s">
        <v>7567</v>
      </c>
      <c r="CM147" s="9" t="s">
        <v>7568</v>
      </c>
      <c r="CN147" s="9" t="s">
        <v>7569</v>
      </c>
      <c r="CO147" s="9"/>
      <c r="CP147" s="9" t="s">
        <v>716</v>
      </c>
      <c r="CQ147" s="9" t="s">
        <v>362</v>
      </c>
      <c r="CR147" s="9" t="s">
        <v>7570</v>
      </c>
      <c r="CS147" s="9"/>
      <c r="CT147" s="9" t="s">
        <v>7571</v>
      </c>
      <c r="CU147" s="9" t="s">
        <v>2662</v>
      </c>
      <c r="CV147" s="9"/>
      <c r="CW147" s="9" t="s">
        <v>110</v>
      </c>
      <c r="CX147" s="9" t="s">
        <v>110</v>
      </c>
      <c r="CY147" s="9" t="s">
        <v>110</v>
      </c>
      <c r="CZ147" s="9"/>
      <c r="DA147" s="9"/>
      <c r="DB147" s="9"/>
      <c r="DC147" s="9">
        <v>85.6</v>
      </c>
      <c r="DD147" s="173">
        <v>0.3</v>
      </c>
      <c r="DE147" s="9">
        <v>169</v>
      </c>
      <c r="DF147" s="9">
        <v>49</v>
      </c>
      <c r="DG147" s="9">
        <f t="shared" si="2"/>
        <v>4.1707527906291615</v>
      </c>
      <c r="DH147" s="9">
        <v>9.8000000000000007</v>
      </c>
      <c r="DI147" s="9">
        <v>2.6</v>
      </c>
      <c r="DJ147" s="9"/>
      <c r="DK147" s="9"/>
      <c r="DL147" s="9">
        <v>58.7</v>
      </c>
      <c r="DM147" s="9">
        <v>100.5</v>
      </c>
      <c r="DN147" s="9"/>
      <c r="DO147" s="9"/>
      <c r="DP147" s="53">
        <v>3</v>
      </c>
    </row>
    <row r="148" spans="1:125" customFormat="1" x14ac:dyDescent="0.2">
      <c r="A148" s="143" t="s">
        <v>7627</v>
      </c>
      <c r="B148" s="127">
        <v>43804</v>
      </c>
      <c r="C148" s="127" t="s">
        <v>196</v>
      </c>
      <c r="D148" s="127">
        <v>21</v>
      </c>
      <c r="E148" s="127" t="s">
        <v>100</v>
      </c>
      <c r="F148" s="127">
        <v>35968</v>
      </c>
      <c r="G148" s="127" t="s">
        <v>1509</v>
      </c>
      <c r="H148" s="127" t="s">
        <v>7512</v>
      </c>
      <c r="I148" s="127" t="s">
        <v>645</v>
      </c>
      <c r="J148" s="127"/>
      <c r="K148" s="127"/>
      <c r="L148" s="127"/>
      <c r="M148" s="127" t="s">
        <v>99</v>
      </c>
      <c r="N148" s="127" t="s">
        <v>99</v>
      </c>
      <c r="O148" s="127" t="s">
        <v>99</v>
      </c>
      <c r="P148" s="127" t="s">
        <v>99</v>
      </c>
      <c r="Q148" s="127" t="s">
        <v>7612</v>
      </c>
      <c r="R148" s="127" t="s">
        <v>99</v>
      </c>
      <c r="S148" s="127" t="s">
        <v>99</v>
      </c>
      <c r="T148" s="127" t="s">
        <v>5451</v>
      </c>
      <c r="U148" s="127" t="s">
        <v>99</v>
      </c>
      <c r="V148" s="127" t="s">
        <v>99</v>
      </c>
      <c r="W148" s="127" t="s">
        <v>7628</v>
      </c>
      <c r="X148" s="127" t="s">
        <v>99</v>
      </c>
      <c r="Y148" s="127" t="s">
        <v>99</v>
      </c>
      <c r="Z148" s="127" t="s">
        <v>7629</v>
      </c>
      <c r="AA148" s="127" t="s">
        <v>100</v>
      </c>
      <c r="AB148" s="127" t="s">
        <v>100</v>
      </c>
      <c r="AC148" s="127" t="s">
        <v>100</v>
      </c>
      <c r="AD148" s="127" t="s">
        <v>100</v>
      </c>
      <c r="AE148" s="127" t="s">
        <v>7630</v>
      </c>
      <c r="AF148" s="127" t="s">
        <v>7631</v>
      </c>
      <c r="AG148" s="127" t="s">
        <v>7632</v>
      </c>
      <c r="AH148" s="129" t="s">
        <v>7574</v>
      </c>
      <c r="AI148" s="127" t="s">
        <v>6074</v>
      </c>
      <c r="AJ148" s="9" t="s">
        <v>99</v>
      </c>
      <c r="AK148" s="9" t="s">
        <v>99</v>
      </c>
      <c r="AL148" s="9">
        <v>59.5</v>
      </c>
      <c r="AM148" s="9">
        <v>173</v>
      </c>
      <c r="AN148" s="7">
        <v>69</v>
      </c>
      <c r="AO148" s="9">
        <v>92</v>
      </c>
      <c r="AP148" s="9">
        <v>27.3</v>
      </c>
      <c r="AQ148" s="9">
        <v>2</v>
      </c>
      <c r="AR148" s="9">
        <v>30</v>
      </c>
      <c r="AS148" s="9">
        <v>18</v>
      </c>
      <c r="AT148" s="7">
        <v>19.899999999999999</v>
      </c>
      <c r="AU148" s="9">
        <v>105</v>
      </c>
      <c r="AV148" s="9">
        <v>64</v>
      </c>
      <c r="AW148" s="9"/>
      <c r="AX148" s="9" t="s">
        <v>7633</v>
      </c>
      <c r="AY148" s="9" t="s">
        <v>7522</v>
      </c>
      <c r="AZ148" s="9"/>
      <c r="BA148" s="9"/>
      <c r="BB148" s="9" t="s">
        <v>7634</v>
      </c>
      <c r="BC148" s="9" t="s">
        <v>346</v>
      </c>
      <c r="BD148" s="9"/>
      <c r="BE148" s="9"/>
      <c r="BF148" s="9" t="s">
        <v>707</v>
      </c>
      <c r="BG148" s="9" t="s">
        <v>176</v>
      </c>
      <c r="BH148" s="9" t="s">
        <v>99</v>
      </c>
      <c r="BI148" s="9" t="s">
        <v>7635</v>
      </c>
      <c r="BJ148" s="9" t="s">
        <v>7636</v>
      </c>
      <c r="BK148" s="9" t="s">
        <v>1469</v>
      </c>
      <c r="BL148" s="9" t="s">
        <v>176</v>
      </c>
      <c r="BM148" s="9"/>
      <c r="BN148" s="9" t="s">
        <v>180</v>
      </c>
      <c r="BO148" s="9" t="s">
        <v>7637</v>
      </c>
      <c r="BP148" s="9" t="s">
        <v>1664</v>
      </c>
      <c r="BQ148" s="9"/>
      <c r="BR148" s="9"/>
      <c r="BS148" s="9"/>
      <c r="BT148" s="9"/>
      <c r="BU148" s="9"/>
      <c r="BV148" s="9"/>
      <c r="BW148" s="9"/>
      <c r="BX148" s="9"/>
      <c r="BY148" s="9" t="s">
        <v>351</v>
      </c>
      <c r="BZ148" s="9" t="s">
        <v>7638</v>
      </c>
      <c r="CA148" s="9" t="s">
        <v>822</v>
      </c>
      <c r="CB148" s="9" t="s">
        <v>182</v>
      </c>
      <c r="CC148" s="9" t="s">
        <v>213</v>
      </c>
      <c r="CD148" s="9" t="s">
        <v>578</v>
      </c>
      <c r="CE148" s="9" t="s">
        <v>184</v>
      </c>
      <c r="CF148" s="9"/>
      <c r="CG148" s="9"/>
      <c r="CH148" s="9"/>
      <c r="CI148" s="9"/>
      <c r="CJ148" s="9"/>
      <c r="CK148" s="9" t="s">
        <v>351</v>
      </c>
      <c r="CL148" s="9" t="s">
        <v>7639</v>
      </c>
      <c r="CM148" s="9" t="s">
        <v>7640</v>
      </c>
      <c r="CN148" s="9" t="s">
        <v>7641</v>
      </c>
      <c r="CO148" s="9"/>
      <c r="CP148" s="9"/>
      <c r="CQ148" s="9"/>
      <c r="CR148" s="9"/>
      <c r="CS148" s="9"/>
      <c r="CT148" s="9" t="s">
        <v>7642</v>
      </c>
      <c r="CU148" s="9" t="s">
        <v>7643</v>
      </c>
      <c r="CV148" s="9"/>
      <c r="CW148" s="9" t="s">
        <v>7644</v>
      </c>
      <c r="CX148" s="9" t="s">
        <v>110</v>
      </c>
      <c r="CY148" s="9" t="s">
        <v>110</v>
      </c>
      <c r="CZ148" s="9">
        <v>50</v>
      </c>
      <c r="DA148" s="9">
        <v>25</v>
      </c>
      <c r="DB148" s="9">
        <v>25</v>
      </c>
      <c r="DC148" s="9">
        <v>81.3</v>
      </c>
      <c r="DD148" s="9">
        <v>0.75</v>
      </c>
      <c r="DE148" s="9">
        <v>186</v>
      </c>
      <c r="DF148" s="9">
        <v>84</v>
      </c>
      <c r="DG148" s="9">
        <f t="shared" si="2"/>
        <v>4.4144814076985393</v>
      </c>
      <c r="DH148" s="9">
        <v>16.8</v>
      </c>
      <c r="DI148" s="9">
        <v>3.41</v>
      </c>
      <c r="DJ148" s="9"/>
      <c r="DK148" s="9"/>
      <c r="DL148" s="9">
        <v>54.6</v>
      </c>
      <c r="DM148" s="9">
        <v>114.6</v>
      </c>
      <c r="DN148" s="9"/>
      <c r="DO148" s="9"/>
      <c r="DP148" s="53">
        <v>3</v>
      </c>
      <c r="DR148">
        <v>3</v>
      </c>
      <c r="DU148">
        <v>5</v>
      </c>
    </row>
    <row r="149" spans="1:125" customFormat="1" x14ac:dyDescent="0.2">
      <c r="A149" s="140" t="s">
        <v>7694</v>
      </c>
      <c r="B149" s="127">
        <v>43805</v>
      </c>
      <c r="C149" s="127" t="s">
        <v>7695</v>
      </c>
      <c r="D149" s="127">
        <v>23</v>
      </c>
      <c r="E149" s="127"/>
      <c r="F149" s="127">
        <v>35382</v>
      </c>
      <c r="G149" s="127"/>
      <c r="H149" s="127" t="s">
        <v>1462</v>
      </c>
      <c r="I149" s="127" t="s">
        <v>198</v>
      </c>
      <c r="J149" s="127"/>
      <c r="K149" s="127"/>
      <c r="L149" s="127"/>
      <c r="M149" s="127" t="s">
        <v>99</v>
      </c>
      <c r="N149" s="127" t="s">
        <v>99</v>
      </c>
      <c r="O149" s="127" t="s">
        <v>99</v>
      </c>
      <c r="P149" s="127" t="s">
        <v>99</v>
      </c>
      <c r="Q149" s="127" t="s">
        <v>6121</v>
      </c>
      <c r="R149" s="127" t="s">
        <v>99</v>
      </c>
      <c r="S149" s="127" t="s">
        <v>99</v>
      </c>
      <c r="T149" s="127" t="s">
        <v>99</v>
      </c>
      <c r="U149" s="127" t="s">
        <v>1572</v>
      </c>
      <c r="V149" s="127" t="s">
        <v>7682</v>
      </c>
      <c r="W149" s="127" t="s">
        <v>7696</v>
      </c>
      <c r="X149" s="127" t="s">
        <v>99</v>
      </c>
      <c r="Y149" s="127"/>
      <c r="Z149" s="127"/>
      <c r="AA149" s="127" t="s">
        <v>100</v>
      </c>
      <c r="AB149" s="127" t="s">
        <v>797</v>
      </c>
      <c r="AC149" s="127" t="s">
        <v>100</v>
      </c>
      <c r="AD149" s="127" t="s">
        <v>100</v>
      </c>
      <c r="AE149" s="127" t="s">
        <v>6074</v>
      </c>
      <c r="AF149" s="127" t="s">
        <v>6074</v>
      </c>
      <c r="AG149" s="127" t="s">
        <v>6074</v>
      </c>
      <c r="AH149" s="129" t="s">
        <v>99</v>
      </c>
      <c r="AI149" s="127" t="s">
        <v>6074</v>
      </c>
      <c r="AJ149" s="9" t="s">
        <v>99</v>
      </c>
      <c r="AK149" s="9" t="s">
        <v>99</v>
      </c>
      <c r="AL149" s="9">
        <v>54.9</v>
      </c>
      <c r="AM149" s="9">
        <v>152</v>
      </c>
      <c r="AN149" s="7">
        <v>72</v>
      </c>
      <c r="AO149" s="9">
        <v>92</v>
      </c>
      <c r="AP149" s="9">
        <v>36.4</v>
      </c>
      <c r="AQ149" s="9">
        <v>3</v>
      </c>
      <c r="AR149" s="9">
        <v>26.2</v>
      </c>
      <c r="AS149" s="9">
        <v>36</v>
      </c>
      <c r="AT149" s="7">
        <v>23.8</v>
      </c>
      <c r="AU149" s="9">
        <v>107</v>
      </c>
      <c r="AV149" s="9">
        <v>71</v>
      </c>
      <c r="AW149" s="9"/>
      <c r="AX149" s="9" t="s">
        <v>7451</v>
      </c>
      <c r="AY149" s="9"/>
      <c r="AZ149" s="9"/>
      <c r="BA149" s="9"/>
      <c r="BB149" s="9" t="s">
        <v>7451</v>
      </c>
      <c r="BC149" s="9"/>
      <c r="BD149" s="9"/>
      <c r="BE149" s="9"/>
      <c r="BF149" s="9" t="s">
        <v>7508</v>
      </c>
      <c r="BG149" s="9" t="s">
        <v>7545</v>
      </c>
      <c r="BH149" s="9" t="s">
        <v>7482</v>
      </c>
      <c r="BI149" s="9" t="s">
        <v>7451</v>
      </c>
      <c r="BJ149" s="9" t="s">
        <v>7451</v>
      </c>
      <c r="BK149" s="9" t="s">
        <v>7493</v>
      </c>
      <c r="BL149" s="9"/>
      <c r="BM149" s="9"/>
      <c r="BN149" s="9" t="s">
        <v>7493</v>
      </c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 t="s">
        <v>7508</v>
      </c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 t="s">
        <v>7697</v>
      </c>
      <c r="CM149" s="9"/>
      <c r="CN149" s="9"/>
      <c r="CO149" s="9"/>
      <c r="CP149" s="9" t="s">
        <v>7698</v>
      </c>
      <c r="CQ149" s="9"/>
      <c r="CR149" s="9"/>
      <c r="CS149" s="9"/>
      <c r="CT149" s="9" t="s">
        <v>7699</v>
      </c>
      <c r="CU149" s="9"/>
      <c r="CV149" s="9"/>
      <c r="CW149" s="9">
        <v>3</v>
      </c>
      <c r="CX149" s="9" t="s">
        <v>99</v>
      </c>
      <c r="CY149" s="9" t="s">
        <v>99</v>
      </c>
      <c r="CZ149" s="9">
        <v>30</v>
      </c>
      <c r="DA149" s="9">
        <v>20</v>
      </c>
      <c r="DB149" s="9">
        <v>50</v>
      </c>
      <c r="DC149" s="9">
        <v>73.7</v>
      </c>
      <c r="DD149" s="9">
        <v>0.98</v>
      </c>
      <c r="DE149" s="9">
        <v>149</v>
      </c>
      <c r="DF149" s="9">
        <v>74</v>
      </c>
      <c r="DG149" s="9">
        <f t="shared" si="2"/>
        <v>4.3020339461997308</v>
      </c>
      <c r="DH149" s="9">
        <v>14.8</v>
      </c>
      <c r="DI149" s="9">
        <v>4.04</v>
      </c>
      <c r="DJ149" s="9"/>
      <c r="DK149" s="9"/>
      <c r="DL149" s="10">
        <v>48.7</v>
      </c>
      <c r="DM149" s="9">
        <v>85.5</v>
      </c>
      <c r="DN149" s="9"/>
      <c r="DO149" s="9"/>
      <c r="DP149" s="53">
        <v>3</v>
      </c>
      <c r="DR149">
        <v>2</v>
      </c>
    </row>
    <row r="150" spans="1:125" customFormat="1" x14ac:dyDescent="0.2">
      <c r="A150" s="143" t="s">
        <v>7700</v>
      </c>
      <c r="B150" s="127">
        <v>43805</v>
      </c>
      <c r="C150" s="127" t="s">
        <v>196</v>
      </c>
      <c r="D150" s="127">
        <v>33</v>
      </c>
      <c r="E150" s="127" t="s">
        <v>100</v>
      </c>
      <c r="F150" s="127">
        <v>31538</v>
      </c>
      <c r="G150" s="127" t="s">
        <v>837</v>
      </c>
      <c r="H150" s="127" t="s">
        <v>7701</v>
      </c>
      <c r="I150" s="127" t="s">
        <v>198</v>
      </c>
      <c r="J150" s="127" t="s">
        <v>500</v>
      </c>
      <c r="K150" s="127">
        <v>2012</v>
      </c>
      <c r="L150" s="127">
        <v>2</v>
      </c>
      <c r="M150" s="127" t="s">
        <v>99</v>
      </c>
      <c r="N150" s="127" t="s">
        <v>99</v>
      </c>
      <c r="O150" s="127" t="s">
        <v>99</v>
      </c>
      <c r="P150" s="127" t="s">
        <v>99</v>
      </c>
      <c r="Q150" s="127" t="s">
        <v>7702</v>
      </c>
      <c r="R150" s="127" t="s">
        <v>5490</v>
      </c>
      <c r="S150" s="127" t="s">
        <v>5490</v>
      </c>
      <c r="T150" s="127" t="s">
        <v>5490</v>
      </c>
      <c r="U150" s="127" t="s">
        <v>99</v>
      </c>
      <c r="V150" s="127" t="s">
        <v>99</v>
      </c>
      <c r="W150" s="127" t="s">
        <v>99</v>
      </c>
      <c r="X150" s="127" t="s">
        <v>99</v>
      </c>
      <c r="Y150" s="127" t="s">
        <v>99</v>
      </c>
      <c r="Z150" s="127" t="s">
        <v>7703</v>
      </c>
      <c r="AA150" s="127" t="s">
        <v>100</v>
      </c>
      <c r="AB150" s="127" t="s">
        <v>100</v>
      </c>
      <c r="AC150" s="127" t="s">
        <v>100</v>
      </c>
      <c r="AD150" s="127" t="s">
        <v>100</v>
      </c>
      <c r="AE150" s="127" t="s">
        <v>7704</v>
      </c>
      <c r="AF150" s="127" t="s">
        <v>99</v>
      </c>
      <c r="AG150" s="127" t="s">
        <v>7705</v>
      </c>
      <c r="AH150" s="129" t="s">
        <v>7706</v>
      </c>
      <c r="AI150" s="127" t="s">
        <v>99</v>
      </c>
      <c r="AJ150" s="9" t="s">
        <v>99</v>
      </c>
      <c r="AK150" s="9" t="s">
        <v>99</v>
      </c>
      <c r="AL150" s="9">
        <v>58.7</v>
      </c>
      <c r="AM150" s="9">
        <v>163</v>
      </c>
      <c r="AN150" s="7">
        <v>70</v>
      </c>
      <c r="AO150" s="9">
        <v>100</v>
      </c>
      <c r="AP150" s="9">
        <v>21.3</v>
      </c>
      <c r="AQ150" s="9">
        <v>2</v>
      </c>
      <c r="AR150" s="9">
        <v>35.299999999999997</v>
      </c>
      <c r="AS150" s="9">
        <v>28</v>
      </c>
      <c r="AT150" s="7">
        <v>22.8</v>
      </c>
      <c r="AU150" s="9">
        <v>106</v>
      </c>
      <c r="AV150" s="9">
        <v>74</v>
      </c>
      <c r="AW150" s="9"/>
      <c r="AX150" s="9" t="s">
        <v>679</v>
      </c>
      <c r="AY150" s="9" t="s">
        <v>7707</v>
      </c>
      <c r="AZ150" s="9" t="s">
        <v>7708</v>
      </c>
      <c r="BA150" s="9"/>
      <c r="BB150" s="9" t="s">
        <v>346</v>
      </c>
      <c r="BC150" s="9" t="s">
        <v>7709</v>
      </c>
      <c r="BD150" s="9" t="s">
        <v>5551</v>
      </c>
      <c r="BE150" s="9"/>
      <c r="BF150" s="9" t="s">
        <v>212</v>
      </c>
      <c r="BG150" s="9" t="s">
        <v>213</v>
      </c>
      <c r="BH150" s="9" t="s">
        <v>1469</v>
      </c>
      <c r="BI150" s="9" t="s">
        <v>1469</v>
      </c>
      <c r="BJ150" s="9" t="s">
        <v>1469</v>
      </c>
      <c r="BK150" s="9" t="s">
        <v>5871</v>
      </c>
      <c r="BL150" s="9"/>
      <c r="BM150" s="9" t="s">
        <v>7710</v>
      </c>
      <c r="BN150" s="9" t="s">
        <v>7667</v>
      </c>
      <c r="BO150" s="9" t="s">
        <v>7711</v>
      </c>
      <c r="BP150" s="9"/>
      <c r="BQ150" s="9"/>
      <c r="BR150" s="9"/>
      <c r="BS150" s="9"/>
      <c r="BT150" s="9"/>
      <c r="BU150" s="9"/>
      <c r="BV150" s="9" t="s">
        <v>216</v>
      </c>
      <c r="BW150" s="9"/>
      <c r="BX150" s="9"/>
      <c r="BY150" s="9"/>
      <c r="BZ150" s="9" t="s">
        <v>7712</v>
      </c>
      <c r="CA150" s="9" t="s">
        <v>7713</v>
      </c>
      <c r="CB150" s="9" t="s">
        <v>7714</v>
      </c>
      <c r="CC150" s="9"/>
      <c r="CD150" s="9"/>
      <c r="CE150" s="9"/>
      <c r="CF150" s="9"/>
      <c r="CG150" s="9"/>
      <c r="CH150" s="9"/>
      <c r="CI150" s="9"/>
      <c r="CJ150" s="9"/>
      <c r="CK150" s="9" t="s">
        <v>176</v>
      </c>
      <c r="CL150" s="9" t="s">
        <v>7715</v>
      </c>
      <c r="CM150" s="9" t="s">
        <v>825</v>
      </c>
      <c r="CN150" s="9" t="s">
        <v>1180</v>
      </c>
      <c r="CO150" s="9"/>
      <c r="CP150" s="9" t="s">
        <v>362</v>
      </c>
      <c r="CQ150" s="9" t="s">
        <v>716</v>
      </c>
      <c r="CR150" s="9" t="s">
        <v>6021</v>
      </c>
      <c r="CS150" s="9" t="s">
        <v>707</v>
      </c>
      <c r="CT150" s="9" t="s">
        <v>1732</v>
      </c>
      <c r="CU150" s="9" t="s">
        <v>187</v>
      </c>
      <c r="CV150" s="9" t="s">
        <v>7716</v>
      </c>
      <c r="CW150" s="9" t="s">
        <v>7717</v>
      </c>
      <c r="CX150" s="9" t="s">
        <v>5490</v>
      </c>
      <c r="CY150" s="9" t="s">
        <v>5490</v>
      </c>
      <c r="CZ150" s="9">
        <v>40</v>
      </c>
      <c r="DA150" s="9">
        <v>10</v>
      </c>
      <c r="DB150" s="9">
        <v>50</v>
      </c>
      <c r="DC150" s="9">
        <v>81.599999999999994</v>
      </c>
      <c r="DD150" s="9">
        <v>0.64</v>
      </c>
      <c r="DE150" s="9">
        <v>195</v>
      </c>
      <c r="DF150" s="9">
        <v>55</v>
      </c>
      <c r="DG150" s="9">
        <f t="shared" si="2"/>
        <v>4.2045812236012665</v>
      </c>
      <c r="DH150" s="9">
        <v>11</v>
      </c>
      <c r="DI150" s="9">
        <v>3.9</v>
      </c>
      <c r="DJ150" s="9"/>
      <c r="DK150" s="9"/>
      <c r="DL150" s="9">
        <v>59.9</v>
      </c>
      <c r="DM150" s="9">
        <v>124.2</v>
      </c>
      <c r="DN150" s="9"/>
      <c r="DO150" s="9"/>
      <c r="DU150">
        <v>5</v>
      </c>
    </row>
    <row r="151" spans="1:125" customFormat="1" x14ac:dyDescent="0.2">
      <c r="A151" s="140" t="s">
        <v>7752</v>
      </c>
      <c r="B151" s="127">
        <v>43805</v>
      </c>
      <c r="C151" s="127" t="s">
        <v>675</v>
      </c>
      <c r="D151" s="127">
        <v>21</v>
      </c>
      <c r="E151" s="127" t="s">
        <v>100</v>
      </c>
      <c r="F151" s="127">
        <v>31093</v>
      </c>
      <c r="G151" s="127" t="s">
        <v>7471</v>
      </c>
      <c r="H151" s="127" t="s">
        <v>1727</v>
      </c>
      <c r="I151" s="127"/>
      <c r="J151" s="127"/>
      <c r="K151" s="127"/>
      <c r="L151" s="127"/>
      <c r="M151" s="127" t="s">
        <v>99</v>
      </c>
      <c r="N151" s="127" t="s">
        <v>99</v>
      </c>
      <c r="O151" s="127" t="s">
        <v>99</v>
      </c>
      <c r="P151" s="127" t="s">
        <v>7753</v>
      </c>
      <c r="Q151" s="127" t="s">
        <v>6121</v>
      </c>
      <c r="R151" s="127" t="s">
        <v>99</v>
      </c>
      <c r="S151" s="127" t="s">
        <v>99</v>
      </c>
      <c r="T151" s="127" t="s">
        <v>99</v>
      </c>
      <c r="U151" s="127" t="s">
        <v>7754</v>
      </c>
      <c r="V151" s="127" t="s">
        <v>7682</v>
      </c>
      <c r="W151" s="127" t="s">
        <v>7682</v>
      </c>
      <c r="X151" s="127"/>
      <c r="Y151" s="127"/>
      <c r="Z151" s="127"/>
      <c r="AA151" s="127" t="s">
        <v>100</v>
      </c>
      <c r="AB151" s="127" t="s">
        <v>100</v>
      </c>
      <c r="AC151" s="127" t="s">
        <v>100</v>
      </c>
      <c r="AD151" s="127" t="s">
        <v>100</v>
      </c>
      <c r="AE151" s="127" t="s">
        <v>6075</v>
      </c>
      <c r="AF151" s="127" t="s">
        <v>7520</v>
      </c>
      <c r="AG151" s="127" t="s">
        <v>7554</v>
      </c>
      <c r="AH151" s="129" t="s">
        <v>99</v>
      </c>
      <c r="AI151" s="127" t="s">
        <v>99</v>
      </c>
      <c r="AJ151" s="9" t="s">
        <v>99</v>
      </c>
      <c r="AK151" s="9" t="s">
        <v>99</v>
      </c>
      <c r="AL151" s="9">
        <v>76.8</v>
      </c>
      <c r="AM151" s="9">
        <v>176</v>
      </c>
      <c r="AN151" s="9">
        <v>85</v>
      </c>
      <c r="AO151" s="9">
        <v>110</v>
      </c>
      <c r="AP151" s="9">
        <v>20.7</v>
      </c>
      <c r="AQ151" s="9">
        <v>6</v>
      </c>
      <c r="AR151" s="9">
        <v>40.1</v>
      </c>
      <c r="AS151" s="9">
        <v>35</v>
      </c>
      <c r="AT151" s="7">
        <v>24.8</v>
      </c>
      <c r="AU151" s="9">
        <v>110</v>
      </c>
      <c r="AV151" s="9">
        <v>82</v>
      </c>
      <c r="AW151" s="9"/>
      <c r="AX151" s="9" t="s">
        <v>7508</v>
      </c>
      <c r="AY151" s="9"/>
      <c r="AZ151" s="9"/>
      <c r="BA151" s="9"/>
      <c r="BB151" s="9" t="s">
        <v>7545</v>
      </c>
      <c r="BC151" s="9"/>
      <c r="BD151" s="9"/>
      <c r="BE151" s="9"/>
      <c r="BF151" s="9" t="s">
        <v>7451</v>
      </c>
      <c r="BG151" s="9" t="s">
        <v>7495</v>
      </c>
      <c r="BH151" s="9" t="s">
        <v>7495</v>
      </c>
      <c r="BI151" s="9" t="s">
        <v>7545</v>
      </c>
      <c r="BJ151" s="9" t="s">
        <v>7508</v>
      </c>
      <c r="BK151" s="9" t="s">
        <v>7504</v>
      </c>
      <c r="BL151" s="9"/>
      <c r="BM151" s="9"/>
      <c r="BN151" s="9" t="s">
        <v>7545</v>
      </c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 t="s">
        <v>7508</v>
      </c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 t="s">
        <v>7755</v>
      </c>
      <c r="CQ151" s="9"/>
      <c r="CR151" s="9"/>
      <c r="CS151" s="9"/>
      <c r="CT151" s="9" t="s">
        <v>7545</v>
      </c>
      <c r="CU151" s="9"/>
      <c r="CV151" s="9"/>
      <c r="CW151" s="9">
        <v>3</v>
      </c>
      <c r="CX151" s="9" t="s">
        <v>5490</v>
      </c>
      <c r="CY151" s="9" t="s">
        <v>5490</v>
      </c>
      <c r="CZ151" s="9">
        <v>30</v>
      </c>
      <c r="DA151" s="9">
        <v>20</v>
      </c>
      <c r="DB151" s="9">
        <v>50</v>
      </c>
      <c r="DC151" s="9">
        <v>80.2</v>
      </c>
      <c r="DD151" s="9">
        <v>0.76</v>
      </c>
      <c r="DE151" s="9">
        <v>166</v>
      </c>
      <c r="DF151" s="9">
        <v>50</v>
      </c>
      <c r="DG151" s="9">
        <f t="shared" si="2"/>
        <v>4.1482732601503072</v>
      </c>
      <c r="DH151" s="9">
        <v>10</v>
      </c>
      <c r="DI151" s="9">
        <v>4.03</v>
      </c>
      <c r="DL151" s="9">
        <v>35</v>
      </c>
      <c r="DM151" s="9">
        <v>121</v>
      </c>
      <c r="DN151" s="9"/>
      <c r="DO151" s="9"/>
      <c r="DP151" s="53">
        <v>3</v>
      </c>
      <c r="DR151">
        <v>3</v>
      </c>
    </row>
    <row r="152" spans="1:125" customFormat="1" x14ac:dyDescent="0.2">
      <c r="A152" s="140" t="s">
        <v>7764</v>
      </c>
      <c r="B152" s="127">
        <v>43805</v>
      </c>
      <c r="C152" s="127" t="s">
        <v>196</v>
      </c>
      <c r="D152" s="127">
        <v>40</v>
      </c>
      <c r="E152" s="127" t="s">
        <v>100</v>
      </c>
      <c r="F152" s="127">
        <v>28809</v>
      </c>
      <c r="G152" s="127" t="s">
        <v>813</v>
      </c>
      <c r="H152" s="127" t="s">
        <v>7765</v>
      </c>
      <c r="I152" s="127"/>
      <c r="J152" s="127"/>
      <c r="K152" s="127">
        <v>2008</v>
      </c>
      <c r="L152" s="127">
        <v>4</v>
      </c>
      <c r="M152" s="127" t="s">
        <v>5490</v>
      </c>
      <c r="N152" s="127"/>
      <c r="O152" s="127"/>
      <c r="P152" s="127" t="s">
        <v>99</v>
      </c>
      <c r="Q152" s="127" t="s">
        <v>99</v>
      </c>
      <c r="R152" s="127" t="s">
        <v>99</v>
      </c>
      <c r="S152" s="127"/>
      <c r="T152" s="127"/>
      <c r="U152" s="127"/>
      <c r="V152" s="127"/>
      <c r="W152" s="127" t="s">
        <v>7766</v>
      </c>
      <c r="X152" s="127" t="s">
        <v>99</v>
      </c>
      <c r="Y152" s="127"/>
      <c r="Z152" s="127" t="s">
        <v>7767</v>
      </c>
      <c r="AA152" s="127" t="s">
        <v>100</v>
      </c>
      <c r="AB152" s="127" t="s">
        <v>100</v>
      </c>
      <c r="AC152" s="127" t="s">
        <v>100</v>
      </c>
      <c r="AD152" s="127" t="s">
        <v>100</v>
      </c>
      <c r="AE152" s="127" t="s">
        <v>7768</v>
      </c>
      <c r="AF152" s="127" t="s">
        <v>7769</v>
      </c>
      <c r="AG152" s="127"/>
      <c r="AH152" s="129"/>
      <c r="AI152" s="127"/>
      <c r="AJ152" s="9"/>
      <c r="AK152" s="9"/>
      <c r="AL152" s="9">
        <v>60.9</v>
      </c>
      <c r="AM152" s="9">
        <v>163.5</v>
      </c>
      <c r="AN152" s="7">
        <v>79</v>
      </c>
      <c r="AO152" s="9">
        <v>99</v>
      </c>
      <c r="AP152" s="9">
        <v>33.4</v>
      </c>
      <c r="AQ152" s="9">
        <v>5</v>
      </c>
      <c r="AR152" s="9">
        <v>27.7</v>
      </c>
      <c r="AS152" s="9">
        <v>38</v>
      </c>
      <c r="AT152" s="7">
        <v>22.8</v>
      </c>
      <c r="AU152" s="9">
        <v>105</v>
      </c>
      <c r="AV152" s="9">
        <v>76</v>
      </c>
      <c r="AW152" s="9"/>
      <c r="AX152" s="9" t="s">
        <v>5572</v>
      </c>
      <c r="AY152" s="9" t="s">
        <v>3844</v>
      </c>
      <c r="AZ152" s="9" t="s">
        <v>2633</v>
      </c>
      <c r="BA152" s="9" t="s">
        <v>351</v>
      </c>
      <c r="BB152" s="9" t="s">
        <v>2541</v>
      </c>
      <c r="BC152" s="9" t="s">
        <v>7770</v>
      </c>
      <c r="BD152" s="9" t="s">
        <v>749</v>
      </c>
      <c r="BE152" s="9"/>
      <c r="BF152" s="9" t="s">
        <v>7451</v>
      </c>
      <c r="BG152" s="9" t="s">
        <v>7451</v>
      </c>
      <c r="BH152" s="9" t="s">
        <v>7451</v>
      </c>
      <c r="BI152" s="9" t="s">
        <v>7451</v>
      </c>
      <c r="BJ152" s="9" t="s">
        <v>7451</v>
      </c>
      <c r="BK152" s="9" t="s">
        <v>7450</v>
      </c>
      <c r="BL152" s="9"/>
      <c r="BM152" s="9" t="s">
        <v>351</v>
      </c>
      <c r="BN152" s="9" t="s">
        <v>180</v>
      </c>
      <c r="BO152" s="9" t="s">
        <v>179</v>
      </c>
      <c r="BP152" s="9" t="s">
        <v>5578</v>
      </c>
      <c r="BQ152" s="9"/>
      <c r="BR152" s="9"/>
      <c r="BS152" s="9"/>
      <c r="BT152" s="9"/>
      <c r="BU152" s="9"/>
      <c r="BV152" s="9" t="s">
        <v>7771</v>
      </c>
      <c r="BW152" s="9"/>
      <c r="BX152" s="9"/>
      <c r="BY152" s="9" t="s">
        <v>351</v>
      </c>
      <c r="BZ152" s="9" t="s">
        <v>182</v>
      </c>
      <c r="CA152" s="9" t="s">
        <v>183</v>
      </c>
      <c r="CB152" s="9" t="s">
        <v>821</v>
      </c>
      <c r="CC152" s="9"/>
      <c r="CD152" s="9"/>
      <c r="CE152" s="9"/>
      <c r="CF152" s="9"/>
      <c r="CG152" s="9"/>
      <c r="CH152" s="9"/>
      <c r="CI152" s="9"/>
      <c r="CJ152" s="9"/>
      <c r="CK152" s="9"/>
      <c r="CL152" s="9" t="s">
        <v>7772</v>
      </c>
      <c r="CM152" s="9" t="s">
        <v>823</v>
      </c>
      <c r="CN152" s="9" t="s">
        <v>7773</v>
      </c>
      <c r="CO152" s="9" t="s">
        <v>351</v>
      </c>
      <c r="CP152" s="9" t="s">
        <v>362</v>
      </c>
      <c r="CQ152" s="9" t="s">
        <v>716</v>
      </c>
      <c r="CR152" s="9" t="s">
        <v>7774</v>
      </c>
      <c r="CS152" s="9" t="s">
        <v>1513</v>
      </c>
      <c r="CT152" s="9" t="s">
        <v>1732</v>
      </c>
      <c r="CU152" s="9" t="s">
        <v>364</v>
      </c>
      <c r="CV152" s="9" t="s">
        <v>6068</v>
      </c>
      <c r="CW152" s="9">
        <v>3</v>
      </c>
      <c r="CX152" s="9" t="s">
        <v>99</v>
      </c>
      <c r="CY152" s="9" t="s">
        <v>99</v>
      </c>
      <c r="CZ152" s="9">
        <v>60</v>
      </c>
      <c r="DA152" s="9">
        <v>10</v>
      </c>
      <c r="DB152" s="9">
        <v>30</v>
      </c>
      <c r="DC152" s="9">
        <v>83</v>
      </c>
      <c r="DD152" s="9">
        <v>0.48</v>
      </c>
      <c r="DE152" s="9">
        <v>140</v>
      </c>
      <c r="DF152" s="9">
        <v>131</v>
      </c>
      <c r="DG152" s="9">
        <f t="shared" si="2"/>
        <v>4.6470189654988747</v>
      </c>
      <c r="DH152" s="53">
        <v>26.2</v>
      </c>
      <c r="DI152" s="9">
        <v>3.28</v>
      </c>
      <c r="DJ152" s="9"/>
      <c r="DK152" s="9"/>
      <c r="DL152" s="10">
        <v>33.200000000000003</v>
      </c>
      <c r="DM152" s="9">
        <v>80.599999999999994</v>
      </c>
      <c r="DN152" s="9"/>
      <c r="DO152" s="9"/>
      <c r="DP152" s="53">
        <v>3</v>
      </c>
      <c r="DR152">
        <v>3</v>
      </c>
    </row>
    <row r="153" spans="1:125" customFormat="1" x14ac:dyDescent="0.2">
      <c r="A153" s="143" t="s">
        <v>7784</v>
      </c>
      <c r="B153" s="128">
        <v>43805</v>
      </c>
      <c r="C153" s="127" t="s">
        <v>196</v>
      </c>
      <c r="D153" s="127">
        <v>50</v>
      </c>
      <c r="E153" s="127" t="s">
        <v>100</v>
      </c>
      <c r="F153" s="128">
        <v>25541</v>
      </c>
      <c r="G153" s="127" t="s">
        <v>2495</v>
      </c>
      <c r="H153" s="127" t="s">
        <v>1462</v>
      </c>
      <c r="I153" s="127" t="s">
        <v>4856</v>
      </c>
      <c r="J153" s="127"/>
      <c r="K153" s="127">
        <v>1998</v>
      </c>
      <c r="L153" s="127">
        <v>3</v>
      </c>
      <c r="M153" s="127" t="s">
        <v>99</v>
      </c>
      <c r="N153" s="127" t="s">
        <v>99</v>
      </c>
      <c r="O153" s="127" t="s">
        <v>99</v>
      </c>
      <c r="P153" s="127" t="s">
        <v>99</v>
      </c>
      <c r="Q153" s="127" t="s">
        <v>7733</v>
      </c>
      <c r="R153" s="127" t="s">
        <v>99</v>
      </c>
      <c r="S153" s="127" t="s">
        <v>99</v>
      </c>
      <c r="T153" s="127" t="s">
        <v>5490</v>
      </c>
      <c r="U153" s="127" t="s">
        <v>7785</v>
      </c>
      <c r="V153" s="127" t="s">
        <v>99</v>
      </c>
      <c r="W153" s="127" t="s">
        <v>7682</v>
      </c>
      <c r="X153" s="127"/>
      <c r="Y153" s="127"/>
      <c r="Z153" s="127"/>
      <c r="AA153" s="127" t="s">
        <v>100</v>
      </c>
      <c r="AB153" s="127" t="s">
        <v>100</v>
      </c>
      <c r="AC153" s="127" t="s">
        <v>100</v>
      </c>
      <c r="AD153" s="127" t="s">
        <v>100</v>
      </c>
      <c r="AE153" s="127" t="s">
        <v>7520</v>
      </c>
      <c r="AF153" s="127" t="s">
        <v>99</v>
      </c>
      <c r="AG153" s="127" t="s">
        <v>7769</v>
      </c>
      <c r="AH153" s="129" t="s">
        <v>99</v>
      </c>
      <c r="AI153" s="127" t="s">
        <v>99</v>
      </c>
      <c r="AJ153" s="9" t="s">
        <v>99</v>
      </c>
      <c r="AK153" s="9" t="s">
        <v>99</v>
      </c>
      <c r="AL153" s="9">
        <v>57.4</v>
      </c>
      <c r="AM153" s="9">
        <v>161</v>
      </c>
      <c r="AN153" s="7">
        <v>72</v>
      </c>
      <c r="AO153" s="9">
        <v>94.5</v>
      </c>
      <c r="AP153" s="9">
        <v>31.8</v>
      </c>
      <c r="AQ153" s="9">
        <v>5</v>
      </c>
      <c r="AR153" s="9">
        <v>28</v>
      </c>
      <c r="AS153" s="9">
        <v>41</v>
      </c>
      <c r="AT153" s="7">
        <v>22.1</v>
      </c>
      <c r="AU153" s="9">
        <v>105</v>
      </c>
      <c r="AV153" s="9">
        <v>62</v>
      </c>
      <c r="AW153" s="9"/>
      <c r="AX153" s="9" t="s">
        <v>7508</v>
      </c>
      <c r="AY153" s="9"/>
      <c r="AZ153" s="9"/>
      <c r="BA153" s="9"/>
      <c r="BB153" s="9" t="s">
        <v>7495</v>
      </c>
      <c r="BC153" s="9"/>
      <c r="BD153" s="9"/>
      <c r="BE153" s="9"/>
      <c r="BF153" s="9" t="s">
        <v>7545</v>
      </c>
      <c r="BG153" s="9" t="s">
        <v>7495</v>
      </c>
      <c r="BH153" s="9" t="s">
        <v>7495</v>
      </c>
      <c r="BI153" s="9" t="s">
        <v>7545</v>
      </c>
      <c r="BJ153" s="9" t="s">
        <v>7545</v>
      </c>
      <c r="BK153" s="9" t="s">
        <v>7545</v>
      </c>
      <c r="BL153" s="9"/>
      <c r="BM153" s="9"/>
      <c r="BN153" s="9" t="s">
        <v>7495</v>
      </c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 t="s">
        <v>7786</v>
      </c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 t="s">
        <v>7697</v>
      </c>
      <c r="CM153" s="9"/>
      <c r="CN153" s="9"/>
      <c r="CO153" s="9"/>
      <c r="CP153" s="9" t="s">
        <v>7698</v>
      </c>
      <c r="CQ153" s="9"/>
      <c r="CR153" s="9"/>
      <c r="CS153" s="9"/>
      <c r="CT153" s="9" t="s">
        <v>7723</v>
      </c>
      <c r="CU153" s="9"/>
      <c r="CV153" s="9"/>
      <c r="CW153" s="9">
        <v>4</v>
      </c>
      <c r="CX153" s="9" t="s">
        <v>5490</v>
      </c>
      <c r="CY153" s="9" t="s">
        <v>5490</v>
      </c>
      <c r="CZ153" s="9">
        <v>40</v>
      </c>
      <c r="DA153" s="9">
        <v>20</v>
      </c>
      <c r="DB153" s="9">
        <v>40</v>
      </c>
      <c r="DC153" s="9">
        <v>77.400000000000006</v>
      </c>
      <c r="DD153" s="9">
        <v>0.69</v>
      </c>
      <c r="DE153" s="9">
        <v>165</v>
      </c>
      <c r="DF153" s="9">
        <v>71</v>
      </c>
      <c r="DG153" s="9">
        <f t="shared" si="2"/>
        <v>4.3058333288184985</v>
      </c>
      <c r="DH153" s="9">
        <v>14.2</v>
      </c>
      <c r="DI153" s="9">
        <v>3.22</v>
      </c>
      <c r="DJ153" s="9"/>
      <c r="DK153" s="9"/>
      <c r="DL153" s="9">
        <v>57.1</v>
      </c>
      <c r="DM153" s="9">
        <v>93.7</v>
      </c>
      <c r="DN153" s="9"/>
      <c r="DO153" s="9"/>
      <c r="DP153" s="27">
        <v>1</v>
      </c>
      <c r="DR153">
        <v>3</v>
      </c>
      <c r="DU153">
        <v>5.2</v>
      </c>
    </row>
    <row r="154" spans="1:125" customFormat="1" x14ac:dyDescent="0.2">
      <c r="A154" s="127" t="s">
        <v>7793</v>
      </c>
      <c r="B154" s="128">
        <v>43805</v>
      </c>
      <c r="C154" s="127" t="s">
        <v>196</v>
      </c>
      <c r="D154" s="127">
        <v>21</v>
      </c>
      <c r="E154" s="127" t="s">
        <v>100</v>
      </c>
      <c r="F154" s="128">
        <v>36012</v>
      </c>
      <c r="G154" s="127" t="s">
        <v>1509</v>
      </c>
      <c r="H154" s="127" t="s">
        <v>1462</v>
      </c>
      <c r="I154" s="127" t="s">
        <v>198</v>
      </c>
      <c r="J154" s="127"/>
      <c r="K154" s="127"/>
      <c r="L154" s="127"/>
      <c r="M154" s="127" t="s">
        <v>99</v>
      </c>
      <c r="N154" s="127" t="s">
        <v>99</v>
      </c>
      <c r="O154" s="127" t="s">
        <v>99</v>
      </c>
      <c r="P154" s="127" t="s">
        <v>99</v>
      </c>
      <c r="Q154" s="127" t="s">
        <v>7794</v>
      </c>
      <c r="R154" s="127" t="s">
        <v>99</v>
      </c>
      <c r="S154" s="127" t="s">
        <v>99</v>
      </c>
      <c r="T154" s="127" t="s">
        <v>99</v>
      </c>
      <c r="U154" s="127" t="s">
        <v>7795</v>
      </c>
      <c r="V154" s="127" t="s">
        <v>99</v>
      </c>
      <c r="W154" s="127" t="s">
        <v>99</v>
      </c>
      <c r="X154" s="127" t="s">
        <v>99</v>
      </c>
      <c r="Y154" s="127" t="s">
        <v>99</v>
      </c>
      <c r="Z154" s="127" t="s">
        <v>99</v>
      </c>
      <c r="AA154" s="127" t="s">
        <v>100</v>
      </c>
      <c r="AB154" s="127" t="s">
        <v>797</v>
      </c>
      <c r="AC154" s="127" t="s">
        <v>100</v>
      </c>
      <c r="AD154" s="127" t="s">
        <v>797</v>
      </c>
      <c r="AE154" s="127" t="s">
        <v>6074</v>
      </c>
      <c r="AF154" s="127" t="s">
        <v>6074</v>
      </c>
      <c r="AG154" s="127" t="s">
        <v>7796</v>
      </c>
      <c r="AH154" s="129" t="s">
        <v>99</v>
      </c>
      <c r="AI154" s="127" t="s">
        <v>6074</v>
      </c>
      <c r="AJ154" s="9" t="s">
        <v>99</v>
      </c>
      <c r="AK154" s="9" t="s">
        <v>99</v>
      </c>
      <c r="AL154" s="9">
        <v>55.6</v>
      </c>
      <c r="AM154" s="9">
        <v>164</v>
      </c>
      <c r="AN154" s="7">
        <v>74</v>
      </c>
      <c r="AO154" s="9">
        <v>93</v>
      </c>
      <c r="AP154" s="9">
        <v>31.2</v>
      </c>
      <c r="AQ154" s="9">
        <v>3</v>
      </c>
      <c r="AR154" s="9">
        <v>27.1</v>
      </c>
      <c r="AS154" s="9"/>
      <c r="AT154" s="45"/>
      <c r="AU154" s="9">
        <v>106</v>
      </c>
      <c r="AV154" s="9">
        <v>76</v>
      </c>
      <c r="AW154" s="9" t="s">
        <v>351</v>
      </c>
      <c r="AX154" s="9" t="s">
        <v>592</v>
      </c>
      <c r="AY154" s="9" t="s">
        <v>573</v>
      </c>
      <c r="AZ154" s="9" t="s">
        <v>6129</v>
      </c>
      <c r="BA154" s="9"/>
      <c r="BB154" s="9" t="s">
        <v>346</v>
      </c>
      <c r="BC154" s="9"/>
      <c r="BD154" s="9"/>
      <c r="BE154" s="9"/>
      <c r="BF154" s="9" t="s">
        <v>6130</v>
      </c>
      <c r="BG154" s="9" t="s">
        <v>1979</v>
      </c>
      <c r="BH154" s="9" t="s">
        <v>350</v>
      </c>
      <c r="BI154" s="9" t="s">
        <v>176</v>
      </c>
      <c r="BJ154" s="9" t="s">
        <v>176</v>
      </c>
      <c r="BK154" s="9" t="s">
        <v>350</v>
      </c>
      <c r="BL154" s="9"/>
      <c r="BM154" s="9"/>
      <c r="BN154" s="9" t="s">
        <v>219</v>
      </c>
      <c r="BO154" s="9" t="s">
        <v>179</v>
      </c>
      <c r="BP154" s="9" t="s">
        <v>125</v>
      </c>
      <c r="BQ154" s="9"/>
      <c r="BR154" s="9"/>
      <c r="BS154" s="9"/>
      <c r="BT154" s="9"/>
      <c r="BU154" s="9"/>
      <c r="BV154" s="9"/>
      <c r="BW154" s="9"/>
      <c r="BX154" s="9"/>
      <c r="BY154" s="9" t="s">
        <v>350</v>
      </c>
      <c r="BZ154" s="9" t="s">
        <v>821</v>
      </c>
      <c r="CA154" s="9" t="s">
        <v>183</v>
      </c>
      <c r="CB154" s="9" t="s">
        <v>752</v>
      </c>
      <c r="CC154" s="9"/>
      <c r="CD154" s="9" t="s">
        <v>821</v>
      </c>
      <c r="CE154" s="9" t="s">
        <v>752</v>
      </c>
      <c r="CF154" s="9"/>
      <c r="CG154" s="9"/>
      <c r="CH154" s="9"/>
      <c r="CI154" s="9"/>
      <c r="CJ154" s="9"/>
      <c r="CK154" s="9" t="s">
        <v>351</v>
      </c>
      <c r="CL154" s="9" t="s">
        <v>1181</v>
      </c>
      <c r="CM154" s="9" t="s">
        <v>2447</v>
      </c>
      <c r="CN154" s="9" t="s">
        <v>4827</v>
      </c>
      <c r="CO154" s="9"/>
      <c r="CP154" s="9" t="s">
        <v>362</v>
      </c>
      <c r="CQ154" s="9"/>
      <c r="CR154" s="9"/>
      <c r="CS154" s="9" t="s">
        <v>351</v>
      </c>
      <c r="CT154" s="9" t="s">
        <v>363</v>
      </c>
      <c r="CU154" s="9" t="s">
        <v>2662</v>
      </c>
      <c r="CV154" s="9" t="s">
        <v>7797</v>
      </c>
      <c r="CW154" s="9">
        <v>3</v>
      </c>
      <c r="CX154" s="9" t="s">
        <v>5490</v>
      </c>
      <c r="CY154" s="9" t="s">
        <v>99</v>
      </c>
      <c r="CZ154" s="9"/>
      <c r="DA154" s="9"/>
      <c r="DB154" s="9"/>
      <c r="DC154" s="9">
        <v>73.7</v>
      </c>
      <c r="DD154" s="9">
        <v>0.71</v>
      </c>
      <c r="DE154" s="9">
        <v>166</v>
      </c>
      <c r="DF154" s="10">
        <v>163</v>
      </c>
      <c r="DG154" s="9">
        <f t="shared" si="2"/>
        <v>4.6968765000010269</v>
      </c>
      <c r="DH154" s="9">
        <v>32.6</v>
      </c>
      <c r="DI154" s="9">
        <v>4.76</v>
      </c>
      <c r="DL154" s="9">
        <v>55.1</v>
      </c>
      <c r="DM154" s="9">
        <v>78.3</v>
      </c>
      <c r="DN154" s="9"/>
      <c r="DO154" s="9"/>
      <c r="DP154" s="53">
        <v>3</v>
      </c>
      <c r="DR154">
        <v>3</v>
      </c>
      <c r="DU154">
        <v>6.4</v>
      </c>
    </row>
    <row r="155" spans="1:125" customFormat="1" x14ac:dyDescent="0.2">
      <c r="A155" s="143" t="s">
        <v>7806</v>
      </c>
      <c r="B155" s="128">
        <v>43805</v>
      </c>
      <c r="C155" s="127" t="s">
        <v>196</v>
      </c>
      <c r="D155" s="127">
        <v>18</v>
      </c>
      <c r="E155" s="127" t="s">
        <v>100</v>
      </c>
      <c r="F155" s="175">
        <v>37056</v>
      </c>
      <c r="G155" s="127" t="s">
        <v>1509</v>
      </c>
      <c r="H155" s="127" t="s">
        <v>7807</v>
      </c>
      <c r="I155" s="127"/>
      <c r="J155" s="127"/>
      <c r="K155" s="127"/>
      <c r="L155" s="127"/>
      <c r="M155" s="127" t="s">
        <v>99</v>
      </c>
      <c r="N155" s="127" t="s">
        <v>99</v>
      </c>
      <c r="O155" s="127" t="s">
        <v>99</v>
      </c>
      <c r="P155" s="127" t="s">
        <v>99</v>
      </c>
      <c r="Q155" s="127" t="s">
        <v>99</v>
      </c>
      <c r="R155" s="127" t="s">
        <v>99</v>
      </c>
      <c r="S155" s="127" t="s">
        <v>99</v>
      </c>
      <c r="T155" s="127" t="s">
        <v>99</v>
      </c>
      <c r="U155" s="127" t="s">
        <v>99</v>
      </c>
      <c r="V155" s="127" t="s">
        <v>99</v>
      </c>
      <c r="W155" s="127" t="s">
        <v>99</v>
      </c>
      <c r="X155" s="127" t="s">
        <v>99</v>
      </c>
      <c r="Y155" s="127" t="s">
        <v>99</v>
      </c>
      <c r="Z155" s="127" t="s">
        <v>7808</v>
      </c>
      <c r="AA155" s="127" t="s">
        <v>100</v>
      </c>
      <c r="AB155" s="127" t="s">
        <v>100</v>
      </c>
      <c r="AC155" s="127" t="s">
        <v>100</v>
      </c>
      <c r="AD155" s="127" t="s">
        <v>100</v>
      </c>
      <c r="AE155" s="127" t="s">
        <v>7809</v>
      </c>
      <c r="AF155" s="127" t="s">
        <v>7810</v>
      </c>
      <c r="AG155" s="127" t="s">
        <v>7544</v>
      </c>
      <c r="AH155" s="129"/>
      <c r="AI155" s="127"/>
      <c r="AJ155" s="9"/>
      <c r="AK155" s="9"/>
      <c r="AL155" s="9">
        <v>43.4</v>
      </c>
      <c r="AM155" s="9">
        <v>160</v>
      </c>
      <c r="AN155" s="7">
        <v>64</v>
      </c>
      <c r="AO155" s="9">
        <v>85</v>
      </c>
      <c r="AP155" s="9">
        <v>20.8</v>
      </c>
      <c r="AQ155" s="9">
        <v>2</v>
      </c>
      <c r="AR155" s="9">
        <v>27.1</v>
      </c>
      <c r="AS155" s="9">
        <v>18</v>
      </c>
      <c r="AT155" s="7">
        <v>17</v>
      </c>
      <c r="AU155" s="9"/>
      <c r="AV155" s="9"/>
      <c r="AW155" s="9"/>
      <c r="AX155" s="9" t="s">
        <v>5572</v>
      </c>
      <c r="AY155" s="9" t="s">
        <v>3844</v>
      </c>
      <c r="AZ155" s="9" t="s">
        <v>2633</v>
      </c>
      <c r="BA155" s="9"/>
      <c r="BB155" s="9" t="s">
        <v>2938</v>
      </c>
      <c r="BC155" s="9" t="s">
        <v>749</v>
      </c>
      <c r="BD155" s="9"/>
      <c r="BE155" s="9" t="s">
        <v>350</v>
      </c>
      <c r="BF155" s="9" t="s">
        <v>350</v>
      </c>
      <c r="BG155" s="9" t="s">
        <v>350</v>
      </c>
      <c r="BH155" s="9" t="s">
        <v>350</v>
      </c>
      <c r="BI155" s="9" t="s">
        <v>350</v>
      </c>
      <c r="BJ155" s="9" t="s">
        <v>350</v>
      </c>
      <c r="BK155" s="9" t="s">
        <v>350</v>
      </c>
      <c r="BL155" s="9" t="s">
        <v>350</v>
      </c>
      <c r="BM155" s="9" t="s">
        <v>351</v>
      </c>
      <c r="BN155" s="9" t="s">
        <v>179</v>
      </c>
      <c r="BO155" s="9" t="s">
        <v>5578</v>
      </c>
      <c r="BP155" s="9" t="s">
        <v>219</v>
      </c>
      <c r="BQ155" s="9"/>
      <c r="BR155" s="9"/>
      <c r="BS155" s="9"/>
      <c r="BT155" s="9"/>
      <c r="BU155" s="9"/>
      <c r="BV155" s="9" t="s">
        <v>857</v>
      </c>
      <c r="BW155" s="9" t="s">
        <v>4059</v>
      </c>
      <c r="BX155" s="9" t="s">
        <v>3240</v>
      </c>
      <c r="BY155" s="9" t="s">
        <v>351</v>
      </c>
      <c r="BZ155" s="9" t="s">
        <v>821</v>
      </c>
      <c r="CA155" s="9" t="s">
        <v>577</v>
      </c>
      <c r="CB155" s="9" t="s">
        <v>183</v>
      </c>
      <c r="CC155" s="9"/>
      <c r="CD155" s="9" t="s">
        <v>821</v>
      </c>
      <c r="CE155" s="9" t="s">
        <v>7811</v>
      </c>
      <c r="CF155" s="9" t="s">
        <v>183</v>
      </c>
      <c r="CG155" s="9"/>
      <c r="CH155" s="9"/>
      <c r="CI155" s="9"/>
      <c r="CJ155" s="9"/>
      <c r="CK155" s="9" t="s">
        <v>351</v>
      </c>
      <c r="CL155" s="9" t="s">
        <v>1180</v>
      </c>
      <c r="CM155" s="9" t="s">
        <v>1181</v>
      </c>
      <c r="CN155" s="9" t="s">
        <v>980</v>
      </c>
      <c r="CO155" s="9" t="s">
        <v>351</v>
      </c>
      <c r="CP155" s="9" t="s">
        <v>716</v>
      </c>
      <c r="CQ155" s="9" t="s">
        <v>362</v>
      </c>
      <c r="CR155" s="9" t="s">
        <v>7774</v>
      </c>
      <c r="CS155" s="9" t="s">
        <v>1513</v>
      </c>
      <c r="CT155" s="9" t="s">
        <v>363</v>
      </c>
      <c r="CU155" s="9" t="s">
        <v>364</v>
      </c>
      <c r="CV155" s="9" t="s">
        <v>6068</v>
      </c>
      <c r="CW155" s="9">
        <v>5</v>
      </c>
      <c r="CX155" s="9" t="s">
        <v>5490</v>
      </c>
      <c r="CY155" s="9" t="s">
        <v>99</v>
      </c>
      <c r="CZ155" s="9">
        <v>60</v>
      </c>
      <c r="DA155" s="9">
        <v>10</v>
      </c>
      <c r="DB155" s="9">
        <v>30</v>
      </c>
      <c r="DC155" s="9">
        <v>73.900000000000006</v>
      </c>
      <c r="DD155" s="9">
        <v>0.62</v>
      </c>
      <c r="DE155" s="9">
        <v>165</v>
      </c>
      <c r="DF155" s="9">
        <v>134</v>
      </c>
      <c r="DG155" s="9">
        <f t="shared" si="2"/>
        <v>4.6002763139525333</v>
      </c>
      <c r="DH155" s="9">
        <v>26.8</v>
      </c>
      <c r="DI155" s="9">
        <v>3.73</v>
      </c>
      <c r="DL155" s="9">
        <v>57.6</v>
      </c>
      <c r="DM155" s="9">
        <v>80.599999999999994</v>
      </c>
      <c r="DN155" s="9"/>
      <c r="DO155" s="9"/>
      <c r="DP155" s="27">
        <v>1</v>
      </c>
      <c r="DR155">
        <v>2</v>
      </c>
      <c r="DU155">
        <v>4.5</v>
      </c>
    </row>
    <row r="156" spans="1:125" customFormat="1" x14ac:dyDescent="0.2">
      <c r="A156" s="143" t="s">
        <v>7812</v>
      </c>
      <c r="B156" s="128">
        <v>43805</v>
      </c>
      <c r="C156" s="127" t="s">
        <v>675</v>
      </c>
      <c r="D156" s="127">
        <v>31</v>
      </c>
      <c r="E156" s="127" t="s">
        <v>100</v>
      </c>
      <c r="F156" s="128">
        <v>32213</v>
      </c>
      <c r="G156" s="127" t="s">
        <v>837</v>
      </c>
      <c r="H156" s="127" t="s">
        <v>7701</v>
      </c>
      <c r="I156" s="127"/>
      <c r="J156" s="127"/>
      <c r="K156" s="127"/>
      <c r="L156" s="127"/>
      <c r="M156" s="127" t="s">
        <v>99</v>
      </c>
      <c r="N156" s="127" t="s">
        <v>99</v>
      </c>
      <c r="O156" s="127" t="s">
        <v>7813</v>
      </c>
      <c r="P156" s="127" t="s">
        <v>99</v>
      </c>
      <c r="Q156" s="127" t="s">
        <v>7814</v>
      </c>
      <c r="R156" s="127" t="s">
        <v>99</v>
      </c>
      <c r="S156" s="127" t="s">
        <v>5490</v>
      </c>
      <c r="T156" s="127" t="s">
        <v>99</v>
      </c>
      <c r="U156" s="127" t="s">
        <v>7815</v>
      </c>
      <c r="V156" s="127" t="s">
        <v>99</v>
      </c>
      <c r="W156" s="127" t="s">
        <v>99</v>
      </c>
      <c r="X156" s="127" t="s">
        <v>99</v>
      </c>
      <c r="Y156" s="127" t="s">
        <v>99</v>
      </c>
      <c r="Z156" s="127" t="s">
        <v>99</v>
      </c>
      <c r="AA156" s="127" t="s">
        <v>100</v>
      </c>
      <c r="AB156" s="127" t="s">
        <v>100</v>
      </c>
      <c r="AC156" s="127" t="s">
        <v>100</v>
      </c>
      <c r="AD156" s="127" t="s">
        <v>100</v>
      </c>
      <c r="AE156" s="127" t="s">
        <v>7816</v>
      </c>
      <c r="AF156" s="127" t="s">
        <v>6074</v>
      </c>
      <c r="AG156" s="127" t="s">
        <v>7817</v>
      </c>
      <c r="AH156" s="129" t="s">
        <v>7818</v>
      </c>
      <c r="AI156" s="127" t="s">
        <v>99</v>
      </c>
      <c r="AJ156" s="9" t="s">
        <v>99</v>
      </c>
      <c r="AK156" s="9" t="s">
        <v>99</v>
      </c>
      <c r="AL156" s="9">
        <v>65.2</v>
      </c>
      <c r="AM156" s="9">
        <v>168</v>
      </c>
      <c r="AN156" s="7">
        <v>80</v>
      </c>
      <c r="AO156" s="9">
        <v>95</v>
      </c>
      <c r="AP156" s="9">
        <v>16</v>
      </c>
      <c r="AQ156" s="9">
        <v>6</v>
      </c>
      <c r="AR156" s="9">
        <v>42.4</v>
      </c>
      <c r="AS156" s="9">
        <v>25</v>
      </c>
      <c r="AT156" s="7">
        <v>23.1</v>
      </c>
      <c r="AU156" s="9">
        <v>119</v>
      </c>
      <c r="AV156" s="9">
        <v>87</v>
      </c>
      <c r="AW156" s="9"/>
      <c r="AX156" s="9" t="s">
        <v>2049</v>
      </c>
      <c r="AY156" s="9" t="s">
        <v>7819</v>
      </c>
      <c r="AZ156" s="9" t="s">
        <v>7820</v>
      </c>
      <c r="BA156" s="9"/>
      <c r="BB156" s="9" t="s">
        <v>7821</v>
      </c>
      <c r="BC156" s="9" t="s">
        <v>7822</v>
      </c>
      <c r="BD156" s="9"/>
      <c r="BE156" s="9"/>
      <c r="BF156" s="9" t="s">
        <v>351</v>
      </c>
      <c r="BG156" s="9" t="s">
        <v>7823</v>
      </c>
      <c r="BH156" s="9" t="s">
        <v>7824</v>
      </c>
      <c r="BI156" s="9" t="s">
        <v>4984</v>
      </c>
      <c r="BJ156" s="9" t="s">
        <v>99</v>
      </c>
      <c r="BK156" s="9" t="s">
        <v>1134</v>
      </c>
      <c r="BL156" s="9"/>
      <c r="BM156" s="9"/>
      <c r="BN156" s="9" t="s">
        <v>7825</v>
      </c>
      <c r="BO156" s="9" t="s">
        <v>7826</v>
      </c>
      <c r="BP156" s="9" t="s">
        <v>7827</v>
      </c>
      <c r="BQ156" s="9"/>
      <c r="BR156" s="9"/>
      <c r="BS156" s="9"/>
      <c r="BT156" s="9"/>
      <c r="BU156" s="9"/>
      <c r="BV156" s="9"/>
      <c r="BW156" s="9"/>
      <c r="BX156" s="9"/>
      <c r="BY156" s="9"/>
      <c r="BZ156" s="9" t="s">
        <v>183</v>
      </c>
      <c r="CA156" s="9" t="s">
        <v>709</v>
      </c>
      <c r="CB156" s="9" t="s">
        <v>182</v>
      </c>
      <c r="CC156" s="9"/>
      <c r="CD156" s="9"/>
      <c r="CE156" s="9"/>
      <c r="CF156" s="9"/>
      <c r="CG156" s="9"/>
      <c r="CH156" s="9"/>
      <c r="CI156" s="9"/>
      <c r="CJ156" s="9"/>
      <c r="CK156" s="9"/>
      <c r="CL156" s="9" t="s">
        <v>3158</v>
      </c>
      <c r="CM156" s="9" t="s">
        <v>7828</v>
      </c>
      <c r="CN156" s="9" t="s">
        <v>7829</v>
      </c>
      <c r="CO156" s="9"/>
      <c r="CP156" s="9"/>
      <c r="CQ156" s="9"/>
      <c r="CR156" s="9"/>
      <c r="CS156" s="9"/>
      <c r="CT156" s="9" t="s">
        <v>1732</v>
      </c>
      <c r="CU156" s="9" t="s">
        <v>2662</v>
      </c>
      <c r="CV156" s="9" t="s">
        <v>187</v>
      </c>
      <c r="CW156" s="9">
        <v>3</v>
      </c>
      <c r="CX156" s="9" t="s">
        <v>5490</v>
      </c>
      <c r="CY156" s="9" t="s">
        <v>5490</v>
      </c>
      <c r="CZ156" s="9">
        <v>15</v>
      </c>
      <c r="DA156" s="9">
        <v>25</v>
      </c>
      <c r="DB156" s="9">
        <v>65</v>
      </c>
      <c r="DC156" s="9">
        <v>88.9</v>
      </c>
      <c r="DD156" s="9">
        <v>1</v>
      </c>
      <c r="DE156" s="9">
        <v>180</v>
      </c>
      <c r="DF156" s="9">
        <v>78</v>
      </c>
      <c r="DG156" s="9">
        <f t="shared" si="2"/>
        <v>4.4221104846047252</v>
      </c>
      <c r="DH156" s="9">
        <v>15.6</v>
      </c>
      <c r="DI156" s="9">
        <v>4.8600000000000003</v>
      </c>
      <c r="DJ156" s="9"/>
      <c r="DK156" s="9"/>
      <c r="DL156" s="9">
        <v>56.4</v>
      </c>
      <c r="DM156" s="9">
        <v>108</v>
      </c>
      <c r="DN156" s="9"/>
      <c r="DO156" s="9"/>
      <c r="DR156">
        <v>2</v>
      </c>
      <c r="DU156">
        <v>5</v>
      </c>
    </row>
    <row r="157" spans="1:125" customFormat="1" x14ac:dyDescent="0.2">
      <c r="A157" s="127" t="s">
        <v>7858</v>
      </c>
      <c r="B157" s="128">
        <v>43805</v>
      </c>
      <c r="C157" s="127" t="s">
        <v>675</v>
      </c>
      <c r="D157" s="127">
        <v>30</v>
      </c>
      <c r="E157" s="127" t="s">
        <v>100</v>
      </c>
      <c r="F157" s="128">
        <v>32843</v>
      </c>
      <c r="G157" s="127"/>
      <c r="H157" s="127" t="s">
        <v>7859</v>
      </c>
      <c r="I157" s="127"/>
      <c r="J157" s="127"/>
      <c r="K157" s="127"/>
      <c r="L157" s="127"/>
      <c r="M157" s="127" t="s">
        <v>99</v>
      </c>
      <c r="N157" s="127" t="s">
        <v>99</v>
      </c>
      <c r="O157" s="127" t="s">
        <v>99</v>
      </c>
      <c r="P157" s="127" t="s">
        <v>99</v>
      </c>
      <c r="Q157" s="127" t="s">
        <v>7860</v>
      </c>
      <c r="R157" s="127" t="s">
        <v>5490</v>
      </c>
      <c r="S157" s="127" t="s">
        <v>5490</v>
      </c>
      <c r="T157" s="127" t="s">
        <v>99</v>
      </c>
      <c r="U157" s="127" t="s">
        <v>99</v>
      </c>
      <c r="V157" s="127" t="s">
        <v>99</v>
      </c>
      <c r="W157" s="127" t="s">
        <v>99</v>
      </c>
      <c r="X157" s="127" t="s">
        <v>99</v>
      </c>
      <c r="Y157" s="127"/>
      <c r="Z157" s="127"/>
      <c r="AA157" s="127" t="s">
        <v>100</v>
      </c>
      <c r="AB157" s="127" t="s">
        <v>2777</v>
      </c>
      <c r="AC157" s="127" t="s">
        <v>3194</v>
      </c>
      <c r="AD157" s="127" t="s">
        <v>2777</v>
      </c>
      <c r="AE157" s="127" t="s">
        <v>99</v>
      </c>
      <c r="AF157" s="127" t="s">
        <v>5482</v>
      </c>
      <c r="AG157" s="127" t="s">
        <v>99</v>
      </c>
      <c r="AH157" s="129" t="s">
        <v>99</v>
      </c>
      <c r="AI157" s="127" t="s">
        <v>99</v>
      </c>
      <c r="AJ157" s="9" t="s">
        <v>99</v>
      </c>
      <c r="AK157" s="9" t="s">
        <v>99</v>
      </c>
      <c r="AL157" s="9">
        <v>88.4</v>
      </c>
      <c r="AM157" s="9">
        <v>188</v>
      </c>
      <c r="AN157" s="9">
        <v>88</v>
      </c>
      <c r="AO157" s="9"/>
      <c r="AP157" s="9">
        <v>24.3</v>
      </c>
      <c r="AQ157" s="9">
        <v>8</v>
      </c>
      <c r="AR157" s="9">
        <v>36.200000000000003</v>
      </c>
      <c r="AS157" s="9">
        <v>53</v>
      </c>
      <c r="AT157" s="9">
        <v>25.3</v>
      </c>
      <c r="AU157" s="9">
        <v>129</v>
      </c>
      <c r="AV157" s="9">
        <v>74</v>
      </c>
      <c r="AW157" s="9"/>
      <c r="AX157" s="9" t="s">
        <v>7861</v>
      </c>
      <c r="AY157" s="9" t="s">
        <v>7862</v>
      </c>
      <c r="AZ157" s="9" t="s">
        <v>679</v>
      </c>
      <c r="BA157" s="9"/>
      <c r="BB157" s="9" t="s">
        <v>7863</v>
      </c>
      <c r="BC157" s="9" t="s">
        <v>2692</v>
      </c>
      <c r="BD157" s="9"/>
      <c r="BE157" s="9"/>
      <c r="BF157" s="9" t="s">
        <v>213</v>
      </c>
      <c r="BG157" s="9" t="s">
        <v>176</v>
      </c>
      <c r="BH157" s="9" t="s">
        <v>682</v>
      </c>
      <c r="BI157" s="9" t="s">
        <v>682</v>
      </c>
      <c r="BJ157" s="9" t="s">
        <v>7864</v>
      </c>
      <c r="BK157" s="9" t="s">
        <v>1643</v>
      </c>
      <c r="BL157" s="9"/>
      <c r="BM157" s="9"/>
      <c r="BN157" s="9" t="s">
        <v>7865</v>
      </c>
      <c r="BO157" s="9" t="s">
        <v>7866</v>
      </c>
      <c r="BP157" s="9" t="s">
        <v>7867</v>
      </c>
      <c r="BQ157" s="9"/>
      <c r="BR157" s="9"/>
      <c r="BS157" s="9"/>
      <c r="BT157" s="9"/>
      <c r="BU157" s="9"/>
      <c r="BV157" s="9"/>
      <c r="BW157" s="9"/>
      <c r="BX157" s="9"/>
      <c r="BY157" s="9"/>
      <c r="BZ157" s="9" t="s">
        <v>2640</v>
      </c>
      <c r="CA157" s="9" t="s">
        <v>7868</v>
      </c>
      <c r="CB157" s="9" t="s">
        <v>7869</v>
      </c>
      <c r="CC157" s="9"/>
      <c r="CD157" s="9"/>
      <c r="CE157" s="9"/>
      <c r="CF157" s="9"/>
      <c r="CG157" s="9"/>
      <c r="CH157" s="9"/>
      <c r="CI157" s="9"/>
      <c r="CJ157" s="9"/>
      <c r="CK157" s="9"/>
      <c r="CL157" s="9" t="s">
        <v>5985</v>
      </c>
      <c r="CM157" s="9" t="s">
        <v>7870</v>
      </c>
      <c r="CN157" s="9" t="s">
        <v>7871</v>
      </c>
      <c r="CO157" s="9"/>
      <c r="CP157" s="9" t="s">
        <v>362</v>
      </c>
      <c r="CQ157" s="9"/>
      <c r="CR157" s="9"/>
      <c r="CS157" s="9"/>
      <c r="CT157" s="9" t="s">
        <v>7872</v>
      </c>
      <c r="CU157" s="9" t="s">
        <v>7873</v>
      </c>
      <c r="CV157" s="9"/>
      <c r="CW157" s="45" t="s">
        <v>6110</v>
      </c>
      <c r="CX157" s="9" t="s">
        <v>99</v>
      </c>
      <c r="CY157" s="9" t="s">
        <v>5490</v>
      </c>
      <c r="CZ157" s="9">
        <v>10</v>
      </c>
      <c r="DA157" s="9">
        <v>30</v>
      </c>
      <c r="DB157" s="9">
        <v>60</v>
      </c>
      <c r="DC157" s="9">
        <v>84.9</v>
      </c>
      <c r="DD157" s="9">
        <v>1.29</v>
      </c>
      <c r="DE157" s="9">
        <v>182</v>
      </c>
      <c r="DF157" s="9">
        <v>134</v>
      </c>
      <c r="DG157" s="9">
        <f t="shared" si="2"/>
        <v>4.6696569466341069</v>
      </c>
      <c r="DH157" s="9">
        <v>26.8</v>
      </c>
      <c r="DI157" s="9">
        <v>5.64</v>
      </c>
      <c r="DJ157" s="9"/>
      <c r="DK157" s="9"/>
      <c r="DL157" s="9">
        <v>55.8</v>
      </c>
      <c r="DM157" s="9">
        <v>99.4</v>
      </c>
      <c r="DN157" s="9"/>
      <c r="DO157" s="9"/>
      <c r="DR157">
        <v>3</v>
      </c>
      <c r="DU157">
        <v>6.2</v>
      </c>
    </row>
    <row r="158" spans="1:125" s="33" customFormat="1" x14ac:dyDescent="0.2">
      <c r="A158" s="181" t="s">
        <v>7910</v>
      </c>
      <c r="B158" s="32">
        <v>43802</v>
      </c>
      <c r="C158" s="162" t="s">
        <v>196</v>
      </c>
      <c r="D158" s="162">
        <v>48</v>
      </c>
      <c r="E158" s="162" t="s">
        <v>100</v>
      </c>
      <c r="F158" s="32">
        <v>26121</v>
      </c>
      <c r="G158" s="162" t="s">
        <v>500</v>
      </c>
      <c r="H158" s="162" t="s">
        <v>7911</v>
      </c>
      <c r="I158" s="162" t="s">
        <v>1594</v>
      </c>
      <c r="J158" s="162" t="s">
        <v>500</v>
      </c>
      <c r="K158" s="32">
        <v>37739</v>
      </c>
      <c r="L158" s="31">
        <v>2</v>
      </c>
      <c r="M158" s="162" t="s">
        <v>99</v>
      </c>
      <c r="N158" s="162" t="s">
        <v>99</v>
      </c>
      <c r="O158" s="162" t="s">
        <v>99</v>
      </c>
      <c r="P158" s="162" t="s">
        <v>99</v>
      </c>
      <c r="Q158" s="162" t="s">
        <v>99</v>
      </c>
      <c r="R158" s="162" t="s">
        <v>99</v>
      </c>
      <c r="S158" s="162" t="s">
        <v>99</v>
      </c>
      <c r="T158" s="162" t="s">
        <v>110</v>
      </c>
      <c r="U158" s="162" t="s">
        <v>110</v>
      </c>
      <c r="V158" s="162" t="s">
        <v>99</v>
      </c>
      <c r="W158" s="162" t="s">
        <v>99</v>
      </c>
      <c r="X158" s="162" t="s">
        <v>99</v>
      </c>
      <c r="Y158" s="162" t="s">
        <v>99</v>
      </c>
      <c r="Z158" s="162" t="s">
        <v>99</v>
      </c>
      <c r="AA158" s="162" t="s">
        <v>100</v>
      </c>
      <c r="AB158" s="162" t="s">
        <v>100</v>
      </c>
      <c r="AC158" s="162" t="s">
        <v>100</v>
      </c>
      <c r="AD158" s="162" t="s">
        <v>100</v>
      </c>
      <c r="AE158" s="162" t="s">
        <v>1127</v>
      </c>
      <c r="AF158" s="162" t="s">
        <v>1127</v>
      </c>
      <c r="AG158" s="162" t="s">
        <v>7912</v>
      </c>
      <c r="AH158" s="145" t="s">
        <v>99</v>
      </c>
      <c r="AI158" s="162" t="s">
        <v>1127</v>
      </c>
      <c r="AJ158" s="60" t="s">
        <v>99</v>
      </c>
      <c r="AK158" s="60" t="s">
        <v>99</v>
      </c>
      <c r="AL158" s="60">
        <v>68.900000000000006</v>
      </c>
      <c r="AM158" s="60">
        <v>170</v>
      </c>
      <c r="AN158" s="146">
        <v>76</v>
      </c>
      <c r="AO158" s="60">
        <v>101</v>
      </c>
      <c r="AP158" s="60">
        <v>28.3</v>
      </c>
      <c r="AQ158" s="60">
        <v>6</v>
      </c>
      <c r="AR158" s="60">
        <v>31.7</v>
      </c>
      <c r="AS158" s="60">
        <v>39</v>
      </c>
      <c r="AT158" s="146">
        <v>23.8</v>
      </c>
      <c r="AU158" s="60">
        <v>118</v>
      </c>
      <c r="AV158" s="60">
        <v>69</v>
      </c>
      <c r="AW158" s="60" t="s">
        <v>176</v>
      </c>
      <c r="AX158" s="60" t="s">
        <v>500</v>
      </c>
      <c r="AY158" s="60" t="s">
        <v>500</v>
      </c>
      <c r="AZ158" s="60" t="s">
        <v>500</v>
      </c>
      <c r="BA158" s="60" t="s">
        <v>351</v>
      </c>
      <c r="BB158" s="60" t="s">
        <v>500</v>
      </c>
      <c r="BC158" s="60" t="s">
        <v>500</v>
      </c>
      <c r="BD158" s="60" t="s">
        <v>500</v>
      </c>
      <c r="BE158" s="60" t="s">
        <v>110</v>
      </c>
      <c r="BF158" s="60" t="s">
        <v>176</v>
      </c>
      <c r="BG158" s="60" t="s">
        <v>1469</v>
      </c>
      <c r="BH158" s="60" t="s">
        <v>213</v>
      </c>
      <c r="BI158" s="60" t="s">
        <v>176</v>
      </c>
      <c r="BJ158" s="60" t="s">
        <v>176</v>
      </c>
      <c r="BK158" s="60" t="s">
        <v>1469</v>
      </c>
      <c r="BL158" s="60" t="s">
        <v>110</v>
      </c>
      <c r="BM158" s="60" t="s">
        <v>5441</v>
      </c>
      <c r="BN158" s="60" t="s">
        <v>500</v>
      </c>
      <c r="BO158" s="60" t="s">
        <v>500</v>
      </c>
      <c r="BP158" s="60" t="s">
        <v>500</v>
      </c>
      <c r="BQ158" s="60" t="s">
        <v>99</v>
      </c>
      <c r="BR158" s="60" t="s">
        <v>500</v>
      </c>
      <c r="BS158" s="60" t="s">
        <v>500</v>
      </c>
      <c r="BT158" s="60" t="s">
        <v>500</v>
      </c>
      <c r="BU158" s="60" t="s">
        <v>99</v>
      </c>
      <c r="BV158" s="60" t="s">
        <v>500</v>
      </c>
      <c r="BW158" s="60" t="s">
        <v>500</v>
      </c>
      <c r="BX158" s="60" t="s">
        <v>500</v>
      </c>
      <c r="BY158" s="60" t="s">
        <v>351</v>
      </c>
      <c r="BZ158" s="60" t="s">
        <v>500</v>
      </c>
      <c r="CA158" s="60" t="s">
        <v>500</v>
      </c>
      <c r="CB158" s="60" t="s">
        <v>500</v>
      </c>
      <c r="CC158" s="60" t="s">
        <v>99</v>
      </c>
      <c r="CD158" s="60" t="s">
        <v>500</v>
      </c>
      <c r="CE158" s="60" t="s">
        <v>500</v>
      </c>
      <c r="CF158" s="60" t="s">
        <v>500</v>
      </c>
      <c r="CG158" s="60" t="s">
        <v>99</v>
      </c>
      <c r="CH158" s="60" t="s">
        <v>500</v>
      </c>
      <c r="CI158" s="60" t="s">
        <v>500</v>
      </c>
      <c r="CJ158" s="60" t="s">
        <v>500</v>
      </c>
      <c r="CK158" s="60" t="s">
        <v>176</v>
      </c>
      <c r="CL158" s="60" t="s">
        <v>579</v>
      </c>
      <c r="CM158" s="60" t="s">
        <v>500</v>
      </c>
      <c r="CN158" s="60" t="s">
        <v>500</v>
      </c>
      <c r="CO158" s="60" t="s">
        <v>350</v>
      </c>
      <c r="CP158" s="60" t="s">
        <v>500</v>
      </c>
      <c r="CQ158" s="60" t="s">
        <v>500</v>
      </c>
      <c r="CR158" s="60" t="s">
        <v>500</v>
      </c>
      <c r="CS158" s="60" t="s">
        <v>176</v>
      </c>
      <c r="CT158" s="60" t="s">
        <v>7913</v>
      </c>
      <c r="CU158" s="60" t="s">
        <v>500</v>
      </c>
      <c r="CV158" s="60" t="s">
        <v>500</v>
      </c>
      <c r="CW158" s="31">
        <v>3</v>
      </c>
      <c r="CX158" s="60" t="s">
        <v>99</v>
      </c>
      <c r="CY158" s="60" t="s">
        <v>110</v>
      </c>
      <c r="CZ158" s="178">
        <v>40</v>
      </c>
      <c r="DA158" s="31">
        <v>20</v>
      </c>
      <c r="DB158" s="31">
        <v>10</v>
      </c>
      <c r="DC158" s="33">
        <v>79.900000000000006</v>
      </c>
      <c r="DD158" s="33">
        <v>0.84</v>
      </c>
      <c r="DE158" s="33">
        <v>156</v>
      </c>
      <c r="DF158" s="33">
        <v>68</v>
      </c>
      <c r="DG158" s="9">
        <f t="shared" si="2"/>
        <v>4.3001417789741678</v>
      </c>
      <c r="DH158" s="33">
        <v>13.6</v>
      </c>
      <c r="DI158" s="33">
        <v>3.23</v>
      </c>
      <c r="DL158" s="33">
        <v>62</v>
      </c>
      <c r="DM158" s="33">
        <v>80</v>
      </c>
      <c r="DP158" s="33">
        <v>1</v>
      </c>
      <c r="DR158" s="33">
        <v>2</v>
      </c>
      <c r="DU158" s="33">
        <v>7.1</v>
      </c>
    </row>
    <row r="159" spans="1:125" customFormat="1" x14ac:dyDescent="0.2">
      <c r="A159" s="181"/>
      <c r="B159" s="69"/>
      <c r="C159" s="136"/>
      <c r="D159" s="136"/>
      <c r="E159" s="136"/>
      <c r="F159" s="69"/>
      <c r="G159" s="136"/>
      <c r="H159" s="136"/>
      <c r="I159" s="136"/>
      <c r="J159" s="136"/>
      <c r="K159" s="137"/>
      <c r="L159" s="138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7"/>
      <c r="AI159" s="136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Y159" s="53"/>
      <c r="CZ159" s="27"/>
      <c r="DA159" s="29"/>
      <c r="DB159" s="29"/>
      <c r="DG159" s="9" t="e">
        <f t="shared" si="2"/>
        <v>#NUM!</v>
      </c>
      <c r="DR159">
        <v>3</v>
      </c>
    </row>
    <row r="160" spans="1:125" x14ac:dyDescent="0.2">
      <c r="A160" s="184" t="s">
        <v>7956</v>
      </c>
      <c r="C160" s="9" t="s">
        <v>95</v>
      </c>
      <c r="D160" s="6">
        <v>25</v>
      </c>
      <c r="E160" s="9" t="s">
        <v>100</v>
      </c>
      <c r="AL160" s="6">
        <v>53.3</v>
      </c>
      <c r="AN160" s="6">
        <v>83</v>
      </c>
      <c r="AO160" s="6">
        <v>95</v>
      </c>
      <c r="AP160" s="6">
        <v>31</v>
      </c>
      <c r="AQ160" s="6">
        <v>3</v>
      </c>
      <c r="AR160" s="6">
        <v>27</v>
      </c>
      <c r="AS160" s="6">
        <v>24</v>
      </c>
      <c r="AT160" s="13">
        <v>20.8</v>
      </c>
      <c r="DC160" s="6">
        <v>92</v>
      </c>
      <c r="DD160" s="6">
        <v>0.6</v>
      </c>
      <c r="DE160" s="6">
        <v>185</v>
      </c>
      <c r="DF160" s="6">
        <v>76</v>
      </c>
      <c r="DG160" s="9">
        <f t="shared" si="2"/>
        <v>4.4262609586676858</v>
      </c>
      <c r="DH160" s="6">
        <v>15</v>
      </c>
      <c r="DL160" s="6">
        <v>78.400000000000006</v>
      </c>
      <c r="DM160" s="6">
        <v>92</v>
      </c>
      <c r="DN160" s="6"/>
      <c r="DP160" t="s">
        <v>105</v>
      </c>
      <c r="DQ160" s="6"/>
    </row>
    <row r="161" spans="1:125" x14ac:dyDescent="0.2">
      <c r="A161" s="184" t="s">
        <v>7957</v>
      </c>
      <c r="C161" s="9" t="s">
        <v>95</v>
      </c>
      <c r="D161" s="6">
        <v>19</v>
      </c>
      <c r="E161" s="9" t="s">
        <v>100</v>
      </c>
      <c r="AL161" s="6">
        <v>52.1</v>
      </c>
      <c r="AN161" s="6">
        <v>74</v>
      </c>
      <c r="AO161" s="6">
        <v>86</v>
      </c>
      <c r="AP161" s="6">
        <v>27.5</v>
      </c>
      <c r="AQ161" s="6">
        <v>5</v>
      </c>
      <c r="AR161" s="6">
        <v>13.7</v>
      </c>
      <c r="AS161" s="6">
        <v>18</v>
      </c>
      <c r="AT161" s="13">
        <v>23.2</v>
      </c>
      <c r="AU161" s="6">
        <v>115</v>
      </c>
      <c r="AV161" s="6">
        <v>76</v>
      </c>
      <c r="DC161" s="6">
        <v>80</v>
      </c>
      <c r="DD161" s="6">
        <v>0.7</v>
      </c>
      <c r="DE161" s="6">
        <v>142</v>
      </c>
      <c r="DF161" s="6">
        <v>47</v>
      </c>
      <c r="DG161" s="9">
        <f t="shared" si="2"/>
        <v>4.1160871181919703</v>
      </c>
      <c r="DH161" s="6">
        <v>9</v>
      </c>
      <c r="DL161" s="6">
        <v>68.599999999999994</v>
      </c>
      <c r="DM161" s="6">
        <v>64</v>
      </c>
      <c r="DN161" s="6"/>
      <c r="DP161">
        <v>2</v>
      </c>
      <c r="DQ161" s="6" t="s">
        <v>111</v>
      </c>
      <c r="DR161" s="9">
        <v>2</v>
      </c>
    </row>
    <row r="162" spans="1:125" x14ac:dyDescent="0.2">
      <c r="A162" s="184" t="s">
        <v>7958</v>
      </c>
      <c r="C162" s="9" t="s">
        <v>95</v>
      </c>
      <c r="D162" s="6">
        <v>32</v>
      </c>
      <c r="E162" s="9" t="s">
        <v>100</v>
      </c>
      <c r="AL162" s="6">
        <v>47.3</v>
      </c>
      <c r="AN162" s="6">
        <v>70</v>
      </c>
      <c r="AO162" s="6">
        <v>93</v>
      </c>
      <c r="AP162" s="6">
        <v>23.4</v>
      </c>
      <c r="AQ162" s="6">
        <v>2</v>
      </c>
      <c r="AR162" s="6">
        <v>24.6</v>
      </c>
      <c r="AS162" s="6">
        <v>18</v>
      </c>
      <c r="AT162" s="13">
        <v>17.399999999999999</v>
      </c>
      <c r="AU162" s="6">
        <v>102</v>
      </c>
      <c r="AV162" s="6">
        <v>54</v>
      </c>
      <c r="DC162" s="6">
        <v>81</v>
      </c>
      <c r="DD162" s="6">
        <v>0.6</v>
      </c>
      <c r="DE162" s="6">
        <v>171</v>
      </c>
      <c r="DF162" s="6">
        <v>111</v>
      </c>
      <c r="DG162" s="9">
        <f t="shared" si="2"/>
        <v>4.5519896779923865</v>
      </c>
      <c r="DH162" s="6">
        <v>22</v>
      </c>
      <c r="DL162" s="6">
        <v>56.1</v>
      </c>
      <c r="DM162" s="6">
        <v>93</v>
      </c>
      <c r="DN162" s="6"/>
      <c r="DP162" s="185" t="s">
        <v>7959</v>
      </c>
      <c r="DQ162" s="6" t="s">
        <v>111</v>
      </c>
    </row>
    <row r="163" spans="1:125" x14ac:dyDescent="0.2">
      <c r="A163" s="184" t="s">
        <v>7960</v>
      </c>
      <c r="C163" s="9" t="s">
        <v>95</v>
      </c>
      <c r="D163" s="6">
        <v>54</v>
      </c>
      <c r="E163" s="9" t="s">
        <v>100</v>
      </c>
      <c r="AL163" s="6">
        <v>59.1</v>
      </c>
      <c r="AN163" s="6">
        <v>81</v>
      </c>
      <c r="AO163" s="6">
        <v>99</v>
      </c>
      <c r="AP163" s="6">
        <v>38.200000000000003</v>
      </c>
      <c r="AQ163" s="6">
        <v>7</v>
      </c>
      <c r="AR163" s="6">
        <v>25.1</v>
      </c>
      <c r="AS163" s="6">
        <v>54</v>
      </c>
      <c r="AT163" s="13">
        <v>24.6</v>
      </c>
      <c r="AU163" s="6"/>
      <c r="AV163" s="6"/>
      <c r="DC163" s="6">
        <v>85</v>
      </c>
      <c r="DD163" s="6">
        <v>0.6</v>
      </c>
      <c r="DE163" s="6">
        <v>179</v>
      </c>
      <c r="DF163" s="6">
        <v>129</v>
      </c>
      <c r="DG163" s="9">
        <f t="shared" si="2"/>
        <v>4.6512318304259939</v>
      </c>
      <c r="DH163" s="6">
        <v>26</v>
      </c>
      <c r="DL163" s="6">
        <v>41</v>
      </c>
      <c r="DM163" s="6">
        <v>112</v>
      </c>
      <c r="DN163" s="6"/>
      <c r="DP163" s="33" t="s">
        <v>2223</v>
      </c>
      <c r="DQ163" s="6" t="s">
        <v>111</v>
      </c>
      <c r="DR163" s="30">
        <v>1</v>
      </c>
    </row>
    <row r="164" spans="1:125" x14ac:dyDescent="0.2">
      <c r="A164" s="184" t="s">
        <v>7961</v>
      </c>
      <c r="C164" s="9" t="s">
        <v>95</v>
      </c>
      <c r="D164" s="6">
        <v>19</v>
      </c>
      <c r="E164" s="9" t="s">
        <v>100</v>
      </c>
      <c r="AL164" s="6">
        <v>57.8</v>
      </c>
      <c r="AN164" s="6">
        <v>69</v>
      </c>
      <c r="AO164" s="6">
        <v>92</v>
      </c>
      <c r="AP164" s="6">
        <v>30.3</v>
      </c>
      <c r="AQ164" s="6">
        <v>3</v>
      </c>
      <c r="AR164" s="6">
        <v>28.6</v>
      </c>
      <c r="AS164" s="6">
        <v>19</v>
      </c>
      <c r="AT164" s="13">
        <v>21</v>
      </c>
      <c r="AU164" s="6"/>
      <c r="AV164" s="6"/>
      <c r="DC164" s="6">
        <v>78</v>
      </c>
      <c r="DD164" s="6">
        <v>0.5</v>
      </c>
      <c r="DE164" s="6">
        <v>156</v>
      </c>
      <c r="DF164" s="6">
        <v>64</v>
      </c>
      <c r="DG164" s="9">
        <f t="shared" si="2"/>
        <v>4.2577959550246316</v>
      </c>
      <c r="DH164" s="6">
        <v>13</v>
      </c>
      <c r="DL164" s="6">
        <v>41.7</v>
      </c>
      <c r="DM164" s="6">
        <v>101</v>
      </c>
      <c r="DN164" s="6"/>
      <c r="DP164" s="33" t="s">
        <v>2223</v>
      </c>
      <c r="DQ164" s="6" t="s">
        <v>111</v>
      </c>
    </row>
    <row r="165" spans="1:125" ht="16" x14ac:dyDescent="0.2">
      <c r="A165" s="186" t="s">
        <v>7962</v>
      </c>
      <c r="B165" s="8">
        <v>42293</v>
      </c>
      <c r="C165" s="9" t="s">
        <v>95</v>
      </c>
      <c r="D165" s="6">
        <v>31</v>
      </c>
      <c r="E165" s="9" t="s">
        <v>100</v>
      </c>
      <c r="F165" s="17">
        <v>30811</v>
      </c>
      <c r="G165" s="9" t="s">
        <v>3256</v>
      </c>
      <c r="I165" s="9">
        <v>98</v>
      </c>
      <c r="J165" s="9" t="s">
        <v>99</v>
      </c>
      <c r="M165" s="9" t="s">
        <v>99</v>
      </c>
      <c r="N165" s="9" t="s">
        <v>99</v>
      </c>
      <c r="O165" s="9" t="s">
        <v>99</v>
      </c>
      <c r="P165" s="9" t="s">
        <v>99</v>
      </c>
      <c r="Q165" s="9" t="s">
        <v>110</v>
      </c>
      <c r="R165" s="9" t="s">
        <v>99</v>
      </c>
      <c r="S165" s="9" t="s">
        <v>110</v>
      </c>
      <c r="T165" s="9" t="s">
        <v>99</v>
      </c>
      <c r="AA165" s="9" t="s">
        <v>100</v>
      </c>
      <c r="AB165" s="9" t="s">
        <v>100</v>
      </c>
      <c r="AC165" s="9" t="s">
        <v>2777</v>
      </c>
      <c r="AD165" s="9" t="s">
        <v>100</v>
      </c>
      <c r="AE165" s="9" t="s">
        <v>7963</v>
      </c>
      <c r="AF165" s="9" t="s">
        <v>118</v>
      </c>
      <c r="AG165" s="9" t="s">
        <v>99</v>
      </c>
      <c r="AH165" s="9" t="s">
        <v>99</v>
      </c>
      <c r="AI165" s="9" t="s">
        <v>99</v>
      </c>
      <c r="AJ165" s="9" t="s">
        <v>99</v>
      </c>
      <c r="AK165" s="9" t="s">
        <v>99</v>
      </c>
      <c r="AL165" s="6">
        <v>52.2</v>
      </c>
      <c r="AN165" s="6">
        <v>62</v>
      </c>
      <c r="AO165" s="6">
        <v>99</v>
      </c>
      <c r="AP165" s="6">
        <v>28</v>
      </c>
      <c r="AQ165" s="6">
        <v>3</v>
      </c>
      <c r="AR165" s="6">
        <v>28.5</v>
      </c>
      <c r="AS165" s="6">
        <v>22</v>
      </c>
      <c r="AT165" s="13">
        <v>19.899999999999999</v>
      </c>
      <c r="AU165" s="6">
        <v>91</v>
      </c>
      <c r="AV165" s="6">
        <v>62</v>
      </c>
      <c r="AW165" s="9" t="s">
        <v>7964</v>
      </c>
      <c r="DC165" s="6">
        <v>86.5</v>
      </c>
      <c r="DD165" s="9">
        <v>0.81</v>
      </c>
      <c r="DE165" s="6">
        <v>171</v>
      </c>
      <c r="DF165" s="6">
        <v>106</v>
      </c>
      <c r="DG165" s="9">
        <f t="shared" si="2"/>
        <v>4.5617917540249504</v>
      </c>
      <c r="DH165" s="9">
        <v>21.2</v>
      </c>
      <c r="DI165" s="9">
        <v>3.84</v>
      </c>
      <c r="DL165" s="9">
        <v>77.099999999999994</v>
      </c>
      <c r="DM165" s="9">
        <v>72.7</v>
      </c>
      <c r="DP165" s="185" t="s">
        <v>105</v>
      </c>
      <c r="DQ165" s="6" t="s">
        <v>111</v>
      </c>
      <c r="DU165" s="9">
        <v>4</v>
      </c>
    </row>
    <row r="166" spans="1:125" ht="16" x14ac:dyDescent="0.2">
      <c r="A166" s="186" t="s">
        <v>7965</v>
      </c>
      <c r="C166" s="9" t="s">
        <v>95</v>
      </c>
      <c r="D166" s="6">
        <v>42</v>
      </c>
      <c r="E166" s="9" t="s">
        <v>100</v>
      </c>
      <c r="AL166" s="6">
        <v>63.8</v>
      </c>
      <c r="AN166" s="6">
        <v>80</v>
      </c>
      <c r="AO166" s="6">
        <v>89</v>
      </c>
      <c r="AP166" s="6"/>
      <c r="AQ166" s="6"/>
      <c r="AT166" s="13">
        <v>24.3</v>
      </c>
      <c r="AU166" s="6">
        <v>108</v>
      </c>
      <c r="AV166" s="6">
        <v>78</v>
      </c>
      <c r="DC166" s="6">
        <v>96</v>
      </c>
      <c r="DE166" s="6">
        <v>199</v>
      </c>
      <c r="DF166" s="6">
        <v>92</v>
      </c>
      <c r="DG166" s="9">
        <f t="shared" si="2"/>
        <v>4.5430683842584383</v>
      </c>
      <c r="DN166" s="187"/>
      <c r="DO166" s="187"/>
      <c r="DP166" s="188"/>
      <c r="DQ166" s="6"/>
    </row>
  </sheetData>
  <mergeCells count="9">
    <mergeCell ref="AW1:CV1"/>
    <mergeCell ref="CW1:DB1"/>
    <mergeCell ref="DC1:DM1"/>
    <mergeCell ref="A1:H1"/>
    <mergeCell ref="I1:L1"/>
    <mergeCell ref="M1:T1"/>
    <mergeCell ref="U1:Z1"/>
    <mergeCell ref="AA1:AK1"/>
    <mergeCell ref="AL1:A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46"/>
  <sheetViews>
    <sheetView tabSelected="1" zoomScale="113" workbookViewId="0">
      <selection sqref="A1:XFD1"/>
    </sheetView>
  </sheetViews>
  <sheetFormatPr baseColWidth="10" defaultColWidth="11.5" defaultRowHeight="15" x14ac:dyDescent="0.2"/>
  <cols>
    <col min="1" max="2" width="11.5" style="206"/>
    <col min="3" max="3" width="11.5" style="224"/>
    <col min="4" max="7" width="11.5" style="206"/>
    <col min="8" max="8" width="14" style="206" customWidth="1"/>
    <col min="9" max="11" width="11.5" style="206"/>
    <col min="12" max="12" width="11.5" style="206" customWidth="1"/>
    <col min="13" max="15" width="11.5" style="206"/>
    <col min="16" max="16" width="13.6640625" style="206" customWidth="1"/>
    <col min="17" max="29" width="11.5" style="206"/>
    <col min="30" max="30" width="16.1640625" style="206" customWidth="1"/>
    <col min="31" max="16384" width="11.5" style="206"/>
  </cols>
  <sheetData>
    <row r="1" spans="1:32" s="196" customFormat="1" x14ac:dyDescent="0.2">
      <c r="A1" s="196" t="s">
        <v>9</v>
      </c>
      <c r="B1" s="197" t="s">
        <v>10</v>
      </c>
      <c r="C1" s="198" t="s">
        <v>8243</v>
      </c>
      <c r="D1" s="196" t="s">
        <v>11</v>
      </c>
      <c r="E1" s="196" t="s">
        <v>12</v>
      </c>
      <c r="F1" s="196" t="s">
        <v>44</v>
      </c>
      <c r="G1" s="196" t="s">
        <v>45</v>
      </c>
      <c r="H1" s="196" t="s">
        <v>46</v>
      </c>
      <c r="I1" s="196" t="s">
        <v>47</v>
      </c>
      <c r="K1" s="196" t="s">
        <v>48</v>
      </c>
      <c r="L1" s="196" t="s">
        <v>49</v>
      </c>
      <c r="M1" s="196" t="s">
        <v>50</v>
      </c>
      <c r="N1" s="196" t="s">
        <v>51</v>
      </c>
      <c r="O1" s="196" t="s">
        <v>52</v>
      </c>
      <c r="P1" s="196" t="s">
        <v>53</v>
      </c>
      <c r="Q1" s="196" t="s">
        <v>54</v>
      </c>
      <c r="R1" s="196" t="s">
        <v>78</v>
      </c>
      <c r="S1" s="196" t="s">
        <v>80</v>
      </c>
      <c r="T1" s="196" t="s">
        <v>8244</v>
      </c>
      <c r="U1" s="196" t="s">
        <v>85</v>
      </c>
      <c r="V1" s="196" t="s">
        <v>81</v>
      </c>
      <c r="W1" s="196" t="s">
        <v>79</v>
      </c>
      <c r="X1" s="196" t="s">
        <v>87</v>
      </c>
      <c r="Y1" s="196" t="s">
        <v>84</v>
      </c>
      <c r="Z1" s="196" t="s">
        <v>83</v>
      </c>
      <c r="AA1" s="196" t="s">
        <v>88</v>
      </c>
      <c r="AB1" s="196" t="s">
        <v>8245</v>
      </c>
      <c r="AC1" s="196" t="s">
        <v>8246</v>
      </c>
      <c r="AD1" s="196" t="s">
        <v>89</v>
      </c>
      <c r="AE1" s="196" t="s">
        <v>8247</v>
      </c>
      <c r="AF1" s="199" t="s">
        <v>5918</v>
      </c>
    </row>
    <row r="2" spans="1:32" x14ac:dyDescent="0.2">
      <c r="A2" s="200" t="s">
        <v>8248</v>
      </c>
      <c r="B2" s="201">
        <v>44624</v>
      </c>
      <c r="C2" s="202">
        <v>2</v>
      </c>
      <c r="D2" s="200" t="s">
        <v>196</v>
      </c>
      <c r="E2" s="200">
        <v>32</v>
      </c>
      <c r="F2" s="203">
        <v>95.4</v>
      </c>
      <c r="G2" s="203">
        <v>1.62</v>
      </c>
      <c r="H2" s="204">
        <v>101</v>
      </c>
      <c r="I2" s="203">
        <v>125</v>
      </c>
      <c r="J2" s="203">
        <f>H2/I2</f>
        <v>0.80800000000000005</v>
      </c>
      <c r="K2" s="204">
        <v>47.4</v>
      </c>
      <c r="L2" s="204">
        <v>9</v>
      </c>
      <c r="M2" s="203">
        <v>23.9</v>
      </c>
      <c r="N2" s="204">
        <v>59</v>
      </c>
      <c r="O2" s="205">
        <f>F2/(G2)^2</f>
        <v>36.351165980795606</v>
      </c>
      <c r="P2" s="203">
        <v>106</v>
      </c>
      <c r="Q2" s="203">
        <v>79</v>
      </c>
      <c r="R2" s="204">
        <v>110.5</v>
      </c>
      <c r="S2" s="203">
        <v>190</v>
      </c>
      <c r="T2" s="203">
        <v>24.9</v>
      </c>
      <c r="U2" s="203">
        <v>50</v>
      </c>
      <c r="V2" s="203">
        <v>102.2</v>
      </c>
      <c r="W2" s="203">
        <v>1.02</v>
      </c>
      <c r="X2" s="203">
        <v>58.2</v>
      </c>
      <c r="Y2" s="203">
        <v>17.600000000000001</v>
      </c>
      <c r="Z2" s="203">
        <f>V2*0.2</f>
        <v>20.440000000000001</v>
      </c>
      <c r="AA2" s="203">
        <f>S2-X2-Z2</f>
        <v>111.36000000000001</v>
      </c>
      <c r="AB2" s="203"/>
      <c r="AC2" s="203"/>
      <c r="AD2" s="203"/>
      <c r="AE2" s="203"/>
    </row>
    <row r="3" spans="1:32" x14ac:dyDescent="0.2">
      <c r="A3" s="200" t="s">
        <v>8249</v>
      </c>
      <c r="B3" s="201">
        <v>44624</v>
      </c>
      <c r="C3" s="202">
        <v>1</v>
      </c>
      <c r="D3" s="200" t="s">
        <v>196</v>
      </c>
      <c r="E3" s="200">
        <v>32</v>
      </c>
      <c r="F3" s="203">
        <v>57.7</v>
      </c>
      <c r="G3" s="203">
        <v>1.53</v>
      </c>
      <c r="H3" s="207">
        <v>78</v>
      </c>
      <c r="I3" s="203">
        <v>98</v>
      </c>
      <c r="J3" s="203">
        <f t="shared" ref="J3:J66" si="0">H3/I3</f>
        <v>0.79591836734693877</v>
      </c>
      <c r="K3" s="203">
        <v>41.4</v>
      </c>
      <c r="L3" s="207">
        <v>6</v>
      </c>
      <c r="M3" s="203">
        <v>23.4</v>
      </c>
      <c r="N3" s="203">
        <v>45</v>
      </c>
      <c r="O3" s="208">
        <f t="shared" ref="O3:O66" si="1">F3/(G3)^2</f>
        <v>24.648639412191894</v>
      </c>
      <c r="P3" s="203">
        <v>106</v>
      </c>
      <c r="Q3" s="203">
        <v>73</v>
      </c>
      <c r="R3" s="203">
        <v>84.2</v>
      </c>
      <c r="S3" s="203">
        <v>159</v>
      </c>
      <c r="T3" s="203">
        <v>13.7</v>
      </c>
      <c r="U3" s="203">
        <v>12.7</v>
      </c>
      <c r="V3" s="203">
        <v>101.4</v>
      </c>
      <c r="W3" s="203">
        <v>1.29</v>
      </c>
      <c r="X3" s="203">
        <v>50.6</v>
      </c>
      <c r="Y3" s="203">
        <v>23.4</v>
      </c>
      <c r="Z3" s="203">
        <f t="shared" ref="Z3:Z66" si="2">V3*0.2</f>
        <v>20.28</v>
      </c>
      <c r="AA3" s="203">
        <f t="shared" ref="AA3:AA66" si="3">S3-X3-Z3</f>
        <v>88.12</v>
      </c>
      <c r="AB3" s="203"/>
      <c r="AC3" s="203"/>
      <c r="AD3" s="203"/>
      <c r="AE3" s="203"/>
    </row>
    <row r="4" spans="1:32" x14ac:dyDescent="0.2">
      <c r="A4" s="200" t="s">
        <v>8250</v>
      </c>
      <c r="B4" s="201">
        <v>44624</v>
      </c>
      <c r="C4" s="209">
        <v>1</v>
      </c>
      <c r="D4" s="200" t="s">
        <v>196</v>
      </c>
      <c r="E4" s="200">
        <v>27</v>
      </c>
      <c r="F4" s="203">
        <v>38.4</v>
      </c>
      <c r="G4" s="203">
        <v>1.54</v>
      </c>
      <c r="H4" s="210">
        <v>58.5</v>
      </c>
      <c r="I4" s="203">
        <v>79</v>
      </c>
      <c r="J4" s="203">
        <f t="shared" si="0"/>
        <v>0.740506329113924</v>
      </c>
      <c r="K4" s="210">
        <v>18</v>
      </c>
      <c r="L4" s="210">
        <v>2</v>
      </c>
      <c r="M4" s="203">
        <v>28.2</v>
      </c>
      <c r="N4" s="210">
        <v>18</v>
      </c>
      <c r="O4" s="211">
        <f t="shared" si="1"/>
        <v>16.191600607185023</v>
      </c>
      <c r="P4" s="203">
        <v>94</v>
      </c>
      <c r="Q4" s="203">
        <v>69.5</v>
      </c>
      <c r="R4" s="203">
        <v>87.3</v>
      </c>
      <c r="S4" s="196">
        <v>135</v>
      </c>
      <c r="T4" s="196">
        <v>14.4</v>
      </c>
      <c r="U4" s="196">
        <v>11.3</v>
      </c>
      <c r="V4" s="196">
        <v>40.6</v>
      </c>
      <c r="W4" s="196">
        <v>1.2</v>
      </c>
      <c r="X4" s="196">
        <v>68.5</v>
      </c>
      <c r="Y4" s="196">
        <v>27.1</v>
      </c>
      <c r="Z4" s="203">
        <f t="shared" si="2"/>
        <v>8.120000000000001</v>
      </c>
      <c r="AA4" s="203">
        <f t="shared" si="3"/>
        <v>58.379999999999995</v>
      </c>
      <c r="AB4" s="196"/>
      <c r="AC4" s="196"/>
      <c r="AD4" s="203"/>
      <c r="AE4" s="203"/>
    </row>
    <row r="5" spans="1:32" x14ac:dyDescent="0.2">
      <c r="A5" s="200" t="s">
        <v>8251</v>
      </c>
      <c r="B5" s="201">
        <v>44624</v>
      </c>
      <c r="C5" s="212">
        <v>3</v>
      </c>
      <c r="D5" s="200" t="s">
        <v>196</v>
      </c>
      <c r="E5" s="200">
        <v>34</v>
      </c>
      <c r="F5" s="203">
        <v>80.5</v>
      </c>
      <c r="G5" s="203">
        <v>1.56</v>
      </c>
      <c r="H5" s="213">
        <v>119</v>
      </c>
      <c r="I5" s="203">
        <v>113</v>
      </c>
      <c r="J5" s="203">
        <f t="shared" si="0"/>
        <v>1.0530973451327434</v>
      </c>
      <c r="K5" s="203">
        <v>48.2</v>
      </c>
      <c r="L5" s="213">
        <v>16</v>
      </c>
      <c r="M5" s="203">
        <v>22.8</v>
      </c>
      <c r="N5" s="203">
        <v>60</v>
      </c>
      <c r="O5" s="205">
        <f t="shared" si="1"/>
        <v>33.078566732412881</v>
      </c>
      <c r="P5" s="203">
        <v>122</v>
      </c>
      <c r="Q5" s="203">
        <v>90</v>
      </c>
      <c r="R5" s="213">
        <v>306.39999999999998</v>
      </c>
      <c r="S5" s="203">
        <v>165</v>
      </c>
      <c r="T5" s="203">
        <v>95.8</v>
      </c>
      <c r="U5" s="203">
        <v>126.7</v>
      </c>
      <c r="V5" s="213">
        <v>805.6</v>
      </c>
      <c r="W5" s="203">
        <v>0.24</v>
      </c>
      <c r="X5" s="213">
        <v>28</v>
      </c>
      <c r="Y5" s="203">
        <v>19.899999999999999</v>
      </c>
      <c r="Z5" s="203">
        <f t="shared" si="2"/>
        <v>161.12</v>
      </c>
      <c r="AA5" s="203">
        <f t="shared" si="3"/>
        <v>-24.120000000000005</v>
      </c>
      <c r="AB5" s="203"/>
      <c r="AC5" s="203"/>
      <c r="AD5" s="203"/>
      <c r="AE5" s="203"/>
    </row>
    <row r="6" spans="1:32" x14ac:dyDescent="0.2">
      <c r="A6" s="200" t="s">
        <v>8252</v>
      </c>
      <c r="B6" s="201">
        <v>44624</v>
      </c>
      <c r="C6" s="212">
        <v>3</v>
      </c>
      <c r="D6" s="200" t="s">
        <v>675</v>
      </c>
      <c r="E6" s="200">
        <v>60</v>
      </c>
      <c r="F6" s="203">
        <v>82.1</v>
      </c>
      <c r="G6" s="203">
        <v>1.62</v>
      </c>
      <c r="H6" s="213">
        <v>108</v>
      </c>
      <c r="I6" s="203">
        <v>105</v>
      </c>
      <c r="J6" s="203">
        <f t="shared" si="0"/>
        <v>1.0285714285714285</v>
      </c>
      <c r="K6" s="203">
        <v>29.4</v>
      </c>
      <c r="L6" s="213">
        <v>18</v>
      </c>
      <c r="M6" s="203">
        <v>32.200000000000003</v>
      </c>
      <c r="N6" s="203">
        <v>59</v>
      </c>
      <c r="O6" s="214">
        <f t="shared" si="1"/>
        <v>31.283340954122838</v>
      </c>
      <c r="P6" s="203">
        <v>125</v>
      </c>
      <c r="Q6" s="203">
        <v>90</v>
      </c>
      <c r="R6" s="213">
        <v>154.9</v>
      </c>
      <c r="S6" s="215">
        <v>202</v>
      </c>
      <c r="T6" s="203">
        <v>22.7</v>
      </c>
      <c r="U6" s="203">
        <v>29.7</v>
      </c>
      <c r="V6" s="213">
        <v>212.7</v>
      </c>
      <c r="W6" s="203">
        <v>0.92</v>
      </c>
      <c r="X6" s="213">
        <v>28.6</v>
      </c>
      <c r="Y6" s="203">
        <v>32.4</v>
      </c>
      <c r="Z6" s="203">
        <f t="shared" si="2"/>
        <v>42.54</v>
      </c>
      <c r="AA6" s="203">
        <f t="shared" si="3"/>
        <v>130.86000000000001</v>
      </c>
      <c r="AB6" s="203">
        <v>1.99</v>
      </c>
      <c r="AC6" s="203"/>
      <c r="AD6" s="203"/>
      <c r="AE6" s="203"/>
    </row>
    <row r="7" spans="1:32" x14ac:dyDescent="0.2">
      <c r="A7" s="200" t="s">
        <v>8253</v>
      </c>
      <c r="B7" s="201">
        <v>44624</v>
      </c>
      <c r="C7" s="202">
        <v>2</v>
      </c>
      <c r="D7" s="200" t="s">
        <v>675</v>
      </c>
      <c r="E7" s="200">
        <v>57</v>
      </c>
      <c r="F7" s="203">
        <v>94</v>
      </c>
      <c r="G7" s="203">
        <v>1.7</v>
      </c>
      <c r="H7" s="203">
        <v>108</v>
      </c>
      <c r="I7" s="203">
        <v>108</v>
      </c>
      <c r="J7" s="203">
        <f t="shared" si="0"/>
        <v>1</v>
      </c>
      <c r="K7" s="203">
        <v>32.5</v>
      </c>
      <c r="L7" s="213">
        <v>18</v>
      </c>
      <c r="M7" s="203">
        <v>26.5</v>
      </c>
      <c r="N7" s="203">
        <v>71</v>
      </c>
      <c r="O7" s="214">
        <f t="shared" si="1"/>
        <v>32.525951557093428</v>
      </c>
      <c r="P7" s="203">
        <v>103</v>
      </c>
      <c r="Q7" s="203">
        <v>74</v>
      </c>
      <c r="R7" s="203">
        <v>87.2</v>
      </c>
      <c r="S7" s="203">
        <v>118</v>
      </c>
      <c r="T7" s="203">
        <v>15.4</v>
      </c>
      <c r="U7" s="203">
        <v>14.7</v>
      </c>
      <c r="V7" s="203">
        <v>48</v>
      </c>
      <c r="W7" s="203">
        <v>1.04</v>
      </c>
      <c r="X7" s="203">
        <v>46.4</v>
      </c>
      <c r="Y7" s="203">
        <v>22.2</v>
      </c>
      <c r="Z7" s="203">
        <f t="shared" si="2"/>
        <v>9.6000000000000014</v>
      </c>
      <c r="AA7" s="203">
        <f t="shared" si="3"/>
        <v>61.999999999999993</v>
      </c>
      <c r="AB7" s="203"/>
      <c r="AC7" s="203"/>
      <c r="AD7" s="203"/>
      <c r="AE7" s="203"/>
    </row>
    <row r="8" spans="1:32" x14ac:dyDescent="0.2">
      <c r="A8" s="200" t="s">
        <v>8254</v>
      </c>
      <c r="B8" s="201">
        <v>44624</v>
      </c>
      <c r="C8" s="202">
        <v>2</v>
      </c>
      <c r="D8" s="200" t="s">
        <v>196</v>
      </c>
      <c r="E8" s="200">
        <v>62</v>
      </c>
      <c r="F8" s="203">
        <v>66.2</v>
      </c>
      <c r="G8" s="203">
        <v>1.57</v>
      </c>
      <c r="H8" s="203">
        <v>92</v>
      </c>
      <c r="I8" s="203">
        <v>107</v>
      </c>
      <c r="J8" s="203">
        <f t="shared" si="0"/>
        <v>0.85981308411214952</v>
      </c>
      <c r="K8" s="203">
        <v>44.5</v>
      </c>
      <c r="L8" s="213">
        <v>18</v>
      </c>
      <c r="M8" s="203">
        <v>21.6</v>
      </c>
      <c r="N8" s="203">
        <v>62</v>
      </c>
      <c r="O8" s="214">
        <f t="shared" si="1"/>
        <v>26.857073309262038</v>
      </c>
      <c r="P8" s="203">
        <v>120</v>
      </c>
      <c r="Q8" s="203">
        <v>80</v>
      </c>
      <c r="R8" s="203">
        <v>86.4</v>
      </c>
      <c r="S8" s="203">
        <v>185</v>
      </c>
      <c r="T8" s="203">
        <v>20.9</v>
      </c>
      <c r="U8" s="203">
        <v>40.700000000000003</v>
      </c>
      <c r="V8" s="203">
        <v>66.099999999999994</v>
      </c>
      <c r="W8" s="203">
        <v>0.96</v>
      </c>
      <c r="X8" s="203">
        <v>68.3</v>
      </c>
      <c r="Y8" s="203">
        <v>24.4</v>
      </c>
      <c r="Z8" s="203">
        <f t="shared" si="2"/>
        <v>13.219999999999999</v>
      </c>
      <c r="AA8" s="203">
        <f t="shared" si="3"/>
        <v>103.48</v>
      </c>
      <c r="AB8" s="203"/>
      <c r="AC8" s="203"/>
      <c r="AD8" s="203"/>
      <c r="AE8" s="203"/>
    </row>
    <row r="9" spans="1:32" x14ac:dyDescent="0.2">
      <c r="A9" s="200" t="s">
        <v>8255</v>
      </c>
      <c r="B9" s="201">
        <v>44625</v>
      </c>
      <c r="C9" s="209">
        <v>1</v>
      </c>
      <c r="D9" s="200" t="s">
        <v>196</v>
      </c>
      <c r="E9" s="200">
        <v>25</v>
      </c>
      <c r="F9" s="203">
        <v>59.3</v>
      </c>
      <c r="G9" s="203">
        <v>1.62</v>
      </c>
      <c r="H9" s="210">
        <v>72</v>
      </c>
      <c r="I9" s="203">
        <v>96</v>
      </c>
      <c r="J9" s="203">
        <f t="shared" si="0"/>
        <v>0.75</v>
      </c>
      <c r="K9" s="203">
        <v>34.200000000000003</v>
      </c>
      <c r="L9" s="203">
        <v>4</v>
      </c>
      <c r="M9" s="203">
        <v>27.1</v>
      </c>
      <c r="N9" s="203">
        <v>29</v>
      </c>
      <c r="O9" s="211">
        <f t="shared" si="1"/>
        <v>22.595640908398103</v>
      </c>
      <c r="P9" s="203">
        <v>93</v>
      </c>
      <c r="Q9" s="203">
        <v>63</v>
      </c>
      <c r="R9" s="203">
        <v>93.9</v>
      </c>
      <c r="S9" s="203">
        <v>134</v>
      </c>
      <c r="T9" s="203">
        <v>13.7</v>
      </c>
      <c r="U9" s="203">
        <v>3.3</v>
      </c>
      <c r="V9" s="203">
        <v>34.5</v>
      </c>
      <c r="W9" s="203">
        <v>0.68</v>
      </c>
      <c r="X9" s="203">
        <v>85.3</v>
      </c>
      <c r="Y9" s="203"/>
      <c r="Z9" s="203">
        <f t="shared" si="2"/>
        <v>6.9</v>
      </c>
      <c r="AA9" s="203">
        <f t="shared" si="3"/>
        <v>41.800000000000004</v>
      </c>
      <c r="AB9" s="203"/>
      <c r="AC9" s="203"/>
      <c r="AD9" s="203"/>
      <c r="AE9" s="203"/>
    </row>
    <row r="10" spans="1:32" x14ac:dyDescent="0.2">
      <c r="A10" s="200" t="s">
        <v>8256</v>
      </c>
      <c r="B10" s="201">
        <v>44626</v>
      </c>
      <c r="C10" s="209">
        <v>1</v>
      </c>
      <c r="D10" s="200" t="s">
        <v>675</v>
      </c>
      <c r="E10" s="200">
        <v>25</v>
      </c>
      <c r="F10" s="203">
        <v>74.7</v>
      </c>
      <c r="G10" s="203">
        <v>1.78</v>
      </c>
      <c r="H10" s="210">
        <v>75</v>
      </c>
      <c r="I10" s="203">
        <v>95</v>
      </c>
      <c r="J10" s="203">
        <f t="shared" si="0"/>
        <v>0.78947368421052633</v>
      </c>
      <c r="K10" s="203">
        <v>23.8</v>
      </c>
      <c r="L10" s="203">
        <v>9</v>
      </c>
      <c r="M10" s="203">
        <v>38.799999999999997</v>
      </c>
      <c r="N10" s="203">
        <v>36</v>
      </c>
      <c r="O10" s="211">
        <f t="shared" si="1"/>
        <v>23.576568615073853</v>
      </c>
      <c r="P10" s="203">
        <v>124</v>
      </c>
      <c r="Q10" s="203">
        <v>75</v>
      </c>
      <c r="R10" s="203">
        <v>95.5</v>
      </c>
      <c r="S10" s="203">
        <v>117</v>
      </c>
      <c r="T10" s="203">
        <v>20.2</v>
      </c>
      <c r="U10" s="203">
        <v>32.700000000000003</v>
      </c>
      <c r="V10" s="203">
        <v>51.8</v>
      </c>
      <c r="W10" s="203">
        <v>0.86</v>
      </c>
      <c r="X10" s="203">
        <v>65.400000000000006</v>
      </c>
      <c r="Y10" s="203"/>
      <c r="Z10" s="203">
        <f t="shared" si="2"/>
        <v>10.36</v>
      </c>
      <c r="AA10" s="203">
        <f t="shared" si="3"/>
        <v>41.239999999999995</v>
      </c>
      <c r="AB10" s="203"/>
      <c r="AC10" s="203"/>
      <c r="AD10" s="203"/>
      <c r="AE10" s="203"/>
    </row>
    <row r="11" spans="1:32" x14ac:dyDescent="0.2">
      <c r="A11" s="200" t="s">
        <v>8257</v>
      </c>
      <c r="B11" s="201">
        <v>44627</v>
      </c>
      <c r="C11" s="202">
        <v>2</v>
      </c>
      <c r="D11" s="200" t="s">
        <v>196</v>
      </c>
      <c r="E11" s="200">
        <v>19</v>
      </c>
      <c r="F11" s="203"/>
      <c r="G11" s="203"/>
      <c r="H11" s="203"/>
      <c r="I11" s="203"/>
      <c r="J11" s="203" t="e">
        <f t="shared" si="0"/>
        <v>#DIV/0!</v>
      </c>
      <c r="K11" s="203"/>
      <c r="L11" s="203"/>
      <c r="M11" s="203"/>
      <c r="N11" s="203"/>
      <c r="O11" s="214" t="e">
        <f t="shared" si="1"/>
        <v>#DIV/0!</v>
      </c>
      <c r="P11" s="203"/>
      <c r="Q11" s="203"/>
      <c r="R11" s="203">
        <v>88.2</v>
      </c>
      <c r="S11" s="203">
        <v>170</v>
      </c>
      <c r="T11" s="203">
        <v>14.3</v>
      </c>
      <c r="U11" s="203">
        <v>24.8</v>
      </c>
      <c r="V11" s="203">
        <v>91.3</v>
      </c>
      <c r="W11" s="203">
        <v>0.71</v>
      </c>
      <c r="X11" s="203">
        <v>54</v>
      </c>
      <c r="Y11" s="203">
        <v>26.4</v>
      </c>
      <c r="Z11" s="203">
        <f t="shared" si="2"/>
        <v>18.260000000000002</v>
      </c>
      <c r="AA11" s="203">
        <f t="shared" si="3"/>
        <v>97.74</v>
      </c>
      <c r="AB11" s="203"/>
      <c r="AC11" s="203"/>
      <c r="AD11" s="203"/>
      <c r="AE11" s="203"/>
    </row>
    <row r="12" spans="1:32" x14ac:dyDescent="0.2">
      <c r="A12" s="200" t="s">
        <v>8258</v>
      </c>
      <c r="B12" s="201">
        <v>44628</v>
      </c>
      <c r="C12" s="209">
        <v>1</v>
      </c>
      <c r="D12" s="200" t="s">
        <v>196</v>
      </c>
      <c r="E12" s="200">
        <v>19</v>
      </c>
      <c r="F12" s="203">
        <v>55.7</v>
      </c>
      <c r="G12" s="203">
        <v>1.68</v>
      </c>
      <c r="H12" s="210">
        <v>73</v>
      </c>
      <c r="I12" s="203">
        <v>80.5</v>
      </c>
      <c r="J12" s="203">
        <f t="shared" si="0"/>
        <v>0.90683229813664601</v>
      </c>
      <c r="K12" s="203">
        <v>21.7</v>
      </c>
      <c r="L12" s="203"/>
      <c r="M12" s="203">
        <v>17.100000000000001</v>
      </c>
      <c r="N12" s="203"/>
      <c r="O12" s="211">
        <f t="shared" si="1"/>
        <v>19.734977324263042</v>
      </c>
      <c r="P12" s="203">
        <v>109</v>
      </c>
      <c r="Q12" s="203">
        <v>75</v>
      </c>
      <c r="R12" s="203">
        <v>89</v>
      </c>
      <c r="S12" s="203">
        <v>184</v>
      </c>
      <c r="T12" s="203">
        <v>39.4</v>
      </c>
      <c r="U12" s="203">
        <v>29.4</v>
      </c>
      <c r="V12" s="203">
        <v>79.5</v>
      </c>
      <c r="W12" s="203">
        <v>1.9</v>
      </c>
      <c r="X12" s="203">
        <v>51.1</v>
      </c>
      <c r="Y12" s="203">
        <v>23.8</v>
      </c>
      <c r="Z12" s="203">
        <f t="shared" si="2"/>
        <v>15.9</v>
      </c>
      <c r="AA12" s="203">
        <f t="shared" si="3"/>
        <v>117</v>
      </c>
      <c r="AB12" s="203"/>
      <c r="AC12" s="203"/>
      <c r="AD12" s="203"/>
      <c r="AE12" s="203"/>
    </row>
    <row r="13" spans="1:32" x14ac:dyDescent="0.2">
      <c r="A13" s="200" t="s">
        <v>8259</v>
      </c>
      <c r="B13" s="201">
        <v>44629</v>
      </c>
      <c r="C13" s="202">
        <v>2</v>
      </c>
      <c r="D13" s="200" t="s">
        <v>196</v>
      </c>
      <c r="E13" s="200">
        <v>20</v>
      </c>
      <c r="F13" s="203">
        <v>83.5</v>
      </c>
      <c r="G13" s="203">
        <v>1.54</v>
      </c>
      <c r="H13" s="203">
        <v>99</v>
      </c>
      <c r="I13" s="203">
        <v>119</v>
      </c>
      <c r="J13" s="203">
        <f t="shared" si="0"/>
        <v>0.83193277310924374</v>
      </c>
      <c r="K13" s="203">
        <v>44.8</v>
      </c>
      <c r="L13" s="203"/>
      <c r="M13" s="203">
        <v>43.6</v>
      </c>
      <c r="N13" s="203"/>
      <c r="O13" s="216">
        <f t="shared" si="1"/>
        <v>35.208298195311187</v>
      </c>
      <c r="P13" s="203">
        <v>125</v>
      </c>
      <c r="Q13" s="203">
        <v>90</v>
      </c>
      <c r="R13" s="203">
        <v>97.9</v>
      </c>
      <c r="S13" s="203">
        <v>136</v>
      </c>
      <c r="T13" s="203">
        <v>15.3</v>
      </c>
      <c r="U13" s="203">
        <v>17.5</v>
      </c>
      <c r="V13" s="203">
        <v>94.5</v>
      </c>
      <c r="W13" s="203">
        <v>1.63</v>
      </c>
      <c r="X13" s="203">
        <v>36.799999999999997</v>
      </c>
      <c r="Y13" s="203">
        <v>28.7</v>
      </c>
      <c r="Z13" s="203">
        <f t="shared" si="2"/>
        <v>18.900000000000002</v>
      </c>
      <c r="AA13" s="203">
        <f t="shared" si="3"/>
        <v>80.3</v>
      </c>
      <c r="AB13" s="203"/>
      <c r="AC13" s="203"/>
      <c r="AD13" s="203"/>
      <c r="AE13" s="203"/>
    </row>
    <row r="14" spans="1:32" x14ac:dyDescent="0.2">
      <c r="A14" s="200" t="s">
        <v>8260</v>
      </c>
      <c r="B14" s="201">
        <v>44630</v>
      </c>
      <c r="C14" s="209">
        <v>1</v>
      </c>
      <c r="D14" s="200" t="s">
        <v>675</v>
      </c>
      <c r="E14" s="200">
        <v>20</v>
      </c>
      <c r="F14" s="203">
        <v>63</v>
      </c>
      <c r="G14" s="203">
        <v>1.7</v>
      </c>
      <c r="H14" s="210">
        <v>78</v>
      </c>
      <c r="I14" s="203">
        <v>92</v>
      </c>
      <c r="J14" s="203">
        <f t="shared" si="0"/>
        <v>0.84782608695652173</v>
      </c>
      <c r="K14" s="203">
        <v>11.7</v>
      </c>
      <c r="L14" s="203"/>
      <c r="M14" s="203">
        <v>12.5</v>
      </c>
      <c r="N14" s="203"/>
      <c r="O14" s="211">
        <f t="shared" si="1"/>
        <v>21.79930795847751</v>
      </c>
      <c r="P14" s="203">
        <v>112</v>
      </c>
      <c r="Q14" s="203">
        <v>79</v>
      </c>
      <c r="R14" s="203">
        <v>87.1</v>
      </c>
      <c r="S14" s="203">
        <v>149</v>
      </c>
      <c r="T14" s="203">
        <v>26</v>
      </c>
      <c r="U14" s="203">
        <v>34.700000000000003</v>
      </c>
      <c r="V14" s="203">
        <v>81.400000000000006</v>
      </c>
      <c r="W14" s="203">
        <v>2.0699999999999998</v>
      </c>
      <c r="X14" s="203">
        <v>37.5</v>
      </c>
      <c r="Y14" s="203">
        <v>29.7</v>
      </c>
      <c r="Z14" s="203">
        <f t="shared" si="2"/>
        <v>16.28</v>
      </c>
      <c r="AA14" s="203">
        <f t="shared" si="3"/>
        <v>95.22</v>
      </c>
      <c r="AB14" s="203"/>
      <c r="AC14" s="203"/>
      <c r="AD14" s="203"/>
      <c r="AE14" s="203"/>
    </row>
    <row r="15" spans="1:32" x14ac:dyDescent="0.2">
      <c r="A15" s="200" t="s">
        <v>8261</v>
      </c>
      <c r="B15" s="201">
        <v>44631</v>
      </c>
      <c r="C15" s="202"/>
      <c r="D15" s="200"/>
      <c r="E15" s="200"/>
      <c r="F15" s="203"/>
      <c r="G15" s="203"/>
      <c r="H15" s="203"/>
      <c r="I15" s="203"/>
      <c r="J15" s="203" t="e">
        <f t="shared" si="0"/>
        <v>#DIV/0!</v>
      </c>
      <c r="K15" s="203"/>
      <c r="L15" s="203"/>
      <c r="M15" s="203"/>
      <c r="N15" s="203"/>
      <c r="O15" s="214" t="e">
        <f t="shared" si="1"/>
        <v>#DIV/0!</v>
      </c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>
        <f>V15*0.2</f>
        <v>0</v>
      </c>
      <c r="AA15" s="203">
        <f t="shared" si="3"/>
        <v>0</v>
      </c>
      <c r="AB15" s="203"/>
      <c r="AC15" s="203"/>
      <c r="AD15" s="203"/>
      <c r="AE15" s="203"/>
    </row>
    <row r="16" spans="1:32" x14ac:dyDescent="0.2">
      <c r="A16" s="200" t="s">
        <v>8262</v>
      </c>
      <c r="B16" s="201">
        <v>44632</v>
      </c>
      <c r="C16" s="202">
        <v>2</v>
      </c>
      <c r="D16" s="200" t="s">
        <v>675</v>
      </c>
      <c r="E16" s="200">
        <v>20</v>
      </c>
      <c r="F16" s="203">
        <v>79.3</v>
      </c>
      <c r="G16" s="203">
        <v>1.74</v>
      </c>
      <c r="H16" s="203">
        <v>91.5</v>
      </c>
      <c r="I16" s="203">
        <v>102</v>
      </c>
      <c r="J16" s="203">
        <f t="shared" si="0"/>
        <v>0.8970588235294118</v>
      </c>
      <c r="K16" s="203">
        <v>14</v>
      </c>
      <c r="L16" s="203"/>
      <c r="M16" s="203">
        <v>14.4</v>
      </c>
      <c r="N16" s="203"/>
      <c r="O16" s="214">
        <f t="shared" si="1"/>
        <v>26.192363588320781</v>
      </c>
      <c r="P16" s="203">
        <v>104</v>
      </c>
      <c r="Q16" s="203">
        <v>71</v>
      </c>
      <c r="R16" s="203">
        <v>94.2</v>
      </c>
      <c r="S16" s="203">
        <v>180</v>
      </c>
      <c r="T16" s="203">
        <v>20</v>
      </c>
      <c r="U16" s="203">
        <v>36.700000000000003</v>
      </c>
      <c r="V16" s="203">
        <v>93.7</v>
      </c>
      <c r="W16" s="203">
        <v>0.95</v>
      </c>
      <c r="X16" s="203">
        <v>47.1</v>
      </c>
      <c r="Y16" s="203">
        <v>22.2</v>
      </c>
      <c r="Z16" s="203">
        <f t="shared" si="2"/>
        <v>18.740000000000002</v>
      </c>
      <c r="AA16" s="203">
        <f t="shared" si="3"/>
        <v>114.16</v>
      </c>
      <c r="AB16" s="203"/>
      <c r="AC16" s="203"/>
      <c r="AD16" s="203"/>
      <c r="AE16" s="203"/>
    </row>
    <row r="17" spans="1:31" x14ac:dyDescent="0.2">
      <c r="A17" s="200" t="s">
        <v>8263</v>
      </c>
      <c r="B17" s="201">
        <v>44633</v>
      </c>
      <c r="C17" s="202"/>
      <c r="D17" s="200"/>
      <c r="E17" s="200"/>
      <c r="F17" s="203"/>
      <c r="G17" s="203"/>
      <c r="H17" s="203"/>
      <c r="I17" s="203"/>
      <c r="J17" s="203" t="e">
        <f t="shared" si="0"/>
        <v>#DIV/0!</v>
      </c>
      <c r="K17" s="203"/>
      <c r="L17" s="203"/>
      <c r="M17" s="203"/>
      <c r="N17" s="203"/>
      <c r="O17" s="214" t="e">
        <f t="shared" si="1"/>
        <v>#DIV/0!</v>
      </c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>
        <f t="shared" si="2"/>
        <v>0</v>
      </c>
      <c r="AA17" s="203">
        <f>S17-X17-Z17</f>
        <v>0</v>
      </c>
      <c r="AB17" s="203"/>
      <c r="AC17" s="203"/>
      <c r="AD17" s="203"/>
      <c r="AE17" s="203"/>
    </row>
    <row r="18" spans="1:31" x14ac:dyDescent="0.2">
      <c r="A18" s="200" t="s">
        <v>8264</v>
      </c>
      <c r="B18" s="201">
        <v>44694</v>
      </c>
      <c r="C18" s="202">
        <v>2</v>
      </c>
      <c r="D18" s="200" t="s">
        <v>675</v>
      </c>
      <c r="E18" s="200">
        <v>20</v>
      </c>
      <c r="F18" s="203"/>
      <c r="G18" s="203">
        <v>1.8</v>
      </c>
      <c r="H18" s="203">
        <v>76.5</v>
      </c>
      <c r="I18" s="203">
        <v>98</v>
      </c>
      <c r="J18" s="203">
        <f t="shared" si="0"/>
        <v>0.78061224489795922</v>
      </c>
      <c r="K18" s="203">
        <v>5.33</v>
      </c>
      <c r="L18" s="203">
        <v>5</v>
      </c>
      <c r="M18" s="203"/>
      <c r="N18" s="203"/>
      <c r="O18" s="214">
        <f t="shared" si="1"/>
        <v>0</v>
      </c>
      <c r="P18" s="203">
        <v>129</v>
      </c>
      <c r="Q18" s="203">
        <v>76</v>
      </c>
      <c r="R18" s="203">
        <v>97.1</v>
      </c>
      <c r="S18" s="203">
        <v>10</v>
      </c>
      <c r="T18" s="203">
        <v>13.7</v>
      </c>
      <c r="U18" s="203">
        <v>9.1</v>
      </c>
      <c r="V18" s="203">
        <v>44.8</v>
      </c>
      <c r="W18" s="203">
        <v>1.1100000000000001</v>
      </c>
      <c r="X18" s="203">
        <v>66</v>
      </c>
      <c r="Y18" s="203">
        <v>28.1</v>
      </c>
      <c r="Z18" s="203">
        <f t="shared" si="2"/>
        <v>8.9599999999999991</v>
      </c>
      <c r="AA18" s="203">
        <f t="shared" si="3"/>
        <v>-64.959999999999994</v>
      </c>
      <c r="AB18" s="203"/>
      <c r="AC18" s="203"/>
      <c r="AD18" s="203"/>
      <c r="AE18" s="203"/>
    </row>
    <row r="19" spans="1:31" x14ac:dyDescent="0.2">
      <c r="A19" s="200" t="s">
        <v>8265</v>
      </c>
      <c r="B19" s="201">
        <v>44635</v>
      </c>
      <c r="C19" s="202"/>
      <c r="D19" s="200"/>
      <c r="E19" s="200"/>
      <c r="F19" s="203"/>
      <c r="G19" s="203"/>
      <c r="H19" s="203"/>
      <c r="I19" s="203"/>
      <c r="J19" s="203" t="e">
        <f t="shared" si="0"/>
        <v>#DIV/0!</v>
      </c>
      <c r="K19" s="203"/>
      <c r="L19" s="203"/>
      <c r="M19" s="203"/>
      <c r="N19" s="203"/>
      <c r="O19" s="214" t="e">
        <f t="shared" si="1"/>
        <v>#DIV/0!</v>
      </c>
      <c r="P19" s="203"/>
      <c r="Q19" s="203"/>
      <c r="R19" s="203">
        <v>81</v>
      </c>
      <c r="S19" s="203">
        <v>192</v>
      </c>
      <c r="T19" s="203">
        <v>21</v>
      </c>
      <c r="U19" s="203">
        <v>88</v>
      </c>
      <c r="V19" s="203">
        <v>185</v>
      </c>
      <c r="W19" s="203">
        <v>1.2</v>
      </c>
      <c r="X19" s="203">
        <v>54</v>
      </c>
      <c r="Y19" s="203">
        <v>31</v>
      </c>
      <c r="Z19" s="203">
        <f t="shared" si="2"/>
        <v>37</v>
      </c>
      <c r="AA19" s="203">
        <f t="shared" si="3"/>
        <v>101</v>
      </c>
      <c r="AB19" s="203"/>
      <c r="AC19" s="203"/>
      <c r="AD19" s="203"/>
      <c r="AE19" s="203"/>
    </row>
    <row r="20" spans="1:31" x14ac:dyDescent="0.2">
      <c r="A20" s="200" t="s">
        <v>8266</v>
      </c>
      <c r="B20" s="201">
        <v>44636</v>
      </c>
      <c r="C20" s="202"/>
      <c r="D20" s="200"/>
      <c r="E20" s="200"/>
      <c r="F20" s="203"/>
      <c r="G20" s="203"/>
      <c r="H20" s="203"/>
      <c r="I20" s="203"/>
      <c r="J20" s="203" t="e">
        <f t="shared" si="0"/>
        <v>#DIV/0!</v>
      </c>
      <c r="K20" s="203"/>
      <c r="L20" s="203"/>
      <c r="M20" s="203"/>
      <c r="N20" s="203"/>
      <c r="O20" s="214" t="e">
        <f t="shared" si="1"/>
        <v>#DIV/0!</v>
      </c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>
        <f t="shared" si="2"/>
        <v>0</v>
      </c>
      <c r="AA20" s="203">
        <f t="shared" si="3"/>
        <v>0</v>
      </c>
      <c r="AB20" s="203"/>
      <c r="AC20" s="203"/>
      <c r="AD20" s="203"/>
      <c r="AE20" s="203"/>
    </row>
    <row r="21" spans="1:31" x14ac:dyDescent="0.2">
      <c r="A21" s="200" t="s">
        <v>8267</v>
      </c>
      <c r="B21" s="201">
        <v>44714</v>
      </c>
      <c r="C21" s="209">
        <v>1</v>
      </c>
      <c r="D21" s="200" t="s">
        <v>196</v>
      </c>
      <c r="E21" s="200">
        <v>18</v>
      </c>
      <c r="F21" s="203">
        <v>45.8</v>
      </c>
      <c r="G21" s="203">
        <v>1.65</v>
      </c>
      <c r="H21" s="210">
        <v>63</v>
      </c>
      <c r="I21" s="203">
        <v>80</v>
      </c>
      <c r="J21" s="203">
        <f t="shared" si="0"/>
        <v>0.78749999999999998</v>
      </c>
      <c r="K21" s="210">
        <v>16</v>
      </c>
      <c r="L21" s="203"/>
      <c r="M21" s="203">
        <v>9</v>
      </c>
      <c r="N21" s="203"/>
      <c r="O21" s="211">
        <f t="shared" si="1"/>
        <v>16.822773186409552</v>
      </c>
      <c r="P21" s="203">
        <v>100</v>
      </c>
      <c r="Q21" s="203">
        <v>77</v>
      </c>
      <c r="R21" s="203">
        <v>65</v>
      </c>
      <c r="S21" s="203">
        <v>154</v>
      </c>
      <c r="T21" s="203">
        <v>13</v>
      </c>
      <c r="U21" s="203">
        <v>17</v>
      </c>
      <c r="V21" s="203">
        <v>51</v>
      </c>
      <c r="W21" s="203">
        <v>0.76</v>
      </c>
      <c r="X21" s="203">
        <v>63</v>
      </c>
      <c r="Y21" s="203">
        <v>21</v>
      </c>
      <c r="Z21" s="203">
        <f t="shared" si="2"/>
        <v>10.200000000000001</v>
      </c>
      <c r="AA21" s="203">
        <f t="shared" si="3"/>
        <v>80.8</v>
      </c>
      <c r="AB21" s="203"/>
      <c r="AC21" s="203"/>
      <c r="AD21" s="203"/>
      <c r="AE21" s="203"/>
    </row>
    <row r="22" spans="1:31" x14ac:dyDescent="0.2">
      <c r="A22" s="200" t="s">
        <v>8268</v>
      </c>
      <c r="B22" s="201">
        <v>44638</v>
      </c>
      <c r="C22" s="202">
        <v>2</v>
      </c>
      <c r="D22" s="200"/>
      <c r="E22" s="200"/>
      <c r="F22" s="203"/>
      <c r="G22" s="203"/>
      <c r="H22" s="203"/>
      <c r="I22" s="203"/>
      <c r="J22" s="203" t="e">
        <f t="shared" si="0"/>
        <v>#DIV/0!</v>
      </c>
      <c r="K22" s="203"/>
      <c r="L22" s="203"/>
      <c r="M22" s="203"/>
      <c r="N22" s="203"/>
      <c r="O22" s="214" t="e">
        <f t="shared" si="1"/>
        <v>#DIV/0!</v>
      </c>
      <c r="P22" s="203"/>
      <c r="Q22" s="203"/>
      <c r="R22" s="203">
        <v>88</v>
      </c>
      <c r="S22" s="203">
        <v>123</v>
      </c>
      <c r="T22" s="203">
        <v>13</v>
      </c>
      <c r="U22" s="203">
        <v>29</v>
      </c>
      <c r="V22" s="203">
        <v>48</v>
      </c>
      <c r="W22" s="203">
        <v>0.87</v>
      </c>
      <c r="X22" s="203">
        <v>42</v>
      </c>
      <c r="Y22" s="203">
        <v>25</v>
      </c>
      <c r="Z22" s="203">
        <f t="shared" si="2"/>
        <v>9.6000000000000014</v>
      </c>
      <c r="AA22" s="203">
        <f>S22-X22-Z22</f>
        <v>71.400000000000006</v>
      </c>
      <c r="AB22" s="203"/>
      <c r="AC22" s="203"/>
      <c r="AD22" s="203"/>
      <c r="AE22" s="203"/>
    </row>
    <row r="23" spans="1:31" x14ac:dyDescent="0.2">
      <c r="A23" s="200" t="s">
        <v>8269</v>
      </c>
      <c r="B23" s="201">
        <v>44701</v>
      </c>
      <c r="C23" s="202">
        <v>2</v>
      </c>
      <c r="D23" s="200" t="s">
        <v>196</v>
      </c>
      <c r="E23" s="200"/>
      <c r="F23" s="203">
        <v>73</v>
      </c>
      <c r="G23" s="203">
        <v>1.56</v>
      </c>
      <c r="H23" s="203">
        <v>95</v>
      </c>
      <c r="I23" s="203">
        <v>114</v>
      </c>
      <c r="J23" s="203">
        <f t="shared" si="0"/>
        <v>0.83333333333333337</v>
      </c>
      <c r="K23" s="203">
        <v>40</v>
      </c>
      <c r="L23" s="203"/>
      <c r="M23" s="203">
        <v>37</v>
      </c>
      <c r="N23" s="203"/>
      <c r="O23" s="214">
        <f t="shared" si="1"/>
        <v>29.996712689020377</v>
      </c>
      <c r="P23" s="203">
        <v>11</v>
      </c>
      <c r="Q23" s="203">
        <v>74</v>
      </c>
      <c r="R23" s="203">
        <v>91.2</v>
      </c>
      <c r="S23" s="203">
        <v>149</v>
      </c>
      <c r="T23" s="203">
        <v>23</v>
      </c>
      <c r="U23" s="203">
        <v>38</v>
      </c>
      <c r="V23" s="203">
        <v>117</v>
      </c>
      <c r="W23" s="203">
        <v>0.84</v>
      </c>
      <c r="X23" s="203">
        <v>38</v>
      </c>
      <c r="Y23" s="203">
        <v>15</v>
      </c>
      <c r="Z23" s="203">
        <f t="shared" si="2"/>
        <v>23.400000000000002</v>
      </c>
      <c r="AA23" s="203">
        <f t="shared" si="3"/>
        <v>87.6</v>
      </c>
      <c r="AB23" s="203"/>
      <c r="AC23" s="203"/>
      <c r="AD23" s="203"/>
      <c r="AE23" s="203"/>
    </row>
    <row r="24" spans="1:31" x14ac:dyDescent="0.2">
      <c r="A24" s="200" t="s">
        <v>8270</v>
      </c>
      <c r="B24" s="201">
        <v>44640</v>
      </c>
      <c r="C24" s="202"/>
      <c r="D24" s="200"/>
      <c r="E24" s="200"/>
      <c r="F24" s="203"/>
      <c r="G24" s="203"/>
      <c r="H24" s="203"/>
      <c r="I24" s="203"/>
      <c r="J24" s="203" t="e">
        <f t="shared" si="0"/>
        <v>#DIV/0!</v>
      </c>
      <c r="K24" s="203"/>
      <c r="L24" s="203"/>
      <c r="M24" s="203"/>
      <c r="N24" s="203"/>
      <c r="O24" s="214" t="e">
        <f t="shared" si="1"/>
        <v>#DIV/0!</v>
      </c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>
        <f t="shared" si="2"/>
        <v>0</v>
      </c>
      <c r="AA24" s="203">
        <f t="shared" si="3"/>
        <v>0</v>
      </c>
      <c r="AB24" s="203"/>
      <c r="AC24" s="203"/>
      <c r="AD24" s="203"/>
      <c r="AE24" s="203"/>
    </row>
    <row r="25" spans="1:31" x14ac:dyDescent="0.2">
      <c r="A25" s="200" t="s">
        <v>8271</v>
      </c>
      <c r="B25" s="201">
        <v>44641</v>
      </c>
      <c r="C25" s="202">
        <v>2</v>
      </c>
      <c r="D25" s="200" t="s">
        <v>675</v>
      </c>
      <c r="E25" s="200">
        <v>21</v>
      </c>
      <c r="F25" s="203">
        <v>80.2</v>
      </c>
      <c r="G25" s="203">
        <v>1.75</v>
      </c>
      <c r="H25" s="203">
        <v>92</v>
      </c>
      <c r="I25" s="203">
        <v>104</v>
      </c>
      <c r="J25" s="203">
        <f t="shared" si="0"/>
        <v>0.88461538461538458</v>
      </c>
      <c r="K25" s="203">
        <v>23.5</v>
      </c>
      <c r="L25" s="203">
        <v>23.9</v>
      </c>
      <c r="M25" s="203"/>
      <c r="N25" s="203"/>
      <c r="O25" s="214">
        <f t="shared" si="1"/>
        <v>26.187755102040818</v>
      </c>
      <c r="P25" s="203">
        <v>120</v>
      </c>
      <c r="Q25" s="203">
        <v>77</v>
      </c>
      <c r="R25" s="203">
        <v>86.1</v>
      </c>
      <c r="S25" s="203">
        <v>159</v>
      </c>
      <c r="T25" s="203">
        <v>22.4</v>
      </c>
      <c r="U25" s="203">
        <v>22.6</v>
      </c>
      <c r="V25" s="203">
        <v>94.1</v>
      </c>
      <c r="W25" s="203">
        <v>0.98</v>
      </c>
      <c r="X25" s="203">
        <v>69.2</v>
      </c>
      <c r="Y25" s="203">
        <v>32.4</v>
      </c>
      <c r="Z25" s="203">
        <f t="shared" si="2"/>
        <v>18.82</v>
      </c>
      <c r="AA25" s="203">
        <f t="shared" si="3"/>
        <v>70.97999999999999</v>
      </c>
      <c r="AB25" s="203"/>
      <c r="AC25" s="203"/>
      <c r="AD25" s="203"/>
      <c r="AE25" s="203"/>
    </row>
    <row r="26" spans="1:31" x14ac:dyDescent="0.2">
      <c r="A26" s="200" t="s">
        <v>8272</v>
      </c>
      <c r="B26" s="201">
        <v>44749</v>
      </c>
      <c r="C26" s="202">
        <v>2</v>
      </c>
      <c r="D26" s="200" t="s">
        <v>196</v>
      </c>
      <c r="E26" s="200">
        <v>20</v>
      </c>
      <c r="F26" s="203"/>
      <c r="G26" s="203"/>
      <c r="H26" s="203"/>
      <c r="I26" s="203"/>
      <c r="J26" s="203" t="e">
        <f t="shared" si="0"/>
        <v>#DIV/0!</v>
      </c>
      <c r="K26" s="203"/>
      <c r="L26" s="203"/>
      <c r="M26" s="203"/>
      <c r="N26" s="203"/>
      <c r="O26" s="214" t="e">
        <f t="shared" si="1"/>
        <v>#DIV/0!</v>
      </c>
      <c r="P26" s="203"/>
      <c r="Q26" s="203"/>
      <c r="R26" s="203">
        <v>86</v>
      </c>
      <c r="S26" s="203">
        <v>178</v>
      </c>
      <c r="T26" s="203">
        <v>14</v>
      </c>
      <c r="U26" s="203">
        <v>21</v>
      </c>
      <c r="V26" s="203">
        <v>57</v>
      </c>
      <c r="W26" s="203">
        <v>1</v>
      </c>
      <c r="X26" s="203">
        <v>119</v>
      </c>
      <c r="Y26" s="203"/>
      <c r="Z26" s="203">
        <f t="shared" si="2"/>
        <v>11.4</v>
      </c>
      <c r="AA26" s="203">
        <f t="shared" si="3"/>
        <v>47.6</v>
      </c>
      <c r="AB26" s="203">
        <v>0.46</v>
      </c>
      <c r="AC26" s="203"/>
      <c r="AD26" s="203"/>
      <c r="AE26" s="203"/>
    </row>
    <row r="27" spans="1:31" x14ac:dyDescent="0.2">
      <c r="A27" s="200" t="s">
        <v>8273</v>
      </c>
      <c r="B27" s="201">
        <v>44749</v>
      </c>
      <c r="C27" s="202">
        <v>3</v>
      </c>
      <c r="D27" s="200" t="s">
        <v>196</v>
      </c>
      <c r="E27" s="200">
        <v>57</v>
      </c>
      <c r="F27" s="203"/>
      <c r="G27" s="203"/>
      <c r="H27" s="203"/>
      <c r="I27" s="203"/>
      <c r="J27" s="203" t="e">
        <f t="shared" si="0"/>
        <v>#DIV/0!</v>
      </c>
      <c r="K27" s="203"/>
      <c r="L27" s="203"/>
      <c r="M27" s="203"/>
      <c r="N27" s="203"/>
      <c r="O27" s="214" t="e">
        <f t="shared" si="1"/>
        <v>#DIV/0!</v>
      </c>
      <c r="P27" s="203"/>
      <c r="Q27" s="203"/>
      <c r="R27" s="217">
        <v>116</v>
      </c>
      <c r="S27" s="203">
        <v>224</v>
      </c>
      <c r="T27" s="203">
        <v>27</v>
      </c>
      <c r="U27" s="203">
        <v>25</v>
      </c>
      <c r="V27" s="213">
        <v>268</v>
      </c>
      <c r="W27" s="203">
        <v>1</v>
      </c>
      <c r="X27" s="203">
        <v>63</v>
      </c>
      <c r="Y27" s="203"/>
      <c r="Z27" s="203">
        <f t="shared" si="2"/>
        <v>53.6</v>
      </c>
      <c r="AA27" s="203">
        <f t="shared" si="3"/>
        <v>107.4</v>
      </c>
      <c r="AB27" s="203">
        <v>0.64</v>
      </c>
      <c r="AC27" s="203"/>
      <c r="AD27" s="203"/>
      <c r="AE27" s="203"/>
    </row>
    <row r="28" spans="1:31" x14ac:dyDescent="0.2">
      <c r="A28" s="200" t="s">
        <v>8274</v>
      </c>
      <c r="B28" s="201">
        <v>44749</v>
      </c>
      <c r="C28" s="202">
        <v>2</v>
      </c>
      <c r="D28" s="200" t="s">
        <v>675</v>
      </c>
      <c r="E28" s="200">
        <v>42</v>
      </c>
      <c r="F28" s="203"/>
      <c r="G28" s="203"/>
      <c r="H28" s="203"/>
      <c r="I28" s="203"/>
      <c r="J28" s="203" t="e">
        <f t="shared" si="0"/>
        <v>#DIV/0!</v>
      </c>
      <c r="K28" s="203"/>
      <c r="L28" s="203"/>
      <c r="M28" s="203"/>
      <c r="N28" s="203"/>
      <c r="O28" s="214" t="e">
        <f t="shared" si="1"/>
        <v>#DIV/0!</v>
      </c>
      <c r="P28" s="203"/>
      <c r="Q28" s="203"/>
      <c r="R28" s="203">
        <v>87</v>
      </c>
      <c r="S28" s="203">
        <v>256</v>
      </c>
      <c r="T28" s="203">
        <v>31</v>
      </c>
      <c r="U28" s="203">
        <v>32</v>
      </c>
      <c r="V28" s="203">
        <v>138</v>
      </c>
      <c r="W28" s="203">
        <v>1</v>
      </c>
      <c r="X28" s="203">
        <v>91</v>
      </c>
      <c r="Y28" s="203"/>
      <c r="Z28" s="203">
        <f t="shared" si="2"/>
        <v>27.6</v>
      </c>
      <c r="AA28" s="203">
        <f t="shared" si="3"/>
        <v>137.4</v>
      </c>
      <c r="AB28" s="203">
        <v>1.61</v>
      </c>
      <c r="AC28" s="203"/>
      <c r="AD28" s="203"/>
      <c r="AE28" s="203"/>
    </row>
    <row r="29" spans="1:31" x14ac:dyDescent="0.2">
      <c r="A29" s="200" t="s">
        <v>8275</v>
      </c>
      <c r="B29" s="201">
        <v>44749</v>
      </c>
      <c r="C29" s="202">
        <v>3</v>
      </c>
      <c r="D29" s="200" t="s">
        <v>196</v>
      </c>
      <c r="E29" s="200">
        <v>65</v>
      </c>
      <c r="F29" s="203"/>
      <c r="G29" s="203"/>
      <c r="H29" s="203"/>
      <c r="I29" s="203"/>
      <c r="J29" s="203" t="e">
        <f t="shared" si="0"/>
        <v>#DIV/0!</v>
      </c>
      <c r="K29" s="203"/>
      <c r="L29" s="203"/>
      <c r="M29" s="203"/>
      <c r="N29" s="203"/>
      <c r="O29" s="214" t="e">
        <f t="shared" si="1"/>
        <v>#DIV/0!</v>
      </c>
      <c r="P29" s="203"/>
      <c r="Q29" s="203"/>
      <c r="R29" s="213">
        <v>173</v>
      </c>
      <c r="S29" s="203">
        <v>213</v>
      </c>
      <c r="T29" s="203">
        <v>39</v>
      </c>
      <c r="U29" s="203">
        <v>41</v>
      </c>
      <c r="V29" s="213">
        <v>154</v>
      </c>
      <c r="W29" s="203">
        <v>1</v>
      </c>
      <c r="X29" s="203">
        <v>64</v>
      </c>
      <c r="Y29" s="203"/>
      <c r="Z29" s="203">
        <f t="shared" si="2"/>
        <v>30.8</v>
      </c>
      <c r="AA29" s="203">
        <f t="shared" si="3"/>
        <v>118.2</v>
      </c>
      <c r="AB29" s="203">
        <v>0.56999999999999995</v>
      </c>
      <c r="AC29" s="203"/>
      <c r="AD29" s="203"/>
      <c r="AE29" s="203"/>
    </row>
    <row r="30" spans="1:31" x14ac:dyDescent="0.2">
      <c r="A30" s="200" t="s">
        <v>8276</v>
      </c>
      <c r="B30" s="201">
        <v>44749</v>
      </c>
      <c r="C30" s="202">
        <v>2</v>
      </c>
      <c r="D30" s="200" t="s">
        <v>196</v>
      </c>
      <c r="E30" s="200">
        <v>43</v>
      </c>
      <c r="F30" s="203"/>
      <c r="G30" s="203"/>
      <c r="H30" s="203"/>
      <c r="I30" s="203"/>
      <c r="J30" s="203" t="e">
        <f t="shared" si="0"/>
        <v>#DIV/0!</v>
      </c>
      <c r="K30" s="203"/>
      <c r="L30" s="203"/>
      <c r="M30" s="203"/>
      <c r="N30" s="203"/>
      <c r="O30" s="214" t="e">
        <f t="shared" si="1"/>
        <v>#DIV/0!</v>
      </c>
      <c r="P30" s="203"/>
      <c r="Q30" s="203"/>
      <c r="R30" s="203">
        <v>93</v>
      </c>
      <c r="S30" s="203">
        <v>265</v>
      </c>
      <c r="T30" s="203">
        <v>29</v>
      </c>
      <c r="U30" s="203">
        <v>29</v>
      </c>
      <c r="V30" s="213">
        <v>244</v>
      </c>
      <c r="W30" s="203">
        <v>1</v>
      </c>
      <c r="X30" s="203">
        <v>106</v>
      </c>
      <c r="Y30" s="203"/>
      <c r="Z30" s="203">
        <f t="shared" si="2"/>
        <v>48.800000000000004</v>
      </c>
      <c r="AA30" s="203">
        <f t="shared" si="3"/>
        <v>110.19999999999999</v>
      </c>
      <c r="AB30" s="203">
        <v>0.48</v>
      </c>
      <c r="AC30" s="203"/>
      <c r="AD30" s="203"/>
      <c r="AE30" s="203"/>
    </row>
    <row r="31" spans="1:31" x14ac:dyDescent="0.2">
      <c r="A31" s="200" t="s">
        <v>8277</v>
      </c>
      <c r="B31" s="201">
        <v>44749</v>
      </c>
      <c r="C31" s="202">
        <v>2</v>
      </c>
      <c r="D31" s="200" t="s">
        <v>196</v>
      </c>
      <c r="E31" s="200"/>
      <c r="F31" s="203"/>
      <c r="G31" s="203"/>
      <c r="H31" s="203"/>
      <c r="I31" s="203"/>
      <c r="J31" s="203" t="e">
        <f t="shared" si="0"/>
        <v>#DIV/0!</v>
      </c>
      <c r="K31" s="203"/>
      <c r="L31" s="203"/>
      <c r="M31" s="203"/>
      <c r="N31" s="203"/>
      <c r="O31" s="214" t="e">
        <f t="shared" si="1"/>
        <v>#DIV/0!</v>
      </c>
      <c r="P31" s="203"/>
      <c r="Q31" s="203"/>
      <c r="R31" s="203">
        <v>79</v>
      </c>
      <c r="S31" s="203">
        <v>166</v>
      </c>
      <c r="T31" s="203">
        <v>23</v>
      </c>
      <c r="U31" s="203">
        <v>20</v>
      </c>
      <c r="V31" s="203">
        <v>32</v>
      </c>
      <c r="W31" s="203">
        <v>1</v>
      </c>
      <c r="X31" s="203">
        <v>71</v>
      </c>
      <c r="Y31" s="203"/>
      <c r="Z31" s="203">
        <f t="shared" si="2"/>
        <v>6.4</v>
      </c>
      <c r="AA31" s="203">
        <f t="shared" si="3"/>
        <v>88.6</v>
      </c>
      <c r="AB31" s="203">
        <v>0.72</v>
      </c>
      <c r="AC31" s="203"/>
      <c r="AD31" s="203"/>
      <c r="AE31" s="203"/>
    </row>
    <row r="32" spans="1:31" x14ac:dyDescent="0.2">
      <c r="A32" s="200" t="s">
        <v>8278</v>
      </c>
      <c r="B32" s="201">
        <v>44648</v>
      </c>
      <c r="C32" s="212">
        <v>3</v>
      </c>
      <c r="D32" s="200" t="s">
        <v>196</v>
      </c>
      <c r="E32" s="200">
        <v>65</v>
      </c>
      <c r="F32" s="203">
        <v>74.2</v>
      </c>
      <c r="G32" s="203">
        <v>1.5</v>
      </c>
      <c r="H32" s="203">
        <v>97</v>
      </c>
      <c r="I32" s="203">
        <v>107</v>
      </c>
      <c r="J32" s="203">
        <f t="shared" si="0"/>
        <v>0.90654205607476634</v>
      </c>
      <c r="K32" s="203">
        <v>45</v>
      </c>
      <c r="L32" s="203">
        <v>13</v>
      </c>
      <c r="M32" s="203">
        <v>38.700000000000003</v>
      </c>
      <c r="N32" s="203">
        <v>82</v>
      </c>
      <c r="O32" s="214">
        <f t="shared" si="1"/>
        <v>32.977777777777781</v>
      </c>
      <c r="P32" s="203">
        <v>120</v>
      </c>
      <c r="Q32" s="203">
        <v>78</v>
      </c>
      <c r="R32" s="217">
        <v>110</v>
      </c>
      <c r="S32" s="203">
        <v>210</v>
      </c>
      <c r="T32" s="203">
        <v>11.6</v>
      </c>
      <c r="U32" s="203">
        <v>22</v>
      </c>
      <c r="V32" s="213">
        <v>155</v>
      </c>
      <c r="W32" s="203">
        <v>0.77</v>
      </c>
      <c r="X32" s="213">
        <v>42.2</v>
      </c>
      <c r="Y32" s="203">
        <v>60.7</v>
      </c>
      <c r="Z32" s="203">
        <f t="shared" si="2"/>
        <v>31</v>
      </c>
      <c r="AA32" s="203">
        <f t="shared" si="3"/>
        <v>136.80000000000001</v>
      </c>
      <c r="AB32" s="203"/>
      <c r="AC32" s="203"/>
      <c r="AD32" s="203"/>
      <c r="AE32" s="203"/>
    </row>
    <row r="33" spans="1:31" x14ac:dyDescent="0.2">
      <c r="A33" s="200" t="s">
        <v>8279</v>
      </c>
      <c r="B33" s="201">
        <v>44714</v>
      </c>
      <c r="C33" s="202">
        <v>2</v>
      </c>
      <c r="D33" s="200"/>
      <c r="E33" s="200">
        <v>24</v>
      </c>
      <c r="F33" s="203">
        <v>101.4</v>
      </c>
      <c r="G33" s="203">
        <v>1.65</v>
      </c>
      <c r="H33" s="203">
        <v>119</v>
      </c>
      <c r="I33" s="203">
        <v>123</v>
      </c>
      <c r="J33" s="203">
        <f t="shared" si="0"/>
        <v>0.96747967479674801</v>
      </c>
      <c r="K33" s="203">
        <v>32.1</v>
      </c>
      <c r="L33" s="203">
        <v>15</v>
      </c>
      <c r="M33" s="203">
        <v>26</v>
      </c>
      <c r="N33" s="203"/>
      <c r="O33" s="214">
        <f t="shared" si="1"/>
        <v>37.245179063360887</v>
      </c>
      <c r="P33" s="203">
        <v>124</v>
      </c>
      <c r="Q33" s="203">
        <v>85</v>
      </c>
      <c r="R33" s="203">
        <v>80.2</v>
      </c>
      <c r="S33" s="203">
        <v>190</v>
      </c>
      <c r="T33" s="203">
        <v>21.7</v>
      </c>
      <c r="U33" s="203">
        <v>41.8</v>
      </c>
      <c r="V33" s="213">
        <v>177.4</v>
      </c>
      <c r="W33" s="203">
        <v>0.78</v>
      </c>
      <c r="X33" s="203">
        <v>51</v>
      </c>
      <c r="Y33" s="203">
        <v>32</v>
      </c>
      <c r="Z33" s="203">
        <f t="shared" si="2"/>
        <v>35.480000000000004</v>
      </c>
      <c r="AA33" s="203">
        <f t="shared" si="3"/>
        <v>103.52</v>
      </c>
      <c r="AB33" s="203"/>
      <c r="AC33" s="203"/>
      <c r="AD33" s="203"/>
      <c r="AE33" s="203"/>
    </row>
    <row r="34" spans="1:31" x14ac:dyDescent="0.2">
      <c r="A34" s="200" t="s">
        <v>8280</v>
      </c>
      <c r="B34" s="201">
        <v>44650</v>
      </c>
      <c r="C34" s="202">
        <v>2</v>
      </c>
      <c r="D34" s="200" t="s">
        <v>196</v>
      </c>
      <c r="E34" s="200">
        <v>43</v>
      </c>
      <c r="F34" s="203">
        <v>80</v>
      </c>
      <c r="G34" s="203">
        <v>1.56</v>
      </c>
      <c r="H34" s="203">
        <v>104</v>
      </c>
      <c r="I34" s="203">
        <v>109</v>
      </c>
      <c r="J34" s="203">
        <f t="shared" si="0"/>
        <v>0.95412844036697253</v>
      </c>
      <c r="K34" s="203">
        <v>41.9</v>
      </c>
      <c r="L34" s="203">
        <v>9</v>
      </c>
      <c r="M34" s="203">
        <v>43</v>
      </c>
      <c r="N34" s="203"/>
      <c r="O34" s="214">
        <f t="shared" si="1"/>
        <v>32.873109796186718</v>
      </c>
      <c r="P34" s="203">
        <v>100</v>
      </c>
      <c r="Q34" s="203">
        <v>78</v>
      </c>
      <c r="R34" s="203"/>
      <c r="S34" s="203"/>
      <c r="T34" s="203"/>
      <c r="U34" s="203"/>
      <c r="V34" s="203"/>
      <c r="W34" s="203"/>
      <c r="X34" s="203"/>
      <c r="Y34" s="203"/>
      <c r="Z34" s="203">
        <f t="shared" si="2"/>
        <v>0</v>
      </c>
      <c r="AA34" s="203">
        <f t="shared" si="3"/>
        <v>0</v>
      </c>
      <c r="AB34" s="203"/>
      <c r="AC34" s="203"/>
      <c r="AD34" s="203"/>
      <c r="AE34" s="203"/>
    </row>
    <row r="35" spans="1:31" x14ac:dyDescent="0.2">
      <c r="A35" s="200" t="s">
        <v>8281</v>
      </c>
      <c r="B35" s="201">
        <v>44651</v>
      </c>
      <c r="C35" s="209">
        <v>1</v>
      </c>
      <c r="D35" s="200" t="s">
        <v>196</v>
      </c>
      <c r="E35" s="200"/>
      <c r="F35" s="200">
        <v>62.6</v>
      </c>
      <c r="G35" s="203">
        <v>1.6</v>
      </c>
      <c r="H35" s="203">
        <v>79</v>
      </c>
      <c r="I35" s="203">
        <v>90</v>
      </c>
      <c r="J35" s="203">
        <f t="shared" si="0"/>
        <v>0.87777777777777777</v>
      </c>
      <c r="K35" s="203">
        <v>12.1</v>
      </c>
      <c r="L35" s="203">
        <v>3</v>
      </c>
      <c r="M35" s="203">
        <v>39.799999999999997</v>
      </c>
      <c r="N35" s="203"/>
      <c r="O35" s="211">
        <f t="shared" si="1"/>
        <v>24.453124999999996</v>
      </c>
      <c r="P35" s="203">
        <v>93</v>
      </c>
      <c r="Q35" s="203">
        <v>62</v>
      </c>
      <c r="R35" s="203">
        <v>83.2</v>
      </c>
      <c r="S35" s="203">
        <v>182</v>
      </c>
      <c r="T35" s="203">
        <v>26.4</v>
      </c>
      <c r="U35" s="203">
        <v>51.4</v>
      </c>
      <c r="V35" s="203">
        <v>104.1</v>
      </c>
      <c r="W35" s="203">
        <v>0.86</v>
      </c>
      <c r="X35" s="203">
        <v>49.9</v>
      </c>
      <c r="Y35" s="203">
        <v>28.6</v>
      </c>
      <c r="Z35" s="203">
        <f t="shared" si="2"/>
        <v>20.82</v>
      </c>
      <c r="AA35" s="203">
        <f t="shared" si="3"/>
        <v>111.28</v>
      </c>
      <c r="AB35" s="203"/>
      <c r="AC35" s="203"/>
      <c r="AD35" s="203"/>
      <c r="AE35" s="203"/>
    </row>
    <row r="36" spans="1:31" x14ac:dyDescent="0.2">
      <c r="A36" s="200" t="s">
        <v>8282</v>
      </c>
      <c r="B36" s="201">
        <v>44652</v>
      </c>
      <c r="C36" s="202"/>
      <c r="D36" s="200"/>
      <c r="E36" s="200"/>
      <c r="F36" s="203"/>
      <c r="G36" s="203"/>
      <c r="H36" s="203"/>
      <c r="I36" s="203"/>
      <c r="J36" s="203" t="e">
        <f t="shared" si="0"/>
        <v>#DIV/0!</v>
      </c>
      <c r="K36" s="203"/>
      <c r="L36" s="203"/>
      <c r="M36" s="203"/>
      <c r="N36" s="203"/>
      <c r="O36" s="214" t="e">
        <f t="shared" si="1"/>
        <v>#DIV/0!</v>
      </c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>
        <f t="shared" si="2"/>
        <v>0</v>
      </c>
      <c r="AA36" s="203">
        <f t="shared" si="3"/>
        <v>0</v>
      </c>
      <c r="AB36" s="203"/>
      <c r="AC36" s="203"/>
      <c r="AD36" s="203"/>
      <c r="AE36" s="203"/>
    </row>
    <row r="37" spans="1:31" x14ac:dyDescent="0.2">
      <c r="A37" s="200" t="s">
        <v>8283</v>
      </c>
      <c r="B37" s="201">
        <v>44714</v>
      </c>
      <c r="C37" s="202">
        <v>2</v>
      </c>
      <c r="D37" s="200" t="s">
        <v>196</v>
      </c>
      <c r="E37" s="200">
        <v>45</v>
      </c>
      <c r="F37" s="203">
        <v>82.3</v>
      </c>
      <c r="G37" s="203">
        <v>1.6</v>
      </c>
      <c r="H37" s="203">
        <v>99</v>
      </c>
      <c r="I37" s="203">
        <v>114</v>
      </c>
      <c r="J37" s="203">
        <f t="shared" si="0"/>
        <v>0.86842105263157898</v>
      </c>
      <c r="K37" s="203">
        <v>24.7</v>
      </c>
      <c r="L37" s="203">
        <v>9</v>
      </c>
      <c r="M37" s="203">
        <v>31</v>
      </c>
      <c r="N37" s="203"/>
      <c r="O37" s="214">
        <f t="shared" si="1"/>
        <v>32.148437499999993</v>
      </c>
      <c r="P37" s="203">
        <v>111</v>
      </c>
      <c r="Q37" s="203">
        <v>73</v>
      </c>
      <c r="R37" s="203">
        <v>86.2</v>
      </c>
      <c r="S37" s="203">
        <v>189</v>
      </c>
      <c r="T37" s="203">
        <v>10.9</v>
      </c>
      <c r="U37" s="203">
        <v>19.2</v>
      </c>
      <c r="V37" s="203">
        <v>71.099999999999994</v>
      </c>
      <c r="W37" s="203">
        <v>0.98</v>
      </c>
      <c r="X37" s="203">
        <v>91.9</v>
      </c>
      <c r="Y37" s="203">
        <v>25.4</v>
      </c>
      <c r="Z37" s="203">
        <f t="shared" si="2"/>
        <v>14.219999999999999</v>
      </c>
      <c r="AA37" s="203">
        <f>S37-X37-Z37</f>
        <v>82.88</v>
      </c>
      <c r="AB37" s="203"/>
      <c r="AC37" s="203"/>
      <c r="AD37" s="203"/>
      <c r="AE37" s="203"/>
    </row>
    <row r="38" spans="1:31" x14ac:dyDescent="0.2">
      <c r="A38" s="200" t="s">
        <v>8284</v>
      </c>
      <c r="B38" s="201">
        <v>44714</v>
      </c>
      <c r="C38" s="202">
        <v>2</v>
      </c>
      <c r="D38" s="200" t="s">
        <v>196</v>
      </c>
      <c r="E38" s="200">
        <v>50</v>
      </c>
      <c r="F38" s="203">
        <v>93</v>
      </c>
      <c r="G38" s="203">
        <v>1.62</v>
      </c>
      <c r="H38" s="203">
        <v>99</v>
      </c>
      <c r="I38" s="203">
        <v>124</v>
      </c>
      <c r="J38" s="203">
        <f t="shared" si="0"/>
        <v>0.79838709677419351</v>
      </c>
      <c r="K38" s="203">
        <v>29</v>
      </c>
      <c r="L38" s="203">
        <v>13</v>
      </c>
      <c r="M38" s="203">
        <v>29</v>
      </c>
      <c r="N38" s="203"/>
      <c r="O38" s="216">
        <f t="shared" si="1"/>
        <v>35.436671239140367</v>
      </c>
      <c r="P38" s="203">
        <v>104</v>
      </c>
      <c r="Q38" s="203">
        <v>77</v>
      </c>
      <c r="R38" s="203">
        <v>94.8</v>
      </c>
      <c r="S38" s="203">
        <v>214</v>
      </c>
      <c r="T38" s="203">
        <v>12.3</v>
      </c>
      <c r="U38" s="203">
        <v>44.5</v>
      </c>
      <c r="V38" s="203">
        <v>114.5</v>
      </c>
      <c r="W38" s="203">
        <v>0.94</v>
      </c>
      <c r="X38" s="203">
        <v>89.3</v>
      </c>
      <c r="Y38" s="203">
        <v>37.9</v>
      </c>
      <c r="Z38" s="203">
        <f t="shared" si="2"/>
        <v>22.900000000000002</v>
      </c>
      <c r="AA38" s="203">
        <f t="shared" si="3"/>
        <v>101.8</v>
      </c>
      <c r="AB38" s="203"/>
      <c r="AC38" s="203"/>
      <c r="AD38" s="203"/>
      <c r="AE38" s="203"/>
    </row>
    <row r="39" spans="1:31" x14ac:dyDescent="0.2">
      <c r="A39" s="200" t="s">
        <v>8285</v>
      </c>
      <c r="B39" s="201">
        <v>44655</v>
      </c>
      <c r="C39" s="202"/>
      <c r="D39" s="200"/>
      <c r="E39" s="200"/>
      <c r="F39" s="203"/>
      <c r="G39" s="203"/>
      <c r="H39" s="203"/>
      <c r="I39" s="203"/>
      <c r="J39" s="203" t="e">
        <f t="shared" si="0"/>
        <v>#DIV/0!</v>
      </c>
      <c r="K39" s="203"/>
      <c r="L39" s="203"/>
      <c r="M39" s="203"/>
      <c r="N39" s="203"/>
      <c r="O39" s="214" t="e">
        <f t="shared" si="1"/>
        <v>#DIV/0!</v>
      </c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>
        <f t="shared" si="2"/>
        <v>0</v>
      </c>
      <c r="AA39" s="203">
        <f>S39-X39-Z39</f>
        <v>0</v>
      </c>
      <c r="AB39" s="203"/>
      <c r="AC39" s="203"/>
      <c r="AD39" s="203"/>
      <c r="AE39" s="203"/>
    </row>
    <row r="40" spans="1:31" x14ac:dyDescent="0.2">
      <c r="A40" s="200" t="s">
        <v>8286</v>
      </c>
      <c r="B40" s="201">
        <v>44656</v>
      </c>
      <c r="C40" s="202">
        <v>2</v>
      </c>
      <c r="D40" s="200" t="s">
        <v>675</v>
      </c>
      <c r="E40" s="200"/>
      <c r="F40" s="203">
        <v>110</v>
      </c>
      <c r="G40" s="203">
        <v>1.79</v>
      </c>
      <c r="H40" s="203">
        <v>109</v>
      </c>
      <c r="I40" s="203">
        <v>121</v>
      </c>
      <c r="J40" s="203">
        <f t="shared" si="0"/>
        <v>0.90082644628099173</v>
      </c>
      <c r="K40" s="203">
        <v>3404</v>
      </c>
      <c r="L40" s="203">
        <v>18</v>
      </c>
      <c r="M40" s="203">
        <v>24.9</v>
      </c>
      <c r="N40" s="203"/>
      <c r="O40" s="214">
        <f t="shared" si="1"/>
        <v>34.331013389095226</v>
      </c>
      <c r="P40" s="203">
        <v>122</v>
      </c>
      <c r="Q40" s="203">
        <v>79</v>
      </c>
      <c r="R40" s="203">
        <v>89.3</v>
      </c>
      <c r="S40" s="203">
        <v>183</v>
      </c>
      <c r="T40" s="203">
        <v>33.200000000000003</v>
      </c>
      <c r="U40" s="203">
        <v>91.8</v>
      </c>
      <c r="V40" s="215">
        <v>164.4</v>
      </c>
      <c r="W40" s="203">
        <v>1.06</v>
      </c>
      <c r="X40" s="203">
        <v>58.1</v>
      </c>
      <c r="Y40" s="203">
        <v>35.5</v>
      </c>
      <c r="Z40" s="203">
        <f t="shared" si="2"/>
        <v>32.880000000000003</v>
      </c>
      <c r="AA40" s="203">
        <f t="shared" si="3"/>
        <v>92.02000000000001</v>
      </c>
      <c r="AB40" s="203"/>
      <c r="AC40" s="203"/>
      <c r="AD40" s="203"/>
      <c r="AE40" s="203"/>
    </row>
    <row r="41" spans="1:31" x14ac:dyDescent="0.2">
      <c r="A41" s="200" t="s">
        <v>8287</v>
      </c>
      <c r="B41" s="201">
        <v>44722</v>
      </c>
      <c r="C41" s="202">
        <v>2</v>
      </c>
      <c r="D41" s="200" t="s">
        <v>675</v>
      </c>
      <c r="E41" s="200">
        <v>46</v>
      </c>
      <c r="F41" s="203">
        <v>87</v>
      </c>
      <c r="G41" s="203">
        <v>1.5</v>
      </c>
      <c r="H41" s="215">
        <v>104</v>
      </c>
      <c r="I41" s="203">
        <v>107</v>
      </c>
      <c r="J41" s="203">
        <f t="shared" si="0"/>
        <v>0.9719626168224299</v>
      </c>
      <c r="K41" s="203">
        <v>41.2</v>
      </c>
      <c r="L41" s="203">
        <v>19</v>
      </c>
      <c r="M41" s="203"/>
      <c r="N41" s="203"/>
      <c r="O41" s="216">
        <f t="shared" si="1"/>
        <v>38.666666666666664</v>
      </c>
      <c r="P41" s="203">
        <v>114</v>
      </c>
      <c r="Q41" s="203">
        <v>89</v>
      </c>
      <c r="R41" s="203">
        <v>88.2</v>
      </c>
      <c r="S41" s="215">
        <v>236</v>
      </c>
      <c r="T41" s="203">
        <v>28.1</v>
      </c>
      <c r="U41" s="203">
        <v>43.8</v>
      </c>
      <c r="V41" s="203">
        <v>136.30000000000001</v>
      </c>
      <c r="W41" s="203">
        <v>1.43</v>
      </c>
      <c r="X41" s="203">
        <v>77.7</v>
      </c>
      <c r="Y41" s="203"/>
      <c r="Z41" s="203">
        <f t="shared" si="2"/>
        <v>27.260000000000005</v>
      </c>
      <c r="AA41" s="203">
        <f t="shared" si="3"/>
        <v>131.04000000000002</v>
      </c>
      <c r="AB41" s="203"/>
      <c r="AC41" s="203"/>
      <c r="AD41" s="203"/>
      <c r="AE41" s="203"/>
    </row>
    <row r="42" spans="1:31" x14ac:dyDescent="0.2">
      <c r="A42" s="200" t="s">
        <v>8288</v>
      </c>
      <c r="B42" s="201">
        <v>44722</v>
      </c>
      <c r="C42" s="212">
        <v>3</v>
      </c>
      <c r="D42" s="200" t="s">
        <v>196</v>
      </c>
      <c r="E42" s="200">
        <v>62</v>
      </c>
      <c r="F42" s="203">
        <v>80.8</v>
      </c>
      <c r="G42" s="203">
        <v>1.54</v>
      </c>
      <c r="H42" s="203">
        <v>106</v>
      </c>
      <c r="I42" s="203">
        <v>119</v>
      </c>
      <c r="J42" s="203">
        <f t="shared" si="0"/>
        <v>0.89075630252100846</v>
      </c>
      <c r="K42" s="203">
        <v>23.8</v>
      </c>
      <c r="L42" s="203">
        <v>9</v>
      </c>
      <c r="M42" s="203"/>
      <c r="N42" s="203"/>
      <c r="O42" s="214">
        <f t="shared" si="1"/>
        <v>34.069826277618482</v>
      </c>
      <c r="P42" s="203">
        <v>112</v>
      </c>
      <c r="Q42" s="203">
        <v>84</v>
      </c>
      <c r="R42" s="215">
        <v>106.5</v>
      </c>
      <c r="S42" s="203">
        <v>174</v>
      </c>
      <c r="T42" s="203">
        <v>24.1</v>
      </c>
      <c r="U42" s="203">
        <v>52</v>
      </c>
      <c r="V42" s="215">
        <v>183.7</v>
      </c>
      <c r="W42" s="203">
        <v>1.07</v>
      </c>
      <c r="X42" s="215">
        <v>42.6</v>
      </c>
      <c r="Y42" s="203"/>
      <c r="Z42" s="203">
        <f t="shared" si="2"/>
        <v>36.74</v>
      </c>
      <c r="AA42" s="203">
        <f t="shared" si="3"/>
        <v>94.66</v>
      </c>
      <c r="AB42" s="203"/>
      <c r="AC42" s="203"/>
      <c r="AD42" s="203"/>
      <c r="AE42" s="203"/>
    </row>
    <row r="43" spans="1:31" x14ac:dyDescent="0.2">
      <c r="A43" s="200" t="s">
        <v>8289</v>
      </c>
      <c r="B43" s="201">
        <v>44659</v>
      </c>
      <c r="C43" s="212">
        <v>3</v>
      </c>
      <c r="D43" s="200" t="s">
        <v>196</v>
      </c>
      <c r="E43" s="200">
        <v>32</v>
      </c>
      <c r="F43" s="203">
        <v>153</v>
      </c>
      <c r="G43" s="203">
        <v>1.71</v>
      </c>
      <c r="H43" s="213">
        <v>133</v>
      </c>
      <c r="I43" s="203">
        <v>163</v>
      </c>
      <c r="J43" s="203">
        <f t="shared" si="0"/>
        <v>0.81595092024539873</v>
      </c>
      <c r="K43" s="203"/>
      <c r="L43" s="203"/>
      <c r="M43" s="203"/>
      <c r="N43" s="203"/>
      <c r="O43" s="216">
        <f t="shared" si="1"/>
        <v>52.32379193598031</v>
      </c>
      <c r="P43" s="203">
        <v>112</v>
      </c>
      <c r="Q43" s="203">
        <v>90</v>
      </c>
      <c r="R43" s="203"/>
      <c r="S43" s="203"/>
      <c r="T43" s="203"/>
      <c r="U43" s="203"/>
      <c r="V43" s="203"/>
      <c r="W43" s="203"/>
      <c r="X43" s="203"/>
      <c r="Y43" s="203"/>
      <c r="Z43" s="203">
        <f t="shared" si="2"/>
        <v>0</v>
      </c>
      <c r="AA43" s="203">
        <f t="shared" si="3"/>
        <v>0</v>
      </c>
      <c r="AB43" s="203"/>
      <c r="AC43" s="203"/>
      <c r="AD43" s="203"/>
      <c r="AE43" s="203"/>
    </row>
    <row r="44" spans="1:31" x14ac:dyDescent="0.2">
      <c r="A44" s="200" t="s">
        <v>8290</v>
      </c>
      <c r="B44" s="201">
        <v>44660</v>
      </c>
      <c r="C44" s="212">
        <v>3</v>
      </c>
      <c r="D44" s="200" t="s">
        <v>196</v>
      </c>
      <c r="E44" s="200"/>
      <c r="F44" s="203">
        <v>105</v>
      </c>
      <c r="G44" s="203">
        <v>1.6</v>
      </c>
      <c r="H44" s="213">
        <v>114</v>
      </c>
      <c r="I44" s="203">
        <v>130</v>
      </c>
      <c r="J44" s="203">
        <f t="shared" si="0"/>
        <v>0.87692307692307692</v>
      </c>
      <c r="K44" s="203">
        <v>31.9</v>
      </c>
      <c r="L44" s="203">
        <v>16</v>
      </c>
      <c r="M44" s="203">
        <v>28.5</v>
      </c>
      <c r="N44" s="203"/>
      <c r="O44" s="216">
        <f t="shared" si="1"/>
        <v>41.015624999999993</v>
      </c>
      <c r="P44" s="203">
        <v>115</v>
      </c>
      <c r="Q44" s="203">
        <v>93</v>
      </c>
      <c r="R44" s="215">
        <v>109.6</v>
      </c>
      <c r="S44" s="203">
        <v>160</v>
      </c>
      <c r="T44" s="203">
        <v>20.399999999999999</v>
      </c>
      <c r="U44" s="203">
        <v>37</v>
      </c>
      <c r="V44" s="215">
        <v>163.80000000000001</v>
      </c>
      <c r="W44" s="203">
        <v>0.9</v>
      </c>
      <c r="X44" s="203">
        <v>54.1</v>
      </c>
      <c r="Y44" s="203"/>
      <c r="Z44" s="203">
        <f t="shared" si="2"/>
        <v>32.760000000000005</v>
      </c>
      <c r="AA44" s="203">
        <f t="shared" si="3"/>
        <v>73.14</v>
      </c>
      <c r="AB44" s="203"/>
      <c r="AC44" s="203"/>
      <c r="AD44" s="203"/>
      <c r="AE44" s="203"/>
    </row>
    <row r="45" spans="1:31" x14ac:dyDescent="0.2">
      <c r="A45" s="200" t="s">
        <v>8291</v>
      </c>
      <c r="B45" s="201">
        <v>44714</v>
      </c>
      <c r="C45" s="202">
        <v>2</v>
      </c>
      <c r="D45" s="200" t="s">
        <v>196</v>
      </c>
      <c r="E45" s="200">
        <v>60</v>
      </c>
      <c r="F45" s="203">
        <v>70.2</v>
      </c>
      <c r="G45" s="203">
        <v>1.57</v>
      </c>
      <c r="H45" s="203">
        <v>95.5</v>
      </c>
      <c r="I45" s="203">
        <v>105</v>
      </c>
      <c r="J45" s="203">
        <f t="shared" si="0"/>
        <v>0.90952380952380951</v>
      </c>
      <c r="K45" s="203">
        <v>17.8</v>
      </c>
      <c r="L45" s="203">
        <v>6</v>
      </c>
      <c r="M45" s="203">
        <v>34.6</v>
      </c>
      <c r="N45" s="203"/>
      <c r="O45" s="214">
        <f t="shared" si="1"/>
        <v>28.479857195018052</v>
      </c>
      <c r="P45" s="203">
        <v>120</v>
      </c>
      <c r="Q45" s="203">
        <v>89</v>
      </c>
      <c r="R45" s="203">
        <v>93.7</v>
      </c>
      <c r="S45" s="215">
        <v>264</v>
      </c>
      <c r="T45" s="203">
        <v>19.7</v>
      </c>
      <c r="U45" s="203">
        <v>49.3</v>
      </c>
      <c r="V45" s="215">
        <v>192.4</v>
      </c>
      <c r="W45" s="203">
        <v>0.81</v>
      </c>
      <c r="X45" s="203">
        <v>64.8</v>
      </c>
      <c r="Y45" s="203">
        <v>28.1</v>
      </c>
      <c r="Z45" s="203">
        <f t="shared" si="2"/>
        <v>38.480000000000004</v>
      </c>
      <c r="AA45" s="203">
        <f t="shared" si="3"/>
        <v>160.71999999999997</v>
      </c>
      <c r="AB45" s="203"/>
      <c r="AC45" s="203"/>
      <c r="AD45" s="203"/>
      <c r="AE45" s="203"/>
    </row>
    <row r="46" spans="1:31" x14ac:dyDescent="0.2">
      <c r="A46" s="200" t="s">
        <v>8292</v>
      </c>
      <c r="B46" s="201">
        <v>44722</v>
      </c>
      <c r="C46" s="202">
        <v>2</v>
      </c>
      <c r="D46" s="200" t="s">
        <v>196</v>
      </c>
      <c r="E46" s="200">
        <v>21</v>
      </c>
      <c r="F46" s="203">
        <v>70.400000000000006</v>
      </c>
      <c r="G46" s="203">
        <v>1.63</v>
      </c>
      <c r="H46" s="203">
        <v>88</v>
      </c>
      <c r="I46" s="203">
        <v>105</v>
      </c>
      <c r="J46" s="203">
        <f t="shared" si="0"/>
        <v>0.83809523809523812</v>
      </c>
      <c r="K46" s="203">
        <v>17</v>
      </c>
      <c r="L46" s="203">
        <v>6</v>
      </c>
      <c r="M46" s="203">
        <v>31.4</v>
      </c>
      <c r="N46" s="203"/>
      <c r="O46" s="214">
        <f t="shared" si="1"/>
        <v>26.49704542888329</v>
      </c>
      <c r="P46" s="203">
        <v>106</v>
      </c>
      <c r="Q46" s="203">
        <v>77</v>
      </c>
      <c r="R46" s="203">
        <v>89.8</v>
      </c>
      <c r="S46" s="203">
        <v>163</v>
      </c>
      <c r="T46" s="203">
        <v>19</v>
      </c>
      <c r="U46" s="203">
        <v>21.9</v>
      </c>
      <c r="V46" s="203">
        <v>88.2</v>
      </c>
      <c r="W46" s="203">
        <v>0.98</v>
      </c>
      <c r="X46" s="203">
        <v>59.6</v>
      </c>
      <c r="Y46" s="203"/>
      <c r="Z46" s="203">
        <f t="shared" si="2"/>
        <v>17.64</v>
      </c>
      <c r="AA46" s="203">
        <f t="shared" si="3"/>
        <v>85.76</v>
      </c>
      <c r="AB46" s="203"/>
      <c r="AC46" s="203"/>
      <c r="AD46" s="203"/>
      <c r="AE46" s="203"/>
    </row>
    <row r="47" spans="1:31" x14ac:dyDescent="0.2">
      <c r="A47" s="200" t="s">
        <v>8293</v>
      </c>
      <c r="B47" s="201">
        <v>44722</v>
      </c>
      <c r="C47" s="202">
        <v>2</v>
      </c>
      <c r="D47" s="200" t="s">
        <v>675</v>
      </c>
      <c r="E47" s="200">
        <v>64</v>
      </c>
      <c r="F47" s="203">
        <v>97</v>
      </c>
      <c r="G47" s="203">
        <v>1.66</v>
      </c>
      <c r="H47" s="213">
        <v>113</v>
      </c>
      <c r="I47" s="203">
        <v>1109</v>
      </c>
      <c r="J47" s="203">
        <f t="shared" si="0"/>
        <v>0.10189359783588819</v>
      </c>
      <c r="K47" s="203"/>
      <c r="L47" s="203"/>
      <c r="M47" s="203"/>
      <c r="N47" s="203"/>
      <c r="O47" s="216">
        <f t="shared" si="1"/>
        <v>35.201045144433159</v>
      </c>
      <c r="P47" s="203">
        <v>125</v>
      </c>
      <c r="Q47" s="203">
        <v>86</v>
      </c>
      <c r="R47" s="203">
        <v>91.4</v>
      </c>
      <c r="S47" s="203">
        <v>186</v>
      </c>
      <c r="T47" s="203">
        <v>22.7</v>
      </c>
      <c r="U47" s="203">
        <v>48.6</v>
      </c>
      <c r="V47" s="203">
        <v>101.5</v>
      </c>
      <c r="W47" s="203">
        <v>1.29</v>
      </c>
      <c r="X47" s="203">
        <v>63.2</v>
      </c>
      <c r="Y47" s="203"/>
      <c r="Z47" s="203">
        <f t="shared" si="2"/>
        <v>20.3</v>
      </c>
      <c r="AA47" s="203">
        <f t="shared" si="3"/>
        <v>102.5</v>
      </c>
      <c r="AB47" s="203"/>
      <c r="AC47" s="203"/>
      <c r="AD47" s="203"/>
      <c r="AE47" s="203"/>
    </row>
    <row r="48" spans="1:31" x14ac:dyDescent="0.2">
      <c r="A48" s="200" t="s">
        <v>8294</v>
      </c>
      <c r="B48" s="201">
        <v>44728</v>
      </c>
      <c r="C48" s="202">
        <v>2</v>
      </c>
      <c r="D48" s="200" t="s">
        <v>675</v>
      </c>
      <c r="E48" s="200">
        <v>48</v>
      </c>
      <c r="F48" s="203">
        <v>117</v>
      </c>
      <c r="G48" s="203">
        <v>1.74</v>
      </c>
      <c r="H48" s="203">
        <v>112</v>
      </c>
      <c r="I48" s="203">
        <v>121</v>
      </c>
      <c r="J48" s="203">
        <f t="shared" si="0"/>
        <v>0.92561983471074383</v>
      </c>
      <c r="K48" s="203">
        <v>34.4</v>
      </c>
      <c r="L48" s="213">
        <v>20</v>
      </c>
      <c r="M48" s="203">
        <v>72.400000000000006</v>
      </c>
      <c r="N48" s="203">
        <v>88</v>
      </c>
      <c r="O48" s="216">
        <f t="shared" si="1"/>
        <v>38.644470868014267</v>
      </c>
      <c r="P48" s="213">
        <v>149</v>
      </c>
      <c r="Q48" s="213">
        <v>96</v>
      </c>
      <c r="R48" s="203">
        <v>113.8</v>
      </c>
      <c r="S48" s="203">
        <v>236</v>
      </c>
      <c r="T48" s="203">
        <v>34.200000000000003</v>
      </c>
      <c r="U48" s="203">
        <v>93.9</v>
      </c>
      <c r="V48" s="203">
        <v>143.19999999999999</v>
      </c>
      <c r="W48" s="203">
        <v>1.53</v>
      </c>
      <c r="X48" s="203">
        <v>55.1</v>
      </c>
      <c r="Y48" s="203">
        <v>46.7</v>
      </c>
      <c r="Z48" s="203">
        <f t="shared" si="2"/>
        <v>28.64</v>
      </c>
      <c r="AA48" s="203">
        <f t="shared" si="3"/>
        <v>152.26</v>
      </c>
      <c r="AB48" s="203"/>
      <c r="AC48" s="203"/>
      <c r="AD48" s="203"/>
      <c r="AE48" s="203"/>
    </row>
    <row r="49" spans="1:31" x14ac:dyDescent="0.2">
      <c r="A49" s="200" t="s">
        <v>8295</v>
      </c>
      <c r="B49" s="201">
        <v>44735</v>
      </c>
      <c r="C49" s="202">
        <v>2</v>
      </c>
      <c r="D49" s="200" t="s">
        <v>196</v>
      </c>
      <c r="E49" s="200">
        <v>60</v>
      </c>
      <c r="F49" s="203">
        <v>62.9</v>
      </c>
      <c r="G49" s="203">
        <v>1.56</v>
      </c>
      <c r="H49" s="203">
        <v>84</v>
      </c>
      <c r="I49" s="203">
        <v>95</v>
      </c>
      <c r="J49" s="203">
        <f t="shared" si="0"/>
        <v>0.88421052631578945</v>
      </c>
      <c r="K49" s="203">
        <v>28.8</v>
      </c>
      <c r="L49" s="203">
        <v>7</v>
      </c>
      <c r="M49" s="203">
        <v>42</v>
      </c>
      <c r="N49" s="203">
        <v>35</v>
      </c>
      <c r="O49" s="214">
        <f t="shared" si="1"/>
        <v>25.846482577251805</v>
      </c>
      <c r="P49" s="203">
        <v>129</v>
      </c>
      <c r="Q49" s="203">
        <v>80</v>
      </c>
      <c r="R49" s="203"/>
      <c r="S49" s="203"/>
      <c r="T49" s="203"/>
      <c r="U49" s="203"/>
      <c r="V49" s="203"/>
      <c r="W49" s="203"/>
      <c r="X49" s="203"/>
      <c r="Y49" s="203"/>
      <c r="Z49" s="203">
        <f t="shared" si="2"/>
        <v>0</v>
      </c>
      <c r="AA49" s="203">
        <f t="shared" si="3"/>
        <v>0</v>
      </c>
      <c r="AB49" s="203"/>
      <c r="AC49" s="203"/>
      <c r="AD49" s="203"/>
      <c r="AE49" s="203"/>
    </row>
    <row r="50" spans="1:31" x14ac:dyDescent="0.2">
      <c r="A50" s="200" t="s">
        <v>8296</v>
      </c>
      <c r="B50" s="201">
        <v>44665</v>
      </c>
      <c r="C50" s="212">
        <v>3</v>
      </c>
      <c r="D50" s="200" t="s">
        <v>196</v>
      </c>
      <c r="E50" s="200">
        <v>56</v>
      </c>
      <c r="F50" s="203">
        <v>118</v>
      </c>
      <c r="G50" s="203">
        <v>1.67</v>
      </c>
      <c r="H50" s="213">
        <v>120</v>
      </c>
      <c r="I50" s="203">
        <v>145</v>
      </c>
      <c r="J50" s="203">
        <f t="shared" si="0"/>
        <v>0.82758620689655171</v>
      </c>
      <c r="K50" s="203">
        <v>54.3</v>
      </c>
      <c r="L50" s="213">
        <v>53.5</v>
      </c>
      <c r="M50" s="203">
        <v>51.2</v>
      </c>
      <c r="N50" s="203">
        <v>90</v>
      </c>
      <c r="O50" s="216">
        <f t="shared" si="1"/>
        <v>42.310588404030263</v>
      </c>
      <c r="P50" s="203">
        <v>92</v>
      </c>
      <c r="Q50" s="203">
        <v>71</v>
      </c>
      <c r="R50" s="213">
        <v>168.2</v>
      </c>
      <c r="S50" s="203">
        <v>249</v>
      </c>
      <c r="T50" s="203">
        <v>26.9</v>
      </c>
      <c r="U50" s="203">
        <v>62.5</v>
      </c>
      <c r="V50" s="213">
        <v>250.5</v>
      </c>
      <c r="W50" s="203">
        <v>1.1100000000000001</v>
      </c>
      <c r="X50" s="203">
        <v>70.099999999999994</v>
      </c>
      <c r="Y50" s="203">
        <v>35.9</v>
      </c>
      <c r="Z50" s="203">
        <f t="shared" si="2"/>
        <v>50.1</v>
      </c>
      <c r="AA50" s="203">
        <f t="shared" si="3"/>
        <v>128.80000000000001</v>
      </c>
      <c r="AB50" s="203"/>
      <c r="AC50" s="203"/>
      <c r="AD50" s="203"/>
      <c r="AE50" s="203"/>
    </row>
    <row r="51" spans="1:31" x14ac:dyDescent="0.2">
      <c r="A51" s="200" t="s">
        <v>8297</v>
      </c>
      <c r="B51" s="201">
        <v>44741</v>
      </c>
      <c r="C51" s="212">
        <v>3</v>
      </c>
      <c r="D51" s="200" t="s">
        <v>196</v>
      </c>
      <c r="E51" s="200">
        <v>57</v>
      </c>
      <c r="F51" s="203">
        <v>87.3</v>
      </c>
      <c r="G51" s="203">
        <v>1.48</v>
      </c>
      <c r="H51" s="213">
        <v>119</v>
      </c>
      <c r="I51" s="203">
        <v>120</v>
      </c>
      <c r="J51" s="203">
        <f t="shared" si="0"/>
        <v>0.9916666666666667</v>
      </c>
      <c r="K51" s="203">
        <v>47.7</v>
      </c>
      <c r="L51" s="213">
        <v>15</v>
      </c>
      <c r="M51" s="203">
        <v>43.4</v>
      </c>
      <c r="N51" s="203">
        <v>90</v>
      </c>
      <c r="O51" s="216">
        <f t="shared" si="1"/>
        <v>39.855734112490872</v>
      </c>
      <c r="P51" s="213">
        <v>137</v>
      </c>
      <c r="Q51" s="213">
        <v>93</v>
      </c>
      <c r="R51" s="213">
        <v>101</v>
      </c>
      <c r="S51" s="203">
        <v>120</v>
      </c>
      <c r="T51" s="203">
        <v>34</v>
      </c>
      <c r="U51" s="203">
        <v>25</v>
      </c>
      <c r="V51" s="203">
        <v>50</v>
      </c>
      <c r="W51" s="203">
        <v>1</v>
      </c>
      <c r="X51" s="203">
        <v>101</v>
      </c>
      <c r="Y51" s="203"/>
      <c r="Z51" s="203">
        <f t="shared" si="2"/>
        <v>10</v>
      </c>
      <c r="AA51" s="203">
        <f>S51-X51-Z51</f>
        <v>9</v>
      </c>
      <c r="AB51" s="203">
        <v>1.2</v>
      </c>
      <c r="AC51" s="203"/>
      <c r="AD51" s="203"/>
      <c r="AE51" s="203"/>
    </row>
    <row r="52" spans="1:31" x14ac:dyDescent="0.2">
      <c r="A52" s="200" t="s">
        <v>8298</v>
      </c>
      <c r="B52" s="201">
        <v>44666</v>
      </c>
      <c r="C52" s="212">
        <v>3</v>
      </c>
      <c r="D52" s="203" t="s">
        <v>675</v>
      </c>
      <c r="E52" s="203">
        <v>58</v>
      </c>
      <c r="F52" s="203">
        <v>112.8</v>
      </c>
      <c r="G52" s="203">
        <v>1.77</v>
      </c>
      <c r="H52" s="213">
        <v>127</v>
      </c>
      <c r="I52" s="203">
        <v>125</v>
      </c>
      <c r="J52" s="203">
        <f t="shared" si="0"/>
        <v>1.016</v>
      </c>
      <c r="K52" s="203">
        <v>39.6</v>
      </c>
      <c r="L52" s="213">
        <v>22</v>
      </c>
      <c r="M52" s="203">
        <v>64.8</v>
      </c>
      <c r="N52" s="203"/>
      <c r="O52" s="216">
        <f t="shared" si="1"/>
        <v>36.004979412046346</v>
      </c>
      <c r="P52" s="213">
        <v>143</v>
      </c>
      <c r="Q52" s="213">
        <v>103</v>
      </c>
      <c r="R52" s="203">
        <v>95.3</v>
      </c>
      <c r="S52" s="203">
        <v>162</v>
      </c>
      <c r="T52" s="203">
        <v>25</v>
      </c>
      <c r="U52" s="203">
        <v>20.100000000000001</v>
      </c>
      <c r="V52" s="213">
        <v>176.9</v>
      </c>
      <c r="W52" s="203">
        <v>1.6</v>
      </c>
      <c r="X52" s="203">
        <v>47.8</v>
      </c>
      <c r="Y52" s="203">
        <v>63.1</v>
      </c>
      <c r="Z52" s="203">
        <f t="shared" si="2"/>
        <v>35.380000000000003</v>
      </c>
      <c r="AA52" s="203">
        <f t="shared" si="3"/>
        <v>78.819999999999993</v>
      </c>
      <c r="AB52" s="203"/>
      <c r="AC52" s="203"/>
      <c r="AD52" s="203"/>
      <c r="AE52" s="203"/>
    </row>
    <row r="53" spans="1:31" x14ac:dyDescent="0.2">
      <c r="A53" s="200" t="s">
        <v>8299</v>
      </c>
      <c r="B53" s="201">
        <v>44741</v>
      </c>
      <c r="C53" s="202">
        <v>2</v>
      </c>
      <c r="D53" s="203" t="s">
        <v>675</v>
      </c>
      <c r="E53" s="203">
        <v>39</v>
      </c>
      <c r="F53" s="203">
        <v>86.9</v>
      </c>
      <c r="G53" s="203">
        <v>1.73</v>
      </c>
      <c r="H53" s="203">
        <v>95</v>
      </c>
      <c r="I53" s="203">
        <v>99</v>
      </c>
      <c r="J53" s="203">
        <f t="shared" si="0"/>
        <v>0.95959595959595956</v>
      </c>
      <c r="K53" s="203">
        <v>26.1</v>
      </c>
      <c r="L53" s="203">
        <v>10</v>
      </c>
      <c r="M53" s="203">
        <v>61</v>
      </c>
      <c r="N53" s="203">
        <v>55</v>
      </c>
      <c r="O53" s="214">
        <f t="shared" si="1"/>
        <v>29.035383741521603</v>
      </c>
      <c r="P53" s="203"/>
      <c r="Q53" s="203"/>
      <c r="R53" s="203">
        <v>63</v>
      </c>
      <c r="S53" s="203">
        <v>89</v>
      </c>
      <c r="T53" s="203">
        <v>65</v>
      </c>
      <c r="U53" s="203">
        <v>43</v>
      </c>
      <c r="V53" s="203">
        <v>50</v>
      </c>
      <c r="W53" s="203">
        <v>1</v>
      </c>
      <c r="X53" s="203">
        <v>80</v>
      </c>
      <c r="Y53" s="203"/>
      <c r="Z53" s="203">
        <f t="shared" si="2"/>
        <v>10</v>
      </c>
      <c r="AA53" s="203">
        <f>S53-X53-Z53</f>
        <v>-1</v>
      </c>
      <c r="AB53" s="203">
        <v>1</v>
      </c>
      <c r="AC53" s="203"/>
      <c r="AD53" s="203"/>
      <c r="AE53" s="203"/>
    </row>
    <row r="54" spans="1:31" x14ac:dyDescent="0.2">
      <c r="A54" s="200" t="s">
        <v>8300</v>
      </c>
      <c r="B54" s="201">
        <v>44735</v>
      </c>
      <c r="C54" s="209">
        <v>1</v>
      </c>
      <c r="D54" s="203" t="s">
        <v>196</v>
      </c>
      <c r="E54" s="203">
        <v>24</v>
      </c>
      <c r="F54" s="203">
        <v>54.7</v>
      </c>
      <c r="G54" s="203">
        <v>1.62</v>
      </c>
      <c r="H54" s="210">
        <v>68</v>
      </c>
      <c r="I54" s="203">
        <v>88</v>
      </c>
      <c r="J54" s="203">
        <f t="shared" si="0"/>
        <v>0.77272727272727271</v>
      </c>
      <c r="K54" s="203">
        <v>26.5</v>
      </c>
      <c r="L54" s="203">
        <v>1</v>
      </c>
      <c r="M54" s="203">
        <v>38.1</v>
      </c>
      <c r="N54" s="203"/>
      <c r="O54" s="211">
        <f t="shared" si="1"/>
        <v>20.842859320225571</v>
      </c>
      <c r="P54" s="203">
        <v>97</v>
      </c>
      <c r="Q54" s="203">
        <v>78</v>
      </c>
      <c r="R54" s="203">
        <v>81.5</v>
      </c>
      <c r="S54" s="203">
        <v>201</v>
      </c>
      <c r="T54" s="203">
        <v>19.3</v>
      </c>
      <c r="U54" s="203">
        <v>50.8</v>
      </c>
      <c r="V54" s="203">
        <v>146</v>
      </c>
      <c r="W54" s="203">
        <v>1.1499999999999999</v>
      </c>
      <c r="X54" s="203">
        <v>94.9</v>
      </c>
      <c r="Y54" s="203">
        <v>27</v>
      </c>
      <c r="Z54" s="203">
        <f t="shared" si="2"/>
        <v>29.200000000000003</v>
      </c>
      <c r="AA54" s="203">
        <f t="shared" si="3"/>
        <v>76.899999999999991</v>
      </c>
      <c r="AB54" s="203"/>
      <c r="AC54" s="203"/>
      <c r="AD54" s="203"/>
      <c r="AE54" s="203"/>
    </row>
    <row r="55" spans="1:31" x14ac:dyDescent="0.2">
      <c r="A55" s="200" t="s">
        <v>8301</v>
      </c>
      <c r="B55" s="201">
        <v>44668</v>
      </c>
      <c r="C55" s="202">
        <v>2</v>
      </c>
      <c r="D55" s="203"/>
      <c r="E55" s="203"/>
      <c r="F55" s="203"/>
      <c r="G55" s="203"/>
      <c r="H55" s="203"/>
      <c r="I55" s="203"/>
      <c r="J55" s="203" t="e">
        <f t="shared" si="0"/>
        <v>#DIV/0!</v>
      </c>
      <c r="K55" s="203"/>
      <c r="L55" s="203"/>
      <c r="M55" s="203"/>
      <c r="N55" s="203"/>
      <c r="O55" s="214" t="e">
        <f t="shared" si="1"/>
        <v>#DIV/0!</v>
      </c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>
        <f t="shared" si="2"/>
        <v>0</v>
      </c>
      <c r="AA55" s="203">
        <f t="shared" si="3"/>
        <v>0</v>
      </c>
      <c r="AB55" s="203"/>
      <c r="AC55" s="203"/>
      <c r="AD55" s="203"/>
      <c r="AE55" s="203"/>
    </row>
    <row r="56" spans="1:31" x14ac:dyDescent="0.2">
      <c r="A56" s="200" t="s">
        <v>8302</v>
      </c>
      <c r="B56" s="201">
        <v>44669</v>
      </c>
      <c r="C56" s="212">
        <v>3</v>
      </c>
      <c r="D56" s="203" t="s">
        <v>196</v>
      </c>
      <c r="E56" s="203">
        <v>61</v>
      </c>
      <c r="F56" s="203">
        <v>96</v>
      </c>
      <c r="G56" s="203">
        <v>1.44</v>
      </c>
      <c r="H56" s="213">
        <v>120</v>
      </c>
      <c r="I56" s="203">
        <v>135</v>
      </c>
      <c r="J56" s="203">
        <f t="shared" si="0"/>
        <v>0.88888888888888884</v>
      </c>
      <c r="K56" s="203">
        <v>48.3</v>
      </c>
      <c r="L56" s="213">
        <v>18</v>
      </c>
      <c r="M56" s="203">
        <v>47</v>
      </c>
      <c r="N56" s="203">
        <v>90</v>
      </c>
      <c r="O56" s="216">
        <f t="shared" si="1"/>
        <v>46.296296296296298</v>
      </c>
      <c r="P56" s="213">
        <v>134</v>
      </c>
      <c r="Q56" s="213">
        <v>88</v>
      </c>
      <c r="R56" s="203"/>
      <c r="S56" s="203"/>
      <c r="T56" s="203"/>
      <c r="U56" s="203"/>
      <c r="V56" s="203"/>
      <c r="W56" s="203"/>
      <c r="X56" s="203"/>
      <c r="Y56" s="203"/>
      <c r="Z56" s="203">
        <f t="shared" si="2"/>
        <v>0</v>
      </c>
      <c r="AA56" s="203">
        <f t="shared" si="3"/>
        <v>0</v>
      </c>
      <c r="AB56" s="203"/>
      <c r="AC56" s="203"/>
      <c r="AD56" s="203"/>
      <c r="AE56" s="203"/>
    </row>
    <row r="57" spans="1:31" x14ac:dyDescent="0.2">
      <c r="A57" s="200" t="s">
        <v>8303</v>
      </c>
      <c r="B57" s="201">
        <v>44721</v>
      </c>
      <c r="C57" s="209">
        <v>1</v>
      </c>
      <c r="D57" s="203" t="s">
        <v>196</v>
      </c>
      <c r="E57" s="203">
        <v>22</v>
      </c>
      <c r="F57" s="203">
        <v>58.7</v>
      </c>
      <c r="G57" s="203">
        <v>1.81</v>
      </c>
      <c r="H57" s="210">
        <v>68</v>
      </c>
      <c r="I57" s="203">
        <v>86</v>
      </c>
      <c r="J57" s="203">
        <f t="shared" si="0"/>
        <v>0.79069767441860461</v>
      </c>
      <c r="K57" s="203">
        <v>17</v>
      </c>
      <c r="L57" s="203">
        <v>1</v>
      </c>
      <c r="M57" s="203"/>
      <c r="N57" s="203"/>
      <c r="O57" s="211">
        <f t="shared" si="1"/>
        <v>17.917645981502396</v>
      </c>
      <c r="P57" s="203">
        <v>110</v>
      </c>
      <c r="Q57" s="203">
        <v>76</v>
      </c>
      <c r="R57" s="203">
        <v>89</v>
      </c>
      <c r="S57" s="203">
        <v>1170</v>
      </c>
      <c r="T57" s="203">
        <v>21</v>
      </c>
      <c r="U57" s="203">
        <v>27</v>
      </c>
      <c r="V57" s="203">
        <v>58</v>
      </c>
      <c r="W57" s="203">
        <v>1</v>
      </c>
      <c r="X57" s="203">
        <v>95</v>
      </c>
      <c r="Y57" s="203">
        <v>11.7</v>
      </c>
      <c r="Z57" s="203">
        <f t="shared" si="2"/>
        <v>11.600000000000001</v>
      </c>
      <c r="AA57" s="203">
        <f t="shared" si="3"/>
        <v>1063.4000000000001</v>
      </c>
      <c r="AB57" s="203"/>
      <c r="AC57" s="203"/>
      <c r="AD57" s="203"/>
      <c r="AE57" s="203"/>
    </row>
    <row r="58" spans="1:31" x14ac:dyDescent="0.2">
      <c r="A58" s="200" t="s">
        <v>8304</v>
      </c>
      <c r="B58" s="201">
        <v>44706</v>
      </c>
      <c r="C58" s="202">
        <v>2</v>
      </c>
      <c r="D58" s="203" t="s">
        <v>675</v>
      </c>
      <c r="E58" s="203">
        <v>19</v>
      </c>
      <c r="F58" s="203" t="s">
        <v>8305</v>
      </c>
      <c r="G58" s="203">
        <v>1.64</v>
      </c>
      <c r="H58" s="203">
        <v>70</v>
      </c>
      <c r="I58" s="203">
        <v>85</v>
      </c>
      <c r="J58" s="203">
        <f t="shared" si="0"/>
        <v>0.82352941176470584</v>
      </c>
      <c r="K58" s="203">
        <v>6.7</v>
      </c>
      <c r="L58" s="203">
        <v>5</v>
      </c>
      <c r="M58" s="203">
        <v>20.7</v>
      </c>
      <c r="N58" s="203"/>
      <c r="O58" s="214" t="e">
        <f t="shared" si="1"/>
        <v>#VALUE!</v>
      </c>
      <c r="P58" s="203">
        <v>105</v>
      </c>
      <c r="Q58" s="203">
        <v>71</v>
      </c>
      <c r="R58" s="203">
        <v>92.8</v>
      </c>
      <c r="S58" s="203">
        <v>174</v>
      </c>
      <c r="T58" s="203">
        <v>19</v>
      </c>
      <c r="U58" s="203">
        <v>19</v>
      </c>
      <c r="V58" s="203">
        <v>68</v>
      </c>
      <c r="W58" s="203">
        <v>0.92</v>
      </c>
      <c r="X58" s="203">
        <v>65.900000000000006</v>
      </c>
      <c r="Y58" s="203">
        <v>23.1</v>
      </c>
      <c r="Z58" s="203">
        <f t="shared" si="2"/>
        <v>13.600000000000001</v>
      </c>
      <c r="AA58" s="203">
        <f t="shared" si="3"/>
        <v>94.5</v>
      </c>
      <c r="AB58" s="203"/>
      <c r="AC58" s="203"/>
      <c r="AD58" s="203"/>
      <c r="AE58" s="203"/>
    </row>
    <row r="59" spans="1:31" x14ac:dyDescent="0.2">
      <c r="A59" s="200" t="s">
        <v>8306</v>
      </c>
      <c r="B59" s="201">
        <v>44722</v>
      </c>
      <c r="C59" s="202">
        <v>2</v>
      </c>
      <c r="D59" s="203" t="s">
        <v>196</v>
      </c>
      <c r="E59" s="203">
        <v>22</v>
      </c>
      <c r="F59" s="203">
        <v>57.5</v>
      </c>
      <c r="G59" s="203">
        <v>1.51</v>
      </c>
      <c r="H59" s="203">
        <v>81</v>
      </c>
      <c r="I59" s="203">
        <v>97</v>
      </c>
      <c r="J59" s="203">
        <f t="shared" si="0"/>
        <v>0.83505154639175261</v>
      </c>
      <c r="K59" s="203">
        <v>33</v>
      </c>
      <c r="L59" s="203">
        <v>3</v>
      </c>
      <c r="M59" s="203"/>
      <c r="N59" s="203"/>
      <c r="O59" s="214">
        <f t="shared" si="1"/>
        <v>25.21819218455331</v>
      </c>
      <c r="P59" s="203">
        <v>98</v>
      </c>
      <c r="Q59" s="203">
        <v>75</v>
      </c>
      <c r="R59" s="203">
        <v>86.3</v>
      </c>
      <c r="S59" s="203">
        <v>249</v>
      </c>
      <c r="T59" s="203">
        <v>21.7</v>
      </c>
      <c r="U59" s="203">
        <v>30</v>
      </c>
      <c r="V59" s="203">
        <v>124.6</v>
      </c>
      <c r="W59" s="203">
        <v>1</v>
      </c>
      <c r="X59" s="203">
        <v>110</v>
      </c>
      <c r="Y59" s="203"/>
      <c r="Z59" s="203">
        <f t="shared" si="2"/>
        <v>24.92</v>
      </c>
      <c r="AA59" s="203">
        <f t="shared" si="3"/>
        <v>114.08</v>
      </c>
      <c r="AB59" s="203"/>
      <c r="AC59" s="203"/>
      <c r="AD59" s="203"/>
      <c r="AE59" s="203"/>
    </row>
    <row r="60" spans="1:31" x14ac:dyDescent="0.2">
      <c r="A60" s="200" t="s">
        <v>8307</v>
      </c>
      <c r="B60" s="201">
        <v>44740</v>
      </c>
      <c r="C60" s="212">
        <v>3</v>
      </c>
      <c r="D60" s="203" t="s">
        <v>675</v>
      </c>
      <c r="E60" s="203">
        <v>59</v>
      </c>
      <c r="F60" s="203">
        <v>101</v>
      </c>
      <c r="G60" s="203">
        <v>1.76</v>
      </c>
      <c r="H60" s="213">
        <v>114</v>
      </c>
      <c r="I60" s="203">
        <v>118</v>
      </c>
      <c r="J60" s="203">
        <f t="shared" si="0"/>
        <v>0.96610169491525422</v>
      </c>
      <c r="K60" s="203">
        <v>32</v>
      </c>
      <c r="L60" s="213">
        <v>18</v>
      </c>
      <c r="M60" s="203">
        <v>65</v>
      </c>
      <c r="N60" s="203"/>
      <c r="O60" s="214">
        <f t="shared" si="1"/>
        <v>32.605888429752071</v>
      </c>
      <c r="P60" s="213">
        <v>135</v>
      </c>
      <c r="Q60" s="213">
        <v>90</v>
      </c>
      <c r="R60" s="213">
        <v>104</v>
      </c>
      <c r="S60" s="203">
        <v>223</v>
      </c>
      <c r="T60" s="203">
        <v>22</v>
      </c>
      <c r="U60" s="203">
        <v>28</v>
      </c>
      <c r="V60" s="213">
        <v>320</v>
      </c>
      <c r="W60" s="203">
        <v>1</v>
      </c>
      <c r="X60" s="203">
        <v>64</v>
      </c>
      <c r="Y60" s="203"/>
      <c r="Z60" s="203">
        <f t="shared" si="2"/>
        <v>64</v>
      </c>
      <c r="AA60" s="203">
        <f t="shared" si="3"/>
        <v>95</v>
      </c>
      <c r="AB60" s="203">
        <v>0.02</v>
      </c>
      <c r="AC60" s="203"/>
      <c r="AD60" s="203"/>
      <c r="AE60" s="203"/>
    </row>
    <row r="61" spans="1:31" x14ac:dyDescent="0.2">
      <c r="A61" s="200" t="s">
        <v>8308</v>
      </c>
      <c r="B61" s="201">
        <v>44714</v>
      </c>
      <c r="C61" s="209">
        <v>1</v>
      </c>
      <c r="D61" s="203" t="s">
        <v>196</v>
      </c>
      <c r="E61" s="203">
        <v>19</v>
      </c>
      <c r="F61" s="203">
        <v>52.4</v>
      </c>
      <c r="G61" s="203">
        <v>1.68</v>
      </c>
      <c r="H61" s="210">
        <v>65</v>
      </c>
      <c r="I61" s="203">
        <v>90</v>
      </c>
      <c r="J61" s="203">
        <f t="shared" si="0"/>
        <v>0.72222222222222221</v>
      </c>
      <c r="K61" s="203">
        <v>18.100000000000001</v>
      </c>
      <c r="L61" s="203"/>
      <c r="M61" s="203">
        <v>12.9</v>
      </c>
      <c r="N61" s="203"/>
      <c r="O61" s="211">
        <f t="shared" si="1"/>
        <v>18.565759637188211</v>
      </c>
      <c r="P61" s="203">
        <v>104</v>
      </c>
      <c r="Q61" s="203">
        <v>79</v>
      </c>
      <c r="R61" s="203">
        <v>91.6</v>
      </c>
      <c r="S61" s="203">
        <v>142</v>
      </c>
      <c r="T61" s="203">
        <v>15.7</v>
      </c>
      <c r="U61" s="203">
        <v>11</v>
      </c>
      <c r="V61" s="203">
        <v>45.7</v>
      </c>
      <c r="W61" s="203">
        <v>1.02</v>
      </c>
      <c r="X61" s="203">
        <v>56.4</v>
      </c>
      <c r="Y61" s="203">
        <v>17.899999999999999</v>
      </c>
      <c r="Z61" s="203">
        <f t="shared" si="2"/>
        <v>9.14</v>
      </c>
      <c r="AA61" s="203">
        <f t="shared" si="3"/>
        <v>76.459999999999994</v>
      </c>
      <c r="AB61" s="203"/>
      <c r="AC61" s="203"/>
      <c r="AD61" s="203"/>
      <c r="AE61" s="203"/>
    </row>
    <row r="62" spans="1:31" x14ac:dyDescent="0.2">
      <c r="A62" s="200" t="s">
        <v>8309</v>
      </c>
      <c r="B62" s="201">
        <v>44721</v>
      </c>
      <c r="C62" s="209">
        <v>1</v>
      </c>
      <c r="D62" s="203" t="s">
        <v>196</v>
      </c>
      <c r="E62" s="203">
        <v>23</v>
      </c>
      <c r="F62" s="203">
        <v>64.8</v>
      </c>
      <c r="G62" s="203">
        <v>1.62</v>
      </c>
      <c r="H62" s="210">
        <v>79</v>
      </c>
      <c r="I62" s="203">
        <v>95</v>
      </c>
      <c r="J62" s="203">
        <f t="shared" si="0"/>
        <v>0.83157894736842108</v>
      </c>
      <c r="K62" s="203">
        <v>32</v>
      </c>
      <c r="L62" s="203">
        <v>3</v>
      </c>
      <c r="M62" s="203">
        <v>41</v>
      </c>
      <c r="N62" s="203"/>
      <c r="O62" s="211">
        <f t="shared" si="1"/>
        <v>24.69135802469135</v>
      </c>
      <c r="P62" s="203">
        <v>107</v>
      </c>
      <c r="Q62" s="203">
        <v>79</v>
      </c>
      <c r="R62" s="203">
        <v>95</v>
      </c>
      <c r="S62" s="203">
        <v>189</v>
      </c>
      <c r="T62" s="203">
        <v>20</v>
      </c>
      <c r="U62" s="203">
        <v>22</v>
      </c>
      <c r="V62" s="203">
        <v>115</v>
      </c>
      <c r="W62" s="203">
        <v>0.9</v>
      </c>
      <c r="X62" s="203">
        <v>97</v>
      </c>
      <c r="Y62" s="203">
        <v>29.9</v>
      </c>
      <c r="Z62" s="203">
        <f t="shared" si="2"/>
        <v>23</v>
      </c>
      <c r="AA62" s="203">
        <f t="shared" si="3"/>
        <v>69</v>
      </c>
      <c r="AB62" s="203"/>
      <c r="AC62" s="203"/>
      <c r="AD62" s="203"/>
      <c r="AE62" s="203"/>
    </row>
    <row r="63" spans="1:31" x14ac:dyDescent="0.2">
      <c r="A63" s="200" t="s">
        <v>8310</v>
      </c>
      <c r="B63" s="201" t="s">
        <v>8311</v>
      </c>
      <c r="C63" s="202">
        <v>2</v>
      </c>
      <c r="D63" s="203" t="s">
        <v>7695</v>
      </c>
      <c r="E63" s="203">
        <v>22</v>
      </c>
      <c r="F63" s="203">
        <v>75.599999999999994</v>
      </c>
      <c r="G63" s="203">
        <v>1.6</v>
      </c>
      <c r="H63" s="203">
        <v>85.5</v>
      </c>
      <c r="I63" s="203">
        <v>110</v>
      </c>
      <c r="J63" s="203">
        <f t="shared" si="0"/>
        <v>0.77727272727272723</v>
      </c>
      <c r="K63" s="203">
        <v>21.2</v>
      </c>
      <c r="L63" s="203">
        <v>7</v>
      </c>
      <c r="M63" s="203">
        <v>32.5</v>
      </c>
      <c r="N63" s="203"/>
      <c r="O63" s="214">
        <f t="shared" si="1"/>
        <v>29.531249999999993</v>
      </c>
      <c r="P63" s="203">
        <v>106</v>
      </c>
      <c r="Q63" s="203">
        <v>78</v>
      </c>
      <c r="R63" s="203">
        <v>69.900000000000006</v>
      </c>
      <c r="S63" s="203">
        <v>215</v>
      </c>
      <c r="T63" s="203">
        <v>1.9</v>
      </c>
      <c r="U63" s="203">
        <v>26.7</v>
      </c>
      <c r="V63" s="203">
        <v>79.400000000000006</v>
      </c>
      <c r="W63" s="203">
        <v>0.88</v>
      </c>
      <c r="X63" s="203">
        <v>81.099999999999994</v>
      </c>
      <c r="Y63" s="203">
        <v>31.3</v>
      </c>
      <c r="Z63" s="203">
        <f t="shared" si="2"/>
        <v>15.880000000000003</v>
      </c>
      <c r="AA63" s="203">
        <f t="shared" si="3"/>
        <v>118.02000000000001</v>
      </c>
      <c r="AB63" s="203"/>
      <c r="AC63" s="203"/>
      <c r="AD63" s="203"/>
      <c r="AE63" s="203"/>
    </row>
    <row r="64" spans="1:31" x14ac:dyDescent="0.2">
      <c r="A64" s="200" t="s">
        <v>8312</v>
      </c>
      <c r="B64" s="201">
        <v>44673</v>
      </c>
      <c r="C64" s="209">
        <v>1</v>
      </c>
      <c r="D64" s="203" t="s">
        <v>196</v>
      </c>
      <c r="E64" s="203">
        <v>22</v>
      </c>
      <c r="F64" s="203">
        <v>63.5</v>
      </c>
      <c r="G64" s="203">
        <v>1.64</v>
      </c>
      <c r="H64" s="210">
        <v>65.5</v>
      </c>
      <c r="I64" s="203">
        <v>90</v>
      </c>
      <c r="J64" s="203">
        <f t="shared" si="0"/>
        <v>0.72777777777777775</v>
      </c>
      <c r="K64" s="203">
        <v>32.1</v>
      </c>
      <c r="L64" s="203">
        <v>2</v>
      </c>
      <c r="M64" s="203"/>
      <c r="N64" s="203"/>
      <c r="O64" s="211">
        <f t="shared" si="1"/>
        <v>23.609458655562168</v>
      </c>
      <c r="P64" s="203">
        <v>106</v>
      </c>
      <c r="Q64" s="203">
        <v>77</v>
      </c>
      <c r="R64" s="203">
        <v>96.8</v>
      </c>
      <c r="S64" s="203">
        <v>257</v>
      </c>
      <c r="T64" s="203">
        <v>23.1</v>
      </c>
      <c r="U64" s="203">
        <v>21.9</v>
      </c>
      <c r="V64" s="203">
        <v>51.9</v>
      </c>
      <c r="W64" s="203">
        <v>1.3</v>
      </c>
      <c r="X64" s="203">
        <v>93</v>
      </c>
      <c r="Y64" s="203"/>
      <c r="Z64" s="203">
        <f t="shared" si="2"/>
        <v>10.38</v>
      </c>
      <c r="AA64" s="203">
        <f t="shared" si="3"/>
        <v>153.62</v>
      </c>
      <c r="AB64" s="203"/>
      <c r="AC64" s="203"/>
      <c r="AD64" s="203"/>
      <c r="AE64" s="203"/>
    </row>
    <row r="65" spans="1:31" x14ac:dyDescent="0.2">
      <c r="A65" s="200" t="s">
        <v>8313</v>
      </c>
      <c r="B65" s="201">
        <v>44741</v>
      </c>
      <c r="C65" s="202">
        <v>2</v>
      </c>
      <c r="D65" s="203" t="s">
        <v>675</v>
      </c>
      <c r="E65" s="203">
        <v>42</v>
      </c>
      <c r="F65" s="203">
        <v>104.4</v>
      </c>
      <c r="G65" s="203">
        <v>1.76</v>
      </c>
      <c r="H65" s="213">
        <v>113</v>
      </c>
      <c r="I65" s="203">
        <v>115</v>
      </c>
      <c r="J65" s="203">
        <f t="shared" si="0"/>
        <v>0.9826086956521739</v>
      </c>
      <c r="K65" s="203">
        <v>28.9</v>
      </c>
      <c r="L65" s="213">
        <v>14</v>
      </c>
      <c r="M65" s="203"/>
      <c r="N65" s="203">
        <v>63</v>
      </c>
      <c r="O65" s="214">
        <f t="shared" si="1"/>
        <v>33.703512396694215</v>
      </c>
      <c r="P65" s="203">
        <v>119</v>
      </c>
      <c r="Q65" s="203">
        <v>84</v>
      </c>
      <c r="R65" s="203">
        <v>118</v>
      </c>
      <c r="S65" s="203">
        <v>153</v>
      </c>
      <c r="T65" s="203">
        <v>31.29</v>
      </c>
      <c r="U65" s="203">
        <v>38.46</v>
      </c>
      <c r="V65" s="203">
        <v>90</v>
      </c>
      <c r="W65" s="203">
        <v>1</v>
      </c>
      <c r="X65" s="203">
        <v>58</v>
      </c>
      <c r="Y65" s="203"/>
      <c r="Z65" s="203">
        <f t="shared" si="2"/>
        <v>18</v>
      </c>
      <c r="AA65" s="203">
        <f t="shared" si="3"/>
        <v>77</v>
      </c>
      <c r="AB65" s="203"/>
      <c r="AC65" s="203"/>
      <c r="AD65" s="203"/>
      <c r="AE65" s="203"/>
    </row>
    <row r="66" spans="1:31" x14ac:dyDescent="0.2">
      <c r="A66" s="200" t="s">
        <v>8314</v>
      </c>
      <c r="B66" s="201">
        <v>44675</v>
      </c>
      <c r="C66" s="202">
        <v>2</v>
      </c>
      <c r="D66" s="203" t="s">
        <v>196</v>
      </c>
      <c r="E66" s="203">
        <v>54</v>
      </c>
      <c r="F66" s="203">
        <v>71</v>
      </c>
      <c r="G66" s="203">
        <v>1.69</v>
      </c>
      <c r="H66" s="203">
        <v>97</v>
      </c>
      <c r="I66" s="203">
        <v>108</v>
      </c>
      <c r="J66" s="203">
        <f t="shared" si="0"/>
        <v>0.89814814814814814</v>
      </c>
      <c r="K66" s="203">
        <v>37.299999999999997</v>
      </c>
      <c r="L66" s="203">
        <v>7</v>
      </c>
      <c r="M66" s="203">
        <v>42.2</v>
      </c>
      <c r="N66" s="203">
        <v>57</v>
      </c>
      <c r="O66" s="211">
        <f t="shared" si="1"/>
        <v>24.859073561850078</v>
      </c>
      <c r="P66" s="203">
        <v>126</v>
      </c>
      <c r="Q66" s="203">
        <v>90</v>
      </c>
      <c r="R66" s="203">
        <v>122</v>
      </c>
      <c r="S66" s="203">
        <v>176</v>
      </c>
      <c r="T66" s="203">
        <v>86.47</v>
      </c>
      <c r="U66" s="203">
        <v>85.01</v>
      </c>
      <c r="V66" s="203">
        <v>252</v>
      </c>
      <c r="W66" s="203">
        <v>1</v>
      </c>
      <c r="X66" s="203">
        <v>42</v>
      </c>
      <c r="Y66" s="203"/>
      <c r="Z66" s="203">
        <f t="shared" si="2"/>
        <v>50.400000000000006</v>
      </c>
      <c r="AA66" s="203">
        <f t="shared" si="3"/>
        <v>83.6</v>
      </c>
      <c r="AB66" s="203"/>
      <c r="AC66" s="203"/>
      <c r="AD66" s="203"/>
      <c r="AE66" s="203"/>
    </row>
    <row r="67" spans="1:31" x14ac:dyDescent="0.2">
      <c r="A67" s="200" t="s">
        <v>8315</v>
      </c>
      <c r="B67" s="201">
        <v>44749</v>
      </c>
      <c r="C67" s="202">
        <v>2</v>
      </c>
      <c r="D67" s="203" t="s">
        <v>675</v>
      </c>
      <c r="E67" s="203">
        <v>23</v>
      </c>
      <c r="F67" s="203">
        <v>87.9</v>
      </c>
      <c r="G67" s="203">
        <v>1.77</v>
      </c>
      <c r="H67" s="203">
        <v>96</v>
      </c>
      <c r="I67" s="203">
        <v>103</v>
      </c>
      <c r="J67" s="203">
        <f t="shared" ref="J67:J130" si="4">H67/I67</f>
        <v>0.93203883495145634</v>
      </c>
      <c r="K67" s="203">
        <v>26</v>
      </c>
      <c r="L67" s="203">
        <v>11</v>
      </c>
      <c r="M67" s="203">
        <v>31</v>
      </c>
      <c r="N67" s="203"/>
      <c r="O67" s="214">
        <f t="shared" ref="O67:O130" si="5">F67/(G67)^2</f>
        <v>28.057071722685052</v>
      </c>
      <c r="P67" s="203">
        <v>125</v>
      </c>
      <c r="Q67" s="203">
        <v>78</v>
      </c>
      <c r="R67" s="203">
        <v>97</v>
      </c>
      <c r="S67" s="203">
        <v>196</v>
      </c>
      <c r="T67" s="203">
        <v>29</v>
      </c>
      <c r="U67" s="203">
        <v>23</v>
      </c>
      <c r="V67" s="203">
        <v>85</v>
      </c>
      <c r="W67" s="203">
        <v>1</v>
      </c>
      <c r="X67" s="203">
        <v>99</v>
      </c>
      <c r="Y67" s="203"/>
      <c r="Z67" s="203">
        <f t="shared" ref="Z67:Z130" si="6">V67*0.2</f>
        <v>17</v>
      </c>
      <c r="AA67" s="203">
        <f t="shared" ref="AA67:AA130" si="7">S67-X67-Z67</f>
        <v>80</v>
      </c>
      <c r="AB67" s="203">
        <v>0.85</v>
      </c>
      <c r="AC67" s="203"/>
      <c r="AD67" s="203"/>
      <c r="AE67" s="203"/>
    </row>
    <row r="68" spans="1:31" x14ac:dyDescent="0.2">
      <c r="A68" s="200" t="s">
        <v>8316</v>
      </c>
      <c r="B68" s="201">
        <v>44741</v>
      </c>
      <c r="C68" s="212">
        <v>3</v>
      </c>
      <c r="D68" s="203" t="s">
        <v>675</v>
      </c>
      <c r="E68" s="203">
        <v>54</v>
      </c>
      <c r="F68" s="203">
        <v>85</v>
      </c>
      <c r="G68" s="203">
        <v>1.62</v>
      </c>
      <c r="H68" s="203">
        <v>99</v>
      </c>
      <c r="I68" s="203">
        <v>104</v>
      </c>
      <c r="J68" s="203">
        <f t="shared" si="4"/>
        <v>0.95192307692307687</v>
      </c>
      <c r="K68" s="203">
        <v>30</v>
      </c>
      <c r="L68" s="213">
        <v>16</v>
      </c>
      <c r="M68" s="203"/>
      <c r="N68" s="203">
        <v>79</v>
      </c>
      <c r="O68" s="214">
        <f t="shared" si="5"/>
        <v>32.38835543362292</v>
      </c>
      <c r="P68" s="213">
        <v>149</v>
      </c>
      <c r="Q68" s="213">
        <v>96</v>
      </c>
      <c r="R68" s="213">
        <v>101</v>
      </c>
      <c r="S68" s="213">
        <v>375</v>
      </c>
      <c r="T68" s="203">
        <v>37.880000000000003</v>
      </c>
      <c r="U68" s="203">
        <v>39.93</v>
      </c>
      <c r="V68" s="203">
        <v>83</v>
      </c>
      <c r="W68" s="203">
        <v>1</v>
      </c>
      <c r="X68" s="203">
        <v>99</v>
      </c>
      <c r="Y68" s="203"/>
      <c r="Z68" s="203">
        <f t="shared" si="6"/>
        <v>16.600000000000001</v>
      </c>
      <c r="AA68" s="203">
        <f t="shared" si="7"/>
        <v>259.39999999999998</v>
      </c>
      <c r="AB68" s="203"/>
      <c r="AC68" s="203"/>
      <c r="AD68" s="203"/>
      <c r="AE68" s="203"/>
    </row>
    <row r="69" spans="1:31" x14ac:dyDescent="0.2">
      <c r="A69" s="200" t="s">
        <v>8317</v>
      </c>
      <c r="B69" s="201">
        <v>44677</v>
      </c>
      <c r="C69" s="202"/>
      <c r="D69" s="203"/>
      <c r="E69" s="203"/>
      <c r="F69" s="203"/>
      <c r="G69" s="203"/>
      <c r="H69" s="203"/>
      <c r="I69" s="203"/>
      <c r="J69" s="203" t="e">
        <f t="shared" si="4"/>
        <v>#DIV/0!</v>
      </c>
      <c r="K69" s="203"/>
      <c r="L69" s="203"/>
      <c r="M69" s="203"/>
      <c r="N69" s="203"/>
      <c r="O69" s="214" t="e">
        <f t="shared" si="5"/>
        <v>#DIV/0!</v>
      </c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>
        <f t="shared" si="6"/>
        <v>0</v>
      </c>
      <c r="AA69" s="203">
        <f t="shared" si="7"/>
        <v>0</v>
      </c>
      <c r="AB69" s="203"/>
      <c r="AC69" s="203"/>
      <c r="AD69" s="203"/>
      <c r="AE69" s="203"/>
    </row>
    <row r="70" spans="1:31" x14ac:dyDescent="0.2">
      <c r="A70" s="200" t="s">
        <v>8318</v>
      </c>
      <c r="B70" s="201">
        <v>44749</v>
      </c>
      <c r="C70" s="202">
        <v>2</v>
      </c>
      <c r="D70" s="203" t="s">
        <v>196</v>
      </c>
      <c r="E70" s="203">
        <v>53</v>
      </c>
      <c r="F70" s="203"/>
      <c r="G70" s="203"/>
      <c r="H70" s="203"/>
      <c r="I70" s="203"/>
      <c r="J70" s="203"/>
      <c r="K70" s="203"/>
      <c r="L70" s="203"/>
      <c r="M70" s="203"/>
      <c r="N70" s="203"/>
      <c r="O70" s="214" t="e">
        <f t="shared" si="5"/>
        <v>#DIV/0!</v>
      </c>
      <c r="P70" s="203"/>
      <c r="Q70" s="203"/>
      <c r="R70" s="203">
        <v>173</v>
      </c>
      <c r="S70" s="203">
        <v>259</v>
      </c>
      <c r="T70" s="203">
        <v>35</v>
      </c>
      <c r="U70" s="203">
        <v>30</v>
      </c>
      <c r="V70" s="203">
        <v>121</v>
      </c>
      <c r="W70" s="203">
        <v>1</v>
      </c>
      <c r="X70" s="203">
        <v>63</v>
      </c>
      <c r="Y70" s="203"/>
      <c r="Z70" s="203">
        <f t="shared" si="6"/>
        <v>24.200000000000003</v>
      </c>
      <c r="AA70" s="203">
        <f t="shared" si="7"/>
        <v>171.8</v>
      </c>
      <c r="AB70" s="203">
        <v>0.47</v>
      </c>
      <c r="AC70" s="203"/>
      <c r="AD70" s="203"/>
      <c r="AE70" s="203"/>
    </row>
    <row r="71" spans="1:31" x14ac:dyDescent="0.2">
      <c r="A71" s="200" t="s">
        <v>8319</v>
      </c>
      <c r="B71" s="201">
        <v>44802</v>
      </c>
      <c r="C71" s="202">
        <v>2</v>
      </c>
      <c r="D71" s="203" t="s">
        <v>196</v>
      </c>
      <c r="E71" s="203">
        <v>37</v>
      </c>
      <c r="F71" s="203">
        <v>70.099999999999994</v>
      </c>
      <c r="G71" s="203">
        <v>1.66</v>
      </c>
      <c r="H71" s="203">
        <v>85</v>
      </c>
      <c r="I71" s="203">
        <v>99</v>
      </c>
      <c r="J71" s="203">
        <f t="shared" si="4"/>
        <v>0.85858585858585856</v>
      </c>
      <c r="K71" s="203">
        <v>32.299999999999997</v>
      </c>
      <c r="L71" s="203">
        <v>5</v>
      </c>
      <c r="M71" s="203">
        <v>44.6</v>
      </c>
      <c r="N71" s="203">
        <v>42</v>
      </c>
      <c r="O71" s="214">
        <f t="shared" si="5"/>
        <v>25.439105820873856</v>
      </c>
      <c r="P71" s="203">
        <v>124</v>
      </c>
      <c r="Q71" s="203">
        <v>93</v>
      </c>
      <c r="R71" s="203">
        <v>71</v>
      </c>
      <c r="S71" s="203">
        <v>217</v>
      </c>
      <c r="T71" s="203">
        <v>19.3</v>
      </c>
      <c r="U71" s="203">
        <v>17.7</v>
      </c>
      <c r="V71" s="203">
        <v>164.7</v>
      </c>
      <c r="W71" s="203">
        <v>0.8</v>
      </c>
      <c r="X71" s="203">
        <v>59.6</v>
      </c>
      <c r="Y71" s="203">
        <v>30.2</v>
      </c>
      <c r="Z71" s="203">
        <f t="shared" si="6"/>
        <v>32.94</v>
      </c>
      <c r="AA71" s="203">
        <f t="shared" si="7"/>
        <v>124.46000000000001</v>
      </c>
      <c r="AB71" s="203"/>
      <c r="AC71" s="203"/>
      <c r="AD71" s="203"/>
      <c r="AE71" s="203"/>
    </row>
    <row r="72" spans="1:31" x14ac:dyDescent="0.2">
      <c r="A72" s="200" t="s">
        <v>8320</v>
      </c>
      <c r="B72" s="201">
        <v>44679</v>
      </c>
      <c r="C72" s="202"/>
      <c r="D72" s="203"/>
      <c r="E72" s="203"/>
      <c r="F72" s="203"/>
      <c r="G72" s="203"/>
      <c r="H72" s="203"/>
      <c r="I72" s="203"/>
      <c r="J72" s="203" t="e">
        <f t="shared" si="4"/>
        <v>#DIV/0!</v>
      </c>
      <c r="K72" s="203"/>
      <c r="L72" s="203"/>
      <c r="M72" s="203"/>
      <c r="N72" s="203"/>
      <c r="O72" s="214" t="e">
        <f t="shared" si="5"/>
        <v>#DIV/0!</v>
      </c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>
        <f t="shared" si="6"/>
        <v>0</v>
      </c>
      <c r="AA72" s="203">
        <f t="shared" si="7"/>
        <v>0</v>
      </c>
      <c r="AB72" s="203"/>
      <c r="AC72" s="203"/>
      <c r="AD72" s="203"/>
      <c r="AE72" s="203"/>
    </row>
    <row r="73" spans="1:31" x14ac:dyDescent="0.2">
      <c r="A73" s="200" t="s">
        <v>8321</v>
      </c>
      <c r="B73" s="201">
        <v>44749</v>
      </c>
      <c r="C73" s="202">
        <v>2</v>
      </c>
      <c r="D73" s="203" t="s">
        <v>196</v>
      </c>
      <c r="E73" s="203">
        <v>67</v>
      </c>
      <c r="F73" s="203"/>
      <c r="G73" s="203"/>
      <c r="H73" s="203"/>
      <c r="I73" s="203"/>
      <c r="J73" s="203" t="e">
        <f t="shared" si="4"/>
        <v>#DIV/0!</v>
      </c>
      <c r="K73" s="203"/>
      <c r="L73" s="203"/>
      <c r="M73" s="203"/>
      <c r="N73" s="203"/>
      <c r="O73" s="214" t="e">
        <f t="shared" si="5"/>
        <v>#DIV/0!</v>
      </c>
      <c r="P73" s="203"/>
      <c r="Q73" s="203"/>
      <c r="R73" s="203">
        <v>107</v>
      </c>
      <c r="S73" s="203">
        <v>196</v>
      </c>
      <c r="T73" s="203">
        <v>29</v>
      </c>
      <c r="U73" s="203">
        <v>42</v>
      </c>
      <c r="V73" s="203">
        <v>98</v>
      </c>
      <c r="W73" s="203">
        <v>1</v>
      </c>
      <c r="X73" s="203">
        <v>83</v>
      </c>
      <c r="Y73" s="203"/>
      <c r="Z73" s="203">
        <f t="shared" si="6"/>
        <v>19.600000000000001</v>
      </c>
      <c r="AA73" s="203">
        <f t="shared" si="7"/>
        <v>93.4</v>
      </c>
      <c r="AB73" s="203">
        <v>0.61</v>
      </c>
      <c r="AC73" s="203"/>
      <c r="AD73" s="203"/>
      <c r="AE73" s="203"/>
    </row>
    <row r="74" spans="1:31" x14ac:dyDescent="0.2">
      <c r="A74" s="200" t="s">
        <v>8322</v>
      </c>
      <c r="B74" s="201">
        <v>44681</v>
      </c>
      <c r="C74" s="202"/>
      <c r="D74" s="203"/>
      <c r="E74" s="203"/>
      <c r="F74" s="203"/>
      <c r="G74" s="203"/>
      <c r="H74" s="203"/>
      <c r="I74" s="203"/>
      <c r="J74" s="203" t="e">
        <f t="shared" si="4"/>
        <v>#DIV/0!</v>
      </c>
      <c r="K74" s="203"/>
      <c r="L74" s="203"/>
      <c r="M74" s="203"/>
      <c r="N74" s="203"/>
      <c r="O74" s="214" t="e">
        <f t="shared" si="5"/>
        <v>#DIV/0!</v>
      </c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>
        <f t="shared" si="6"/>
        <v>0</v>
      </c>
      <c r="AA74" s="203">
        <f t="shared" si="7"/>
        <v>0</v>
      </c>
      <c r="AB74" s="203"/>
      <c r="AC74" s="203"/>
      <c r="AD74" s="203"/>
      <c r="AE74" s="203"/>
    </row>
    <row r="75" spans="1:31" x14ac:dyDescent="0.2">
      <c r="A75" s="200" t="s">
        <v>8323</v>
      </c>
      <c r="B75" s="201">
        <v>44682</v>
      </c>
      <c r="C75" s="212">
        <v>3</v>
      </c>
      <c r="D75" s="203" t="s">
        <v>675</v>
      </c>
      <c r="E75" s="203"/>
      <c r="F75" s="203">
        <v>84</v>
      </c>
      <c r="G75" s="203">
        <v>1.7</v>
      </c>
      <c r="H75" s="203">
        <v>105.5</v>
      </c>
      <c r="I75" s="203">
        <v>101</v>
      </c>
      <c r="J75" s="203">
        <f t="shared" si="4"/>
        <v>1.0445544554455446</v>
      </c>
      <c r="K75" s="203"/>
      <c r="L75" s="203"/>
      <c r="M75" s="203"/>
      <c r="N75" s="203"/>
      <c r="O75" s="214">
        <f t="shared" si="5"/>
        <v>29.065743944636683</v>
      </c>
      <c r="P75" s="213">
        <v>140</v>
      </c>
      <c r="Q75" s="213">
        <v>90</v>
      </c>
      <c r="R75" s="213">
        <v>107.3</v>
      </c>
      <c r="S75" s="203">
        <v>187</v>
      </c>
      <c r="T75" s="203">
        <v>33.700000000000003</v>
      </c>
      <c r="U75" s="203">
        <v>80.400000000000006</v>
      </c>
      <c r="V75" s="203">
        <v>253</v>
      </c>
      <c r="W75" s="203">
        <v>1.06</v>
      </c>
      <c r="X75" s="203">
        <v>61.2</v>
      </c>
      <c r="Y75" s="203">
        <v>30.6</v>
      </c>
      <c r="Z75" s="203">
        <f t="shared" si="6"/>
        <v>50.6</v>
      </c>
      <c r="AA75" s="203">
        <f t="shared" si="7"/>
        <v>75.199999999999989</v>
      </c>
      <c r="AB75" s="203"/>
      <c r="AC75" s="203"/>
      <c r="AD75" s="203"/>
      <c r="AE75" s="203"/>
    </row>
    <row r="76" spans="1:31" x14ac:dyDescent="0.2">
      <c r="A76" s="200" t="s">
        <v>8324</v>
      </c>
      <c r="B76" s="201">
        <v>44802</v>
      </c>
      <c r="C76" s="202">
        <v>3</v>
      </c>
      <c r="D76" s="203" t="s">
        <v>196</v>
      </c>
      <c r="E76" s="203">
        <v>65</v>
      </c>
      <c r="F76" s="203">
        <v>77.099999999999994</v>
      </c>
      <c r="G76" s="203">
        <v>1.48</v>
      </c>
      <c r="H76" s="203">
        <v>99</v>
      </c>
      <c r="I76" s="203">
        <v>120</v>
      </c>
      <c r="J76" s="203">
        <f t="shared" si="4"/>
        <v>0.82499999999999996</v>
      </c>
      <c r="K76" s="203">
        <v>44.6</v>
      </c>
      <c r="L76" s="203">
        <v>13</v>
      </c>
      <c r="M76" s="203">
        <v>40.5</v>
      </c>
      <c r="N76" s="203">
        <v>82</v>
      </c>
      <c r="O76" s="216">
        <f t="shared" si="5"/>
        <v>35.199050401753105</v>
      </c>
      <c r="P76" s="203">
        <v>108</v>
      </c>
      <c r="Q76" s="203">
        <v>76</v>
      </c>
      <c r="R76" s="203">
        <v>81.3</v>
      </c>
      <c r="S76" s="213">
        <v>234</v>
      </c>
      <c r="T76" s="203">
        <v>24.9</v>
      </c>
      <c r="U76" s="203">
        <v>29.8</v>
      </c>
      <c r="V76" s="213">
        <v>284.10000000000002</v>
      </c>
      <c r="W76" s="203">
        <v>0.76</v>
      </c>
      <c r="X76" s="213">
        <v>51.4</v>
      </c>
      <c r="Y76" s="203">
        <v>37.799999999999997</v>
      </c>
      <c r="Z76" s="203">
        <f t="shared" si="6"/>
        <v>56.820000000000007</v>
      </c>
      <c r="AA76" s="203">
        <f t="shared" si="7"/>
        <v>125.77999999999999</v>
      </c>
      <c r="AB76" s="203"/>
      <c r="AC76" s="203"/>
      <c r="AD76" s="203"/>
      <c r="AE76" s="203"/>
    </row>
    <row r="77" spans="1:31" x14ac:dyDescent="0.2">
      <c r="A77" s="200" t="s">
        <v>8325</v>
      </c>
      <c r="B77" s="201">
        <v>44684</v>
      </c>
      <c r="C77" s="202"/>
      <c r="D77" s="203"/>
      <c r="E77" s="203"/>
      <c r="F77" s="203"/>
      <c r="G77" s="203"/>
      <c r="H77" s="203"/>
      <c r="I77" s="203"/>
      <c r="J77" s="203" t="e">
        <f t="shared" si="4"/>
        <v>#DIV/0!</v>
      </c>
      <c r="K77" s="203"/>
      <c r="L77" s="203"/>
      <c r="M77" s="203"/>
      <c r="N77" s="203"/>
      <c r="O77" s="214" t="e">
        <f t="shared" si="5"/>
        <v>#DIV/0!</v>
      </c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>
        <f t="shared" si="6"/>
        <v>0</v>
      </c>
      <c r="AA77" s="203">
        <f t="shared" si="7"/>
        <v>0</v>
      </c>
      <c r="AB77" s="203"/>
      <c r="AC77" s="203"/>
      <c r="AD77" s="203"/>
      <c r="AE77" s="203"/>
    </row>
    <row r="78" spans="1:31" x14ac:dyDescent="0.2">
      <c r="A78" s="200" t="s">
        <v>8326</v>
      </c>
      <c r="B78" s="201">
        <v>44685</v>
      </c>
      <c r="C78" s="209">
        <v>1</v>
      </c>
      <c r="D78" s="203" t="s">
        <v>196</v>
      </c>
      <c r="E78" s="203">
        <v>59</v>
      </c>
      <c r="F78" s="203">
        <v>44.9</v>
      </c>
      <c r="G78" s="203">
        <v>1.68</v>
      </c>
      <c r="H78" s="203">
        <v>66</v>
      </c>
      <c r="I78" s="203">
        <v>85</v>
      </c>
      <c r="J78" s="203">
        <f t="shared" si="4"/>
        <v>0.77647058823529413</v>
      </c>
      <c r="K78" s="203">
        <v>8.5</v>
      </c>
      <c r="L78" s="203">
        <v>2</v>
      </c>
      <c r="M78" s="203">
        <v>39</v>
      </c>
      <c r="N78" s="203">
        <v>12</v>
      </c>
      <c r="O78" s="211">
        <f t="shared" si="5"/>
        <v>15.908446712018142</v>
      </c>
      <c r="P78" s="203">
        <v>92</v>
      </c>
      <c r="Q78" s="203">
        <v>60</v>
      </c>
      <c r="R78" s="203">
        <v>73.099999999999994</v>
      </c>
      <c r="S78" s="203">
        <v>158</v>
      </c>
      <c r="T78" s="203">
        <v>15.4</v>
      </c>
      <c r="U78" s="203">
        <v>3.8</v>
      </c>
      <c r="V78" s="203">
        <v>127.6</v>
      </c>
      <c r="W78" s="203">
        <v>0.76</v>
      </c>
      <c r="X78" s="203">
        <v>68.900000000000006</v>
      </c>
      <c r="Y78" s="203">
        <v>43.2</v>
      </c>
      <c r="Z78" s="203">
        <f t="shared" si="6"/>
        <v>25.52</v>
      </c>
      <c r="AA78" s="203">
        <f t="shared" si="7"/>
        <v>63.58</v>
      </c>
      <c r="AB78" s="203"/>
      <c r="AC78" s="203"/>
      <c r="AD78" s="203"/>
      <c r="AE78" s="203"/>
    </row>
    <row r="79" spans="1:31" x14ac:dyDescent="0.2">
      <c r="A79" s="200" t="s">
        <v>8327</v>
      </c>
      <c r="B79" s="201">
        <v>44686</v>
      </c>
      <c r="C79" s="202"/>
      <c r="D79" s="203"/>
      <c r="E79" s="203"/>
      <c r="F79" s="203"/>
      <c r="G79" s="203"/>
      <c r="H79" s="203"/>
      <c r="I79" s="203"/>
      <c r="J79" s="203" t="e">
        <f t="shared" si="4"/>
        <v>#DIV/0!</v>
      </c>
      <c r="K79" s="203"/>
      <c r="L79" s="203"/>
      <c r="M79" s="203"/>
      <c r="N79" s="203"/>
      <c r="O79" s="214" t="e">
        <f t="shared" si="5"/>
        <v>#DIV/0!</v>
      </c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>
        <f t="shared" si="6"/>
        <v>0</v>
      </c>
      <c r="AA79" s="203">
        <f t="shared" si="7"/>
        <v>0</v>
      </c>
      <c r="AB79" s="203"/>
      <c r="AC79" s="203"/>
      <c r="AD79" s="203"/>
      <c r="AE79" s="203"/>
    </row>
    <row r="80" spans="1:31" x14ac:dyDescent="0.2">
      <c r="A80" s="200" t="s">
        <v>8328</v>
      </c>
      <c r="B80" s="201">
        <v>44802</v>
      </c>
      <c r="C80" s="202">
        <v>2</v>
      </c>
      <c r="D80" s="203" t="s">
        <v>196</v>
      </c>
      <c r="E80" s="203">
        <v>43</v>
      </c>
      <c r="F80" s="203">
        <v>65</v>
      </c>
      <c r="G80" s="203">
        <v>1.58</v>
      </c>
      <c r="H80" s="203">
        <v>79</v>
      </c>
      <c r="I80" s="203">
        <v>98</v>
      </c>
      <c r="J80" s="203">
        <f t="shared" si="4"/>
        <v>0.80612244897959184</v>
      </c>
      <c r="K80" s="203">
        <v>27</v>
      </c>
      <c r="L80" s="203">
        <v>5</v>
      </c>
      <c r="M80" s="203">
        <v>45.1</v>
      </c>
      <c r="N80" s="203">
        <v>29</v>
      </c>
      <c r="O80" s="214">
        <f t="shared" si="5"/>
        <v>26.037493991347535</v>
      </c>
      <c r="P80" s="203">
        <v>108</v>
      </c>
      <c r="Q80" s="203">
        <v>73</v>
      </c>
      <c r="R80" s="203">
        <v>83.8</v>
      </c>
      <c r="S80" s="203">
        <v>170</v>
      </c>
      <c r="T80" s="203">
        <v>34.4</v>
      </c>
      <c r="U80" s="203">
        <v>12.5</v>
      </c>
      <c r="V80" s="203">
        <v>105.3</v>
      </c>
      <c r="W80" s="203">
        <v>0.66</v>
      </c>
      <c r="X80" s="203">
        <v>81.599999999999994</v>
      </c>
      <c r="Y80" s="203">
        <v>34.1</v>
      </c>
      <c r="Z80" s="203">
        <f t="shared" si="6"/>
        <v>21.060000000000002</v>
      </c>
      <c r="AA80" s="203">
        <f t="shared" si="7"/>
        <v>67.34</v>
      </c>
      <c r="AB80" s="203"/>
      <c r="AC80" s="203"/>
      <c r="AD80" s="203"/>
      <c r="AE80" s="203"/>
    </row>
    <row r="81" spans="1:31" x14ac:dyDescent="0.2">
      <c r="A81" s="200" t="s">
        <v>8329</v>
      </c>
      <c r="B81" s="201">
        <v>44802</v>
      </c>
      <c r="C81" s="202">
        <v>2</v>
      </c>
      <c r="D81" s="203" t="s">
        <v>675</v>
      </c>
      <c r="E81" s="203">
        <v>35</v>
      </c>
      <c r="F81" s="203">
        <v>82.3</v>
      </c>
      <c r="G81" s="203">
        <v>1.67</v>
      </c>
      <c r="H81" s="203">
        <v>100</v>
      </c>
      <c r="I81" s="203">
        <v>107</v>
      </c>
      <c r="J81" s="203">
        <f t="shared" si="4"/>
        <v>0.93457943925233644</v>
      </c>
      <c r="K81" s="203">
        <v>26.4</v>
      </c>
      <c r="L81" s="203">
        <v>10</v>
      </c>
      <c r="M81" s="203">
        <v>57.6</v>
      </c>
      <c r="N81" s="203">
        <v>55</v>
      </c>
      <c r="O81" s="214">
        <f t="shared" si="5"/>
        <v>29.509842590268565</v>
      </c>
      <c r="P81" s="203">
        <v>110</v>
      </c>
      <c r="Q81" s="203">
        <v>74</v>
      </c>
      <c r="R81" s="203">
        <v>92.7</v>
      </c>
      <c r="S81" s="203">
        <v>180</v>
      </c>
      <c r="T81" s="203">
        <v>26.3</v>
      </c>
      <c r="U81" s="203">
        <v>28.7</v>
      </c>
      <c r="V81" s="213">
        <v>439.1</v>
      </c>
      <c r="W81" s="203">
        <v>1.1299999999999999</v>
      </c>
      <c r="X81" s="203">
        <v>48.8</v>
      </c>
      <c r="Y81" s="203">
        <v>54.1</v>
      </c>
      <c r="Z81" s="203">
        <f t="shared" si="6"/>
        <v>87.820000000000007</v>
      </c>
      <c r="AA81" s="203">
        <f t="shared" si="7"/>
        <v>43.379999999999981</v>
      </c>
      <c r="AB81" s="203"/>
      <c r="AC81" s="203"/>
      <c r="AD81" s="203"/>
      <c r="AE81" s="203"/>
    </row>
    <row r="82" spans="1:31" x14ac:dyDescent="0.2">
      <c r="A82" s="200" t="s">
        <v>8330</v>
      </c>
      <c r="B82" s="201">
        <v>44689</v>
      </c>
      <c r="C82" s="202"/>
      <c r="D82" s="203"/>
      <c r="E82" s="203"/>
      <c r="F82" s="203"/>
      <c r="G82" s="203"/>
      <c r="H82" s="203"/>
      <c r="I82" s="203"/>
      <c r="J82" s="203" t="e">
        <f t="shared" si="4"/>
        <v>#DIV/0!</v>
      </c>
      <c r="K82" s="203"/>
      <c r="L82" s="203"/>
      <c r="M82" s="203"/>
      <c r="N82" s="203"/>
      <c r="O82" s="214" t="e">
        <f t="shared" si="5"/>
        <v>#DIV/0!</v>
      </c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>
        <f t="shared" si="6"/>
        <v>0</v>
      </c>
      <c r="AA82" s="203">
        <f t="shared" si="7"/>
        <v>0</v>
      </c>
      <c r="AB82" s="203"/>
      <c r="AC82" s="203"/>
      <c r="AD82" s="203"/>
      <c r="AE82" s="203"/>
    </row>
    <row r="83" spans="1:31" x14ac:dyDescent="0.2">
      <c r="A83" s="200" t="s">
        <v>8331</v>
      </c>
      <c r="B83" s="201">
        <v>44740</v>
      </c>
      <c r="C83" s="202">
        <v>2</v>
      </c>
      <c r="D83" s="203" t="s">
        <v>196</v>
      </c>
      <c r="E83" s="203">
        <v>49</v>
      </c>
      <c r="F83" s="203">
        <v>78.3</v>
      </c>
      <c r="G83" s="203">
        <v>1.59</v>
      </c>
      <c r="H83" s="203">
        <v>91</v>
      </c>
      <c r="I83" s="203">
        <v>104</v>
      </c>
      <c r="J83" s="203">
        <f t="shared" si="4"/>
        <v>0.875</v>
      </c>
      <c r="K83" s="203">
        <v>36.4</v>
      </c>
      <c r="L83" s="203">
        <v>8</v>
      </c>
      <c r="M83" s="203">
        <v>43.3</v>
      </c>
      <c r="N83" s="203">
        <v>55</v>
      </c>
      <c r="O83" s="214">
        <f t="shared" si="5"/>
        <v>30.971876112495547</v>
      </c>
      <c r="P83" s="203">
        <v>125</v>
      </c>
      <c r="Q83" s="203">
        <v>90</v>
      </c>
      <c r="R83" s="203">
        <v>97</v>
      </c>
      <c r="S83" s="203">
        <v>207</v>
      </c>
      <c r="T83" s="203">
        <v>69</v>
      </c>
      <c r="U83" s="203">
        <v>39</v>
      </c>
      <c r="V83" s="213">
        <v>166</v>
      </c>
      <c r="W83" s="203">
        <v>1</v>
      </c>
      <c r="X83" s="203">
        <v>59</v>
      </c>
      <c r="Y83" s="203"/>
      <c r="Z83" s="203">
        <f t="shared" si="6"/>
        <v>33.200000000000003</v>
      </c>
      <c r="AA83" s="203">
        <f t="shared" si="7"/>
        <v>114.8</v>
      </c>
      <c r="AB83" s="203">
        <v>0.5</v>
      </c>
      <c r="AC83" s="203"/>
      <c r="AD83" s="203"/>
      <c r="AE83" s="203"/>
    </row>
    <row r="84" spans="1:31" x14ac:dyDescent="0.2">
      <c r="A84" s="200" t="s">
        <v>8332</v>
      </c>
      <c r="B84" s="201">
        <v>44740</v>
      </c>
      <c r="C84" s="212">
        <v>3</v>
      </c>
      <c r="D84" s="203" t="s">
        <v>675</v>
      </c>
      <c r="E84" s="203">
        <v>66</v>
      </c>
      <c r="F84" s="203">
        <v>73.099999999999994</v>
      </c>
      <c r="G84" s="203">
        <v>1.67</v>
      </c>
      <c r="H84" s="213">
        <v>99</v>
      </c>
      <c r="I84" s="203">
        <v>102</v>
      </c>
      <c r="J84" s="203">
        <f t="shared" si="4"/>
        <v>0.97058823529411764</v>
      </c>
      <c r="K84" s="203">
        <v>33.799999999999997</v>
      </c>
      <c r="L84" s="213">
        <v>17</v>
      </c>
      <c r="M84" s="203">
        <v>45</v>
      </c>
      <c r="N84" s="203"/>
      <c r="O84" s="214">
        <f t="shared" si="5"/>
        <v>26.211050951988238</v>
      </c>
      <c r="P84" s="203">
        <v>129</v>
      </c>
      <c r="Q84" s="203">
        <v>88</v>
      </c>
      <c r="R84" s="215">
        <v>107</v>
      </c>
      <c r="S84" s="203">
        <v>268</v>
      </c>
      <c r="T84" s="203">
        <v>14</v>
      </c>
      <c r="U84" s="203">
        <v>30</v>
      </c>
      <c r="V84" s="213">
        <v>160</v>
      </c>
      <c r="W84" s="203">
        <v>1</v>
      </c>
      <c r="X84" s="203">
        <v>79</v>
      </c>
      <c r="Y84" s="203"/>
      <c r="Z84" s="203">
        <f t="shared" si="6"/>
        <v>32</v>
      </c>
      <c r="AA84" s="203">
        <f t="shared" si="7"/>
        <v>157</v>
      </c>
      <c r="AB84" s="203">
        <v>1.67</v>
      </c>
      <c r="AC84" s="203"/>
      <c r="AD84" s="203"/>
      <c r="AE84" s="203"/>
    </row>
    <row r="85" spans="1:31" x14ac:dyDescent="0.2">
      <c r="A85" s="200" t="s">
        <v>8333</v>
      </c>
      <c r="B85" s="201">
        <v>44740</v>
      </c>
      <c r="C85" s="202">
        <v>2</v>
      </c>
      <c r="D85" s="203" t="s">
        <v>196</v>
      </c>
      <c r="E85" s="203">
        <v>45</v>
      </c>
      <c r="F85" s="203">
        <v>87</v>
      </c>
      <c r="G85" s="203">
        <v>1.64</v>
      </c>
      <c r="H85" s="203">
        <v>104</v>
      </c>
      <c r="I85" s="203">
        <v>113</v>
      </c>
      <c r="J85" s="203">
        <f t="shared" si="4"/>
        <v>0.92035398230088494</v>
      </c>
      <c r="K85" s="203">
        <v>40</v>
      </c>
      <c r="L85" s="203">
        <v>9</v>
      </c>
      <c r="M85" s="203">
        <v>49</v>
      </c>
      <c r="N85" s="203"/>
      <c r="O85" s="214">
        <f t="shared" si="5"/>
        <v>32.346817370612733</v>
      </c>
      <c r="P85" s="203">
        <v>96</v>
      </c>
      <c r="Q85" s="203">
        <v>70</v>
      </c>
      <c r="R85" s="215">
        <v>100</v>
      </c>
      <c r="S85" s="203">
        <v>218</v>
      </c>
      <c r="T85" s="203">
        <v>23</v>
      </c>
      <c r="U85" s="203">
        <v>17</v>
      </c>
      <c r="V85" s="203">
        <v>123</v>
      </c>
      <c r="W85" s="203">
        <v>1</v>
      </c>
      <c r="X85" s="203">
        <v>90</v>
      </c>
      <c r="Y85" s="203"/>
      <c r="Z85" s="203">
        <f t="shared" si="6"/>
        <v>24.6</v>
      </c>
      <c r="AA85" s="203">
        <f t="shared" si="7"/>
        <v>103.4</v>
      </c>
      <c r="AB85" s="203">
        <v>0.33</v>
      </c>
      <c r="AC85" s="203"/>
      <c r="AD85" s="203"/>
      <c r="AE85" s="203"/>
    </row>
    <row r="86" spans="1:31" x14ac:dyDescent="0.2">
      <c r="A86" s="200" t="s">
        <v>8334</v>
      </c>
      <c r="B86" s="201">
        <v>44740</v>
      </c>
      <c r="C86" s="212">
        <v>3</v>
      </c>
      <c r="D86" s="203" t="s">
        <v>196</v>
      </c>
      <c r="E86" s="203">
        <v>52</v>
      </c>
      <c r="F86" s="203">
        <v>73.5</v>
      </c>
      <c r="G86" s="203">
        <v>1.55</v>
      </c>
      <c r="H86" s="213">
        <v>90</v>
      </c>
      <c r="I86" s="203">
        <v>109</v>
      </c>
      <c r="J86" s="203">
        <f t="shared" si="4"/>
        <v>0.82568807339449546</v>
      </c>
      <c r="K86" s="203">
        <v>35</v>
      </c>
      <c r="L86" s="213">
        <v>8</v>
      </c>
      <c r="M86" s="203">
        <v>45</v>
      </c>
      <c r="N86" s="203">
        <v>51</v>
      </c>
      <c r="O86" s="214">
        <f t="shared" si="5"/>
        <v>30.593132154006241</v>
      </c>
      <c r="P86" s="203">
        <v>122</v>
      </c>
      <c r="Q86" s="203">
        <v>90</v>
      </c>
      <c r="R86" s="213">
        <v>125</v>
      </c>
      <c r="S86" s="203">
        <v>243</v>
      </c>
      <c r="T86" s="203">
        <v>35</v>
      </c>
      <c r="U86" s="203">
        <v>26</v>
      </c>
      <c r="V86" s="213">
        <v>164</v>
      </c>
      <c r="W86" s="203">
        <v>1</v>
      </c>
      <c r="X86" s="203">
        <v>70</v>
      </c>
      <c r="Y86" s="203"/>
      <c r="Z86" s="203">
        <f t="shared" si="6"/>
        <v>32.800000000000004</v>
      </c>
      <c r="AA86" s="203">
        <f t="shared" si="7"/>
        <v>140.19999999999999</v>
      </c>
      <c r="AB86" s="203">
        <v>0.51</v>
      </c>
      <c r="AC86" s="203"/>
      <c r="AD86" s="203"/>
      <c r="AE86" s="203"/>
    </row>
    <row r="87" spans="1:31" x14ac:dyDescent="0.2">
      <c r="A87" s="200" t="s">
        <v>8335</v>
      </c>
      <c r="B87" s="201">
        <v>44740</v>
      </c>
      <c r="C87" s="212">
        <v>3</v>
      </c>
      <c r="D87" s="203" t="s">
        <v>196</v>
      </c>
      <c r="E87" s="203">
        <v>49</v>
      </c>
      <c r="F87" s="203">
        <v>85</v>
      </c>
      <c r="G87" s="203">
        <v>1.56</v>
      </c>
      <c r="H87" s="213">
        <v>99</v>
      </c>
      <c r="I87" s="203">
        <v>112</v>
      </c>
      <c r="J87" s="203">
        <f t="shared" si="4"/>
        <v>0.8839285714285714</v>
      </c>
      <c r="K87" s="203">
        <v>45</v>
      </c>
      <c r="L87" s="213">
        <v>11</v>
      </c>
      <c r="M87" s="203">
        <v>44</v>
      </c>
      <c r="N87" s="203">
        <v>83</v>
      </c>
      <c r="O87" s="214">
        <f t="shared" si="5"/>
        <v>34.927679158448385</v>
      </c>
      <c r="P87" s="203">
        <v>117</v>
      </c>
      <c r="Q87" s="203">
        <v>87</v>
      </c>
      <c r="R87" s="215">
        <v>106</v>
      </c>
      <c r="S87" s="203">
        <v>193</v>
      </c>
      <c r="T87" s="203">
        <v>19</v>
      </c>
      <c r="U87" s="203">
        <v>19</v>
      </c>
      <c r="V87" s="213">
        <v>208</v>
      </c>
      <c r="W87" s="203">
        <v>2</v>
      </c>
      <c r="X87" s="203">
        <v>67</v>
      </c>
      <c r="Y87" s="203"/>
      <c r="Z87" s="203">
        <f t="shared" si="6"/>
        <v>41.6</v>
      </c>
      <c r="AA87" s="203">
        <f t="shared" si="7"/>
        <v>84.4</v>
      </c>
      <c r="AB87" s="203">
        <v>0.4</v>
      </c>
      <c r="AC87" s="203"/>
      <c r="AD87" s="203"/>
      <c r="AE87" s="203"/>
    </row>
    <row r="88" spans="1:31" x14ac:dyDescent="0.2">
      <c r="A88" s="200" t="s">
        <v>8336</v>
      </c>
      <c r="B88" s="201">
        <v>44740</v>
      </c>
      <c r="C88" s="202">
        <v>2</v>
      </c>
      <c r="D88" s="203" t="s">
        <v>196</v>
      </c>
      <c r="E88" s="203">
        <v>45</v>
      </c>
      <c r="F88" s="203">
        <v>88</v>
      </c>
      <c r="G88" s="203">
        <v>1.68</v>
      </c>
      <c r="H88" s="203">
        <v>94</v>
      </c>
      <c r="I88" s="203">
        <v>121</v>
      </c>
      <c r="J88" s="203">
        <f t="shared" si="4"/>
        <v>0.77685950413223137</v>
      </c>
      <c r="K88" s="203">
        <v>38</v>
      </c>
      <c r="L88" s="203">
        <v>8</v>
      </c>
      <c r="M88" s="203">
        <v>51</v>
      </c>
      <c r="N88" s="203">
        <v>62</v>
      </c>
      <c r="O88" s="214">
        <f t="shared" si="5"/>
        <v>31.17913832199547</v>
      </c>
      <c r="P88" s="203">
        <v>106</v>
      </c>
      <c r="Q88" s="203">
        <v>73</v>
      </c>
      <c r="R88" s="215">
        <v>107</v>
      </c>
      <c r="S88" s="203">
        <v>224</v>
      </c>
      <c r="T88" s="203">
        <v>15</v>
      </c>
      <c r="U88" s="203">
        <v>19</v>
      </c>
      <c r="V88" s="203">
        <v>76</v>
      </c>
      <c r="W88" s="203">
        <v>1</v>
      </c>
      <c r="X88" s="203">
        <v>109</v>
      </c>
      <c r="Y88" s="203"/>
      <c r="Z88" s="203">
        <f t="shared" si="6"/>
        <v>15.200000000000001</v>
      </c>
      <c r="AA88" s="203">
        <f t="shared" si="7"/>
        <v>99.8</v>
      </c>
      <c r="AB88" s="203">
        <v>0.87</v>
      </c>
      <c r="AC88" s="203"/>
      <c r="AD88" s="203"/>
      <c r="AE88" s="203"/>
    </row>
    <row r="89" spans="1:31" x14ac:dyDescent="0.2">
      <c r="A89" s="200" t="s">
        <v>8337</v>
      </c>
      <c r="B89" s="201">
        <v>44740</v>
      </c>
      <c r="C89" s="212">
        <v>3</v>
      </c>
      <c r="D89" s="203" t="s">
        <v>196</v>
      </c>
      <c r="E89" s="203">
        <v>47</v>
      </c>
      <c r="F89" s="203">
        <v>128</v>
      </c>
      <c r="G89" s="203">
        <v>1.59</v>
      </c>
      <c r="H89" s="213">
        <v>134</v>
      </c>
      <c r="I89" s="203">
        <v>157</v>
      </c>
      <c r="J89" s="203">
        <f t="shared" si="4"/>
        <v>0.85350318471337583</v>
      </c>
      <c r="K89" s="203">
        <v>49</v>
      </c>
      <c r="L89" s="213">
        <v>18</v>
      </c>
      <c r="M89" s="203">
        <v>61</v>
      </c>
      <c r="N89" s="203">
        <v>90</v>
      </c>
      <c r="O89" s="216">
        <f t="shared" si="5"/>
        <v>50.630908587476753</v>
      </c>
      <c r="P89" s="213">
        <v>180</v>
      </c>
      <c r="Q89" s="213">
        <v>115</v>
      </c>
      <c r="R89" s="215">
        <v>111</v>
      </c>
      <c r="S89" s="203">
        <v>239</v>
      </c>
      <c r="T89" s="203">
        <v>19</v>
      </c>
      <c r="U89" s="203">
        <v>23</v>
      </c>
      <c r="V89" s="213">
        <v>155</v>
      </c>
      <c r="W89" s="203">
        <v>1</v>
      </c>
      <c r="X89" s="203">
        <v>73</v>
      </c>
      <c r="Y89" s="203"/>
      <c r="Z89" s="203">
        <f t="shared" si="6"/>
        <v>31</v>
      </c>
      <c r="AA89" s="203">
        <f t="shared" si="7"/>
        <v>135</v>
      </c>
      <c r="AB89" s="203">
        <v>0.9</v>
      </c>
      <c r="AC89" s="203"/>
      <c r="AD89" s="203"/>
      <c r="AE89" s="203"/>
    </row>
    <row r="90" spans="1:31" x14ac:dyDescent="0.2">
      <c r="A90" s="200" t="s">
        <v>8338</v>
      </c>
      <c r="B90" s="201">
        <v>44740</v>
      </c>
      <c r="C90" s="212">
        <v>3</v>
      </c>
      <c r="D90" s="203" t="s">
        <v>196</v>
      </c>
      <c r="E90" s="203">
        <v>67</v>
      </c>
      <c r="F90" s="203">
        <v>120</v>
      </c>
      <c r="G90" s="203">
        <v>1.5</v>
      </c>
      <c r="H90" s="213">
        <v>127</v>
      </c>
      <c r="I90" s="203">
        <v>145</v>
      </c>
      <c r="J90" s="203">
        <f t="shared" si="4"/>
        <v>0.87586206896551722</v>
      </c>
      <c r="K90" s="203">
        <v>50</v>
      </c>
      <c r="L90" s="213">
        <v>21</v>
      </c>
      <c r="M90" s="203">
        <v>56</v>
      </c>
      <c r="N90" s="203">
        <v>90</v>
      </c>
      <c r="O90" s="216">
        <f t="shared" si="5"/>
        <v>53.333333333333336</v>
      </c>
      <c r="P90" s="203">
        <v>135</v>
      </c>
      <c r="Q90" s="203">
        <v>85</v>
      </c>
      <c r="R90" s="213">
        <v>126</v>
      </c>
      <c r="S90" s="203">
        <v>204</v>
      </c>
      <c r="T90" s="203">
        <v>12</v>
      </c>
      <c r="U90" s="203">
        <v>24</v>
      </c>
      <c r="V90" s="203">
        <v>142</v>
      </c>
      <c r="W90" s="203">
        <v>1</v>
      </c>
      <c r="X90" s="203">
        <v>70</v>
      </c>
      <c r="Y90" s="203"/>
      <c r="Z90" s="203">
        <f t="shared" si="6"/>
        <v>28.400000000000002</v>
      </c>
      <c r="AA90" s="203">
        <f t="shared" si="7"/>
        <v>105.6</v>
      </c>
      <c r="AB90" s="203">
        <v>0.56000000000000005</v>
      </c>
      <c r="AC90" s="203"/>
      <c r="AD90" s="203"/>
      <c r="AE90" s="203"/>
    </row>
    <row r="91" spans="1:31" x14ac:dyDescent="0.2">
      <c r="A91" s="200" t="s">
        <v>8339</v>
      </c>
      <c r="B91" s="201"/>
      <c r="C91" s="202"/>
      <c r="D91" s="218"/>
      <c r="E91" s="218"/>
      <c r="F91" s="218"/>
      <c r="G91" s="218"/>
      <c r="H91" s="218"/>
      <c r="I91" s="218"/>
      <c r="J91" s="203" t="e">
        <f t="shared" si="4"/>
        <v>#DIV/0!</v>
      </c>
      <c r="K91" s="218"/>
      <c r="L91" s="218"/>
      <c r="M91" s="218"/>
      <c r="N91" s="218"/>
      <c r="O91" s="214" t="e">
        <f t="shared" si="5"/>
        <v>#DIV/0!</v>
      </c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03">
        <f t="shared" si="6"/>
        <v>0</v>
      </c>
      <c r="AA91" s="203">
        <f t="shared" si="7"/>
        <v>0</v>
      </c>
      <c r="AB91" s="218"/>
      <c r="AC91" s="218"/>
      <c r="AD91" s="218"/>
      <c r="AE91" s="218"/>
    </row>
    <row r="92" spans="1:31" x14ac:dyDescent="0.2">
      <c r="A92" s="200" t="s">
        <v>8340</v>
      </c>
      <c r="B92" s="201">
        <v>44699</v>
      </c>
      <c r="C92" s="202"/>
      <c r="D92" s="218"/>
      <c r="E92" s="218"/>
      <c r="F92" s="218"/>
      <c r="G92" s="218"/>
      <c r="H92" s="218"/>
      <c r="I92" s="218"/>
      <c r="J92" s="203" t="e">
        <f t="shared" si="4"/>
        <v>#DIV/0!</v>
      </c>
      <c r="K92" s="218"/>
      <c r="L92" s="218"/>
      <c r="M92" s="218"/>
      <c r="N92" s="218"/>
      <c r="O92" s="214" t="e">
        <f t="shared" si="5"/>
        <v>#DIV/0!</v>
      </c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03">
        <f t="shared" si="6"/>
        <v>0</v>
      </c>
      <c r="AA92" s="203">
        <f t="shared" si="7"/>
        <v>0</v>
      </c>
      <c r="AB92" s="218"/>
      <c r="AC92" s="218"/>
      <c r="AD92" s="218"/>
      <c r="AE92" s="218"/>
    </row>
    <row r="93" spans="1:31" x14ac:dyDescent="0.2">
      <c r="A93" s="200" t="s">
        <v>8341</v>
      </c>
      <c r="B93" s="201">
        <v>44700</v>
      </c>
      <c r="C93" s="202"/>
      <c r="D93" s="218"/>
      <c r="E93" s="218"/>
      <c r="F93" s="218"/>
      <c r="G93" s="218"/>
      <c r="H93" s="218"/>
      <c r="I93" s="218"/>
      <c r="J93" s="203" t="e">
        <f t="shared" si="4"/>
        <v>#DIV/0!</v>
      </c>
      <c r="K93" s="218"/>
      <c r="L93" s="218"/>
      <c r="M93" s="218"/>
      <c r="N93" s="218"/>
      <c r="O93" s="214" t="e">
        <f t="shared" si="5"/>
        <v>#DIV/0!</v>
      </c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03">
        <f t="shared" si="6"/>
        <v>0</v>
      </c>
      <c r="AA93" s="203">
        <f t="shared" si="7"/>
        <v>0</v>
      </c>
      <c r="AB93" s="218"/>
      <c r="AC93" s="218"/>
      <c r="AD93" s="218"/>
      <c r="AE93" s="218"/>
    </row>
    <row r="94" spans="1:31" x14ac:dyDescent="0.2">
      <c r="A94" s="200" t="s">
        <v>8342</v>
      </c>
      <c r="B94" s="201">
        <v>44701</v>
      </c>
      <c r="C94" s="202"/>
      <c r="D94" s="218"/>
      <c r="E94" s="218"/>
      <c r="F94" s="218"/>
      <c r="G94" s="218"/>
      <c r="H94" s="218"/>
      <c r="I94" s="218"/>
      <c r="J94" s="203" t="e">
        <f t="shared" si="4"/>
        <v>#DIV/0!</v>
      </c>
      <c r="K94" s="218"/>
      <c r="L94" s="218"/>
      <c r="M94" s="218"/>
      <c r="N94" s="218"/>
      <c r="O94" s="214" t="e">
        <f t="shared" si="5"/>
        <v>#DIV/0!</v>
      </c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03">
        <f t="shared" si="6"/>
        <v>0</v>
      </c>
      <c r="AA94" s="203">
        <f t="shared" si="7"/>
        <v>0</v>
      </c>
      <c r="AB94" s="218"/>
      <c r="AC94" s="218"/>
      <c r="AD94" s="218"/>
      <c r="AE94" s="218"/>
    </row>
    <row r="95" spans="1:31" x14ac:dyDescent="0.2">
      <c r="A95" s="200" t="s">
        <v>8343</v>
      </c>
      <c r="B95" s="201">
        <v>44702</v>
      </c>
      <c r="C95" s="202"/>
      <c r="D95" s="218"/>
      <c r="E95" s="218"/>
      <c r="F95" s="218"/>
      <c r="G95" s="218"/>
      <c r="H95" s="218"/>
      <c r="I95" s="218"/>
      <c r="J95" s="203" t="e">
        <f t="shared" si="4"/>
        <v>#DIV/0!</v>
      </c>
      <c r="K95" s="218"/>
      <c r="L95" s="218"/>
      <c r="M95" s="218"/>
      <c r="N95" s="218"/>
      <c r="O95" s="214" t="e">
        <f t="shared" si="5"/>
        <v>#DIV/0!</v>
      </c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03">
        <f t="shared" si="6"/>
        <v>0</v>
      </c>
      <c r="AA95" s="203">
        <f t="shared" si="7"/>
        <v>0</v>
      </c>
      <c r="AB95" s="218"/>
      <c r="AC95" s="218"/>
      <c r="AD95" s="218"/>
      <c r="AE95" s="218"/>
    </row>
    <row r="96" spans="1:31" x14ac:dyDescent="0.2">
      <c r="A96" s="200" t="s">
        <v>8344</v>
      </c>
      <c r="B96" s="201">
        <v>44703</v>
      </c>
      <c r="C96" s="202"/>
      <c r="D96" s="218"/>
      <c r="E96" s="218"/>
      <c r="F96" s="218"/>
      <c r="G96" s="218"/>
      <c r="H96" s="218"/>
      <c r="I96" s="218"/>
      <c r="J96" s="203" t="e">
        <f t="shared" si="4"/>
        <v>#DIV/0!</v>
      </c>
      <c r="K96" s="218"/>
      <c r="L96" s="218"/>
      <c r="M96" s="218"/>
      <c r="N96" s="218"/>
      <c r="O96" s="214" t="e">
        <f t="shared" si="5"/>
        <v>#DIV/0!</v>
      </c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03">
        <f t="shared" si="6"/>
        <v>0</v>
      </c>
      <c r="AA96" s="203">
        <f t="shared" si="7"/>
        <v>0</v>
      </c>
      <c r="AB96" s="218"/>
      <c r="AC96" s="218"/>
      <c r="AD96" s="218"/>
      <c r="AE96" s="218"/>
    </row>
    <row r="97" spans="1:31" x14ac:dyDescent="0.2">
      <c r="A97" s="200" t="s">
        <v>8345</v>
      </c>
      <c r="B97" s="201">
        <v>44704</v>
      </c>
      <c r="C97" s="202"/>
      <c r="D97" s="218"/>
      <c r="E97" s="218"/>
      <c r="F97" s="218"/>
      <c r="G97" s="218"/>
      <c r="H97" s="218"/>
      <c r="I97" s="218"/>
      <c r="J97" s="203" t="e">
        <f t="shared" si="4"/>
        <v>#DIV/0!</v>
      </c>
      <c r="K97" s="218"/>
      <c r="L97" s="218"/>
      <c r="M97" s="218"/>
      <c r="N97" s="218"/>
      <c r="O97" s="214" t="e">
        <f t="shared" si="5"/>
        <v>#DIV/0!</v>
      </c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03">
        <f t="shared" si="6"/>
        <v>0</v>
      </c>
      <c r="AA97" s="203">
        <f t="shared" si="7"/>
        <v>0</v>
      </c>
      <c r="AB97" s="218"/>
      <c r="AC97" s="218"/>
      <c r="AD97" s="218"/>
      <c r="AE97" s="218"/>
    </row>
    <row r="98" spans="1:31" x14ac:dyDescent="0.2">
      <c r="A98" s="200" t="s">
        <v>8346</v>
      </c>
      <c r="B98" s="201">
        <v>44705</v>
      </c>
      <c r="C98" s="202"/>
      <c r="D98" s="218"/>
      <c r="E98" s="218"/>
      <c r="F98" s="218"/>
      <c r="G98" s="218"/>
      <c r="H98" s="218"/>
      <c r="I98" s="218"/>
      <c r="J98" s="203" t="e">
        <f t="shared" si="4"/>
        <v>#DIV/0!</v>
      </c>
      <c r="K98" s="218"/>
      <c r="L98" s="218"/>
      <c r="M98" s="218"/>
      <c r="N98" s="218"/>
      <c r="O98" s="214" t="e">
        <f t="shared" si="5"/>
        <v>#DIV/0!</v>
      </c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03">
        <f t="shared" si="6"/>
        <v>0</v>
      </c>
      <c r="AA98" s="203">
        <f t="shared" si="7"/>
        <v>0</v>
      </c>
      <c r="AB98" s="218"/>
      <c r="AC98" s="218"/>
      <c r="AD98" s="218"/>
      <c r="AE98" s="218"/>
    </row>
    <row r="99" spans="1:31" x14ac:dyDescent="0.2">
      <c r="A99" s="200" t="s">
        <v>8347</v>
      </c>
      <c r="B99" s="201">
        <v>44706</v>
      </c>
      <c r="C99" s="202"/>
      <c r="D99" s="218"/>
      <c r="E99" s="218"/>
      <c r="F99" s="218"/>
      <c r="G99" s="218"/>
      <c r="H99" s="218"/>
      <c r="I99" s="218"/>
      <c r="J99" s="203" t="e">
        <f t="shared" si="4"/>
        <v>#DIV/0!</v>
      </c>
      <c r="K99" s="218"/>
      <c r="L99" s="218"/>
      <c r="M99" s="218"/>
      <c r="N99" s="218"/>
      <c r="O99" s="214" t="e">
        <f t="shared" si="5"/>
        <v>#DIV/0!</v>
      </c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03">
        <f t="shared" si="6"/>
        <v>0</v>
      </c>
      <c r="AA99" s="203">
        <f t="shared" si="7"/>
        <v>0</v>
      </c>
      <c r="AB99" s="218"/>
      <c r="AC99" s="218"/>
      <c r="AD99" s="218"/>
      <c r="AE99" s="218"/>
    </row>
    <row r="100" spans="1:31" x14ac:dyDescent="0.2">
      <c r="A100" s="200" t="s">
        <v>8348</v>
      </c>
      <c r="B100" s="201">
        <v>44707</v>
      </c>
      <c r="C100" s="202"/>
      <c r="D100" s="218"/>
      <c r="E100" s="218"/>
      <c r="F100" s="218"/>
      <c r="G100" s="218"/>
      <c r="H100" s="218"/>
      <c r="I100" s="218"/>
      <c r="J100" s="203" t="e">
        <f t="shared" si="4"/>
        <v>#DIV/0!</v>
      </c>
      <c r="K100" s="218"/>
      <c r="L100" s="218"/>
      <c r="M100" s="218"/>
      <c r="N100" s="218"/>
      <c r="O100" s="214" t="e">
        <f t="shared" si="5"/>
        <v>#DIV/0!</v>
      </c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03">
        <f t="shared" si="6"/>
        <v>0</v>
      </c>
      <c r="AA100" s="203">
        <f t="shared" si="7"/>
        <v>0</v>
      </c>
      <c r="AB100" s="218"/>
      <c r="AC100" s="218"/>
      <c r="AD100" s="218"/>
      <c r="AE100" s="218"/>
    </row>
    <row r="101" spans="1:31" x14ac:dyDescent="0.2">
      <c r="A101" s="200" t="s">
        <v>8349</v>
      </c>
      <c r="B101" s="201">
        <v>44708</v>
      </c>
      <c r="C101" s="202"/>
      <c r="D101" s="218"/>
      <c r="E101" s="218"/>
      <c r="F101" s="218"/>
      <c r="G101" s="218"/>
      <c r="H101" s="218"/>
      <c r="I101" s="218"/>
      <c r="J101" s="203" t="e">
        <f t="shared" si="4"/>
        <v>#DIV/0!</v>
      </c>
      <c r="K101" s="218"/>
      <c r="L101" s="218"/>
      <c r="M101" s="218"/>
      <c r="N101" s="218"/>
      <c r="O101" s="214" t="e">
        <f t="shared" si="5"/>
        <v>#DIV/0!</v>
      </c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03">
        <f t="shared" si="6"/>
        <v>0</v>
      </c>
      <c r="AA101" s="203">
        <f t="shared" si="7"/>
        <v>0</v>
      </c>
      <c r="AB101" s="218"/>
      <c r="AC101" s="218"/>
      <c r="AD101" s="218"/>
      <c r="AE101" s="218"/>
    </row>
    <row r="102" spans="1:31" x14ac:dyDescent="0.2">
      <c r="A102" s="200" t="s">
        <v>8350</v>
      </c>
      <c r="B102" s="201">
        <v>44709</v>
      </c>
      <c r="C102" s="202"/>
      <c r="D102" s="218"/>
      <c r="E102" s="218"/>
      <c r="F102" s="218"/>
      <c r="G102" s="218"/>
      <c r="H102" s="218"/>
      <c r="I102" s="218"/>
      <c r="J102" s="203" t="e">
        <f t="shared" si="4"/>
        <v>#DIV/0!</v>
      </c>
      <c r="K102" s="218"/>
      <c r="L102" s="218"/>
      <c r="M102" s="218"/>
      <c r="N102" s="218"/>
      <c r="O102" s="214" t="e">
        <f t="shared" si="5"/>
        <v>#DIV/0!</v>
      </c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03">
        <f t="shared" si="6"/>
        <v>0</v>
      </c>
      <c r="AA102" s="203">
        <f t="shared" si="7"/>
        <v>0</v>
      </c>
      <c r="AB102" s="218"/>
      <c r="AC102" s="218"/>
      <c r="AD102" s="218"/>
      <c r="AE102" s="218"/>
    </row>
    <row r="103" spans="1:31" x14ac:dyDescent="0.2">
      <c r="A103" s="200" t="s">
        <v>8351</v>
      </c>
      <c r="B103" s="201">
        <v>44710</v>
      </c>
      <c r="C103" s="202"/>
      <c r="D103" s="218"/>
      <c r="E103" s="218"/>
      <c r="F103" s="218"/>
      <c r="G103" s="218"/>
      <c r="H103" s="218"/>
      <c r="I103" s="218"/>
      <c r="J103" s="203" t="e">
        <f t="shared" si="4"/>
        <v>#DIV/0!</v>
      </c>
      <c r="K103" s="218"/>
      <c r="L103" s="218"/>
      <c r="M103" s="218"/>
      <c r="N103" s="218"/>
      <c r="O103" s="214" t="e">
        <f t="shared" si="5"/>
        <v>#DIV/0!</v>
      </c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03">
        <f t="shared" si="6"/>
        <v>0</v>
      </c>
      <c r="AA103" s="203">
        <f t="shared" si="7"/>
        <v>0</v>
      </c>
      <c r="AB103" s="218"/>
      <c r="AC103" s="218"/>
      <c r="AD103" s="218"/>
      <c r="AE103" s="218"/>
    </row>
    <row r="104" spans="1:31" x14ac:dyDescent="0.2">
      <c r="A104" s="200" t="s">
        <v>8352</v>
      </c>
      <c r="B104" s="201">
        <v>44711</v>
      </c>
      <c r="C104" s="202"/>
      <c r="D104" s="218"/>
      <c r="E104" s="218"/>
      <c r="F104" s="218"/>
      <c r="G104" s="218"/>
      <c r="H104" s="218"/>
      <c r="I104" s="218"/>
      <c r="J104" s="203" t="e">
        <f t="shared" si="4"/>
        <v>#DIV/0!</v>
      </c>
      <c r="K104" s="218"/>
      <c r="L104" s="218"/>
      <c r="M104" s="218"/>
      <c r="N104" s="218"/>
      <c r="O104" s="214" t="e">
        <f t="shared" si="5"/>
        <v>#DIV/0!</v>
      </c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03">
        <f t="shared" si="6"/>
        <v>0</v>
      </c>
      <c r="AA104" s="203">
        <f t="shared" si="7"/>
        <v>0</v>
      </c>
      <c r="AB104" s="218"/>
      <c r="AC104" s="218"/>
      <c r="AD104" s="218"/>
      <c r="AE104" s="218"/>
    </row>
    <row r="105" spans="1:31" x14ac:dyDescent="0.2">
      <c r="A105" s="200" t="s">
        <v>8353</v>
      </c>
      <c r="B105" s="201">
        <v>44712</v>
      </c>
      <c r="C105" s="202"/>
      <c r="D105" s="218"/>
      <c r="E105" s="218"/>
      <c r="F105" s="218"/>
      <c r="G105" s="218"/>
      <c r="H105" s="218"/>
      <c r="I105" s="218"/>
      <c r="J105" s="203" t="e">
        <f t="shared" si="4"/>
        <v>#DIV/0!</v>
      </c>
      <c r="K105" s="218"/>
      <c r="L105" s="218"/>
      <c r="M105" s="218"/>
      <c r="N105" s="218"/>
      <c r="O105" s="214" t="e">
        <f t="shared" si="5"/>
        <v>#DIV/0!</v>
      </c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03">
        <f t="shared" si="6"/>
        <v>0</v>
      </c>
      <c r="AA105" s="203">
        <f t="shared" si="7"/>
        <v>0</v>
      </c>
      <c r="AB105" s="218"/>
      <c r="AC105" s="218"/>
      <c r="AD105" s="218"/>
      <c r="AE105" s="218"/>
    </row>
    <row r="106" spans="1:31" x14ac:dyDescent="0.2">
      <c r="A106" s="200" t="s">
        <v>8354</v>
      </c>
      <c r="B106" s="201">
        <v>44713</v>
      </c>
      <c r="C106" s="202"/>
      <c r="D106" s="218"/>
      <c r="E106" s="218"/>
      <c r="F106" s="218"/>
      <c r="G106" s="218"/>
      <c r="H106" s="218"/>
      <c r="I106" s="218"/>
      <c r="J106" s="203" t="e">
        <f t="shared" si="4"/>
        <v>#DIV/0!</v>
      </c>
      <c r="K106" s="218"/>
      <c r="L106" s="218"/>
      <c r="M106" s="218"/>
      <c r="N106" s="218"/>
      <c r="O106" s="214" t="e">
        <f t="shared" si="5"/>
        <v>#DIV/0!</v>
      </c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03">
        <f t="shared" si="6"/>
        <v>0</v>
      </c>
      <c r="AA106" s="203">
        <f t="shared" si="7"/>
        <v>0</v>
      </c>
      <c r="AB106" s="218"/>
      <c r="AC106" s="218"/>
      <c r="AD106" s="218"/>
      <c r="AE106" s="218"/>
    </row>
    <row r="107" spans="1:31" x14ac:dyDescent="0.2">
      <c r="A107" s="200" t="s">
        <v>8355</v>
      </c>
      <c r="B107" s="201">
        <v>44714</v>
      </c>
      <c r="C107" s="202"/>
      <c r="D107" s="218"/>
      <c r="E107" s="218"/>
      <c r="F107" s="218"/>
      <c r="G107" s="218"/>
      <c r="H107" s="218"/>
      <c r="I107" s="218"/>
      <c r="J107" s="203" t="e">
        <f t="shared" si="4"/>
        <v>#DIV/0!</v>
      </c>
      <c r="K107" s="218"/>
      <c r="L107" s="218"/>
      <c r="M107" s="218"/>
      <c r="N107" s="218"/>
      <c r="O107" s="214" t="e">
        <f t="shared" si="5"/>
        <v>#DIV/0!</v>
      </c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03">
        <f t="shared" si="6"/>
        <v>0</v>
      </c>
      <c r="AA107" s="203">
        <f t="shared" si="7"/>
        <v>0</v>
      </c>
      <c r="AB107" s="218"/>
      <c r="AC107" s="218"/>
      <c r="AD107" s="218"/>
      <c r="AE107" s="218"/>
    </row>
    <row r="108" spans="1:31" x14ac:dyDescent="0.2">
      <c r="A108" s="200" t="s">
        <v>8356</v>
      </c>
      <c r="B108" s="201">
        <v>44715</v>
      </c>
      <c r="C108" s="202"/>
      <c r="D108" s="218"/>
      <c r="E108" s="218"/>
      <c r="F108" s="218"/>
      <c r="G108" s="218"/>
      <c r="H108" s="218"/>
      <c r="I108" s="218"/>
      <c r="J108" s="203" t="e">
        <f t="shared" si="4"/>
        <v>#DIV/0!</v>
      </c>
      <c r="K108" s="218"/>
      <c r="L108" s="218"/>
      <c r="M108" s="218"/>
      <c r="N108" s="218"/>
      <c r="O108" s="214" t="e">
        <f t="shared" si="5"/>
        <v>#DIV/0!</v>
      </c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03">
        <f t="shared" si="6"/>
        <v>0</v>
      </c>
      <c r="AA108" s="203">
        <f t="shared" si="7"/>
        <v>0</v>
      </c>
      <c r="AB108" s="218"/>
      <c r="AC108" s="218"/>
      <c r="AD108" s="218"/>
      <c r="AE108" s="218"/>
    </row>
    <row r="109" spans="1:31" x14ac:dyDescent="0.2">
      <c r="A109" s="200" t="s">
        <v>8357</v>
      </c>
      <c r="B109" s="201">
        <v>44716</v>
      </c>
      <c r="C109" s="202"/>
      <c r="D109" s="218"/>
      <c r="E109" s="218"/>
      <c r="F109" s="218"/>
      <c r="G109" s="218"/>
      <c r="H109" s="218"/>
      <c r="I109" s="218"/>
      <c r="J109" s="203" t="e">
        <f t="shared" si="4"/>
        <v>#DIV/0!</v>
      </c>
      <c r="K109" s="218"/>
      <c r="L109" s="218"/>
      <c r="M109" s="218"/>
      <c r="N109" s="218"/>
      <c r="O109" s="214" t="e">
        <f t="shared" si="5"/>
        <v>#DIV/0!</v>
      </c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03">
        <f t="shared" si="6"/>
        <v>0</v>
      </c>
      <c r="AA109" s="203">
        <f t="shared" si="7"/>
        <v>0</v>
      </c>
      <c r="AB109" s="218"/>
      <c r="AC109" s="218"/>
      <c r="AD109" s="218"/>
      <c r="AE109" s="218"/>
    </row>
    <row r="110" spans="1:31" x14ac:dyDescent="0.2">
      <c r="A110" s="200" t="s">
        <v>8358</v>
      </c>
      <c r="B110" s="201">
        <v>44717</v>
      </c>
      <c r="C110" s="202">
        <v>2</v>
      </c>
      <c r="D110" s="218" t="s">
        <v>196</v>
      </c>
      <c r="E110" s="218">
        <v>62</v>
      </c>
      <c r="F110" s="218">
        <v>55.1</v>
      </c>
      <c r="G110" s="218">
        <v>1.58</v>
      </c>
      <c r="H110" s="219">
        <v>74</v>
      </c>
      <c r="I110" s="218">
        <v>94</v>
      </c>
      <c r="J110" s="203">
        <f t="shared" si="4"/>
        <v>0.78723404255319152</v>
      </c>
      <c r="K110" s="218">
        <v>28.8</v>
      </c>
      <c r="L110" s="218">
        <v>6</v>
      </c>
      <c r="M110" s="218"/>
      <c r="N110" s="218"/>
      <c r="O110" s="211">
        <f t="shared" si="5"/>
        <v>22.071783368049989</v>
      </c>
      <c r="P110" s="218">
        <v>114</v>
      </c>
      <c r="Q110" s="218">
        <v>76</v>
      </c>
      <c r="R110" s="220">
        <v>100.8</v>
      </c>
      <c r="S110" s="218">
        <v>214</v>
      </c>
      <c r="T110" s="218">
        <v>16</v>
      </c>
      <c r="U110" s="218">
        <v>21.2</v>
      </c>
      <c r="V110" s="218">
        <v>115.1</v>
      </c>
      <c r="W110" s="218">
        <v>0.85</v>
      </c>
      <c r="X110" s="218">
        <v>77.7</v>
      </c>
      <c r="Y110" s="218"/>
      <c r="Z110" s="203">
        <f t="shared" si="6"/>
        <v>23.02</v>
      </c>
      <c r="AA110" s="203">
        <f t="shared" si="7"/>
        <v>113.28000000000002</v>
      </c>
      <c r="AB110" s="218"/>
      <c r="AC110" s="218"/>
      <c r="AD110" s="218"/>
      <c r="AE110" s="218"/>
    </row>
    <row r="111" spans="1:31" x14ac:dyDescent="0.2">
      <c r="A111" s="200" t="s">
        <v>8359</v>
      </c>
      <c r="B111" s="201">
        <v>44722</v>
      </c>
      <c r="C111" s="202">
        <v>2</v>
      </c>
      <c r="D111" s="218" t="s">
        <v>675</v>
      </c>
      <c r="E111" s="218">
        <v>45</v>
      </c>
      <c r="F111" s="218">
        <v>108.5</v>
      </c>
      <c r="G111" s="218">
        <v>1.89</v>
      </c>
      <c r="H111" s="218">
        <v>102</v>
      </c>
      <c r="I111" s="218">
        <v>113</v>
      </c>
      <c r="J111" s="203">
        <f t="shared" si="4"/>
        <v>0.90265486725663713</v>
      </c>
      <c r="K111" s="218">
        <v>26.2</v>
      </c>
      <c r="L111" s="218">
        <v>12</v>
      </c>
      <c r="M111" s="218"/>
      <c r="N111" s="218"/>
      <c r="O111" s="214">
        <f t="shared" si="5"/>
        <v>30.374289633548894</v>
      </c>
      <c r="P111" s="218">
        <v>115</v>
      </c>
      <c r="Q111" s="218">
        <v>73</v>
      </c>
      <c r="R111" s="218">
        <v>91.6</v>
      </c>
      <c r="S111" s="218">
        <v>188</v>
      </c>
      <c r="T111" s="218">
        <v>20.399999999999999</v>
      </c>
      <c r="U111" s="218">
        <v>16.399999999999999</v>
      </c>
      <c r="V111" s="218">
        <v>102.4</v>
      </c>
      <c r="W111" s="218">
        <v>1.27</v>
      </c>
      <c r="X111" s="218">
        <v>72.3</v>
      </c>
      <c r="Y111" s="218"/>
      <c r="Z111" s="203">
        <f t="shared" si="6"/>
        <v>20.480000000000004</v>
      </c>
      <c r="AA111" s="203">
        <f t="shared" si="7"/>
        <v>95.22</v>
      </c>
      <c r="AB111" s="218"/>
      <c r="AC111" s="218"/>
      <c r="AD111" s="218"/>
      <c r="AE111" s="218"/>
    </row>
    <row r="112" spans="1:31" x14ac:dyDescent="0.2">
      <c r="A112" s="200" t="s">
        <v>8360</v>
      </c>
      <c r="B112" s="201">
        <v>44722</v>
      </c>
      <c r="C112" s="202">
        <v>2</v>
      </c>
      <c r="D112" s="218" t="s">
        <v>196</v>
      </c>
      <c r="E112" s="218">
        <v>25</v>
      </c>
      <c r="F112" s="218">
        <v>97.3</v>
      </c>
      <c r="G112" s="218">
        <v>1.65</v>
      </c>
      <c r="H112" s="218">
        <v>106</v>
      </c>
      <c r="I112" s="218">
        <v>119</v>
      </c>
      <c r="J112" s="203">
        <f t="shared" si="4"/>
        <v>0.89075630252100846</v>
      </c>
      <c r="K112" s="218">
        <v>44.7</v>
      </c>
      <c r="L112" s="218">
        <v>9</v>
      </c>
      <c r="M112" s="218"/>
      <c r="N112" s="218"/>
      <c r="O112" s="214">
        <f t="shared" si="5"/>
        <v>35.739210284664836</v>
      </c>
      <c r="P112" s="218">
        <v>107</v>
      </c>
      <c r="Q112" s="218">
        <v>84</v>
      </c>
      <c r="R112" s="218">
        <v>82.7</v>
      </c>
      <c r="S112" s="218">
        <v>183</v>
      </c>
      <c r="T112" s="218">
        <v>14</v>
      </c>
      <c r="U112" s="218">
        <v>26</v>
      </c>
      <c r="V112" s="218">
        <v>92.6</v>
      </c>
      <c r="W112" s="218">
        <v>1.04</v>
      </c>
      <c r="X112" s="218">
        <v>55.8</v>
      </c>
      <c r="Y112" s="218"/>
      <c r="Z112" s="203">
        <f t="shared" si="6"/>
        <v>18.52</v>
      </c>
      <c r="AA112" s="203">
        <f t="shared" si="7"/>
        <v>108.68</v>
      </c>
      <c r="AB112" s="218"/>
      <c r="AC112" s="218"/>
      <c r="AD112" s="218"/>
      <c r="AE112" s="218"/>
    </row>
    <row r="113" spans="1:31" x14ac:dyDescent="0.2">
      <c r="A113" s="200" t="s">
        <v>8361</v>
      </c>
      <c r="B113" s="201">
        <v>44720</v>
      </c>
      <c r="C113" s="209">
        <v>1</v>
      </c>
      <c r="D113" s="218" t="s">
        <v>196</v>
      </c>
      <c r="E113" s="218">
        <v>26</v>
      </c>
      <c r="F113" s="218">
        <v>65.5</v>
      </c>
      <c r="G113" s="218">
        <v>1.65</v>
      </c>
      <c r="H113" s="219">
        <v>75</v>
      </c>
      <c r="I113" s="218">
        <v>95</v>
      </c>
      <c r="J113" s="203">
        <f t="shared" si="4"/>
        <v>0.78947368421052633</v>
      </c>
      <c r="K113" s="218">
        <v>29.3</v>
      </c>
      <c r="L113" s="218">
        <v>3</v>
      </c>
      <c r="M113" s="218"/>
      <c r="N113" s="218"/>
      <c r="O113" s="211">
        <f t="shared" si="5"/>
        <v>24.058769513314971</v>
      </c>
      <c r="P113" s="218">
        <v>95</v>
      </c>
      <c r="Q113" s="218">
        <v>63</v>
      </c>
      <c r="R113" s="218">
        <v>82.8</v>
      </c>
      <c r="S113" s="218">
        <v>187</v>
      </c>
      <c r="T113" s="218">
        <v>16.7</v>
      </c>
      <c r="U113" s="218">
        <v>38.299999999999997</v>
      </c>
      <c r="V113" s="218">
        <v>128</v>
      </c>
      <c r="W113" s="218">
        <v>0.89</v>
      </c>
      <c r="X113" s="218">
        <v>58.3</v>
      </c>
      <c r="Y113" s="218"/>
      <c r="Z113" s="203">
        <f t="shared" si="6"/>
        <v>25.6</v>
      </c>
      <c r="AA113" s="203">
        <f t="shared" si="7"/>
        <v>103.1</v>
      </c>
      <c r="AB113" s="218"/>
      <c r="AC113" s="218"/>
      <c r="AD113" s="218"/>
      <c r="AE113" s="218"/>
    </row>
    <row r="114" spans="1:31" x14ac:dyDescent="0.2">
      <c r="A114" s="200" t="s">
        <v>8362</v>
      </c>
      <c r="B114" s="201" t="s">
        <v>8363</v>
      </c>
      <c r="C114" s="202">
        <v>2</v>
      </c>
      <c r="D114" s="218" t="s">
        <v>196</v>
      </c>
      <c r="E114" s="218">
        <v>42</v>
      </c>
      <c r="F114" s="218">
        <v>85</v>
      </c>
      <c r="G114" s="218">
        <v>1.5649999999999999</v>
      </c>
      <c r="H114" s="218">
        <v>101</v>
      </c>
      <c r="I114" s="218">
        <v>11</v>
      </c>
      <c r="J114" s="203">
        <f t="shared" si="4"/>
        <v>9.1818181818181817</v>
      </c>
      <c r="K114" s="218">
        <v>422</v>
      </c>
      <c r="L114" s="218">
        <v>20</v>
      </c>
      <c r="M114" s="218"/>
      <c r="N114" s="218"/>
      <c r="O114" s="214">
        <f t="shared" si="5"/>
        <v>34.704855617593324</v>
      </c>
      <c r="P114" s="218">
        <v>137</v>
      </c>
      <c r="Q114" s="218">
        <v>92</v>
      </c>
      <c r="R114" s="218">
        <v>88.3</v>
      </c>
      <c r="S114" s="218">
        <v>240</v>
      </c>
      <c r="T114" s="218">
        <v>9.9</v>
      </c>
      <c r="U114" s="218">
        <v>23.3</v>
      </c>
      <c r="V114" s="218">
        <v>131.1</v>
      </c>
      <c r="W114" s="218">
        <v>0.9</v>
      </c>
      <c r="X114" s="218">
        <v>67.599999999999994</v>
      </c>
      <c r="Y114" s="218"/>
      <c r="Z114" s="203">
        <f t="shared" si="6"/>
        <v>26.22</v>
      </c>
      <c r="AA114" s="203">
        <f t="shared" si="7"/>
        <v>146.18</v>
      </c>
      <c r="AB114" s="218"/>
      <c r="AC114" s="218"/>
      <c r="AD114" s="218"/>
      <c r="AE114" s="218"/>
    </row>
    <row r="115" spans="1:31" x14ac:dyDescent="0.2">
      <c r="A115" s="200" t="s">
        <v>8364</v>
      </c>
      <c r="B115" s="201">
        <v>44722</v>
      </c>
      <c r="C115" s="212">
        <v>3</v>
      </c>
      <c r="D115" s="218" t="s">
        <v>196</v>
      </c>
      <c r="E115" s="218">
        <v>36</v>
      </c>
      <c r="F115" s="218">
        <v>84.9</v>
      </c>
      <c r="G115" s="218">
        <v>1.6</v>
      </c>
      <c r="H115" s="220">
        <v>104</v>
      </c>
      <c r="I115" s="218">
        <v>115</v>
      </c>
      <c r="J115" s="203">
        <f t="shared" si="4"/>
        <v>0.90434782608695652</v>
      </c>
      <c r="K115" s="218">
        <v>36.6</v>
      </c>
      <c r="L115" s="218">
        <v>7</v>
      </c>
      <c r="M115" s="218"/>
      <c r="N115" s="218"/>
      <c r="O115" s="221">
        <f t="shared" si="5"/>
        <v>33.164062499999993</v>
      </c>
      <c r="P115" s="218">
        <v>114</v>
      </c>
      <c r="Q115" s="218">
        <v>83</v>
      </c>
      <c r="R115" s="222">
        <v>135.9</v>
      </c>
      <c r="S115" s="218">
        <v>180</v>
      </c>
      <c r="T115" s="218">
        <v>16.3</v>
      </c>
      <c r="U115" s="218">
        <v>47.3</v>
      </c>
      <c r="V115" s="222">
        <v>401.5</v>
      </c>
      <c r="W115" s="218">
        <v>0.99</v>
      </c>
      <c r="X115" s="220">
        <v>48.2</v>
      </c>
      <c r="Y115" s="218"/>
      <c r="Z115" s="203">
        <f t="shared" si="6"/>
        <v>80.300000000000011</v>
      </c>
      <c r="AA115" s="203">
        <f t="shared" si="7"/>
        <v>51.5</v>
      </c>
      <c r="AB115" s="218"/>
      <c r="AC115" s="218"/>
      <c r="AD115" s="218"/>
      <c r="AE115" s="218"/>
    </row>
    <row r="116" spans="1:31" x14ac:dyDescent="0.2">
      <c r="A116" s="200" t="s">
        <v>8365</v>
      </c>
      <c r="B116" s="201">
        <v>44723</v>
      </c>
      <c r="C116" s="202">
        <v>2</v>
      </c>
      <c r="D116" s="218" t="s">
        <v>196</v>
      </c>
      <c r="E116" s="218">
        <v>23</v>
      </c>
      <c r="F116" s="218">
        <v>61.6</v>
      </c>
      <c r="G116" s="218">
        <v>1.52</v>
      </c>
      <c r="H116" s="218">
        <v>81</v>
      </c>
      <c r="I116" s="218">
        <v>89</v>
      </c>
      <c r="J116" s="203">
        <f t="shared" si="4"/>
        <v>0.9101123595505618</v>
      </c>
      <c r="K116" s="218">
        <v>31.8</v>
      </c>
      <c r="L116" s="218">
        <v>3</v>
      </c>
      <c r="M116" s="218"/>
      <c r="N116" s="218"/>
      <c r="O116" s="214">
        <f t="shared" si="5"/>
        <v>26.662049861495845</v>
      </c>
      <c r="P116" s="218">
        <v>114</v>
      </c>
      <c r="Q116" s="218">
        <v>91</v>
      </c>
      <c r="R116" s="218">
        <v>81.3</v>
      </c>
      <c r="S116" s="218">
        <v>242</v>
      </c>
      <c r="T116" s="218">
        <v>20.399999999999999</v>
      </c>
      <c r="U116" s="218">
        <v>45.9</v>
      </c>
      <c r="V116" s="218">
        <v>99.2</v>
      </c>
      <c r="W116" s="218">
        <v>1.1499999999999999</v>
      </c>
      <c r="X116" s="218">
        <v>75.2</v>
      </c>
      <c r="Y116" s="218"/>
      <c r="Z116" s="203">
        <f t="shared" si="6"/>
        <v>19.840000000000003</v>
      </c>
      <c r="AA116" s="203">
        <f t="shared" si="7"/>
        <v>146.96</v>
      </c>
      <c r="AB116" s="218"/>
      <c r="AC116" s="218"/>
      <c r="AD116" s="218"/>
      <c r="AE116" s="218"/>
    </row>
    <row r="117" spans="1:31" x14ac:dyDescent="0.2">
      <c r="A117" s="200" t="s">
        <v>8366</v>
      </c>
      <c r="B117" s="201">
        <v>44724</v>
      </c>
      <c r="C117" s="202"/>
      <c r="D117" s="218"/>
      <c r="E117" s="218"/>
      <c r="F117" s="218"/>
      <c r="G117" s="218"/>
      <c r="H117" s="218"/>
      <c r="I117" s="218"/>
      <c r="J117" s="203" t="e">
        <f t="shared" si="4"/>
        <v>#DIV/0!</v>
      </c>
      <c r="K117" s="218"/>
      <c r="L117" s="218"/>
      <c r="M117" s="218"/>
      <c r="N117" s="218"/>
      <c r="O117" s="214" t="e">
        <f t="shared" si="5"/>
        <v>#DIV/0!</v>
      </c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03">
        <f t="shared" si="6"/>
        <v>0</v>
      </c>
      <c r="AA117" s="203">
        <f t="shared" si="7"/>
        <v>0</v>
      </c>
      <c r="AB117" s="218"/>
      <c r="AC117" s="218"/>
      <c r="AD117" s="218"/>
      <c r="AE117" s="218"/>
    </row>
    <row r="118" spans="1:31" x14ac:dyDescent="0.2">
      <c r="A118" s="200" t="s">
        <v>8367</v>
      </c>
      <c r="B118" s="201">
        <v>44725</v>
      </c>
      <c r="C118" s="202"/>
      <c r="D118" s="218"/>
      <c r="E118" s="218"/>
      <c r="F118" s="218"/>
      <c r="G118" s="218"/>
      <c r="H118" s="218"/>
      <c r="I118" s="218"/>
      <c r="J118" s="203" t="e">
        <f t="shared" si="4"/>
        <v>#DIV/0!</v>
      </c>
      <c r="K118" s="218"/>
      <c r="L118" s="218"/>
      <c r="M118" s="218"/>
      <c r="N118" s="218"/>
      <c r="O118" s="214" t="e">
        <f t="shared" si="5"/>
        <v>#DIV/0!</v>
      </c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03">
        <f t="shared" si="6"/>
        <v>0</v>
      </c>
      <c r="AA118" s="203">
        <f t="shared" si="7"/>
        <v>0</v>
      </c>
      <c r="AB118" s="218"/>
      <c r="AC118" s="218"/>
      <c r="AD118" s="218"/>
      <c r="AE118" s="218"/>
    </row>
    <row r="119" spans="1:31" x14ac:dyDescent="0.2">
      <c r="A119" s="200" t="s">
        <v>8368</v>
      </c>
      <c r="B119" s="201">
        <v>44726</v>
      </c>
      <c r="C119" s="202"/>
      <c r="D119" s="218"/>
      <c r="E119" s="218"/>
      <c r="F119" s="218"/>
      <c r="G119" s="218"/>
      <c r="H119" s="218"/>
      <c r="I119" s="218"/>
      <c r="J119" s="203" t="e">
        <f t="shared" si="4"/>
        <v>#DIV/0!</v>
      </c>
      <c r="K119" s="218"/>
      <c r="L119" s="218"/>
      <c r="M119" s="218"/>
      <c r="N119" s="218"/>
      <c r="O119" s="214" t="e">
        <f t="shared" si="5"/>
        <v>#DIV/0!</v>
      </c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03">
        <f t="shared" si="6"/>
        <v>0</v>
      </c>
      <c r="AA119" s="203">
        <f t="shared" si="7"/>
        <v>0</v>
      </c>
      <c r="AB119" s="218"/>
      <c r="AC119" s="218"/>
      <c r="AD119" s="218"/>
      <c r="AE119" s="218"/>
    </row>
    <row r="120" spans="1:31" x14ac:dyDescent="0.2">
      <c r="A120" s="200" t="s">
        <v>8369</v>
      </c>
      <c r="B120" s="201">
        <v>44734</v>
      </c>
      <c r="C120" s="202">
        <v>2</v>
      </c>
      <c r="D120" s="218" t="s">
        <v>675</v>
      </c>
      <c r="E120" s="218">
        <v>49</v>
      </c>
      <c r="F120" s="218">
        <v>93.9</v>
      </c>
      <c r="G120" s="218">
        <v>1.66</v>
      </c>
      <c r="H120" s="218">
        <v>105</v>
      </c>
      <c r="I120" s="218">
        <v>107</v>
      </c>
      <c r="J120" s="203">
        <f t="shared" si="4"/>
        <v>0.98130841121495327</v>
      </c>
      <c r="K120" s="218"/>
      <c r="L120" s="218"/>
      <c r="M120" s="218"/>
      <c r="N120" s="218"/>
      <c r="O120" s="214">
        <f t="shared" si="5"/>
        <v>34.076063289301793</v>
      </c>
      <c r="P120" s="218">
        <v>115</v>
      </c>
      <c r="Q120" s="218">
        <v>73</v>
      </c>
      <c r="R120" s="218">
        <v>84.5</v>
      </c>
      <c r="S120" s="218">
        <v>178</v>
      </c>
      <c r="T120" s="218">
        <v>25.4</v>
      </c>
      <c r="U120" s="218">
        <v>42.7</v>
      </c>
      <c r="V120" s="220">
        <v>163.5</v>
      </c>
      <c r="W120" s="218">
        <v>1.23</v>
      </c>
      <c r="X120" s="218">
        <v>48.5</v>
      </c>
      <c r="Y120" s="218">
        <v>40.799999999999997</v>
      </c>
      <c r="Z120" s="203">
        <f t="shared" si="6"/>
        <v>32.700000000000003</v>
      </c>
      <c r="AA120" s="203">
        <f t="shared" si="7"/>
        <v>96.8</v>
      </c>
      <c r="AB120" s="218"/>
      <c r="AC120" s="218"/>
      <c r="AD120" s="218"/>
      <c r="AE120" s="218"/>
    </row>
    <row r="121" spans="1:31" x14ac:dyDescent="0.2">
      <c r="A121" s="200" t="s">
        <v>8370</v>
      </c>
      <c r="B121" s="201">
        <v>44735</v>
      </c>
      <c r="C121" s="202">
        <v>2</v>
      </c>
      <c r="D121" s="218" t="s">
        <v>196</v>
      </c>
      <c r="E121" s="218"/>
      <c r="F121" s="218">
        <v>69.099999999999994</v>
      </c>
      <c r="G121" s="218">
        <v>1.54</v>
      </c>
      <c r="H121" s="218">
        <v>86.5</v>
      </c>
      <c r="I121" s="218">
        <v>113</v>
      </c>
      <c r="J121" s="203">
        <f t="shared" si="4"/>
        <v>0.76548672566371678</v>
      </c>
      <c r="K121" s="218">
        <v>35.9</v>
      </c>
      <c r="L121" s="218">
        <v>9</v>
      </c>
      <c r="M121" s="218">
        <v>42</v>
      </c>
      <c r="N121" s="218"/>
      <c r="O121" s="214">
        <f t="shared" si="5"/>
        <v>29.136447967616796</v>
      </c>
      <c r="P121" s="218">
        <v>96</v>
      </c>
      <c r="Q121" s="218">
        <v>53</v>
      </c>
      <c r="R121" s="218">
        <v>82</v>
      </c>
      <c r="S121" s="218">
        <v>230</v>
      </c>
      <c r="T121" s="218">
        <v>15.9</v>
      </c>
      <c r="U121" s="218">
        <v>14.2</v>
      </c>
      <c r="V121" s="218">
        <v>131</v>
      </c>
      <c r="W121" s="218">
        <v>1.18</v>
      </c>
      <c r="X121" s="218">
        <v>89.2</v>
      </c>
      <c r="Y121" s="218">
        <v>48.9</v>
      </c>
      <c r="Z121" s="203">
        <f t="shared" si="6"/>
        <v>26.200000000000003</v>
      </c>
      <c r="AA121" s="203">
        <f t="shared" si="7"/>
        <v>114.60000000000001</v>
      </c>
      <c r="AB121" s="218"/>
      <c r="AC121" s="218"/>
      <c r="AD121" s="218"/>
      <c r="AE121" s="218"/>
    </row>
    <row r="122" spans="1:31" x14ac:dyDescent="0.2">
      <c r="A122" s="200" t="s">
        <v>8371</v>
      </c>
      <c r="B122" s="201">
        <v>44729</v>
      </c>
      <c r="C122" s="202">
        <v>2</v>
      </c>
      <c r="D122" s="218" t="s">
        <v>196</v>
      </c>
      <c r="E122" s="218">
        <v>47</v>
      </c>
      <c r="F122" s="218">
        <v>72.8</v>
      </c>
      <c r="G122" s="218">
        <v>1.53</v>
      </c>
      <c r="H122" s="218">
        <v>102</v>
      </c>
      <c r="I122" s="218">
        <v>107</v>
      </c>
      <c r="J122" s="203">
        <f t="shared" si="4"/>
        <v>0.95327102803738317</v>
      </c>
      <c r="K122" s="218">
        <v>37.5</v>
      </c>
      <c r="L122" s="218">
        <v>8</v>
      </c>
      <c r="M122" s="218"/>
      <c r="N122" s="218"/>
      <c r="O122" s="214">
        <f t="shared" si="5"/>
        <v>31.099149899611259</v>
      </c>
      <c r="P122" s="218">
        <v>110</v>
      </c>
      <c r="Q122" s="218">
        <v>73</v>
      </c>
      <c r="R122" s="218">
        <v>95</v>
      </c>
      <c r="S122" s="218">
        <v>185</v>
      </c>
      <c r="T122" s="218">
        <v>22</v>
      </c>
      <c r="U122" s="218">
        <v>31.8</v>
      </c>
      <c r="V122" s="218">
        <v>102.6</v>
      </c>
      <c r="W122" s="218">
        <v>0.99</v>
      </c>
      <c r="X122" s="218">
        <v>65.7</v>
      </c>
      <c r="Y122" s="218"/>
      <c r="Z122" s="203">
        <f t="shared" si="6"/>
        <v>20.52</v>
      </c>
      <c r="AA122" s="203">
        <f t="shared" si="7"/>
        <v>98.78</v>
      </c>
      <c r="AB122" s="218"/>
      <c r="AC122" s="218"/>
      <c r="AD122" s="218"/>
      <c r="AE122" s="218"/>
    </row>
    <row r="123" spans="1:31" x14ac:dyDescent="0.2">
      <c r="A123" s="200" t="s">
        <v>8372</v>
      </c>
      <c r="B123" s="201">
        <v>44755</v>
      </c>
      <c r="C123" s="202">
        <v>2</v>
      </c>
      <c r="D123" s="218" t="s">
        <v>196</v>
      </c>
      <c r="E123" s="218">
        <v>58</v>
      </c>
      <c r="F123" s="218"/>
      <c r="G123" s="218"/>
      <c r="H123" s="218"/>
      <c r="I123" s="218"/>
      <c r="J123" s="203" t="e">
        <f t="shared" si="4"/>
        <v>#DIV/0!</v>
      </c>
      <c r="K123" s="218"/>
      <c r="L123" s="218"/>
      <c r="M123" s="218"/>
      <c r="N123" s="218"/>
      <c r="O123" s="214" t="e">
        <f t="shared" si="5"/>
        <v>#DIV/0!</v>
      </c>
      <c r="P123" s="218"/>
      <c r="Q123" s="218"/>
      <c r="R123" s="220">
        <v>103.5</v>
      </c>
      <c r="S123" s="218">
        <v>222</v>
      </c>
      <c r="T123" s="218">
        <v>27</v>
      </c>
      <c r="U123" s="218">
        <v>69</v>
      </c>
      <c r="V123" s="220">
        <v>208</v>
      </c>
      <c r="W123" s="218">
        <v>0.96</v>
      </c>
      <c r="X123" s="218">
        <v>75</v>
      </c>
      <c r="Y123" s="218"/>
      <c r="Z123" s="203">
        <f t="shared" si="6"/>
        <v>41.6</v>
      </c>
      <c r="AA123" s="203">
        <f t="shared" si="7"/>
        <v>105.4</v>
      </c>
      <c r="AB123" s="218"/>
      <c r="AC123" s="218"/>
      <c r="AD123" s="218"/>
      <c r="AE123" s="218"/>
    </row>
    <row r="124" spans="1:31" x14ac:dyDescent="0.2">
      <c r="A124" s="200" t="s">
        <v>8373</v>
      </c>
      <c r="B124" s="201">
        <v>44731</v>
      </c>
      <c r="C124" s="202">
        <v>2</v>
      </c>
      <c r="D124" s="218" t="s">
        <v>196</v>
      </c>
      <c r="E124" s="218">
        <v>42</v>
      </c>
      <c r="F124" s="218">
        <v>74.3</v>
      </c>
      <c r="G124" s="218">
        <v>1.69</v>
      </c>
      <c r="H124" s="218">
        <v>87</v>
      </c>
      <c r="I124" s="218">
        <v>111.5</v>
      </c>
      <c r="J124" s="203">
        <f t="shared" si="4"/>
        <v>0.78026905829596416</v>
      </c>
      <c r="K124" s="218">
        <v>34.5</v>
      </c>
      <c r="L124" s="218">
        <v>6</v>
      </c>
      <c r="M124" s="218">
        <v>46.4</v>
      </c>
      <c r="N124" s="218">
        <v>48</v>
      </c>
      <c r="O124" s="214">
        <f t="shared" si="5"/>
        <v>26.014495290781138</v>
      </c>
      <c r="P124" s="218">
        <v>116</v>
      </c>
      <c r="Q124" s="218">
        <v>88</v>
      </c>
      <c r="R124" s="218">
        <v>89</v>
      </c>
      <c r="S124" s="218">
        <v>158</v>
      </c>
      <c r="T124" s="218">
        <v>32.200000000000003</v>
      </c>
      <c r="U124" s="218">
        <v>76.2</v>
      </c>
      <c r="V124" s="218">
        <v>102.1</v>
      </c>
      <c r="W124" s="218">
        <v>0.72</v>
      </c>
      <c r="X124" s="218">
        <v>60.3</v>
      </c>
      <c r="Y124" s="218">
        <v>61.3</v>
      </c>
      <c r="Z124" s="203">
        <f t="shared" si="6"/>
        <v>20.420000000000002</v>
      </c>
      <c r="AA124" s="203">
        <f t="shared" si="7"/>
        <v>77.28</v>
      </c>
      <c r="AB124" s="218"/>
      <c r="AC124" s="218"/>
      <c r="AD124" s="218"/>
      <c r="AE124" s="218"/>
    </row>
    <row r="125" spans="1:31" x14ac:dyDescent="0.2">
      <c r="A125" s="200" t="s">
        <v>8374</v>
      </c>
      <c r="B125" s="201">
        <v>44785</v>
      </c>
      <c r="C125" s="202">
        <v>2</v>
      </c>
      <c r="D125" s="218" t="s">
        <v>196</v>
      </c>
      <c r="E125" s="218">
        <v>47</v>
      </c>
      <c r="F125" s="218">
        <v>56.8</v>
      </c>
      <c r="G125" s="218">
        <v>1.48</v>
      </c>
      <c r="H125" s="218">
        <v>82</v>
      </c>
      <c r="I125" s="218">
        <v>100</v>
      </c>
      <c r="J125" s="203">
        <f t="shared" si="4"/>
        <v>0.82</v>
      </c>
      <c r="K125" s="218">
        <v>32.1</v>
      </c>
      <c r="L125" s="218">
        <v>6</v>
      </c>
      <c r="M125" s="218">
        <v>37.299999999999997</v>
      </c>
      <c r="N125" s="218"/>
      <c r="O125" s="214">
        <f t="shared" si="5"/>
        <v>25.931336742147554</v>
      </c>
      <c r="P125" s="218">
        <v>103</v>
      </c>
      <c r="Q125" s="218">
        <v>74</v>
      </c>
      <c r="R125" s="222">
        <v>160.69999999999999</v>
      </c>
      <c r="S125" s="218">
        <v>169</v>
      </c>
      <c r="T125" s="218">
        <v>38.5</v>
      </c>
      <c r="U125" s="218">
        <v>101.4</v>
      </c>
      <c r="V125" s="218">
        <v>88.6</v>
      </c>
      <c r="W125" s="218">
        <v>0.74</v>
      </c>
      <c r="X125" s="218">
        <v>86.7</v>
      </c>
      <c r="Y125" s="218">
        <v>40.9</v>
      </c>
      <c r="Z125" s="203">
        <f t="shared" si="6"/>
        <v>17.72</v>
      </c>
      <c r="AA125" s="203">
        <f t="shared" si="7"/>
        <v>64.58</v>
      </c>
      <c r="AB125" s="218"/>
      <c r="AC125" s="218"/>
      <c r="AD125" s="218"/>
      <c r="AE125" s="218"/>
    </row>
    <row r="126" spans="1:31" x14ac:dyDescent="0.2">
      <c r="A126" s="200" t="s">
        <v>8375</v>
      </c>
      <c r="B126" s="201">
        <v>44859</v>
      </c>
      <c r="C126" s="202">
        <v>2</v>
      </c>
      <c r="D126" s="218" t="s">
        <v>196</v>
      </c>
      <c r="E126" s="218">
        <v>23</v>
      </c>
      <c r="F126" s="218">
        <v>92.7</v>
      </c>
      <c r="G126" s="218">
        <v>1.73</v>
      </c>
      <c r="H126" s="218">
        <v>91</v>
      </c>
      <c r="I126" s="218">
        <v>119</v>
      </c>
      <c r="J126" s="203">
        <f t="shared" si="4"/>
        <v>0.76470588235294112</v>
      </c>
      <c r="K126" s="218">
        <v>41.4</v>
      </c>
      <c r="L126" s="218">
        <v>6</v>
      </c>
      <c r="M126" s="218">
        <v>51.6</v>
      </c>
      <c r="N126" s="218"/>
      <c r="O126" s="214">
        <f t="shared" si="5"/>
        <v>30.973303484914297</v>
      </c>
      <c r="P126" s="218">
        <v>118</v>
      </c>
      <c r="Q126" s="218">
        <v>88</v>
      </c>
      <c r="R126" s="218">
        <v>92.2</v>
      </c>
      <c r="S126" s="218">
        <v>167</v>
      </c>
      <c r="T126" s="218">
        <v>47.7</v>
      </c>
      <c r="U126" s="218">
        <v>17.8</v>
      </c>
      <c r="V126" s="218">
        <v>72.5</v>
      </c>
      <c r="W126" s="218">
        <v>0.79</v>
      </c>
      <c r="X126" s="218">
        <v>85.1</v>
      </c>
      <c r="Y126" s="218">
        <v>19</v>
      </c>
      <c r="Z126" s="203">
        <f t="shared" si="6"/>
        <v>14.5</v>
      </c>
      <c r="AA126" s="203">
        <f t="shared" si="7"/>
        <v>67.400000000000006</v>
      </c>
      <c r="AB126" s="218"/>
      <c r="AC126" s="218"/>
      <c r="AD126" s="218"/>
      <c r="AE126" s="218"/>
    </row>
    <row r="127" spans="1:31" x14ac:dyDescent="0.2">
      <c r="A127" s="200" t="s">
        <v>8376</v>
      </c>
      <c r="B127" s="201">
        <v>44802</v>
      </c>
      <c r="C127" s="202">
        <v>2</v>
      </c>
      <c r="D127" s="218" t="s">
        <v>196</v>
      </c>
      <c r="E127" s="218">
        <v>28</v>
      </c>
      <c r="F127" s="218">
        <v>59.4</v>
      </c>
      <c r="G127" s="218">
        <v>1.6</v>
      </c>
      <c r="H127" s="218">
        <v>72</v>
      </c>
      <c r="I127" s="218">
        <v>98</v>
      </c>
      <c r="J127" s="203">
        <f t="shared" si="4"/>
        <v>0.73469387755102045</v>
      </c>
      <c r="K127" s="218">
        <v>27.7</v>
      </c>
      <c r="L127" s="218">
        <v>2</v>
      </c>
      <c r="M127" s="218">
        <v>40.799999999999997</v>
      </c>
      <c r="N127" s="218">
        <v>24</v>
      </c>
      <c r="O127" s="214">
        <f t="shared" si="5"/>
        <v>23.203124999999996</v>
      </c>
      <c r="P127" s="218">
        <v>97</v>
      </c>
      <c r="Q127" s="218">
        <v>59</v>
      </c>
      <c r="R127" s="218">
        <v>64.599999999999994</v>
      </c>
      <c r="S127" s="218">
        <v>151</v>
      </c>
      <c r="T127" s="218">
        <v>27.4</v>
      </c>
      <c r="U127" s="218">
        <v>41.4</v>
      </c>
      <c r="V127" s="218">
        <v>48.7</v>
      </c>
      <c r="W127" s="218">
        <v>0.89</v>
      </c>
      <c r="X127" s="218">
        <v>94.7</v>
      </c>
      <c r="Y127" s="218">
        <v>26.3</v>
      </c>
      <c r="Z127" s="203">
        <f t="shared" si="6"/>
        <v>9.740000000000002</v>
      </c>
      <c r="AA127" s="203">
        <f t="shared" si="7"/>
        <v>46.559999999999995</v>
      </c>
      <c r="AB127" s="218"/>
      <c r="AC127" s="218"/>
      <c r="AD127" s="218"/>
      <c r="AE127" s="218"/>
    </row>
    <row r="128" spans="1:31" x14ac:dyDescent="0.2">
      <c r="A128" s="200" t="s">
        <v>8377</v>
      </c>
      <c r="B128" s="201">
        <v>44735</v>
      </c>
      <c r="C128" s="202">
        <v>2</v>
      </c>
      <c r="D128" s="218" t="s">
        <v>675</v>
      </c>
      <c r="E128" s="218">
        <v>56</v>
      </c>
      <c r="F128" s="218">
        <v>90.7</v>
      </c>
      <c r="G128" s="218">
        <v>1.66</v>
      </c>
      <c r="H128" s="218">
        <v>108</v>
      </c>
      <c r="I128" s="218">
        <v>107</v>
      </c>
      <c r="J128" s="203">
        <f t="shared" si="4"/>
        <v>1.0093457943925233</v>
      </c>
      <c r="K128" s="218">
        <v>25.9</v>
      </c>
      <c r="L128" s="222">
        <v>15</v>
      </c>
      <c r="M128" s="218">
        <v>63.9</v>
      </c>
      <c r="N128" s="218">
        <v>57</v>
      </c>
      <c r="O128" s="214">
        <f t="shared" si="5"/>
        <v>32.914791696908118</v>
      </c>
      <c r="P128" s="222">
        <v>132</v>
      </c>
      <c r="Q128" s="222">
        <v>95</v>
      </c>
      <c r="R128" s="222">
        <v>120.2</v>
      </c>
      <c r="S128" s="218">
        <v>138</v>
      </c>
      <c r="T128" s="218">
        <v>28.8</v>
      </c>
      <c r="U128" s="218">
        <v>49</v>
      </c>
      <c r="V128" s="218">
        <v>104.2</v>
      </c>
      <c r="W128" s="218">
        <v>0.97</v>
      </c>
      <c r="X128" s="218">
        <v>52.5</v>
      </c>
      <c r="Y128" s="218">
        <v>36.1</v>
      </c>
      <c r="Z128" s="203">
        <f t="shared" si="6"/>
        <v>20.840000000000003</v>
      </c>
      <c r="AA128" s="203">
        <f t="shared" si="7"/>
        <v>64.66</v>
      </c>
      <c r="AB128" s="218"/>
      <c r="AC128" s="218"/>
      <c r="AD128" s="218"/>
      <c r="AE128" s="218"/>
    </row>
    <row r="129" spans="1:31" x14ac:dyDescent="0.2">
      <c r="A129" s="200" t="s">
        <v>8378</v>
      </c>
      <c r="B129" s="201">
        <v>44736</v>
      </c>
      <c r="C129" s="202"/>
      <c r="D129" s="218"/>
      <c r="E129" s="218"/>
      <c r="F129" s="218"/>
      <c r="G129" s="218"/>
      <c r="H129" s="218"/>
      <c r="I129" s="218"/>
      <c r="J129" s="203" t="e">
        <f t="shared" si="4"/>
        <v>#DIV/0!</v>
      </c>
      <c r="K129" s="218"/>
      <c r="L129" s="218"/>
      <c r="M129" s="218"/>
      <c r="N129" s="218"/>
      <c r="O129" s="214" t="e">
        <f t="shared" si="5"/>
        <v>#DIV/0!</v>
      </c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03">
        <f t="shared" si="6"/>
        <v>0</v>
      </c>
      <c r="AA129" s="203">
        <f t="shared" si="7"/>
        <v>0</v>
      </c>
      <c r="AB129" s="218"/>
      <c r="AC129" s="218"/>
      <c r="AD129" s="218"/>
      <c r="AE129" s="218"/>
    </row>
    <row r="130" spans="1:31" x14ac:dyDescent="0.2">
      <c r="A130" s="200" t="s">
        <v>8379</v>
      </c>
      <c r="B130" s="201">
        <v>44737</v>
      </c>
      <c r="C130" s="202"/>
      <c r="D130" s="218"/>
      <c r="E130" s="218"/>
      <c r="F130" s="218"/>
      <c r="G130" s="218"/>
      <c r="H130" s="218"/>
      <c r="I130" s="218"/>
      <c r="J130" s="203" t="e">
        <f t="shared" si="4"/>
        <v>#DIV/0!</v>
      </c>
      <c r="K130" s="218"/>
      <c r="L130" s="218"/>
      <c r="M130" s="218"/>
      <c r="N130" s="218"/>
      <c r="O130" s="214" t="e">
        <f t="shared" si="5"/>
        <v>#DIV/0!</v>
      </c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03">
        <f t="shared" si="6"/>
        <v>0</v>
      </c>
      <c r="AA130" s="203">
        <f t="shared" si="7"/>
        <v>0</v>
      </c>
      <c r="AB130" s="218"/>
      <c r="AC130" s="218"/>
      <c r="AD130" s="218"/>
      <c r="AE130" s="218"/>
    </row>
    <row r="131" spans="1:31" x14ac:dyDescent="0.2">
      <c r="A131" s="200" t="s">
        <v>8380</v>
      </c>
      <c r="B131" s="201">
        <v>44785</v>
      </c>
      <c r="C131" s="202">
        <v>2</v>
      </c>
      <c r="D131" s="218" t="s">
        <v>196</v>
      </c>
      <c r="E131" s="218">
        <v>34</v>
      </c>
      <c r="F131" s="218">
        <v>74.7</v>
      </c>
      <c r="G131" s="218">
        <v>1.52</v>
      </c>
      <c r="H131" s="218">
        <v>90</v>
      </c>
      <c r="I131" s="218">
        <v>102</v>
      </c>
      <c r="J131" s="203">
        <f t="shared" ref="J131:J194" si="8">H131/I131</f>
        <v>0.88235294117647056</v>
      </c>
      <c r="K131" s="218">
        <v>37.9</v>
      </c>
      <c r="L131" s="218">
        <v>7</v>
      </c>
      <c r="M131" s="218">
        <v>44</v>
      </c>
      <c r="N131" s="218"/>
      <c r="O131" s="214">
        <f t="shared" ref="O131:O194" si="9">F131/(G131)^2</f>
        <v>32.33206371191136</v>
      </c>
      <c r="P131" s="218">
        <v>113</v>
      </c>
      <c r="Q131" s="218">
        <v>80</v>
      </c>
      <c r="R131" s="218">
        <v>88.5</v>
      </c>
      <c r="S131" s="218">
        <v>174</v>
      </c>
      <c r="T131" s="218">
        <v>22.2</v>
      </c>
      <c r="U131" s="218">
        <v>44.4</v>
      </c>
      <c r="V131" s="218">
        <v>154.1</v>
      </c>
      <c r="W131" s="218">
        <v>0.84</v>
      </c>
      <c r="X131" s="218">
        <v>58.5</v>
      </c>
      <c r="Y131" s="218">
        <v>25.3</v>
      </c>
      <c r="Z131" s="203">
        <f t="shared" ref="Z131:Z194" si="10">V131*0.2</f>
        <v>30.82</v>
      </c>
      <c r="AA131" s="203">
        <f t="shared" ref="AA131:AA172" si="11">S131-X131-Z131</f>
        <v>84.68</v>
      </c>
      <c r="AB131" s="218"/>
      <c r="AC131" s="218"/>
      <c r="AD131" s="218"/>
      <c r="AE131" s="218"/>
    </row>
    <row r="132" spans="1:31" x14ac:dyDescent="0.2">
      <c r="A132" s="200" t="s">
        <v>8381</v>
      </c>
      <c r="B132" s="201">
        <v>44739</v>
      </c>
      <c r="C132" s="202">
        <v>2</v>
      </c>
      <c r="D132" s="218" t="s">
        <v>675</v>
      </c>
      <c r="E132" s="218">
        <v>29</v>
      </c>
      <c r="F132" s="218">
        <v>70.400000000000006</v>
      </c>
      <c r="G132" s="218">
        <v>1.65</v>
      </c>
      <c r="H132" s="218">
        <v>92</v>
      </c>
      <c r="I132" s="218">
        <v>98</v>
      </c>
      <c r="J132" s="203">
        <f t="shared" si="8"/>
        <v>0.93877551020408168</v>
      </c>
      <c r="K132" s="218">
        <v>23.6</v>
      </c>
      <c r="L132" s="218">
        <v>7</v>
      </c>
      <c r="M132" s="218">
        <v>51.1</v>
      </c>
      <c r="N132" s="218"/>
      <c r="O132" s="214">
        <f t="shared" si="9"/>
        <v>25.858585858585865</v>
      </c>
      <c r="P132" s="218">
        <v>104</v>
      </c>
      <c r="Q132" s="218">
        <v>70</v>
      </c>
      <c r="R132" s="218">
        <v>86</v>
      </c>
      <c r="S132" s="218">
        <v>166</v>
      </c>
      <c r="T132" s="218">
        <v>18.899999999999999</v>
      </c>
      <c r="U132" s="218">
        <v>36.6</v>
      </c>
      <c r="V132" s="222">
        <v>256.8</v>
      </c>
      <c r="W132" s="218">
        <v>1.07</v>
      </c>
      <c r="X132" s="218">
        <v>46.6</v>
      </c>
      <c r="Y132" s="218">
        <v>30.6</v>
      </c>
      <c r="Z132" s="203">
        <f t="shared" si="10"/>
        <v>51.360000000000007</v>
      </c>
      <c r="AA132" s="203">
        <f t="shared" si="11"/>
        <v>68.039999999999992</v>
      </c>
      <c r="AB132" s="218"/>
      <c r="AC132" s="218"/>
      <c r="AD132" s="218"/>
      <c r="AE132" s="218"/>
    </row>
    <row r="133" spans="1:31" x14ac:dyDescent="0.2">
      <c r="A133" s="200" t="s">
        <v>8382</v>
      </c>
      <c r="B133" s="201">
        <v>44740</v>
      </c>
      <c r="C133" s="202">
        <v>2</v>
      </c>
      <c r="D133" s="218" t="s">
        <v>196</v>
      </c>
      <c r="E133" s="218">
        <v>51</v>
      </c>
      <c r="F133" s="218">
        <v>71.099999999999994</v>
      </c>
      <c r="G133" s="218">
        <v>1.55</v>
      </c>
      <c r="H133" s="218">
        <v>97</v>
      </c>
      <c r="I133" s="218">
        <v>109</v>
      </c>
      <c r="J133" s="203">
        <f t="shared" si="8"/>
        <v>0.88990825688073394</v>
      </c>
      <c r="K133" s="218">
        <v>38.5</v>
      </c>
      <c r="L133" s="218">
        <v>9</v>
      </c>
      <c r="M133" s="218">
        <v>41.5</v>
      </c>
      <c r="N133" s="218"/>
      <c r="O133" s="214">
        <f t="shared" si="9"/>
        <v>29.594172736732563</v>
      </c>
      <c r="P133" s="218">
        <v>111</v>
      </c>
      <c r="Q133" s="218">
        <v>79</v>
      </c>
      <c r="R133" s="218">
        <v>88.8</v>
      </c>
      <c r="S133" s="218">
        <v>217</v>
      </c>
      <c r="T133" s="218">
        <v>11.9</v>
      </c>
      <c r="U133" s="218">
        <v>22.2</v>
      </c>
      <c r="V133" s="218">
        <v>147.80000000000001</v>
      </c>
      <c r="W133" s="218">
        <v>0.87</v>
      </c>
      <c r="X133" s="218">
        <v>80.2</v>
      </c>
      <c r="Y133" s="218">
        <v>31.2</v>
      </c>
      <c r="Z133" s="203">
        <f t="shared" si="10"/>
        <v>29.560000000000002</v>
      </c>
      <c r="AA133" s="203">
        <f t="shared" si="11"/>
        <v>107.24000000000001</v>
      </c>
      <c r="AB133" s="218"/>
      <c r="AC133" s="218"/>
      <c r="AD133" s="218"/>
      <c r="AE133" s="218"/>
    </row>
    <row r="134" spans="1:31" x14ac:dyDescent="0.2">
      <c r="A134" s="200" t="s">
        <v>8383</v>
      </c>
      <c r="B134" s="201">
        <v>44786</v>
      </c>
      <c r="C134" s="202">
        <v>2</v>
      </c>
      <c r="D134" s="218" t="s">
        <v>675</v>
      </c>
      <c r="E134" s="218">
        <v>73</v>
      </c>
      <c r="F134" s="218">
        <v>93.2</v>
      </c>
      <c r="G134" s="218">
        <v>1.7</v>
      </c>
      <c r="H134" s="218">
        <v>106</v>
      </c>
      <c r="I134" s="218">
        <v>110</v>
      </c>
      <c r="J134" s="203">
        <f t="shared" si="8"/>
        <v>0.96363636363636362</v>
      </c>
      <c r="K134" s="218">
        <v>37.4</v>
      </c>
      <c r="L134" s="222">
        <v>12</v>
      </c>
      <c r="M134" s="218">
        <v>55</v>
      </c>
      <c r="N134" s="218"/>
      <c r="O134" s="214">
        <f t="shared" si="9"/>
        <v>32.249134948096888</v>
      </c>
      <c r="P134" s="218">
        <v>105</v>
      </c>
      <c r="Q134" s="218">
        <v>68</v>
      </c>
      <c r="R134" s="218">
        <v>75.5</v>
      </c>
      <c r="S134" s="218">
        <v>197</v>
      </c>
      <c r="T134" s="218">
        <v>19.8</v>
      </c>
      <c r="U134" s="218">
        <v>43.8</v>
      </c>
      <c r="V134" s="218">
        <v>126.1</v>
      </c>
      <c r="W134" s="218">
        <v>0.89</v>
      </c>
      <c r="X134" s="218">
        <v>77.599999999999994</v>
      </c>
      <c r="Y134" s="218">
        <v>35</v>
      </c>
      <c r="Z134" s="203">
        <f t="shared" si="10"/>
        <v>25.22</v>
      </c>
      <c r="AA134" s="203">
        <f t="shared" si="11"/>
        <v>94.18</v>
      </c>
      <c r="AB134" s="218"/>
      <c r="AC134" s="218"/>
      <c r="AD134" s="218"/>
      <c r="AE134" s="218"/>
    </row>
    <row r="135" spans="1:31" x14ac:dyDescent="0.2">
      <c r="A135" s="200" t="s">
        <v>8384</v>
      </c>
      <c r="B135" s="201">
        <v>44742</v>
      </c>
      <c r="C135" s="202">
        <v>2</v>
      </c>
      <c r="D135" s="218" t="s">
        <v>196</v>
      </c>
      <c r="E135" s="218">
        <v>38</v>
      </c>
      <c r="F135" s="218">
        <v>61.8</v>
      </c>
      <c r="G135" s="218">
        <v>1.59</v>
      </c>
      <c r="H135" s="218">
        <v>79</v>
      </c>
      <c r="I135" s="218">
        <v>95</v>
      </c>
      <c r="J135" s="203">
        <f t="shared" si="8"/>
        <v>0.83157894736842108</v>
      </c>
      <c r="K135" s="218">
        <v>30.4</v>
      </c>
      <c r="L135" s="218">
        <v>4</v>
      </c>
      <c r="M135" s="218">
        <v>40.799999999999997</v>
      </c>
      <c r="N135" s="218"/>
      <c r="O135" s="214">
        <f t="shared" si="9"/>
        <v>24.445235552391122</v>
      </c>
      <c r="P135" s="218">
        <v>106</v>
      </c>
      <c r="Q135" s="218">
        <v>78</v>
      </c>
      <c r="R135" s="218">
        <v>99.2</v>
      </c>
      <c r="S135" s="218">
        <v>187</v>
      </c>
      <c r="T135" s="218">
        <v>13.4</v>
      </c>
      <c r="U135" s="218">
        <v>19.2</v>
      </c>
      <c r="V135" s="218">
        <v>77.3</v>
      </c>
      <c r="W135" s="218">
        <v>0.8</v>
      </c>
      <c r="X135" s="218">
        <v>84.9</v>
      </c>
      <c r="Y135" s="218">
        <v>36</v>
      </c>
      <c r="Z135" s="203">
        <f t="shared" si="10"/>
        <v>15.46</v>
      </c>
      <c r="AA135" s="203">
        <f t="shared" si="11"/>
        <v>86.639999999999986</v>
      </c>
      <c r="AB135" s="218"/>
      <c r="AC135" s="218"/>
      <c r="AD135" s="218"/>
      <c r="AE135" s="218"/>
    </row>
    <row r="136" spans="1:31" x14ac:dyDescent="0.2">
      <c r="A136" s="200" t="s">
        <v>8385</v>
      </c>
      <c r="B136" s="201">
        <v>44785</v>
      </c>
      <c r="C136" s="202">
        <v>2</v>
      </c>
      <c r="D136" s="218" t="s">
        <v>196</v>
      </c>
      <c r="E136" s="218">
        <v>37</v>
      </c>
      <c r="F136" s="218">
        <v>70.7</v>
      </c>
      <c r="G136" s="218">
        <v>1.57</v>
      </c>
      <c r="H136" s="218">
        <v>86</v>
      </c>
      <c r="I136" s="218">
        <v>108</v>
      </c>
      <c r="J136" s="203">
        <f t="shared" si="8"/>
        <v>0.79629629629629628</v>
      </c>
      <c r="K136" s="218">
        <v>37.299999999999997</v>
      </c>
      <c r="L136" s="218">
        <v>6</v>
      </c>
      <c r="M136" s="218">
        <v>42.1</v>
      </c>
      <c r="N136" s="218"/>
      <c r="O136" s="214">
        <f t="shared" si="9"/>
        <v>28.682705180737557</v>
      </c>
      <c r="P136" s="218">
        <v>108</v>
      </c>
      <c r="Q136" s="218">
        <v>84</v>
      </c>
      <c r="R136" s="218">
        <v>76.099999999999994</v>
      </c>
      <c r="S136" s="218">
        <v>136</v>
      </c>
      <c r="T136" s="218">
        <v>14.3</v>
      </c>
      <c r="U136" s="218">
        <v>32.4</v>
      </c>
      <c r="V136" s="218">
        <v>68</v>
      </c>
      <c r="W136" s="218">
        <v>1.1100000000000001</v>
      </c>
      <c r="X136" s="218">
        <v>48.4</v>
      </c>
      <c r="Y136" s="218">
        <v>33.4</v>
      </c>
      <c r="Z136" s="203">
        <f t="shared" si="10"/>
        <v>13.600000000000001</v>
      </c>
      <c r="AA136" s="203">
        <f t="shared" si="11"/>
        <v>74</v>
      </c>
      <c r="AB136" s="218"/>
      <c r="AC136" s="218"/>
      <c r="AD136" s="218"/>
      <c r="AE136" s="218"/>
    </row>
    <row r="137" spans="1:31" x14ac:dyDescent="0.2">
      <c r="A137" s="200" t="s">
        <v>8386</v>
      </c>
      <c r="B137" s="201">
        <v>44744</v>
      </c>
      <c r="C137" s="202">
        <v>2</v>
      </c>
      <c r="D137" s="218" t="s">
        <v>196</v>
      </c>
      <c r="E137" s="218">
        <v>49</v>
      </c>
      <c r="F137" s="218">
        <v>70.8</v>
      </c>
      <c r="G137" s="218">
        <v>1.66</v>
      </c>
      <c r="H137" s="218">
        <v>93</v>
      </c>
      <c r="I137" s="218">
        <v>108</v>
      </c>
      <c r="J137" s="203">
        <f t="shared" si="8"/>
        <v>0.86111111111111116</v>
      </c>
      <c r="K137" s="218">
        <v>39.9</v>
      </c>
      <c r="L137" s="218">
        <v>8</v>
      </c>
      <c r="M137" s="218">
        <v>43.8</v>
      </c>
      <c r="N137" s="218"/>
      <c r="O137" s="214">
        <f t="shared" si="9"/>
        <v>25.693133981709973</v>
      </c>
      <c r="P137" s="218">
        <v>123</v>
      </c>
      <c r="Q137" s="218">
        <v>88</v>
      </c>
      <c r="R137" s="218">
        <v>85.1</v>
      </c>
      <c r="S137" s="218">
        <v>277</v>
      </c>
      <c r="T137" s="218">
        <v>11.6</v>
      </c>
      <c r="U137" s="218">
        <v>7.2</v>
      </c>
      <c r="V137" s="218">
        <v>425</v>
      </c>
      <c r="W137" s="218">
        <v>0.81</v>
      </c>
      <c r="X137" s="218">
        <v>97.7</v>
      </c>
      <c r="Y137" s="218">
        <v>28.1</v>
      </c>
      <c r="Z137" s="203">
        <f t="shared" si="10"/>
        <v>85</v>
      </c>
      <c r="AA137" s="203">
        <f t="shared" si="11"/>
        <v>94.300000000000011</v>
      </c>
      <c r="AB137" s="218"/>
      <c r="AC137" s="218"/>
      <c r="AD137" s="218"/>
      <c r="AE137" s="218"/>
    </row>
    <row r="138" spans="1:31" x14ac:dyDescent="0.2">
      <c r="A138" s="200" t="s">
        <v>8387</v>
      </c>
      <c r="B138" s="201">
        <v>44785</v>
      </c>
      <c r="C138" s="212">
        <v>3</v>
      </c>
      <c r="D138" s="218" t="s">
        <v>196</v>
      </c>
      <c r="E138" s="218">
        <v>52</v>
      </c>
      <c r="F138" s="218">
        <v>62.9</v>
      </c>
      <c r="G138" s="218">
        <v>1.52</v>
      </c>
      <c r="H138" s="218">
        <v>98</v>
      </c>
      <c r="I138" s="218">
        <v>102</v>
      </c>
      <c r="J138" s="203">
        <f t="shared" si="8"/>
        <v>0.96078431372549022</v>
      </c>
      <c r="K138" s="218">
        <v>30.8</v>
      </c>
      <c r="L138" s="218">
        <v>7</v>
      </c>
      <c r="M138" s="218">
        <v>41.3</v>
      </c>
      <c r="N138" s="218"/>
      <c r="O138" s="214">
        <f t="shared" si="9"/>
        <v>27.224722991689749</v>
      </c>
      <c r="P138" s="222">
        <v>135</v>
      </c>
      <c r="Q138" s="222">
        <v>86</v>
      </c>
      <c r="R138" s="222">
        <v>114.7</v>
      </c>
      <c r="S138" s="218">
        <v>202</v>
      </c>
      <c r="T138" s="218">
        <v>17.100000000000001</v>
      </c>
      <c r="U138" s="218">
        <v>45</v>
      </c>
      <c r="V138" s="222">
        <v>219</v>
      </c>
      <c r="W138" s="218">
        <v>1.06</v>
      </c>
      <c r="X138" s="218">
        <v>92.1</v>
      </c>
      <c r="Y138" s="218">
        <v>30.1</v>
      </c>
      <c r="Z138" s="203">
        <f t="shared" si="10"/>
        <v>43.800000000000004</v>
      </c>
      <c r="AA138" s="203">
        <f t="shared" si="11"/>
        <v>66.099999999999994</v>
      </c>
      <c r="AB138" s="218"/>
      <c r="AC138" s="218"/>
      <c r="AD138" s="218"/>
      <c r="AE138" s="218"/>
    </row>
    <row r="139" spans="1:31" x14ac:dyDescent="0.2">
      <c r="A139" s="200" t="s">
        <v>8388</v>
      </c>
      <c r="B139" s="201">
        <v>44785</v>
      </c>
      <c r="C139" s="202">
        <v>2</v>
      </c>
      <c r="D139" s="218" t="s">
        <v>196</v>
      </c>
      <c r="E139" s="218">
        <v>48</v>
      </c>
      <c r="F139" s="218">
        <v>81.8</v>
      </c>
      <c r="G139" s="218">
        <v>1.52</v>
      </c>
      <c r="H139" s="218">
        <v>111</v>
      </c>
      <c r="I139" s="218">
        <v>116</v>
      </c>
      <c r="J139" s="203">
        <f t="shared" si="8"/>
        <v>0.9568965517241379</v>
      </c>
      <c r="K139" s="218">
        <v>43.7</v>
      </c>
      <c r="L139" s="222">
        <v>11</v>
      </c>
      <c r="M139" s="218">
        <v>43.7</v>
      </c>
      <c r="N139" s="218"/>
      <c r="O139" s="216">
        <f t="shared" si="9"/>
        <v>35.405124653739612</v>
      </c>
      <c r="P139" s="218">
        <v>115</v>
      </c>
      <c r="Q139" s="218">
        <v>90</v>
      </c>
      <c r="R139" s="218">
        <v>114.3</v>
      </c>
      <c r="S139" s="218">
        <v>205</v>
      </c>
      <c r="T139" s="218">
        <v>20.7</v>
      </c>
      <c r="U139" s="218">
        <v>42</v>
      </c>
      <c r="V139" s="218">
        <v>95.2</v>
      </c>
      <c r="W139" s="218">
        <v>0.79</v>
      </c>
      <c r="X139" s="218">
        <v>83.1</v>
      </c>
      <c r="Y139" s="218">
        <v>27.2</v>
      </c>
      <c r="Z139" s="203">
        <f t="shared" si="10"/>
        <v>19.040000000000003</v>
      </c>
      <c r="AA139" s="203">
        <f t="shared" si="11"/>
        <v>102.86</v>
      </c>
      <c r="AB139" s="218"/>
      <c r="AC139" s="218"/>
      <c r="AD139" s="218"/>
      <c r="AE139" s="218"/>
    </row>
    <row r="140" spans="1:31" x14ac:dyDescent="0.2">
      <c r="A140" s="200" t="s">
        <v>8389</v>
      </c>
      <c r="B140" s="201">
        <v>44747</v>
      </c>
      <c r="C140" s="202">
        <v>2</v>
      </c>
      <c r="D140" s="218" t="s">
        <v>196</v>
      </c>
      <c r="E140" s="218">
        <v>43</v>
      </c>
      <c r="F140" s="218">
        <v>89.4</v>
      </c>
      <c r="G140" s="218">
        <v>1.56</v>
      </c>
      <c r="H140" s="218">
        <v>108</v>
      </c>
      <c r="I140" s="218">
        <v>122.5</v>
      </c>
      <c r="J140" s="203">
        <f t="shared" si="8"/>
        <v>0.88163265306122451</v>
      </c>
      <c r="K140" s="218">
        <v>47</v>
      </c>
      <c r="L140" s="222">
        <v>12</v>
      </c>
      <c r="M140" s="218">
        <v>24</v>
      </c>
      <c r="N140" s="218"/>
      <c r="O140" s="216">
        <f t="shared" si="9"/>
        <v>36.735700197238657</v>
      </c>
      <c r="P140" s="218">
        <v>112</v>
      </c>
      <c r="Q140" s="218">
        <v>89</v>
      </c>
      <c r="R140" s="218">
        <v>98.4</v>
      </c>
      <c r="S140" s="218">
        <v>154</v>
      </c>
      <c r="T140" s="218">
        <v>40.9</v>
      </c>
      <c r="U140" s="218">
        <v>48</v>
      </c>
      <c r="V140" s="218">
        <v>136.6</v>
      </c>
      <c r="W140" s="218">
        <v>0.88</v>
      </c>
      <c r="X140" s="218">
        <v>66</v>
      </c>
      <c r="Y140" s="218">
        <v>34.700000000000003</v>
      </c>
      <c r="Z140" s="203">
        <f t="shared" si="10"/>
        <v>27.32</v>
      </c>
      <c r="AA140" s="203">
        <f t="shared" si="11"/>
        <v>60.68</v>
      </c>
      <c r="AB140" s="218"/>
      <c r="AC140" s="218"/>
      <c r="AD140" s="218"/>
      <c r="AE140" s="218"/>
    </row>
    <row r="141" spans="1:31" x14ac:dyDescent="0.2">
      <c r="A141" s="200" t="s">
        <v>8390</v>
      </c>
      <c r="B141" s="201">
        <v>44802</v>
      </c>
      <c r="C141" s="202">
        <v>2</v>
      </c>
      <c r="D141" s="218" t="s">
        <v>196</v>
      </c>
      <c r="E141" s="218">
        <v>60</v>
      </c>
      <c r="F141" s="218">
        <v>82.9</v>
      </c>
      <c r="G141" s="218">
        <v>1.61</v>
      </c>
      <c r="H141" s="218">
        <v>98</v>
      </c>
      <c r="I141" s="218">
        <v>119</v>
      </c>
      <c r="J141" s="203">
        <f t="shared" si="8"/>
        <v>0.82352941176470584</v>
      </c>
      <c r="K141" s="218">
        <v>45.7</v>
      </c>
      <c r="L141" s="222">
        <v>12</v>
      </c>
      <c r="M141" s="218">
        <v>439</v>
      </c>
      <c r="N141" s="218">
        <v>81</v>
      </c>
      <c r="O141" s="214">
        <f t="shared" si="9"/>
        <v>31.98179082597122</v>
      </c>
      <c r="P141" s="222">
        <v>135</v>
      </c>
      <c r="Q141" s="222">
        <v>88</v>
      </c>
      <c r="R141" s="218">
        <v>70.599999999999994</v>
      </c>
      <c r="S141" s="218">
        <v>152</v>
      </c>
      <c r="T141" s="218">
        <v>14.3</v>
      </c>
      <c r="U141" s="218">
        <v>22.9</v>
      </c>
      <c r="V141" s="218">
        <v>104</v>
      </c>
      <c r="W141" s="218">
        <v>0.66</v>
      </c>
      <c r="X141" s="218">
        <v>49.2</v>
      </c>
      <c r="Y141" s="218">
        <v>37.200000000000003</v>
      </c>
      <c r="Z141" s="203">
        <f t="shared" si="10"/>
        <v>20.8</v>
      </c>
      <c r="AA141" s="203">
        <f t="shared" si="11"/>
        <v>82</v>
      </c>
      <c r="AB141" s="218"/>
      <c r="AC141" s="218"/>
      <c r="AD141" s="218"/>
      <c r="AE141" s="218"/>
    </row>
    <row r="142" spans="1:31" x14ac:dyDescent="0.2">
      <c r="A142" s="200" t="s">
        <v>8391</v>
      </c>
      <c r="B142" s="201">
        <v>44802</v>
      </c>
      <c r="C142" s="212">
        <v>3</v>
      </c>
      <c r="D142" s="218" t="s">
        <v>196</v>
      </c>
      <c r="E142" s="218">
        <v>47</v>
      </c>
      <c r="F142" s="218">
        <v>103.6</v>
      </c>
      <c r="G142" s="218">
        <v>1.63</v>
      </c>
      <c r="H142" s="218">
        <v>114</v>
      </c>
      <c r="I142" s="218">
        <v>122</v>
      </c>
      <c r="J142" s="203">
        <f t="shared" si="8"/>
        <v>0.93442622950819676</v>
      </c>
      <c r="K142" s="218">
        <v>43.2</v>
      </c>
      <c r="L142" s="222">
        <v>12</v>
      </c>
      <c r="M142" s="218">
        <v>55.9</v>
      </c>
      <c r="N142" s="218">
        <v>77</v>
      </c>
      <c r="O142" s="216">
        <f t="shared" si="9"/>
        <v>38.99281117091347</v>
      </c>
      <c r="P142" s="222">
        <v>169</v>
      </c>
      <c r="Q142" s="222">
        <v>98</v>
      </c>
      <c r="R142" s="222">
        <v>195.8</v>
      </c>
      <c r="S142" s="218">
        <v>184</v>
      </c>
      <c r="T142" s="218">
        <v>42.5</v>
      </c>
      <c r="U142" s="218">
        <v>46.1</v>
      </c>
      <c r="V142" s="218">
        <v>139.30000000000001</v>
      </c>
      <c r="W142" s="218">
        <v>0.64</v>
      </c>
      <c r="X142" s="218">
        <v>74.5</v>
      </c>
      <c r="Y142" s="218">
        <v>28.8</v>
      </c>
      <c r="Z142" s="203">
        <f t="shared" si="10"/>
        <v>27.860000000000003</v>
      </c>
      <c r="AA142" s="203">
        <f t="shared" si="11"/>
        <v>81.64</v>
      </c>
      <c r="AB142" s="218"/>
      <c r="AC142" s="218"/>
      <c r="AD142" s="218"/>
      <c r="AE142" s="218"/>
    </row>
    <row r="143" spans="1:31" x14ac:dyDescent="0.2">
      <c r="A143" s="200" t="s">
        <v>8392</v>
      </c>
      <c r="B143" s="201">
        <v>44750</v>
      </c>
      <c r="C143" s="202">
        <v>2</v>
      </c>
      <c r="D143" s="218" t="s">
        <v>196</v>
      </c>
      <c r="E143" s="218">
        <v>45</v>
      </c>
      <c r="F143" s="218">
        <v>70.2</v>
      </c>
      <c r="G143" s="218">
        <v>1.5</v>
      </c>
      <c r="H143" s="218">
        <v>96</v>
      </c>
      <c r="I143" s="218">
        <v>107</v>
      </c>
      <c r="J143" s="203">
        <f t="shared" si="8"/>
        <v>0.89719626168224298</v>
      </c>
      <c r="K143" s="218">
        <v>45.1</v>
      </c>
      <c r="L143" s="218">
        <v>9</v>
      </c>
      <c r="M143" s="218">
        <v>37.6</v>
      </c>
      <c r="N143" s="218">
        <v>73</v>
      </c>
      <c r="O143" s="214">
        <f t="shared" si="9"/>
        <v>31.200000000000003</v>
      </c>
      <c r="P143" s="218">
        <v>110</v>
      </c>
      <c r="Q143" s="218">
        <v>75</v>
      </c>
      <c r="R143" s="218">
        <v>60.3</v>
      </c>
      <c r="S143" s="218">
        <v>142</v>
      </c>
      <c r="T143" s="218">
        <v>18.8</v>
      </c>
      <c r="U143" s="218">
        <v>27.5</v>
      </c>
      <c r="V143" s="218">
        <v>129.9</v>
      </c>
      <c r="W143" s="218">
        <v>0.61</v>
      </c>
      <c r="X143" s="218">
        <v>39.299999999999997</v>
      </c>
      <c r="Y143" s="218">
        <v>24.6</v>
      </c>
      <c r="Z143" s="203">
        <f t="shared" si="10"/>
        <v>25.980000000000004</v>
      </c>
      <c r="AA143" s="203">
        <f t="shared" si="11"/>
        <v>76.72</v>
      </c>
      <c r="AB143" s="218"/>
      <c r="AC143" s="218"/>
      <c r="AD143" s="218"/>
      <c r="AE143" s="218"/>
    </row>
    <row r="144" spans="1:31" x14ac:dyDescent="0.2">
      <c r="A144" s="200" t="s">
        <v>8393</v>
      </c>
      <c r="B144" s="201">
        <v>44751</v>
      </c>
      <c r="C144" s="212">
        <v>3</v>
      </c>
      <c r="D144" s="218" t="s">
        <v>196</v>
      </c>
      <c r="E144" s="218">
        <v>44</v>
      </c>
      <c r="F144" s="218">
        <v>63.9</v>
      </c>
      <c r="G144" s="218">
        <v>1.53</v>
      </c>
      <c r="H144" s="218">
        <v>87</v>
      </c>
      <c r="I144" s="218">
        <v>92</v>
      </c>
      <c r="J144" s="203">
        <f t="shared" si="8"/>
        <v>0.94565217391304346</v>
      </c>
      <c r="K144" s="218">
        <v>33</v>
      </c>
      <c r="L144" s="218">
        <v>6</v>
      </c>
      <c r="M144" s="218">
        <v>40.6</v>
      </c>
      <c r="N144" s="218"/>
      <c r="O144" s="214">
        <f t="shared" si="9"/>
        <v>27.297193387158785</v>
      </c>
      <c r="P144" s="218">
        <v>111</v>
      </c>
      <c r="Q144" s="218">
        <v>79</v>
      </c>
      <c r="R144" s="222">
        <v>107.5</v>
      </c>
      <c r="S144" s="218">
        <v>175</v>
      </c>
      <c r="T144" s="218">
        <v>17.100000000000001</v>
      </c>
      <c r="U144" s="218">
        <v>45</v>
      </c>
      <c r="V144" s="222">
        <v>214</v>
      </c>
      <c r="W144" s="218">
        <v>0.86</v>
      </c>
      <c r="X144" s="218">
        <v>48</v>
      </c>
      <c r="Y144" s="218">
        <v>26.9</v>
      </c>
      <c r="Z144" s="203">
        <f t="shared" si="10"/>
        <v>42.800000000000004</v>
      </c>
      <c r="AA144" s="203">
        <f t="shared" si="11"/>
        <v>84.199999999999989</v>
      </c>
      <c r="AB144" s="218"/>
      <c r="AC144" s="218"/>
      <c r="AD144" s="218"/>
      <c r="AE144" s="218"/>
    </row>
    <row r="145" spans="1:31" x14ac:dyDescent="0.2">
      <c r="A145" s="200" t="s">
        <v>8394</v>
      </c>
      <c r="B145" s="201">
        <v>44802</v>
      </c>
      <c r="C145" s="202">
        <v>2</v>
      </c>
      <c r="D145" s="218" t="s">
        <v>196</v>
      </c>
      <c r="E145" s="218">
        <v>75</v>
      </c>
      <c r="F145" s="218">
        <v>76</v>
      </c>
      <c r="G145" s="218">
        <v>1.44</v>
      </c>
      <c r="H145" s="218">
        <v>110</v>
      </c>
      <c r="I145" s="218">
        <v>113</v>
      </c>
      <c r="J145" s="203">
        <f t="shared" si="8"/>
        <v>0.97345132743362828</v>
      </c>
      <c r="K145" s="218"/>
      <c r="L145" s="218"/>
      <c r="M145" s="218"/>
      <c r="N145" s="218"/>
      <c r="O145" s="214">
        <f t="shared" si="9"/>
        <v>36.651234567901234</v>
      </c>
      <c r="P145" s="218">
        <v>126</v>
      </c>
      <c r="Q145" s="218">
        <v>88</v>
      </c>
      <c r="R145" s="218">
        <v>85.1</v>
      </c>
      <c r="S145" s="218">
        <v>161</v>
      </c>
      <c r="T145" s="218">
        <v>22.1</v>
      </c>
      <c r="U145" s="218">
        <v>43.2</v>
      </c>
      <c r="V145" s="218">
        <v>96.9</v>
      </c>
      <c r="W145" s="218">
        <v>0.77</v>
      </c>
      <c r="X145" s="218">
        <v>67.599999999999994</v>
      </c>
      <c r="Y145" s="218">
        <v>42.7</v>
      </c>
      <c r="Z145" s="203">
        <f t="shared" si="10"/>
        <v>19.380000000000003</v>
      </c>
      <c r="AA145" s="203">
        <f t="shared" si="11"/>
        <v>74.02000000000001</v>
      </c>
      <c r="AB145" s="218"/>
      <c r="AC145" s="218"/>
      <c r="AD145" s="218"/>
      <c r="AE145" s="218"/>
    </row>
    <row r="146" spans="1:31" x14ac:dyDescent="0.2">
      <c r="A146" s="200" t="s">
        <v>8395</v>
      </c>
      <c r="B146" s="201">
        <v>44802</v>
      </c>
      <c r="C146" s="202">
        <v>2</v>
      </c>
      <c r="D146" s="218" t="s">
        <v>196</v>
      </c>
      <c r="E146" s="218">
        <v>32</v>
      </c>
      <c r="F146" s="218">
        <v>60.6</v>
      </c>
      <c r="G146" s="218">
        <v>1.65</v>
      </c>
      <c r="H146" s="218">
        <v>75.5</v>
      </c>
      <c r="I146" s="218">
        <v>101.5</v>
      </c>
      <c r="J146" s="203">
        <f t="shared" si="8"/>
        <v>0.74384236453201968</v>
      </c>
      <c r="K146" s="218">
        <v>27.4</v>
      </c>
      <c r="L146" s="218">
        <v>3</v>
      </c>
      <c r="M146" s="218">
        <v>41.7</v>
      </c>
      <c r="N146" s="218">
        <v>26</v>
      </c>
      <c r="O146" s="211">
        <f t="shared" si="9"/>
        <v>22.25895316804408</v>
      </c>
      <c r="P146" s="222">
        <v>131</v>
      </c>
      <c r="Q146" s="222">
        <v>101</v>
      </c>
      <c r="R146" s="218">
        <v>78.2</v>
      </c>
      <c r="S146" s="218">
        <v>162</v>
      </c>
      <c r="T146" s="218">
        <v>10.1</v>
      </c>
      <c r="U146" s="218">
        <v>20</v>
      </c>
      <c r="V146" s="218">
        <v>60.6</v>
      </c>
      <c r="W146" s="218">
        <v>0.7</v>
      </c>
      <c r="X146" s="218">
        <v>78.7</v>
      </c>
      <c r="Y146" s="218">
        <v>29.5</v>
      </c>
      <c r="Z146" s="203">
        <f t="shared" si="10"/>
        <v>12.120000000000001</v>
      </c>
      <c r="AA146" s="203">
        <f t="shared" si="11"/>
        <v>71.179999999999993</v>
      </c>
      <c r="AB146" s="218"/>
      <c r="AC146" s="218"/>
      <c r="AD146" s="218"/>
      <c r="AE146" s="218"/>
    </row>
    <row r="147" spans="1:31" x14ac:dyDescent="0.2">
      <c r="A147" s="200" t="s">
        <v>8396</v>
      </c>
      <c r="B147" s="201">
        <v>44754</v>
      </c>
      <c r="C147" s="202">
        <v>2</v>
      </c>
      <c r="D147" s="218" t="s">
        <v>196</v>
      </c>
      <c r="E147" s="218">
        <v>36</v>
      </c>
      <c r="F147" s="218">
        <v>78.2</v>
      </c>
      <c r="G147" s="218">
        <v>1.69</v>
      </c>
      <c r="H147" s="218">
        <v>79</v>
      </c>
      <c r="I147" s="218">
        <v>109</v>
      </c>
      <c r="J147" s="203">
        <f t="shared" si="8"/>
        <v>0.72477064220183485</v>
      </c>
      <c r="K147" s="218">
        <v>34.9</v>
      </c>
      <c r="L147" s="218">
        <v>6</v>
      </c>
      <c r="M147" s="218">
        <v>48.4</v>
      </c>
      <c r="N147" s="218">
        <v>48</v>
      </c>
      <c r="O147" s="214">
        <f t="shared" si="9"/>
        <v>27.379993697699664</v>
      </c>
      <c r="P147" s="218">
        <v>114</v>
      </c>
      <c r="Q147" s="218">
        <v>83</v>
      </c>
      <c r="R147" s="218">
        <v>59.6</v>
      </c>
      <c r="S147" s="218">
        <v>87</v>
      </c>
      <c r="T147" s="218">
        <v>21.3</v>
      </c>
      <c r="U147" s="218">
        <v>27.5</v>
      </c>
      <c r="V147" s="218">
        <v>66.2</v>
      </c>
      <c r="W147" s="218">
        <v>0.88</v>
      </c>
      <c r="X147" s="218">
        <v>47</v>
      </c>
      <c r="Y147" s="218"/>
      <c r="Z147" s="203">
        <f t="shared" si="10"/>
        <v>13.240000000000002</v>
      </c>
      <c r="AA147" s="203">
        <f t="shared" si="11"/>
        <v>26.759999999999998</v>
      </c>
      <c r="AB147" s="218"/>
      <c r="AC147" s="218"/>
      <c r="AD147" s="218"/>
      <c r="AE147" s="218"/>
    </row>
    <row r="148" spans="1:31" x14ac:dyDescent="0.2">
      <c r="A148" s="200" t="s">
        <v>8397</v>
      </c>
      <c r="B148" s="201">
        <v>44775</v>
      </c>
      <c r="C148" s="202"/>
      <c r="D148" s="218"/>
      <c r="E148" s="218">
        <v>56</v>
      </c>
      <c r="F148" s="218">
        <v>93</v>
      </c>
      <c r="G148" s="218">
        <v>1.53</v>
      </c>
      <c r="H148" s="218">
        <v>105</v>
      </c>
      <c r="I148" s="218">
        <v>123</v>
      </c>
      <c r="J148" s="203">
        <f t="shared" si="8"/>
        <v>0.85365853658536583</v>
      </c>
      <c r="K148" s="218">
        <v>516</v>
      </c>
      <c r="L148" s="222">
        <v>14</v>
      </c>
      <c r="M148" s="218">
        <v>48.8</v>
      </c>
      <c r="N148" s="218">
        <v>84</v>
      </c>
      <c r="O148" s="216">
        <f t="shared" si="9"/>
        <v>39.728309624503396</v>
      </c>
      <c r="P148" s="222">
        <v>139</v>
      </c>
      <c r="Q148" s="222">
        <v>77</v>
      </c>
      <c r="R148" s="218">
        <v>92.8</v>
      </c>
      <c r="S148" s="218">
        <v>99</v>
      </c>
      <c r="T148" s="218">
        <v>17.399999999999999</v>
      </c>
      <c r="U148" s="218">
        <v>27.4</v>
      </c>
      <c r="V148" s="218">
        <v>114.5</v>
      </c>
      <c r="W148" s="218">
        <v>0.92</v>
      </c>
      <c r="X148" s="218">
        <v>31.3</v>
      </c>
      <c r="Y148" s="218"/>
      <c r="Z148" s="203">
        <f t="shared" si="10"/>
        <v>22.900000000000002</v>
      </c>
      <c r="AA148" s="203">
        <f t="shared" si="11"/>
        <v>44.8</v>
      </c>
      <c r="AB148" s="218"/>
      <c r="AC148" s="218"/>
      <c r="AD148" s="218"/>
      <c r="AE148" s="218"/>
    </row>
    <row r="149" spans="1:31" x14ac:dyDescent="0.2">
      <c r="A149" s="200" t="s">
        <v>8398</v>
      </c>
      <c r="B149" s="201">
        <v>44802</v>
      </c>
      <c r="C149" s="202">
        <v>2</v>
      </c>
      <c r="D149" s="218" t="s">
        <v>196</v>
      </c>
      <c r="E149" s="218">
        <v>34</v>
      </c>
      <c r="F149" s="218">
        <v>106.1</v>
      </c>
      <c r="G149" s="218">
        <v>1.7</v>
      </c>
      <c r="H149" s="218">
        <v>102</v>
      </c>
      <c r="I149" s="218">
        <v>128</v>
      </c>
      <c r="J149" s="203">
        <f t="shared" si="8"/>
        <v>0.796875</v>
      </c>
      <c r="K149" s="218">
        <v>49.8</v>
      </c>
      <c r="L149" s="222">
        <v>12</v>
      </c>
      <c r="M149" s="218">
        <v>50.6</v>
      </c>
      <c r="N149" s="218">
        <v>90</v>
      </c>
      <c r="O149" s="216">
        <f t="shared" si="9"/>
        <v>36.712802768166092</v>
      </c>
      <c r="P149" s="222">
        <v>132</v>
      </c>
      <c r="Q149" s="222">
        <v>88</v>
      </c>
      <c r="R149" s="218">
        <v>68.8</v>
      </c>
      <c r="S149" s="218">
        <v>140</v>
      </c>
      <c r="T149" s="218">
        <v>19.899999999999999</v>
      </c>
      <c r="U149" s="218">
        <v>22.3</v>
      </c>
      <c r="V149" s="218">
        <v>129</v>
      </c>
      <c r="W149" s="218">
        <v>0.78</v>
      </c>
      <c r="X149" s="218">
        <v>55.2</v>
      </c>
      <c r="Y149" s="218"/>
      <c r="Z149" s="203">
        <f t="shared" si="10"/>
        <v>25.8</v>
      </c>
      <c r="AA149" s="203">
        <f t="shared" si="11"/>
        <v>59</v>
      </c>
      <c r="AB149" s="218"/>
      <c r="AC149" s="218"/>
      <c r="AD149" s="218"/>
      <c r="AE149" s="218"/>
    </row>
    <row r="150" spans="1:31" x14ac:dyDescent="0.2">
      <c r="A150" s="200" t="s">
        <v>8399</v>
      </c>
      <c r="B150" s="201">
        <v>44757</v>
      </c>
      <c r="C150" s="202">
        <v>1</v>
      </c>
      <c r="D150" s="218" t="s">
        <v>196</v>
      </c>
      <c r="E150" s="218">
        <v>51</v>
      </c>
      <c r="F150" s="218">
        <v>63.3</v>
      </c>
      <c r="G150" s="218">
        <v>1.67</v>
      </c>
      <c r="H150" s="219">
        <v>75</v>
      </c>
      <c r="I150" s="218">
        <v>99</v>
      </c>
      <c r="J150" s="203">
        <f t="shared" si="8"/>
        <v>0.75757575757575757</v>
      </c>
      <c r="K150" s="218">
        <v>29.6</v>
      </c>
      <c r="L150" s="218">
        <v>6</v>
      </c>
      <c r="M150" s="218">
        <v>40.799999999999997</v>
      </c>
      <c r="N150" s="218">
        <v>41</v>
      </c>
      <c r="O150" s="211">
        <f t="shared" si="9"/>
        <v>22.697120728602673</v>
      </c>
      <c r="P150" s="218">
        <v>105</v>
      </c>
      <c r="Q150" s="218">
        <v>75</v>
      </c>
      <c r="R150" s="218">
        <v>69.400000000000006</v>
      </c>
      <c r="S150" s="218">
        <v>129</v>
      </c>
      <c r="T150" s="218">
        <v>26.6</v>
      </c>
      <c r="U150" s="218">
        <v>3.2</v>
      </c>
      <c r="V150" s="218">
        <v>89.1</v>
      </c>
      <c r="W150" s="218">
        <v>0.84</v>
      </c>
      <c r="X150" s="218">
        <v>48.2</v>
      </c>
      <c r="Y150" s="218">
        <v>19.5</v>
      </c>
      <c r="Z150" s="203">
        <f t="shared" si="10"/>
        <v>17.82</v>
      </c>
      <c r="AA150" s="203">
        <f t="shared" si="11"/>
        <v>62.98</v>
      </c>
      <c r="AB150" s="218"/>
      <c r="AC150" s="218"/>
      <c r="AD150" s="218"/>
      <c r="AE150" s="218"/>
    </row>
    <row r="151" spans="1:31" x14ac:dyDescent="0.2">
      <c r="A151" s="200" t="s">
        <v>8400</v>
      </c>
      <c r="B151" s="201">
        <v>44758</v>
      </c>
      <c r="C151" s="202">
        <v>1</v>
      </c>
      <c r="D151" s="218" t="s">
        <v>675</v>
      </c>
      <c r="E151" s="218">
        <v>54</v>
      </c>
      <c r="F151" s="218">
        <v>75.3</v>
      </c>
      <c r="G151" s="218">
        <v>1.77</v>
      </c>
      <c r="H151" s="219">
        <v>79</v>
      </c>
      <c r="I151" s="218">
        <v>100</v>
      </c>
      <c r="J151" s="203">
        <f t="shared" si="8"/>
        <v>0.79</v>
      </c>
      <c r="K151" s="218"/>
      <c r="L151" s="218"/>
      <c r="M151" s="218"/>
      <c r="N151" s="218"/>
      <c r="O151" s="211">
        <f t="shared" si="9"/>
        <v>24.035238916020297</v>
      </c>
      <c r="P151" s="218">
        <v>115</v>
      </c>
      <c r="Q151" s="218">
        <v>84</v>
      </c>
      <c r="R151" s="218">
        <v>76.5</v>
      </c>
      <c r="S151" s="218">
        <v>188</v>
      </c>
      <c r="T151" s="218">
        <v>9.8000000000000007</v>
      </c>
      <c r="U151" s="218">
        <v>24</v>
      </c>
      <c r="V151" s="218">
        <v>72.599999999999994</v>
      </c>
      <c r="W151" s="218">
        <v>0.92</v>
      </c>
      <c r="X151" s="218">
        <v>58.3</v>
      </c>
      <c r="Y151" s="218"/>
      <c r="Z151" s="203">
        <f t="shared" si="10"/>
        <v>14.52</v>
      </c>
      <c r="AA151" s="203">
        <f t="shared" si="11"/>
        <v>115.17999999999999</v>
      </c>
      <c r="AB151" s="218"/>
      <c r="AC151" s="218"/>
      <c r="AD151" s="218"/>
      <c r="AE151" s="218"/>
    </row>
    <row r="152" spans="1:31" x14ac:dyDescent="0.2">
      <c r="A152" s="200" t="s">
        <v>8401</v>
      </c>
      <c r="B152" s="201">
        <v>44802</v>
      </c>
      <c r="C152" s="202">
        <v>2</v>
      </c>
      <c r="D152" s="218" t="s">
        <v>196</v>
      </c>
      <c r="E152" s="218">
        <v>60</v>
      </c>
      <c r="F152" s="218">
        <v>81</v>
      </c>
      <c r="G152" s="218">
        <v>1.5</v>
      </c>
      <c r="H152" s="218">
        <v>109</v>
      </c>
      <c r="I152" s="218">
        <v>121</v>
      </c>
      <c r="J152" s="203">
        <f t="shared" si="8"/>
        <v>0.90082644628099173</v>
      </c>
      <c r="K152" s="218">
        <v>44.9</v>
      </c>
      <c r="L152" s="218">
        <v>13</v>
      </c>
      <c r="M152" s="218">
        <v>42.4</v>
      </c>
      <c r="N152" s="218">
        <v>83</v>
      </c>
      <c r="O152" s="214">
        <f t="shared" si="9"/>
        <v>36</v>
      </c>
      <c r="P152" s="218">
        <v>117</v>
      </c>
      <c r="Q152" s="218">
        <v>76</v>
      </c>
      <c r="R152" s="218">
        <v>67.3</v>
      </c>
      <c r="S152" s="218">
        <v>121</v>
      </c>
      <c r="T152" s="218">
        <v>13.7</v>
      </c>
      <c r="U152" s="218">
        <v>15.4</v>
      </c>
      <c r="V152" s="218">
        <v>91.1</v>
      </c>
      <c r="W152" s="218">
        <v>0.8</v>
      </c>
      <c r="X152" s="218">
        <v>48.5</v>
      </c>
      <c r="Y152" s="218">
        <v>28.3</v>
      </c>
      <c r="Z152" s="203">
        <f t="shared" si="10"/>
        <v>18.22</v>
      </c>
      <c r="AA152" s="203">
        <f t="shared" si="11"/>
        <v>54.28</v>
      </c>
      <c r="AB152" s="218"/>
      <c r="AC152" s="218"/>
      <c r="AD152" s="218"/>
      <c r="AE152" s="218"/>
    </row>
    <row r="153" spans="1:31" x14ac:dyDescent="0.2">
      <c r="A153" s="200" t="s">
        <v>8402</v>
      </c>
      <c r="B153" s="201">
        <v>44802</v>
      </c>
      <c r="C153" s="202">
        <v>2</v>
      </c>
      <c r="D153" s="218" t="s">
        <v>196</v>
      </c>
      <c r="E153" s="218">
        <v>60</v>
      </c>
      <c r="F153" s="218">
        <v>82</v>
      </c>
      <c r="G153" s="218">
        <v>1.65</v>
      </c>
      <c r="H153" s="218">
        <v>110</v>
      </c>
      <c r="I153" s="218">
        <v>117</v>
      </c>
      <c r="J153" s="203">
        <f t="shared" si="8"/>
        <v>0.94017094017094016</v>
      </c>
      <c r="K153" s="218">
        <v>38.9</v>
      </c>
      <c r="L153" s="218">
        <v>10</v>
      </c>
      <c r="M153" s="218">
        <v>47.6</v>
      </c>
      <c r="N153" s="218">
        <v>54</v>
      </c>
      <c r="O153" s="214">
        <f t="shared" si="9"/>
        <v>30.119375573921033</v>
      </c>
      <c r="P153" s="218">
        <v>125</v>
      </c>
      <c r="Q153" s="218">
        <v>82</v>
      </c>
      <c r="R153" s="218">
        <v>80.5</v>
      </c>
      <c r="S153" s="218">
        <v>124</v>
      </c>
      <c r="T153" s="218">
        <v>22.1</v>
      </c>
      <c r="U153" s="218">
        <v>72.099999999999994</v>
      </c>
      <c r="V153" s="218">
        <v>134.6</v>
      </c>
      <c r="W153" s="218">
        <v>0.77</v>
      </c>
      <c r="X153" s="218">
        <v>40.700000000000003</v>
      </c>
      <c r="Y153" s="218"/>
      <c r="Z153" s="203">
        <f t="shared" si="10"/>
        <v>26.92</v>
      </c>
      <c r="AA153" s="203">
        <f t="shared" si="11"/>
        <v>56.379999999999995</v>
      </c>
      <c r="AB153" s="218"/>
      <c r="AC153" s="218"/>
      <c r="AD153" s="218"/>
      <c r="AE153" s="218"/>
    </row>
    <row r="154" spans="1:31" x14ac:dyDescent="0.2">
      <c r="A154" s="200" t="s">
        <v>8403</v>
      </c>
      <c r="B154" s="201">
        <v>44802</v>
      </c>
      <c r="C154" s="202">
        <v>2</v>
      </c>
      <c r="D154" s="218" t="s">
        <v>675</v>
      </c>
      <c r="E154" s="218">
        <v>62</v>
      </c>
      <c r="F154" s="218">
        <v>103.7</v>
      </c>
      <c r="G154" s="218">
        <v>1.77</v>
      </c>
      <c r="H154" s="218">
        <v>116</v>
      </c>
      <c r="I154" s="218">
        <v>116</v>
      </c>
      <c r="J154" s="203">
        <f t="shared" si="8"/>
        <v>1</v>
      </c>
      <c r="K154" s="218">
        <v>32.4</v>
      </c>
      <c r="L154" s="218">
        <v>18</v>
      </c>
      <c r="M154" s="218">
        <v>66.599999999999994</v>
      </c>
      <c r="N154" s="218">
        <v>82</v>
      </c>
      <c r="O154" s="214">
        <f t="shared" si="9"/>
        <v>33.100322385010692</v>
      </c>
      <c r="P154" s="218">
        <v>106</v>
      </c>
      <c r="Q154" s="218">
        <v>68</v>
      </c>
      <c r="R154" s="218">
        <v>81</v>
      </c>
      <c r="S154" s="218">
        <v>138</v>
      </c>
      <c r="T154" s="218">
        <v>22.1</v>
      </c>
      <c r="U154" s="218">
        <v>11.3</v>
      </c>
      <c r="V154" s="222">
        <v>150.5</v>
      </c>
      <c r="W154" s="218">
        <v>1.21</v>
      </c>
      <c r="X154" s="218">
        <v>34.1</v>
      </c>
      <c r="Y154" s="218"/>
      <c r="Z154" s="203">
        <f t="shared" si="10"/>
        <v>30.1</v>
      </c>
      <c r="AA154" s="203">
        <f t="shared" si="11"/>
        <v>73.800000000000011</v>
      </c>
      <c r="AB154" s="218"/>
      <c r="AC154" s="218"/>
      <c r="AD154" s="218"/>
      <c r="AE154" s="218"/>
    </row>
    <row r="155" spans="1:31" x14ac:dyDescent="0.2">
      <c r="A155" s="200" t="s">
        <v>8404</v>
      </c>
      <c r="B155" s="201">
        <v>44802</v>
      </c>
      <c r="C155" s="202">
        <v>2</v>
      </c>
      <c r="D155" s="218" t="s">
        <v>196</v>
      </c>
      <c r="E155" s="218">
        <v>24</v>
      </c>
      <c r="F155" s="218">
        <v>77</v>
      </c>
      <c r="G155" s="218">
        <v>1.69</v>
      </c>
      <c r="H155" s="218">
        <v>81</v>
      </c>
      <c r="I155" s="218">
        <v>106</v>
      </c>
      <c r="J155" s="203">
        <f t="shared" si="8"/>
        <v>0.76415094339622647</v>
      </c>
      <c r="K155" s="218">
        <v>34.6</v>
      </c>
      <c r="L155" s="218">
        <v>4</v>
      </c>
      <c r="M155" s="218">
        <v>49</v>
      </c>
      <c r="N155" s="218">
        <v>38</v>
      </c>
      <c r="O155" s="214">
        <f t="shared" si="9"/>
        <v>26.959840341724732</v>
      </c>
      <c r="P155" s="218">
        <v>102</v>
      </c>
      <c r="Q155" s="218">
        <v>74</v>
      </c>
      <c r="R155" s="218">
        <v>59.7</v>
      </c>
      <c r="S155" s="218">
        <v>150</v>
      </c>
      <c r="T155" s="218">
        <v>10.9</v>
      </c>
      <c r="U155" s="218">
        <v>4.9000000000000004</v>
      </c>
      <c r="V155" s="218">
        <v>71.3</v>
      </c>
      <c r="W155" s="218">
        <v>0.8</v>
      </c>
      <c r="X155" s="218">
        <v>58.9</v>
      </c>
      <c r="Y155" s="218"/>
      <c r="Z155" s="203">
        <f t="shared" si="10"/>
        <v>14.26</v>
      </c>
      <c r="AA155" s="203">
        <f t="shared" si="11"/>
        <v>76.839999999999989</v>
      </c>
      <c r="AB155" s="218"/>
      <c r="AC155" s="218"/>
      <c r="AD155" s="218"/>
      <c r="AE155" s="218"/>
    </row>
    <row r="156" spans="1:31" x14ac:dyDescent="0.2">
      <c r="A156" s="200" t="s">
        <v>8405</v>
      </c>
      <c r="B156" s="201">
        <v>44763</v>
      </c>
      <c r="C156" s="202">
        <v>2</v>
      </c>
      <c r="D156" s="218" t="s">
        <v>196</v>
      </c>
      <c r="E156" s="218">
        <v>23</v>
      </c>
      <c r="F156" s="218">
        <v>86.3</v>
      </c>
      <c r="G156" s="218">
        <v>1.5449999999999999</v>
      </c>
      <c r="H156" s="218">
        <v>90</v>
      </c>
      <c r="I156" s="218">
        <v>120</v>
      </c>
      <c r="J156" s="203">
        <f t="shared" si="8"/>
        <v>0.75</v>
      </c>
      <c r="K156" s="218">
        <v>43</v>
      </c>
      <c r="L156" s="218">
        <v>8</v>
      </c>
      <c r="M156" s="218">
        <v>46.7</v>
      </c>
      <c r="N156" s="218"/>
      <c r="O156" s="214">
        <f t="shared" si="9"/>
        <v>36.153789759219109</v>
      </c>
      <c r="P156" s="218">
        <v>125</v>
      </c>
      <c r="Q156" s="218">
        <v>90</v>
      </c>
      <c r="R156" s="218">
        <v>96.1</v>
      </c>
      <c r="S156" s="218">
        <v>224</v>
      </c>
      <c r="T156" s="218">
        <v>59.3</v>
      </c>
      <c r="U156" s="218">
        <v>35.4</v>
      </c>
      <c r="V156" s="218">
        <v>130.4</v>
      </c>
      <c r="W156" s="218">
        <v>1.07</v>
      </c>
      <c r="X156" s="218">
        <v>91.4</v>
      </c>
      <c r="Y156" s="218"/>
      <c r="Z156" s="203">
        <f t="shared" si="10"/>
        <v>26.080000000000002</v>
      </c>
      <c r="AA156" s="203">
        <f t="shared" si="11"/>
        <v>106.52</v>
      </c>
      <c r="AB156" s="218"/>
      <c r="AC156" s="218"/>
      <c r="AD156" s="218"/>
      <c r="AE156" s="218"/>
    </row>
    <row r="157" spans="1:31" x14ac:dyDescent="0.2">
      <c r="A157" s="200" t="s">
        <v>8406</v>
      </c>
      <c r="B157" s="201">
        <v>44852</v>
      </c>
      <c r="C157" s="202">
        <v>2</v>
      </c>
      <c r="D157" s="218" t="s">
        <v>196</v>
      </c>
      <c r="E157" s="218">
        <v>27</v>
      </c>
      <c r="F157" s="218">
        <v>75.2</v>
      </c>
      <c r="G157" s="218">
        <v>1.62</v>
      </c>
      <c r="H157" s="218">
        <v>91</v>
      </c>
      <c r="I157" s="218">
        <v>109</v>
      </c>
      <c r="J157" s="203">
        <f t="shared" si="8"/>
        <v>0.83486238532110091</v>
      </c>
      <c r="K157" s="218">
        <v>40.200000000000003</v>
      </c>
      <c r="L157" s="218">
        <v>6</v>
      </c>
      <c r="M157" s="218">
        <v>42.7</v>
      </c>
      <c r="N157" s="218"/>
      <c r="O157" s="214">
        <f t="shared" si="9"/>
        <v>28.654168571864041</v>
      </c>
      <c r="P157" s="218">
        <v>99</v>
      </c>
      <c r="Q157" s="218">
        <v>68</v>
      </c>
      <c r="R157" s="218">
        <v>89.8</v>
      </c>
      <c r="S157" s="218">
        <v>300</v>
      </c>
      <c r="T157" s="218">
        <v>29.8</v>
      </c>
      <c r="U157" s="218">
        <v>23</v>
      </c>
      <c r="V157" s="218">
        <v>133.19999999999999</v>
      </c>
      <c r="W157" s="218">
        <v>0.69</v>
      </c>
      <c r="X157" s="218">
        <v>107.8</v>
      </c>
      <c r="Y157" s="218"/>
      <c r="Z157" s="203">
        <f t="shared" si="10"/>
        <v>26.64</v>
      </c>
      <c r="AA157" s="203">
        <f t="shared" si="11"/>
        <v>165.56</v>
      </c>
      <c r="AB157" s="218"/>
      <c r="AC157" s="218"/>
      <c r="AD157" s="218"/>
      <c r="AE157" s="218"/>
    </row>
    <row r="158" spans="1:31" x14ac:dyDescent="0.2">
      <c r="A158" s="200" t="s">
        <v>8407</v>
      </c>
      <c r="B158" s="201">
        <v>44765</v>
      </c>
      <c r="C158" s="212">
        <v>3</v>
      </c>
      <c r="D158" s="218" t="s">
        <v>196</v>
      </c>
      <c r="E158" s="218">
        <v>54</v>
      </c>
      <c r="F158" s="218">
        <v>105.9</v>
      </c>
      <c r="G158" s="218">
        <v>1.63</v>
      </c>
      <c r="H158" s="218">
        <v>112</v>
      </c>
      <c r="I158" s="218">
        <v>133</v>
      </c>
      <c r="J158" s="203">
        <f t="shared" si="8"/>
        <v>0.84210526315789469</v>
      </c>
      <c r="K158" s="218">
        <v>47.6</v>
      </c>
      <c r="L158" s="218">
        <v>12</v>
      </c>
      <c r="M158" s="218">
        <v>40</v>
      </c>
      <c r="N158" s="218"/>
      <c r="O158" s="221">
        <f t="shared" si="9"/>
        <v>39.858481689186654</v>
      </c>
      <c r="P158" s="220">
        <v>133</v>
      </c>
      <c r="Q158" s="218">
        <v>77</v>
      </c>
      <c r="R158" s="220">
        <v>129.30000000000001</v>
      </c>
      <c r="S158" s="218">
        <v>203</v>
      </c>
      <c r="T158" s="218">
        <v>39.4</v>
      </c>
      <c r="U158" s="218">
        <v>20.8</v>
      </c>
      <c r="V158" s="220">
        <v>255.3</v>
      </c>
      <c r="W158" s="218">
        <v>1.04</v>
      </c>
      <c r="X158" s="218">
        <v>60.1</v>
      </c>
      <c r="Y158" s="218"/>
      <c r="Z158" s="203">
        <f t="shared" si="10"/>
        <v>51.06</v>
      </c>
      <c r="AA158" s="203">
        <f t="shared" si="11"/>
        <v>91.84</v>
      </c>
      <c r="AB158" s="218"/>
      <c r="AC158" s="218"/>
      <c r="AD158" s="218"/>
      <c r="AE158" s="218"/>
    </row>
    <row r="159" spans="1:31" x14ac:dyDescent="0.2">
      <c r="A159" s="200" t="s">
        <v>8408</v>
      </c>
      <c r="B159" s="201">
        <v>44859</v>
      </c>
      <c r="C159" s="212">
        <v>3</v>
      </c>
      <c r="D159" s="218" t="s">
        <v>675</v>
      </c>
      <c r="E159" s="218">
        <v>46</v>
      </c>
      <c r="F159" s="218">
        <v>140.1</v>
      </c>
      <c r="G159" s="218">
        <v>1.77</v>
      </c>
      <c r="H159" s="218">
        <v>132</v>
      </c>
      <c r="I159" s="218">
        <v>136</v>
      </c>
      <c r="J159" s="203">
        <f t="shared" si="8"/>
        <v>0.97058823529411764</v>
      </c>
      <c r="K159" s="218">
        <v>36</v>
      </c>
      <c r="L159" s="222">
        <v>23</v>
      </c>
      <c r="M159" s="218">
        <v>85.3</v>
      </c>
      <c r="N159" s="218">
        <v>86</v>
      </c>
      <c r="O159" s="216">
        <f t="shared" si="9"/>
        <v>44.718950493153301</v>
      </c>
      <c r="P159" s="222">
        <v>161</v>
      </c>
      <c r="Q159" s="222">
        <v>105</v>
      </c>
      <c r="R159" s="220">
        <v>103.8</v>
      </c>
      <c r="S159" s="218">
        <v>181</v>
      </c>
      <c r="T159" s="218">
        <v>79.2</v>
      </c>
      <c r="U159" s="218">
        <v>142.6</v>
      </c>
      <c r="V159" s="220">
        <v>174.3</v>
      </c>
      <c r="W159" s="218">
        <v>1.18</v>
      </c>
      <c r="X159" s="218">
        <v>53.5</v>
      </c>
      <c r="Y159" s="218">
        <v>30.5</v>
      </c>
      <c r="Z159" s="203">
        <f t="shared" si="10"/>
        <v>34.860000000000007</v>
      </c>
      <c r="AA159" s="203">
        <f t="shared" si="11"/>
        <v>92.639999999999986</v>
      </c>
      <c r="AB159" s="218"/>
      <c r="AC159" s="218"/>
      <c r="AD159" s="218"/>
      <c r="AE159" s="218"/>
    </row>
    <row r="160" spans="1:31" x14ac:dyDescent="0.2">
      <c r="A160" s="200" t="s">
        <v>8409</v>
      </c>
      <c r="B160" s="201">
        <v>44852</v>
      </c>
      <c r="C160" s="202">
        <v>2</v>
      </c>
      <c r="D160" s="218" t="s">
        <v>196</v>
      </c>
      <c r="E160" s="218">
        <v>52</v>
      </c>
      <c r="F160" s="218">
        <v>81.7</v>
      </c>
      <c r="G160" s="218">
        <v>1.63</v>
      </c>
      <c r="H160" s="218">
        <v>102</v>
      </c>
      <c r="I160" s="218">
        <v>107</v>
      </c>
      <c r="J160" s="203">
        <f t="shared" si="8"/>
        <v>0.95327102803738317</v>
      </c>
      <c r="K160" s="218">
        <v>42.2</v>
      </c>
      <c r="L160" s="218">
        <v>10</v>
      </c>
      <c r="M160" s="218">
        <v>44.8</v>
      </c>
      <c r="N160" s="218"/>
      <c r="O160" s="214">
        <f t="shared" si="9"/>
        <v>30.750122323008021</v>
      </c>
      <c r="P160" s="218">
        <v>115</v>
      </c>
      <c r="Q160" s="218">
        <v>92</v>
      </c>
      <c r="R160" s="218">
        <v>99.3</v>
      </c>
      <c r="S160" s="218">
        <v>288</v>
      </c>
      <c r="T160" s="218">
        <v>52.3</v>
      </c>
      <c r="U160" s="218">
        <v>56.6</v>
      </c>
      <c r="V160" s="222">
        <v>172.7</v>
      </c>
      <c r="W160" s="218">
        <v>0.97</v>
      </c>
      <c r="X160" s="218">
        <v>83.6</v>
      </c>
      <c r="Y160" s="218"/>
      <c r="Z160" s="203">
        <f t="shared" si="10"/>
        <v>34.54</v>
      </c>
      <c r="AA160" s="203">
        <f t="shared" si="11"/>
        <v>169.86</v>
      </c>
      <c r="AB160" s="218"/>
      <c r="AC160" s="218"/>
      <c r="AD160" s="218"/>
      <c r="AE160" s="218"/>
    </row>
    <row r="161" spans="1:31" x14ac:dyDescent="0.2">
      <c r="A161" s="200" t="s">
        <v>8410</v>
      </c>
      <c r="B161" s="201">
        <v>44852</v>
      </c>
      <c r="C161" s="212">
        <v>3</v>
      </c>
      <c r="D161" s="218" t="s">
        <v>196</v>
      </c>
      <c r="E161" s="218"/>
      <c r="F161" s="218">
        <v>67</v>
      </c>
      <c r="G161" s="218">
        <v>1.53</v>
      </c>
      <c r="H161" s="218">
        <v>97</v>
      </c>
      <c r="I161" s="218">
        <v>102</v>
      </c>
      <c r="J161" s="203">
        <f t="shared" si="8"/>
        <v>0.9509803921568627</v>
      </c>
      <c r="K161" s="218">
        <v>32.200000000000003</v>
      </c>
      <c r="L161" s="218">
        <v>16</v>
      </c>
      <c r="M161" s="218">
        <v>43.1</v>
      </c>
      <c r="N161" s="218"/>
      <c r="O161" s="214">
        <f t="shared" si="9"/>
        <v>28.621470374642232</v>
      </c>
      <c r="P161" s="218">
        <v>129</v>
      </c>
      <c r="Q161" s="218">
        <v>92</v>
      </c>
      <c r="R161" s="222">
        <v>113.7</v>
      </c>
      <c r="S161" s="218">
        <v>274</v>
      </c>
      <c r="T161" s="218">
        <v>46.3</v>
      </c>
      <c r="U161" s="218">
        <v>41.3</v>
      </c>
      <c r="V161" s="222">
        <v>152.19999999999999</v>
      </c>
      <c r="W161" s="218">
        <v>0.74</v>
      </c>
      <c r="X161" s="218">
        <v>88.9</v>
      </c>
      <c r="Y161" s="218"/>
      <c r="Z161" s="203">
        <f t="shared" si="10"/>
        <v>30.439999999999998</v>
      </c>
      <c r="AA161" s="203">
        <f t="shared" si="11"/>
        <v>154.66</v>
      </c>
      <c r="AB161" s="218"/>
      <c r="AC161" s="218"/>
      <c r="AD161" s="218"/>
      <c r="AE161" s="218"/>
    </row>
    <row r="162" spans="1:31" x14ac:dyDescent="0.2">
      <c r="A162" s="200" t="s">
        <v>8411</v>
      </c>
      <c r="B162" s="201">
        <v>44769</v>
      </c>
      <c r="C162" s="202">
        <v>2</v>
      </c>
      <c r="D162" s="218"/>
      <c r="E162" s="218"/>
      <c r="F162" s="218"/>
      <c r="G162" s="218"/>
      <c r="H162" s="218"/>
      <c r="I162" s="218"/>
      <c r="J162" s="203" t="e">
        <f t="shared" si="8"/>
        <v>#DIV/0!</v>
      </c>
      <c r="K162" s="218"/>
      <c r="L162" s="218"/>
      <c r="M162" s="218"/>
      <c r="N162" s="218"/>
      <c r="O162" s="214" t="e">
        <f t="shared" si="9"/>
        <v>#DIV/0!</v>
      </c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03">
        <f t="shared" si="10"/>
        <v>0</v>
      </c>
      <c r="AA162" s="203">
        <f t="shared" si="11"/>
        <v>0</v>
      </c>
      <c r="AB162" s="218"/>
      <c r="AC162" s="218"/>
      <c r="AD162" s="218"/>
      <c r="AE162" s="218"/>
    </row>
    <row r="163" spans="1:31" x14ac:dyDescent="0.2">
      <c r="A163" s="200" t="s">
        <v>8412</v>
      </c>
      <c r="B163" s="201">
        <v>44770</v>
      </c>
      <c r="C163" s="202">
        <v>2</v>
      </c>
      <c r="D163" s="218" t="s">
        <v>675</v>
      </c>
      <c r="E163" s="218">
        <v>63</v>
      </c>
      <c r="F163" s="218">
        <v>71.599999999999994</v>
      </c>
      <c r="G163" s="218">
        <v>1.68</v>
      </c>
      <c r="H163" s="218">
        <v>97</v>
      </c>
      <c r="I163" s="218">
        <v>105</v>
      </c>
      <c r="J163" s="203">
        <f t="shared" si="8"/>
        <v>0.92380952380952386</v>
      </c>
      <c r="K163" s="218">
        <v>22.1</v>
      </c>
      <c r="L163" s="218">
        <v>12</v>
      </c>
      <c r="M163" s="218">
        <v>53</v>
      </c>
      <c r="N163" s="218"/>
      <c r="O163" s="214">
        <f t="shared" si="9"/>
        <v>25.368480725623584</v>
      </c>
      <c r="P163" s="218">
        <v>113</v>
      </c>
      <c r="Q163" s="218">
        <v>80</v>
      </c>
      <c r="R163" s="218">
        <v>99.1</v>
      </c>
      <c r="S163" s="218">
        <v>255</v>
      </c>
      <c r="T163" s="218">
        <v>44.6</v>
      </c>
      <c r="U163" s="218">
        <v>23.7</v>
      </c>
      <c r="V163" s="220">
        <v>169.6</v>
      </c>
      <c r="W163" s="218">
        <v>1.04</v>
      </c>
      <c r="X163" s="218">
        <v>80.2</v>
      </c>
      <c r="Y163" s="218"/>
      <c r="Z163" s="203">
        <f t="shared" si="10"/>
        <v>33.92</v>
      </c>
      <c r="AA163" s="203">
        <f t="shared" si="11"/>
        <v>140.88</v>
      </c>
      <c r="AB163" s="218"/>
      <c r="AC163" s="218"/>
      <c r="AD163" s="218"/>
      <c r="AE163" s="218"/>
    </row>
    <row r="164" spans="1:31" x14ac:dyDescent="0.2">
      <c r="A164" s="200" t="s">
        <v>8413</v>
      </c>
      <c r="B164" s="201">
        <v>44852</v>
      </c>
      <c r="C164" s="202">
        <v>2</v>
      </c>
      <c r="D164" s="218" t="s">
        <v>196</v>
      </c>
      <c r="E164" s="218">
        <v>44</v>
      </c>
      <c r="F164" s="218">
        <v>94.7</v>
      </c>
      <c r="G164" s="218">
        <v>1.57</v>
      </c>
      <c r="H164" s="218">
        <v>122</v>
      </c>
      <c r="I164" s="218">
        <v>137</v>
      </c>
      <c r="J164" s="203">
        <f t="shared" si="8"/>
        <v>0.89051094890510951</v>
      </c>
      <c r="K164" s="218">
        <v>46.2</v>
      </c>
      <c r="L164" s="218">
        <v>12</v>
      </c>
      <c r="M164" s="218">
        <v>48.4</v>
      </c>
      <c r="N164" s="218"/>
      <c r="O164" s="214">
        <f t="shared" si="9"/>
        <v>38.419408495273643</v>
      </c>
      <c r="P164" s="218">
        <v>100</v>
      </c>
      <c r="Q164" s="218">
        <v>74</v>
      </c>
      <c r="R164" s="220">
        <v>105.8</v>
      </c>
      <c r="S164" s="218">
        <v>210</v>
      </c>
      <c r="T164" s="218">
        <v>42.8</v>
      </c>
      <c r="U164" s="218">
        <v>34</v>
      </c>
      <c r="V164" s="218">
        <v>94.5</v>
      </c>
      <c r="W164" s="218">
        <v>0.56999999999999995</v>
      </c>
      <c r="X164" s="218">
        <v>86.5</v>
      </c>
      <c r="Y164" s="218"/>
      <c r="Z164" s="203">
        <f t="shared" si="10"/>
        <v>18.900000000000002</v>
      </c>
      <c r="AA164" s="203">
        <f t="shared" si="11"/>
        <v>104.6</v>
      </c>
      <c r="AB164" s="218"/>
      <c r="AC164" s="218"/>
      <c r="AD164" s="218"/>
      <c r="AE164" s="218"/>
    </row>
    <row r="165" spans="1:31" x14ac:dyDescent="0.2">
      <c r="A165" s="200" t="s">
        <v>8414</v>
      </c>
      <c r="B165" s="201">
        <v>44852</v>
      </c>
      <c r="C165" s="212">
        <v>3</v>
      </c>
      <c r="D165" s="218" t="s">
        <v>196</v>
      </c>
      <c r="E165" s="218">
        <v>37</v>
      </c>
      <c r="F165" s="218">
        <v>82.2</v>
      </c>
      <c r="G165" s="218">
        <v>1.52</v>
      </c>
      <c r="H165" s="218">
        <v>103</v>
      </c>
      <c r="I165" s="218">
        <v>115</v>
      </c>
      <c r="J165" s="203">
        <f t="shared" si="8"/>
        <v>0.89565217391304353</v>
      </c>
      <c r="K165" s="218">
        <v>39.299999999999997</v>
      </c>
      <c r="L165" s="218">
        <v>9</v>
      </c>
      <c r="M165" s="218">
        <v>47.6</v>
      </c>
      <c r="N165" s="218"/>
      <c r="O165" s="214">
        <f t="shared" si="9"/>
        <v>35.578254847645432</v>
      </c>
      <c r="P165" s="218">
        <v>134</v>
      </c>
      <c r="Q165" s="218">
        <v>95</v>
      </c>
      <c r="R165" s="220">
        <v>109.8</v>
      </c>
      <c r="S165" s="218">
        <v>172</v>
      </c>
      <c r="T165" s="218">
        <v>60.1</v>
      </c>
      <c r="U165" s="218">
        <v>62.5</v>
      </c>
      <c r="V165" s="220">
        <v>174.6</v>
      </c>
      <c r="W165" s="218">
        <v>0.77</v>
      </c>
      <c r="X165" s="218">
        <v>68.3</v>
      </c>
      <c r="Y165" s="218"/>
      <c r="Z165" s="203">
        <f t="shared" si="10"/>
        <v>34.92</v>
      </c>
      <c r="AA165" s="203">
        <f t="shared" si="11"/>
        <v>68.78</v>
      </c>
      <c r="AB165" s="218"/>
      <c r="AC165" s="218"/>
      <c r="AD165" s="218"/>
      <c r="AE165" s="218"/>
    </row>
    <row r="166" spans="1:31" x14ac:dyDescent="0.2">
      <c r="A166" s="200" t="s">
        <v>8415</v>
      </c>
      <c r="B166" s="201">
        <v>44773</v>
      </c>
      <c r="C166" s="212">
        <v>3</v>
      </c>
      <c r="D166" s="218" t="s">
        <v>196</v>
      </c>
      <c r="E166" s="218">
        <v>39</v>
      </c>
      <c r="F166" s="218">
        <v>101.5</v>
      </c>
      <c r="G166" s="218">
        <v>1.58</v>
      </c>
      <c r="H166" s="218">
        <v>110</v>
      </c>
      <c r="I166" s="218">
        <v>125</v>
      </c>
      <c r="J166" s="203">
        <f t="shared" si="8"/>
        <v>0.88</v>
      </c>
      <c r="K166" s="218">
        <v>45.3</v>
      </c>
      <c r="L166" s="218">
        <v>12</v>
      </c>
      <c r="M166" s="218">
        <v>52.7</v>
      </c>
      <c r="N166" s="218"/>
      <c r="O166" s="214">
        <f t="shared" si="9"/>
        <v>40.658548309565766</v>
      </c>
      <c r="P166" s="218">
        <v>134</v>
      </c>
      <c r="Q166" s="218">
        <v>99</v>
      </c>
      <c r="R166" s="220">
        <v>104.2</v>
      </c>
      <c r="S166" s="218">
        <v>207</v>
      </c>
      <c r="T166" s="218">
        <v>47.1</v>
      </c>
      <c r="U166" s="218">
        <v>33.200000000000003</v>
      </c>
      <c r="V166" s="220">
        <v>175.2</v>
      </c>
      <c r="W166" s="218">
        <v>0.83</v>
      </c>
      <c r="X166" s="218">
        <v>100.5</v>
      </c>
      <c r="Y166" s="218"/>
      <c r="Z166" s="203">
        <f t="shared" si="10"/>
        <v>35.04</v>
      </c>
      <c r="AA166" s="203">
        <f t="shared" si="11"/>
        <v>71.460000000000008</v>
      </c>
      <c r="AB166" s="218"/>
      <c r="AC166" s="218"/>
      <c r="AD166" s="218"/>
      <c r="AE166" s="218"/>
    </row>
    <row r="167" spans="1:31" x14ac:dyDescent="0.2">
      <c r="A167" s="200" t="s">
        <v>8416</v>
      </c>
      <c r="B167" s="201">
        <v>44852</v>
      </c>
      <c r="C167" s="202">
        <v>2</v>
      </c>
      <c r="D167" s="218" t="s">
        <v>196</v>
      </c>
      <c r="E167" s="218">
        <v>22</v>
      </c>
      <c r="F167" s="218">
        <v>61.5</v>
      </c>
      <c r="G167" s="218">
        <v>1.61</v>
      </c>
      <c r="H167" s="218">
        <v>79</v>
      </c>
      <c r="I167" s="218">
        <v>102</v>
      </c>
      <c r="J167" s="203">
        <f t="shared" si="8"/>
        <v>0.77450980392156865</v>
      </c>
      <c r="K167" s="218">
        <v>32.4</v>
      </c>
      <c r="L167" s="218">
        <v>2</v>
      </c>
      <c r="M167" s="218">
        <v>39.4</v>
      </c>
      <c r="N167" s="218"/>
      <c r="O167" s="214">
        <f t="shared" si="9"/>
        <v>23.725936499363449</v>
      </c>
      <c r="P167" s="218">
        <v>109</v>
      </c>
      <c r="Q167" s="218">
        <v>70</v>
      </c>
      <c r="R167" s="218">
        <v>86.9</v>
      </c>
      <c r="S167" s="218">
        <v>215</v>
      </c>
      <c r="T167" s="218">
        <v>34.200000000000003</v>
      </c>
      <c r="U167" s="218">
        <v>2.7</v>
      </c>
      <c r="V167" s="218">
        <v>71.400000000000006</v>
      </c>
      <c r="W167" s="218">
        <v>0.85</v>
      </c>
      <c r="X167" s="218">
        <v>112.3</v>
      </c>
      <c r="Y167" s="218"/>
      <c r="Z167" s="203">
        <f t="shared" si="10"/>
        <v>14.280000000000001</v>
      </c>
      <c r="AA167" s="203">
        <f t="shared" si="11"/>
        <v>88.42</v>
      </c>
      <c r="AB167" s="218"/>
      <c r="AC167" s="218"/>
      <c r="AD167" s="218"/>
      <c r="AE167" s="218"/>
    </row>
    <row r="168" spans="1:31" x14ac:dyDescent="0.2">
      <c r="A168" s="200" t="s">
        <v>8417</v>
      </c>
      <c r="B168" s="201">
        <v>44775</v>
      </c>
      <c r="C168" s="202">
        <v>2</v>
      </c>
      <c r="D168" s="218" t="s">
        <v>675</v>
      </c>
      <c r="E168" s="218">
        <v>37</v>
      </c>
      <c r="F168" s="218">
        <v>90.1</v>
      </c>
      <c r="G168" s="218">
        <v>1.72</v>
      </c>
      <c r="H168" s="218">
        <v>104</v>
      </c>
      <c r="I168" s="218">
        <v>114</v>
      </c>
      <c r="J168" s="203">
        <f t="shared" si="8"/>
        <v>0.91228070175438591</v>
      </c>
      <c r="K168" s="218">
        <v>30.1</v>
      </c>
      <c r="L168" s="222">
        <v>12</v>
      </c>
      <c r="M168" s="218">
        <v>59.8</v>
      </c>
      <c r="N168" s="218">
        <v>69</v>
      </c>
      <c r="O168" s="214">
        <f t="shared" si="9"/>
        <v>30.45565170362358</v>
      </c>
      <c r="P168" s="218">
        <v>117</v>
      </c>
      <c r="Q168" s="218">
        <v>87</v>
      </c>
      <c r="R168" s="218">
        <v>105.2</v>
      </c>
      <c r="S168" s="218">
        <v>192</v>
      </c>
      <c r="T168" s="218">
        <v>71.099999999999994</v>
      </c>
      <c r="U168" s="218">
        <v>77.3</v>
      </c>
      <c r="V168" s="218">
        <v>405.8</v>
      </c>
      <c r="W168" s="218">
        <v>1.18</v>
      </c>
      <c r="X168" s="218">
        <v>48.1</v>
      </c>
      <c r="Y168" s="218">
        <v>38.200000000000003</v>
      </c>
      <c r="Z168" s="203">
        <f t="shared" si="10"/>
        <v>81.160000000000011</v>
      </c>
      <c r="AA168" s="203">
        <f t="shared" si="11"/>
        <v>62.739999999999995</v>
      </c>
      <c r="AB168" s="218"/>
      <c r="AC168" s="218"/>
      <c r="AD168" s="218"/>
      <c r="AE168" s="218"/>
    </row>
    <row r="169" spans="1:31" x14ac:dyDescent="0.2">
      <c r="A169" s="200" t="s">
        <v>8418</v>
      </c>
      <c r="B169" s="201">
        <v>44776</v>
      </c>
      <c r="C169" s="202"/>
      <c r="D169" s="218"/>
      <c r="E169" s="218"/>
      <c r="F169" s="218"/>
      <c r="G169" s="218"/>
      <c r="H169" s="218"/>
      <c r="I169" s="218"/>
      <c r="J169" s="203" t="e">
        <f t="shared" si="8"/>
        <v>#DIV/0!</v>
      </c>
      <c r="K169" s="218"/>
      <c r="L169" s="218"/>
      <c r="M169" s="218"/>
      <c r="N169" s="218"/>
      <c r="O169" s="214" t="e">
        <f t="shared" si="9"/>
        <v>#DIV/0!</v>
      </c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03">
        <f t="shared" si="10"/>
        <v>0</v>
      </c>
      <c r="AA169" s="203">
        <f t="shared" si="11"/>
        <v>0</v>
      </c>
      <c r="AB169" s="218"/>
      <c r="AC169" s="218"/>
      <c r="AD169" s="218"/>
      <c r="AE169" s="218"/>
    </row>
    <row r="170" spans="1:31" x14ac:dyDescent="0.2">
      <c r="A170" s="200" t="s">
        <v>8419</v>
      </c>
      <c r="B170" s="201">
        <v>44859</v>
      </c>
      <c r="C170" s="202">
        <v>2</v>
      </c>
      <c r="D170" s="218" t="s">
        <v>196</v>
      </c>
      <c r="E170" s="218">
        <v>47</v>
      </c>
      <c r="F170" s="218">
        <v>88.5</v>
      </c>
      <c r="G170" s="218">
        <v>1.66</v>
      </c>
      <c r="H170" s="218">
        <v>108</v>
      </c>
      <c r="I170" s="218">
        <v>123</v>
      </c>
      <c r="J170" s="203">
        <f t="shared" si="8"/>
        <v>0.87804878048780488</v>
      </c>
      <c r="K170" s="218">
        <v>44.9</v>
      </c>
      <c r="L170" s="222">
        <v>10</v>
      </c>
      <c r="M170" s="218">
        <v>47.1</v>
      </c>
      <c r="N170" s="218">
        <v>79</v>
      </c>
      <c r="O170" s="214">
        <f t="shared" si="9"/>
        <v>32.116417477137468</v>
      </c>
      <c r="P170" s="218">
        <v>127</v>
      </c>
      <c r="Q170" s="218">
        <v>88</v>
      </c>
      <c r="R170" s="218">
        <v>80.3</v>
      </c>
      <c r="S170" s="218">
        <v>180</v>
      </c>
      <c r="T170" s="218">
        <v>60.9</v>
      </c>
      <c r="U170" s="218">
        <v>20.2</v>
      </c>
      <c r="V170" s="218">
        <v>130.9</v>
      </c>
      <c r="W170" s="218">
        <v>0.78</v>
      </c>
      <c r="X170" s="218">
        <v>72.7</v>
      </c>
      <c r="Y170" s="218">
        <v>24.4</v>
      </c>
      <c r="Z170" s="203">
        <f t="shared" si="10"/>
        <v>26.180000000000003</v>
      </c>
      <c r="AA170" s="203">
        <f t="shared" si="11"/>
        <v>81.11999999999999</v>
      </c>
      <c r="AB170" s="218"/>
      <c r="AC170" s="218"/>
      <c r="AD170" s="218"/>
      <c r="AE170" s="218"/>
    </row>
    <row r="171" spans="1:31" x14ac:dyDescent="0.2">
      <c r="A171" s="200" t="s">
        <v>8420</v>
      </c>
      <c r="B171" s="201">
        <v>44855</v>
      </c>
      <c r="C171" s="202">
        <v>2</v>
      </c>
      <c r="D171" s="218" t="s">
        <v>196</v>
      </c>
      <c r="E171" s="218">
        <v>29</v>
      </c>
      <c r="F171" s="218">
        <v>63.5</v>
      </c>
      <c r="G171" s="218">
        <v>1.7</v>
      </c>
      <c r="H171" s="218">
        <v>71</v>
      </c>
      <c r="I171" s="218">
        <v>106</v>
      </c>
      <c r="J171" s="203">
        <f t="shared" si="8"/>
        <v>0.66981132075471694</v>
      </c>
      <c r="K171" s="218">
        <v>32.200000000000003</v>
      </c>
      <c r="L171" s="218">
        <v>3</v>
      </c>
      <c r="M171" s="218">
        <v>40.299999999999997</v>
      </c>
      <c r="N171" s="218"/>
      <c r="O171" s="214">
        <f t="shared" si="9"/>
        <v>21.972318339100347</v>
      </c>
      <c r="P171" s="218">
        <v>102</v>
      </c>
      <c r="Q171" s="218">
        <v>73</v>
      </c>
      <c r="R171" s="218">
        <v>95.7</v>
      </c>
      <c r="S171" s="218">
        <v>179</v>
      </c>
      <c r="T171" s="218">
        <v>46.7</v>
      </c>
      <c r="U171" s="218">
        <v>11.9</v>
      </c>
      <c r="V171" s="218">
        <v>124.8</v>
      </c>
      <c r="W171" s="218">
        <v>0.85</v>
      </c>
      <c r="X171" s="218">
        <v>64.2</v>
      </c>
      <c r="Y171" s="218">
        <v>23.3</v>
      </c>
      <c r="Z171" s="203">
        <f t="shared" si="10"/>
        <v>24.96</v>
      </c>
      <c r="AA171" s="203">
        <f t="shared" si="11"/>
        <v>89.84</v>
      </c>
      <c r="AB171" s="218"/>
      <c r="AC171" s="218"/>
      <c r="AD171" s="218"/>
      <c r="AE171" s="218"/>
    </row>
    <row r="172" spans="1:31" x14ac:dyDescent="0.2">
      <c r="A172" s="200" t="s">
        <v>8421</v>
      </c>
      <c r="B172" s="201">
        <v>44779</v>
      </c>
      <c r="C172" s="202">
        <v>2</v>
      </c>
      <c r="D172" s="218" t="s">
        <v>675</v>
      </c>
      <c r="E172" s="218">
        <v>40</v>
      </c>
      <c r="F172" s="218">
        <v>72.3</v>
      </c>
      <c r="G172" s="218">
        <v>1.72</v>
      </c>
      <c r="H172" s="218">
        <v>79</v>
      </c>
      <c r="I172" s="218">
        <v>99</v>
      </c>
      <c r="J172" s="203">
        <f t="shared" si="8"/>
        <v>0.79797979797979801</v>
      </c>
      <c r="K172" s="218">
        <v>13.3</v>
      </c>
      <c r="L172" s="218">
        <v>5</v>
      </c>
      <c r="M172" s="218">
        <v>59.5</v>
      </c>
      <c r="N172" s="218"/>
      <c r="O172" s="214">
        <f t="shared" si="9"/>
        <v>24.438885884261765</v>
      </c>
      <c r="P172" s="222">
        <v>137</v>
      </c>
      <c r="Q172" s="222">
        <v>94</v>
      </c>
      <c r="R172" s="218">
        <v>85.9</v>
      </c>
      <c r="S172" s="218">
        <v>164</v>
      </c>
      <c r="T172" s="218">
        <v>50.8</v>
      </c>
      <c r="U172" s="218">
        <v>36.799999999999997</v>
      </c>
      <c r="V172" s="218">
        <v>113.4</v>
      </c>
      <c r="W172" s="218">
        <v>1.06</v>
      </c>
      <c r="X172" s="218">
        <v>61.3</v>
      </c>
      <c r="Y172" s="218">
        <v>24.1</v>
      </c>
      <c r="Z172" s="203">
        <f t="shared" si="10"/>
        <v>22.680000000000003</v>
      </c>
      <c r="AA172" s="203">
        <f t="shared" si="11"/>
        <v>80.02</v>
      </c>
      <c r="AB172" s="218"/>
      <c r="AC172" s="218"/>
      <c r="AD172" s="218"/>
      <c r="AE172" s="218"/>
    </row>
    <row r="173" spans="1:31" x14ac:dyDescent="0.2">
      <c r="A173" s="200" t="s">
        <v>8422</v>
      </c>
      <c r="B173" s="201">
        <v>44786</v>
      </c>
      <c r="C173" s="202">
        <v>2</v>
      </c>
      <c r="D173" s="218" t="s">
        <v>196</v>
      </c>
      <c r="E173" s="218">
        <v>19</v>
      </c>
      <c r="F173" s="218">
        <v>64.8</v>
      </c>
      <c r="G173" s="218">
        <v>1.56</v>
      </c>
      <c r="H173" s="218">
        <v>79</v>
      </c>
      <c r="I173" s="218">
        <v>101</v>
      </c>
      <c r="J173" s="203">
        <f t="shared" si="8"/>
        <v>0.78217821782178221</v>
      </c>
      <c r="K173" s="218">
        <v>32</v>
      </c>
      <c r="L173" s="218">
        <v>3</v>
      </c>
      <c r="M173" s="218">
        <v>41.8</v>
      </c>
      <c r="N173" s="218">
        <v>27</v>
      </c>
      <c r="O173" s="214">
        <f t="shared" si="9"/>
        <v>26.627218934911241</v>
      </c>
      <c r="P173" s="218">
        <v>93</v>
      </c>
      <c r="Q173" s="218">
        <v>63</v>
      </c>
      <c r="R173" s="218">
        <v>95.1</v>
      </c>
      <c r="S173" s="218">
        <v>188</v>
      </c>
      <c r="T173" s="218">
        <v>20.399999999999999</v>
      </c>
      <c r="U173" s="218">
        <v>16.2</v>
      </c>
      <c r="V173" s="218">
        <v>82.5</v>
      </c>
      <c r="W173" s="218">
        <v>1.02</v>
      </c>
      <c r="X173" s="218">
        <v>94.9</v>
      </c>
      <c r="Y173" s="218">
        <v>21.6</v>
      </c>
      <c r="Z173" s="203">
        <f t="shared" si="10"/>
        <v>16.5</v>
      </c>
      <c r="AA173" s="203">
        <f>S173-X173-Z173</f>
        <v>76.599999999999994</v>
      </c>
      <c r="AB173" s="218"/>
      <c r="AC173" s="218"/>
      <c r="AD173" s="218"/>
      <c r="AE173" s="218"/>
    </row>
    <row r="174" spans="1:31" x14ac:dyDescent="0.2">
      <c r="A174" s="200" t="s">
        <v>8423</v>
      </c>
      <c r="B174" s="201">
        <v>44786</v>
      </c>
      <c r="C174" s="202">
        <v>2</v>
      </c>
      <c r="D174" s="218" t="s">
        <v>196</v>
      </c>
      <c r="E174" s="218">
        <v>19</v>
      </c>
      <c r="F174" s="218">
        <v>65.599999999999994</v>
      </c>
      <c r="G174" s="218"/>
      <c r="H174" s="218">
        <v>78</v>
      </c>
      <c r="I174" s="218">
        <v>107</v>
      </c>
      <c r="J174" s="203">
        <f t="shared" si="8"/>
        <v>0.7289719626168224</v>
      </c>
      <c r="K174" s="218">
        <v>35.200000000000003</v>
      </c>
      <c r="L174" s="218">
        <v>4</v>
      </c>
      <c r="M174" s="218">
        <v>40.700000000000003</v>
      </c>
      <c r="N174" s="218">
        <v>35</v>
      </c>
      <c r="O174" s="214" t="e">
        <f t="shared" si="9"/>
        <v>#DIV/0!</v>
      </c>
      <c r="P174" s="218">
        <v>108</v>
      </c>
      <c r="Q174" s="218">
        <v>78</v>
      </c>
      <c r="R174" s="218">
        <v>89.5</v>
      </c>
      <c r="S174" s="218">
        <v>148</v>
      </c>
      <c r="T174" s="218">
        <v>13.4</v>
      </c>
      <c r="U174" s="218">
        <v>16.2</v>
      </c>
      <c r="V174" s="218">
        <v>44.6</v>
      </c>
      <c r="W174" s="218">
        <v>0.76</v>
      </c>
      <c r="X174" s="218">
        <v>90.2</v>
      </c>
      <c r="Y174" s="218">
        <v>17.899999999999999</v>
      </c>
      <c r="Z174" s="203">
        <f t="shared" si="10"/>
        <v>8.92</v>
      </c>
      <c r="AA174" s="203">
        <f t="shared" ref="AA174:AA237" si="12">S174-X174-Z174</f>
        <v>48.879999999999995</v>
      </c>
      <c r="AB174" s="218"/>
      <c r="AC174" s="218"/>
      <c r="AD174" s="218"/>
      <c r="AE174" s="218"/>
    </row>
    <row r="175" spans="1:31" x14ac:dyDescent="0.2">
      <c r="A175" s="200" t="s">
        <v>8424</v>
      </c>
      <c r="B175" s="201">
        <v>44859</v>
      </c>
      <c r="C175" s="202">
        <v>2</v>
      </c>
      <c r="D175" s="218" t="s">
        <v>196</v>
      </c>
      <c r="E175" s="218">
        <v>55</v>
      </c>
      <c r="F175" s="218">
        <v>78.2</v>
      </c>
      <c r="G175" s="218">
        <v>1.63</v>
      </c>
      <c r="H175" s="218">
        <v>83</v>
      </c>
      <c r="I175" s="218">
        <v>105</v>
      </c>
      <c r="J175" s="203">
        <f t="shared" si="8"/>
        <v>0.79047619047619044</v>
      </c>
      <c r="K175" s="218">
        <v>40.700000000000003</v>
      </c>
      <c r="L175" s="222">
        <v>10</v>
      </c>
      <c r="M175" s="218">
        <v>44</v>
      </c>
      <c r="N175" s="218">
        <v>69</v>
      </c>
      <c r="O175" s="214">
        <f t="shared" si="9"/>
        <v>29.432797621287971</v>
      </c>
      <c r="P175" s="218">
        <v>127</v>
      </c>
      <c r="Q175" s="218">
        <v>85</v>
      </c>
      <c r="R175" s="220">
        <v>100.3</v>
      </c>
      <c r="S175" s="218">
        <v>271</v>
      </c>
      <c r="T175" s="218">
        <v>42.7</v>
      </c>
      <c r="U175" s="218">
        <v>22</v>
      </c>
      <c r="V175" s="222">
        <v>229.9</v>
      </c>
      <c r="W175" s="218">
        <v>0.79</v>
      </c>
      <c r="X175" s="218">
        <v>60.5</v>
      </c>
      <c r="Y175" s="218">
        <v>27.8</v>
      </c>
      <c r="Z175" s="203">
        <f t="shared" si="10"/>
        <v>45.980000000000004</v>
      </c>
      <c r="AA175" s="203">
        <f t="shared" si="12"/>
        <v>164.51999999999998</v>
      </c>
      <c r="AB175" s="218"/>
      <c r="AC175" s="218"/>
      <c r="AD175" s="218"/>
      <c r="AE175" s="218"/>
    </row>
    <row r="176" spans="1:31" x14ac:dyDescent="0.2">
      <c r="A176" s="200" t="s">
        <v>8425</v>
      </c>
      <c r="B176" s="201">
        <v>44859</v>
      </c>
      <c r="C176" s="202">
        <v>2</v>
      </c>
      <c r="D176" s="218" t="s">
        <v>196</v>
      </c>
      <c r="E176" s="218">
        <v>57</v>
      </c>
      <c r="F176" s="218">
        <v>75.599999999999994</v>
      </c>
      <c r="G176" s="218">
        <v>1.74</v>
      </c>
      <c r="H176" s="218">
        <v>97</v>
      </c>
      <c r="I176" s="218">
        <v>110</v>
      </c>
      <c r="J176" s="203">
        <f t="shared" si="8"/>
        <v>0.88181818181818183</v>
      </c>
      <c r="K176" s="218">
        <v>38.200000000000003</v>
      </c>
      <c r="L176" s="218">
        <v>8</v>
      </c>
      <c r="M176" s="218">
        <v>44.3</v>
      </c>
      <c r="N176" s="218"/>
      <c r="O176" s="214">
        <f t="shared" si="9"/>
        <v>24.970273483947679</v>
      </c>
      <c r="P176" s="222">
        <v>137</v>
      </c>
      <c r="Q176" s="222">
        <v>88</v>
      </c>
      <c r="R176" s="220">
        <v>101.9</v>
      </c>
      <c r="S176" s="218">
        <v>313</v>
      </c>
      <c r="T176" s="218">
        <v>60.9</v>
      </c>
      <c r="U176" s="218">
        <v>20.2</v>
      </c>
      <c r="V176" s="218">
        <v>107.1</v>
      </c>
      <c r="W176" s="218">
        <v>1.06</v>
      </c>
      <c r="X176" s="218">
        <v>86.3</v>
      </c>
      <c r="Y176" s="218">
        <v>38.299999999999997</v>
      </c>
      <c r="Z176" s="203">
        <f t="shared" si="10"/>
        <v>21.42</v>
      </c>
      <c r="AA176" s="203">
        <f t="shared" si="12"/>
        <v>205.27999999999997</v>
      </c>
      <c r="AB176" s="218"/>
      <c r="AC176" s="218"/>
      <c r="AD176" s="218"/>
      <c r="AE176" s="218"/>
    </row>
    <row r="177" spans="1:31" x14ac:dyDescent="0.2">
      <c r="A177" s="200" t="s">
        <v>8426</v>
      </c>
      <c r="B177" s="201">
        <v>44786</v>
      </c>
      <c r="C177" s="209">
        <v>1</v>
      </c>
      <c r="D177" s="218" t="s">
        <v>196</v>
      </c>
      <c r="E177" s="218">
        <v>18</v>
      </c>
      <c r="F177" s="218">
        <v>62.9</v>
      </c>
      <c r="G177" s="218">
        <v>1.63</v>
      </c>
      <c r="H177" s="218">
        <v>75</v>
      </c>
      <c r="I177" s="218">
        <v>98</v>
      </c>
      <c r="J177" s="203">
        <f t="shared" si="8"/>
        <v>0.76530612244897955</v>
      </c>
      <c r="K177" s="218">
        <v>33.1</v>
      </c>
      <c r="L177" s="218">
        <v>2</v>
      </c>
      <c r="M177" s="218">
        <v>35.5</v>
      </c>
      <c r="N177" s="218">
        <v>29</v>
      </c>
      <c r="O177" s="214">
        <f t="shared" si="9"/>
        <v>23.674206782340324</v>
      </c>
      <c r="P177" s="218">
        <v>110</v>
      </c>
      <c r="Q177" s="218">
        <v>80</v>
      </c>
      <c r="R177" s="218">
        <v>92</v>
      </c>
      <c r="S177" s="218">
        <v>177</v>
      </c>
      <c r="T177" s="218">
        <v>13.1</v>
      </c>
      <c r="U177" s="218">
        <v>15</v>
      </c>
      <c r="V177" s="218">
        <v>75.400000000000006</v>
      </c>
      <c r="W177" s="218">
        <v>0.95</v>
      </c>
      <c r="X177" s="218">
        <v>109.2</v>
      </c>
      <c r="Y177" s="218">
        <v>27.3</v>
      </c>
      <c r="Z177" s="203">
        <f t="shared" si="10"/>
        <v>15.080000000000002</v>
      </c>
      <c r="AA177" s="203">
        <f t="shared" si="12"/>
        <v>52.72</v>
      </c>
      <c r="AB177" s="218"/>
      <c r="AC177" s="218"/>
      <c r="AD177" s="218"/>
      <c r="AE177" s="218"/>
    </row>
    <row r="178" spans="1:31" x14ac:dyDescent="0.2">
      <c r="A178" s="200" t="s">
        <v>8427</v>
      </c>
      <c r="B178" s="201">
        <v>44785</v>
      </c>
      <c r="C178" s="202">
        <v>2</v>
      </c>
      <c r="D178" s="218" t="s">
        <v>196</v>
      </c>
      <c r="E178" s="218">
        <v>53</v>
      </c>
      <c r="F178" s="218">
        <v>66.900000000000006</v>
      </c>
      <c r="G178" s="218">
        <v>1.66</v>
      </c>
      <c r="H178" s="218">
        <v>77</v>
      </c>
      <c r="I178" s="218">
        <v>100</v>
      </c>
      <c r="J178" s="203">
        <f t="shared" si="8"/>
        <v>0.77</v>
      </c>
      <c r="K178" s="218">
        <v>31.1</v>
      </c>
      <c r="L178" s="218">
        <v>6</v>
      </c>
      <c r="M178" s="218">
        <v>43.7</v>
      </c>
      <c r="N178" s="218">
        <v>40</v>
      </c>
      <c r="O178" s="214">
        <f t="shared" si="9"/>
        <v>24.277834228480188</v>
      </c>
      <c r="P178" s="218">
        <v>107</v>
      </c>
      <c r="Q178" s="218">
        <v>77</v>
      </c>
      <c r="R178" s="222">
        <v>279.7</v>
      </c>
      <c r="S178" s="218">
        <v>239</v>
      </c>
      <c r="T178" s="218">
        <v>39.6</v>
      </c>
      <c r="U178" s="218">
        <v>7.1</v>
      </c>
      <c r="V178" s="218">
        <v>115.7</v>
      </c>
      <c r="W178" s="218">
        <v>0.9</v>
      </c>
      <c r="X178" s="218">
        <v>92.5</v>
      </c>
      <c r="Y178" s="218">
        <v>38.6</v>
      </c>
      <c r="Z178" s="203">
        <f t="shared" si="10"/>
        <v>23.14</v>
      </c>
      <c r="AA178" s="203">
        <f t="shared" si="12"/>
        <v>123.36</v>
      </c>
      <c r="AB178" s="218"/>
      <c r="AC178" s="218"/>
      <c r="AD178" s="218"/>
      <c r="AE178" s="218"/>
    </row>
    <row r="179" spans="1:31" x14ac:dyDescent="0.2">
      <c r="A179" s="200" t="s">
        <v>8428</v>
      </c>
      <c r="B179" s="201">
        <v>44859</v>
      </c>
      <c r="C179" s="212">
        <v>3</v>
      </c>
      <c r="D179" s="218" t="s">
        <v>675</v>
      </c>
      <c r="E179" s="218">
        <v>49</v>
      </c>
      <c r="F179" s="218">
        <v>90.1</v>
      </c>
      <c r="G179" s="218">
        <v>1.79</v>
      </c>
      <c r="H179" s="218">
        <v>99</v>
      </c>
      <c r="I179" s="218">
        <v>106</v>
      </c>
      <c r="J179" s="203">
        <f t="shared" si="8"/>
        <v>0.93396226415094341</v>
      </c>
      <c r="K179" s="218">
        <v>24.5</v>
      </c>
      <c r="L179" s="222">
        <v>11</v>
      </c>
      <c r="M179" s="218">
        <v>4.7</v>
      </c>
      <c r="N179" s="218">
        <v>51</v>
      </c>
      <c r="O179" s="214">
        <f t="shared" si="9"/>
        <v>28.120220966886176</v>
      </c>
      <c r="P179" s="222">
        <v>132</v>
      </c>
      <c r="Q179" s="222">
        <v>88</v>
      </c>
      <c r="R179" s="222">
        <v>278.2</v>
      </c>
      <c r="S179" s="218">
        <v>234</v>
      </c>
      <c r="T179" s="218">
        <v>46.7</v>
      </c>
      <c r="U179" s="218">
        <v>54.1</v>
      </c>
      <c r="V179" s="222">
        <v>171.4</v>
      </c>
      <c r="W179" s="218">
        <v>1.1100000000000001</v>
      </c>
      <c r="X179" s="218">
        <v>71.400000000000006</v>
      </c>
      <c r="Y179" s="218">
        <v>35.700000000000003</v>
      </c>
      <c r="Z179" s="203">
        <f t="shared" si="10"/>
        <v>34.28</v>
      </c>
      <c r="AA179" s="203">
        <f t="shared" si="12"/>
        <v>128.32</v>
      </c>
      <c r="AB179" s="218"/>
      <c r="AC179" s="218"/>
      <c r="AD179" s="218"/>
      <c r="AE179" s="218"/>
    </row>
    <row r="180" spans="1:31" x14ac:dyDescent="0.2">
      <c r="A180" s="200" t="s">
        <v>8429</v>
      </c>
      <c r="B180" s="201">
        <v>44786</v>
      </c>
      <c r="C180" s="202">
        <v>2</v>
      </c>
      <c r="D180" s="218" t="s">
        <v>196</v>
      </c>
      <c r="E180" s="218">
        <v>61</v>
      </c>
      <c r="F180" s="218">
        <v>56</v>
      </c>
      <c r="G180" s="218"/>
      <c r="H180" s="218">
        <v>81</v>
      </c>
      <c r="I180" s="218">
        <v>93</v>
      </c>
      <c r="J180" s="203">
        <f t="shared" si="8"/>
        <v>0.87096774193548387</v>
      </c>
      <c r="K180" s="218">
        <v>34.200000000000003</v>
      </c>
      <c r="L180" s="218">
        <v>8</v>
      </c>
      <c r="M180" s="218">
        <v>35.5</v>
      </c>
      <c r="N180" s="218"/>
      <c r="O180" s="214" t="e">
        <f t="shared" si="9"/>
        <v>#DIV/0!</v>
      </c>
      <c r="P180" s="222">
        <v>130</v>
      </c>
      <c r="Q180" s="222">
        <v>80</v>
      </c>
      <c r="R180" s="218">
        <v>93.6</v>
      </c>
      <c r="S180" s="218">
        <v>145</v>
      </c>
      <c r="T180" s="218">
        <v>21</v>
      </c>
      <c r="U180" s="218">
        <v>11.4</v>
      </c>
      <c r="V180" s="218">
        <v>75.2</v>
      </c>
      <c r="W180" s="218">
        <v>0.7</v>
      </c>
      <c r="X180" s="218">
        <v>68.5</v>
      </c>
      <c r="Y180" s="218">
        <v>27.7</v>
      </c>
      <c r="Z180" s="203">
        <f t="shared" si="10"/>
        <v>15.040000000000001</v>
      </c>
      <c r="AA180" s="203">
        <f t="shared" si="12"/>
        <v>61.46</v>
      </c>
      <c r="AB180" s="218"/>
      <c r="AC180" s="218"/>
      <c r="AD180" s="218"/>
      <c r="AE180" s="218"/>
    </row>
    <row r="181" spans="1:31" x14ac:dyDescent="0.2">
      <c r="A181" s="200" t="s">
        <v>8430</v>
      </c>
      <c r="B181" s="201">
        <v>44785</v>
      </c>
      <c r="C181" s="209">
        <v>1</v>
      </c>
      <c r="D181" s="218" t="s">
        <v>196</v>
      </c>
      <c r="E181" s="218">
        <v>23</v>
      </c>
      <c r="F181" s="218">
        <v>61.9</v>
      </c>
      <c r="G181" s="218">
        <v>1.63</v>
      </c>
      <c r="H181" s="218">
        <v>69</v>
      </c>
      <c r="I181" s="218">
        <v>100</v>
      </c>
      <c r="J181" s="203">
        <f t="shared" si="8"/>
        <v>0.69</v>
      </c>
      <c r="K181" s="218">
        <v>28.7</v>
      </c>
      <c r="L181" s="218">
        <v>2</v>
      </c>
      <c r="M181" s="218">
        <v>31.5</v>
      </c>
      <c r="N181" s="218">
        <v>24</v>
      </c>
      <c r="O181" s="214">
        <f t="shared" si="9"/>
        <v>23.297828296134593</v>
      </c>
      <c r="P181" s="218">
        <v>107</v>
      </c>
      <c r="Q181" s="218">
        <v>65</v>
      </c>
      <c r="R181" s="218">
        <v>85.2</v>
      </c>
      <c r="S181" s="218">
        <v>125</v>
      </c>
      <c r="T181" s="218">
        <v>13.4</v>
      </c>
      <c r="U181" s="218">
        <v>11.4</v>
      </c>
      <c r="V181" s="218">
        <v>46.4</v>
      </c>
      <c r="W181" s="218">
        <v>0.95</v>
      </c>
      <c r="X181" s="218">
        <v>74.099999999999994</v>
      </c>
      <c r="Y181" s="218">
        <v>27.1</v>
      </c>
      <c r="Z181" s="203">
        <f t="shared" si="10"/>
        <v>9.2799999999999994</v>
      </c>
      <c r="AA181" s="203">
        <f t="shared" si="12"/>
        <v>41.620000000000005</v>
      </c>
      <c r="AB181" s="218"/>
      <c r="AC181" s="218"/>
      <c r="AD181" s="218"/>
      <c r="AE181" s="218"/>
    </row>
    <row r="182" spans="1:31" x14ac:dyDescent="0.2">
      <c r="A182" s="200" t="s">
        <v>8431</v>
      </c>
      <c r="B182" s="201">
        <v>44786</v>
      </c>
      <c r="C182" s="202">
        <v>2</v>
      </c>
      <c r="D182" s="218" t="s">
        <v>196</v>
      </c>
      <c r="E182" s="218">
        <v>18</v>
      </c>
      <c r="F182" s="218">
        <v>67.2</v>
      </c>
      <c r="G182" s="218">
        <v>1.62</v>
      </c>
      <c r="H182" s="218">
        <v>72</v>
      </c>
      <c r="I182" s="218">
        <v>99</v>
      </c>
      <c r="J182" s="203">
        <f t="shared" si="8"/>
        <v>0.72727272727272729</v>
      </c>
      <c r="K182" s="218">
        <v>35.1</v>
      </c>
      <c r="L182" s="218">
        <v>3</v>
      </c>
      <c r="M182" s="218">
        <v>41.4</v>
      </c>
      <c r="N182" s="218">
        <v>35</v>
      </c>
      <c r="O182" s="214">
        <f t="shared" si="9"/>
        <v>25.60585276634659</v>
      </c>
      <c r="P182" s="218">
        <v>97</v>
      </c>
      <c r="Q182" s="218">
        <v>55</v>
      </c>
      <c r="R182" s="218">
        <v>87.6</v>
      </c>
      <c r="S182" s="218">
        <v>187</v>
      </c>
      <c r="T182" s="218">
        <v>9.8000000000000007</v>
      </c>
      <c r="U182" s="218">
        <v>28.8</v>
      </c>
      <c r="V182" s="218">
        <v>166.5</v>
      </c>
      <c r="W182" s="218">
        <v>0.89</v>
      </c>
      <c r="X182" s="218">
        <v>64.400000000000006</v>
      </c>
      <c r="Y182" s="218">
        <v>30.7</v>
      </c>
      <c r="Z182" s="203">
        <f t="shared" si="10"/>
        <v>33.300000000000004</v>
      </c>
      <c r="AA182" s="203">
        <f t="shared" si="12"/>
        <v>89.299999999999983</v>
      </c>
      <c r="AB182" s="218"/>
      <c r="AC182" s="218"/>
      <c r="AD182" s="218"/>
      <c r="AE182" s="218"/>
    </row>
    <row r="183" spans="1:31" x14ac:dyDescent="0.2">
      <c r="A183" s="200" t="s">
        <v>8432</v>
      </c>
      <c r="B183" s="201">
        <v>44785</v>
      </c>
      <c r="C183" s="202">
        <v>2</v>
      </c>
      <c r="D183" s="218" t="s">
        <v>196</v>
      </c>
      <c r="E183" s="218">
        <v>53</v>
      </c>
      <c r="F183" s="218">
        <v>74</v>
      </c>
      <c r="G183" s="218">
        <v>1.64</v>
      </c>
      <c r="H183" s="218">
        <v>96</v>
      </c>
      <c r="I183" s="218">
        <v>108</v>
      </c>
      <c r="J183" s="203">
        <f t="shared" si="8"/>
        <v>0.88888888888888884</v>
      </c>
      <c r="K183" s="218">
        <v>35.799999999999997</v>
      </c>
      <c r="L183" s="218">
        <v>8</v>
      </c>
      <c r="M183" s="218">
        <v>45.1</v>
      </c>
      <c r="N183" s="218"/>
      <c r="O183" s="214">
        <f t="shared" si="9"/>
        <v>27.513384889946465</v>
      </c>
      <c r="P183" s="222">
        <v>182</v>
      </c>
      <c r="Q183" s="222">
        <v>109</v>
      </c>
      <c r="R183" s="222">
        <v>151.9</v>
      </c>
      <c r="S183" s="218">
        <v>204</v>
      </c>
      <c r="T183" s="218">
        <v>6.5</v>
      </c>
      <c r="U183" s="218">
        <v>6.6</v>
      </c>
      <c r="V183" s="218">
        <v>118.1</v>
      </c>
      <c r="W183" s="218">
        <v>0.88</v>
      </c>
      <c r="X183" s="218">
        <v>72.5</v>
      </c>
      <c r="Y183" s="218">
        <v>31.8</v>
      </c>
      <c r="Z183" s="203">
        <f t="shared" si="10"/>
        <v>23.62</v>
      </c>
      <c r="AA183" s="203">
        <f t="shared" si="12"/>
        <v>107.88</v>
      </c>
      <c r="AB183" s="218"/>
      <c r="AC183" s="218"/>
      <c r="AD183" s="218"/>
      <c r="AE183" s="218"/>
    </row>
    <row r="184" spans="1:31" x14ac:dyDescent="0.2">
      <c r="A184" s="200" t="s">
        <v>8433</v>
      </c>
      <c r="B184" s="201">
        <v>44791</v>
      </c>
      <c r="C184" s="212">
        <v>3</v>
      </c>
      <c r="D184" s="218" t="s">
        <v>196</v>
      </c>
      <c r="E184" s="218">
        <v>58</v>
      </c>
      <c r="F184" s="218">
        <v>82.9</v>
      </c>
      <c r="G184" s="218">
        <v>1.49</v>
      </c>
      <c r="H184" s="218">
        <v>102</v>
      </c>
      <c r="I184" s="218">
        <v>118</v>
      </c>
      <c r="J184" s="203">
        <f t="shared" si="8"/>
        <v>0.86440677966101698</v>
      </c>
      <c r="K184" s="218">
        <v>42.7</v>
      </c>
      <c r="L184" s="218">
        <v>13</v>
      </c>
      <c r="M184" s="218">
        <v>45.1</v>
      </c>
      <c r="N184" s="218"/>
      <c r="O184" s="214">
        <f t="shared" si="9"/>
        <v>37.340660330615741</v>
      </c>
      <c r="P184" s="218">
        <v>110</v>
      </c>
      <c r="Q184" s="218">
        <v>78</v>
      </c>
      <c r="R184" s="222">
        <v>131.6</v>
      </c>
      <c r="S184" s="218"/>
      <c r="T184" s="218">
        <v>7.7</v>
      </c>
      <c r="U184" s="218">
        <v>6</v>
      </c>
      <c r="V184" s="222">
        <v>181</v>
      </c>
      <c r="W184" s="218">
        <v>1.38</v>
      </c>
      <c r="X184" s="218"/>
      <c r="Y184" s="218">
        <v>47</v>
      </c>
      <c r="Z184" s="203">
        <f t="shared" si="10"/>
        <v>36.200000000000003</v>
      </c>
      <c r="AA184" s="203">
        <f t="shared" si="12"/>
        <v>-36.200000000000003</v>
      </c>
      <c r="AB184" s="218"/>
      <c r="AC184" s="218"/>
      <c r="AD184" s="218"/>
      <c r="AE184" s="218"/>
    </row>
    <row r="185" spans="1:31" x14ac:dyDescent="0.2">
      <c r="A185" s="200" t="s">
        <v>8434</v>
      </c>
      <c r="B185" s="201">
        <v>44785</v>
      </c>
      <c r="C185" s="202">
        <v>2</v>
      </c>
      <c r="D185" s="218" t="s">
        <v>675</v>
      </c>
      <c r="E185" s="218">
        <v>71</v>
      </c>
      <c r="F185" s="218">
        <v>97.7</v>
      </c>
      <c r="G185" s="218">
        <v>1.71</v>
      </c>
      <c r="H185" s="218">
        <v>115</v>
      </c>
      <c r="I185" s="218">
        <v>121</v>
      </c>
      <c r="J185" s="203">
        <f t="shared" si="8"/>
        <v>0.95041322314049592</v>
      </c>
      <c r="K185" s="218">
        <v>38.200000000000003</v>
      </c>
      <c r="L185" s="218">
        <v>23</v>
      </c>
      <c r="M185" s="218">
        <v>57.4</v>
      </c>
      <c r="N185" s="218"/>
      <c r="O185" s="214">
        <f t="shared" si="9"/>
        <v>33.411990014021413</v>
      </c>
      <c r="P185" s="218">
        <v>117</v>
      </c>
      <c r="Q185" s="218">
        <v>79</v>
      </c>
      <c r="R185" s="222">
        <v>141.80000000000001</v>
      </c>
      <c r="S185" s="218">
        <v>126</v>
      </c>
      <c r="T185" s="218">
        <v>13.7</v>
      </c>
      <c r="U185" s="218">
        <v>10.199999999999999</v>
      </c>
      <c r="V185" s="218">
        <v>115.7</v>
      </c>
      <c r="W185" s="218">
        <v>1.25</v>
      </c>
      <c r="X185" s="218">
        <v>50.6</v>
      </c>
      <c r="Y185" s="218">
        <v>41.8</v>
      </c>
      <c r="Z185" s="203">
        <f t="shared" si="10"/>
        <v>23.14</v>
      </c>
      <c r="AA185" s="203">
        <f t="shared" si="12"/>
        <v>52.260000000000005</v>
      </c>
      <c r="AB185" s="218"/>
      <c r="AC185" s="218"/>
      <c r="AD185" s="218"/>
      <c r="AE185" s="218"/>
    </row>
    <row r="186" spans="1:31" x14ac:dyDescent="0.2">
      <c r="A186" s="200" t="s">
        <v>8435</v>
      </c>
      <c r="B186" s="201">
        <v>44785</v>
      </c>
      <c r="C186" s="202">
        <v>2</v>
      </c>
      <c r="D186" s="218" t="s">
        <v>675</v>
      </c>
      <c r="E186" s="218">
        <v>50</v>
      </c>
      <c r="F186" s="218">
        <v>70.400000000000006</v>
      </c>
      <c r="G186" s="218">
        <v>1.6</v>
      </c>
      <c r="H186" s="218">
        <v>107</v>
      </c>
      <c r="I186" s="218">
        <v>111</v>
      </c>
      <c r="J186" s="203">
        <f t="shared" si="8"/>
        <v>0.963963963963964</v>
      </c>
      <c r="K186" s="218"/>
      <c r="L186" s="218"/>
      <c r="M186" s="218"/>
      <c r="N186" s="218"/>
      <c r="O186" s="214">
        <f t="shared" si="9"/>
        <v>27.499999999999996</v>
      </c>
      <c r="P186" s="222">
        <v>150</v>
      </c>
      <c r="Q186" s="222">
        <v>103</v>
      </c>
      <c r="R186" s="218">
        <v>82.5</v>
      </c>
      <c r="S186" s="218">
        <v>204</v>
      </c>
      <c r="T186" s="218">
        <v>8.9</v>
      </c>
      <c r="U186" s="218">
        <v>7.8</v>
      </c>
      <c r="V186" s="222">
        <v>213</v>
      </c>
      <c r="W186" s="218">
        <v>0.83</v>
      </c>
      <c r="X186" s="218">
        <v>65.099999999999994</v>
      </c>
      <c r="Y186" s="218">
        <v>34.9</v>
      </c>
      <c r="Z186" s="203">
        <f t="shared" si="10"/>
        <v>42.6</v>
      </c>
      <c r="AA186" s="203">
        <f t="shared" si="12"/>
        <v>96.300000000000011</v>
      </c>
      <c r="AB186" s="218"/>
      <c r="AC186" s="218"/>
      <c r="AD186" s="218"/>
      <c r="AE186" s="218"/>
    </row>
    <row r="187" spans="1:31" x14ac:dyDescent="0.2">
      <c r="A187" s="200" t="s">
        <v>8436</v>
      </c>
      <c r="B187" s="201">
        <v>44794</v>
      </c>
      <c r="C187" s="202">
        <v>2</v>
      </c>
      <c r="D187" s="218" t="s">
        <v>196</v>
      </c>
      <c r="E187" s="218">
        <v>75</v>
      </c>
      <c r="F187" s="218">
        <v>86.5</v>
      </c>
      <c r="G187" s="218">
        <v>1.55</v>
      </c>
      <c r="H187" s="218">
        <v>102</v>
      </c>
      <c r="I187" s="218">
        <v>114</v>
      </c>
      <c r="J187" s="203">
        <f t="shared" si="8"/>
        <v>0.89473684210526316</v>
      </c>
      <c r="K187" s="218">
        <v>36.6</v>
      </c>
      <c r="L187" s="218">
        <v>13</v>
      </c>
      <c r="M187" s="218">
        <v>46.9</v>
      </c>
      <c r="N187" s="218"/>
      <c r="O187" s="214">
        <f t="shared" si="9"/>
        <v>36.004162330905302</v>
      </c>
      <c r="P187" s="222">
        <v>142</v>
      </c>
      <c r="Q187" s="218">
        <v>74</v>
      </c>
      <c r="R187" s="222">
        <v>284.8</v>
      </c>
      <c r="S187" s="218">
        <v>246</v>
      </c>
      <c r="T187" s="218">
        <v>7.7</v>
      </c>
      <c r="U187" s="218">
        <v>21.6</v>
      </c>
      <c r="V187" s="218">
        <v>102.5</v>
      </c>
      <c r="W187" s="218">
        <v>0.79</v>
      </c>
      <c r="X187" s="218">
        <v>91.6</v>
      </c>
      <c r="Y187" s="218">
        <v>20.8</v>
      </c>
      <c r="Z187" s="203">
        <f t="shared" si="10"/>
        <v>20.5</v>
      </c>
      <c r="AA187" s="203">
        <f t="shared" si="12"/>
        <v>133.9</v>
      </c>
      <c r="AB187" s="218"/>
      <c r="AC187" s="218"/>
      <c r="AD187" s="218"/>
      <c r="AE187" s="218"/>
    </row>
    <row r="188" spans="1:31" x14ac:dyDescent="0.2">
      <c r="A188" s="200" t="s">
        <v>8437</v>
      </c>
      <c r="B188" s="201">
        <v>44795</v>
      </c>
      <c r="C188" s="209">
        <v>1</v>
      </c>
      <c r="D188" s="218" t="s">
        <v>196</v>
      </c>
      <c r="E188" s="218">
        <v>26</v>
      </c>
      <c r="F188" s="218">
        <v>67.400000000000006</v>
      </c>
      <c r="G188" s="218">
        <v>1.72</v>
      </c>
      <c r="H188" s="218">
        <v>75</v>
      </c>
      <c r="I188" s="218">
        <v>90</v>
      </c>
      <c r="J188" s="203">
        <f t="shared" si="8"/>
        <v>0.83333333333333337</v>
      </c>
      <c r="K188" s="218">
        <v>29.3</v>
      </c>
      <c r="L188" s="218">
        <v>2</v>
      </c>
      <c r="M188" s="218">
        <v>45.2</v>
      </c>
      <c r="N188" s="218">
        <v>29</v>
      </c>
      <c r="O188" s="214">
        <f t="shared" si="9"/>
        <v>22.782585181179019</v>
      </c>
      <c r="P188" s="218">
        <v>100</v>
      </c>
      <c r="Q188" s="218">
        <v>70</v>
      </c>
      <c r="R188" s="218">
        <v>90</v>
      </c>
      <c r="S188" s="218">
        <v>185</v>
      </c>
      <c r="T188" s="218">
        <v>11.3</v>
      </c>
      <c r="U188" s="218">
        <v>7.2</v>
      </c>
      <c r="V188" s="218">
        <v>44.7</v>
      </c>
      <c r="W188" s="218">
        <v>0.92</v>
      </c>
      <c r="X188" s="218">
        <v>71.400000000000006</v>
      </c>
      <c r="Y188" s="218">
        <v>31.9</v>
      </c>
      <c r="Z188" s="203">
        <f t="shared" si="10"/>
        <v>8.9400000000000013</v>
      </c>
      <c r="AA188" s="203">
        <f t="shared" si="12"/>
        <v>104.66</v>
      </c>
      <c r="AB188" s="218"/>
      <c r="AC188" s="218"/>
      <c r="AD188" s="218"/>
      <c r="AE188" s="218"/>
    </row>
    <row r="189" spans="1:31" x14ac:dyDescent="0.2">
      <c r="A189" s="200" t="s">
        <v>8438</v>
      </c>
      <c r="B189" s="201">
        <v>44785</v>
      </c>
      <c r="C189" s="202">
        <v>2</v>
      </c>
      <c r="D189" s="218" t="s">
        <v>196</v>
      </c>
      <c r="E189" s="218">
        <v>44</v>
      </c>
      <c r="F189" s="218">
        <v>68.8</v>
      </c>
      <c r="G189" s="218">
        <v>1.49</v>
      </c>
      <c r="H189" s="218">
        <v>94</v>
      </c>
      <c r="I189" s="218">
        <v>107</v>
      </c>
      <c r="J189" s="203">
        <f t="shared" si="8"/>
        <v>0.87850467289719625</v>
      </c>
      <c r="K189" s="218">
        <v>32.799999999999997</v>
      </c>
      <c r="L189" s="218">
        <v>7</v>
      </c>
      <c r="M189" s="218">
        <v>43.9</v>
      </c>
      <c r="N189" s="218"/>
      <c r="O189" s="214">
        <f t="shared" si="9"/>
        <v>30.989595063285435</v>
      </c>
      <c r="P189" s="218">
        <v>130</v>
      </c>
      <c r="Q189" s="218">
        <v>82</v>
      </c>
      <c r="R189" s="218" t="s">
        <v>8439</v>
      </c>
      <c r="S189" s="218">
        <v>206</v>
      </c>
      <c r="T189" s="218">
        <v>9.8000000000000007</v>
      </c>
      <c r="U189" s="218">
        <v>12</v>
      </c>
      <c r="V189" s="218">
        <v>149.1</v>
      </c>
      <c r="W189" s="218">
        <v>0.99</v>
      </c>
      <c r="X189" s="218">
        <v>76.099999999999994</v>
      </c>
      <c r="Y189" s="218">
        <v>31.3</v>
      </c>
      <c r="Z189" s="203">
        <f t="shared" si="10"/>
        <v>29.82</v>
      </c>
      <c r="AA189" s="203">
        <f t="shared" si="12"/>
        <v>100.08000000000001</v>
      </c>
      <c r="AB189" s="218"/>
      <c r="AC189" s="218"/>
      <c r="AD189" s="218"/>
      <c r="AE189" s="218"/>
    </row>
    <row r="190" spans="1:31" x14ac:dyDescent="0.2">
      <c r="A190" s="200" t="s">
        <v>8440</v>
      </c>
      <c r="B190" s="201">
        <v>44797</v>
      </c>
      <c r="C190" s="209">
        <v>1</v>
      </c>
      <c r="D190" s="218" t="s">
        <v>196</v>
      </c>
      <c r="E190" s="218">
        <v>42</v>
      </c>
      <c r="F190" s="218">
        <v>62.7</v>
      </c>
      <c r="G190" s="218">
        <v>1.6</v>
      </c>
      <c r="H190" s="218">
        <v>79</v>
      </c>
      <c r="I190" s="218">
        <v>97</v>
      </c>
      <c r="J190" s="203">
        <f t="shared" si="8"/>
        <v>0.81443298969072164</v>
      </c>
      <c r="K190" s="218">
        <v>32.1</v>
      </c>
      <c r="L190" s="218">
        <v>5</v>
      </c>
      <c r="M190" s="218">
        <v>39.9</v>
      </c>
      <c r="N190" s="218"/>
      <c r="O190" s="214">
        <f t="shared" si="9"/>
        <v>24.492187499999996</v>
      </c>
      <c r="P190" s="218">
        <v>109</v>
      </c>
      <c r="Q190" s="218">
        <v>79</v>
      </c>
      <c r="R190" s="218">
        <v>90.6</v>
      </c>
      <c r="S190" s="218">
        <v>170</v>
      </c>
      <c r="T190" s="218">
        <v>14.9</v>
      </c>
      <c r="U190" s="218">
        <v>37.200000000000003</v>
      </c>
      <c r="V190" s="218">
        <v>68.5</v>
      </c>
      <c r="W190" s="218">
        <v>0.82</v>
      </c>
      <c r="X190" s="218">
        <v>95</v>
      </c>
      <c r="Y190" s="218">
        <v>26.9</v>
      </c>
      <c r="Z190" s="203">
        <f t="shared" si="10"/>
        <v>13.700000000000001</v>
      </c>
      <c r="AA190" s="203">
        <f t="shared" si="12"/>
        <v>61.3</v>
      </c>
      <c r="AB190" s="218"/>
      <c r="AC190" s="218"/>
      <c r="AD190" s="218"/>
      <c r="AE190" s="218"/>
    </row>
    <row r="191" spans="1:31" x14ac:dyDescent="0.2">
      <c r="A191" s="200" t="s">
        <v>8441</v>
      </c>
      <c r="B191" s="201">
        <v>44798</v>
      </c>
      <c r="C191" s="202">
        <v>2</v>
      </c>
      <c r="D191" s="218" t="s">
        <v>196</v>
      </c>
      <c r="E191" s="218">
        <v>63</v>
      </c>
      <c r="F191" s="218">
        <v>81.2</v>
      </c>
      <c r="G191" s="218">
        <v>1.49</v>
      </c>
      <c r="H191" s="218">
        <v>107</v>
      </c>
      <c r="I191" s="218">
        <v>111</v>
      </c>
      <c r="J191" s="203">
        <f t="shared" si="8"/>
        <v>0.963963963963964</v>
      </c>
      <c r="K191" s="218">
        <v>37.299999999999997</v>
      </c>
      <c r="L191" s="218">
        <v>12</v>
      </c>
      <c r="M191" s="218">
        <v>48.4</v>
      </c>
      <c r="N191" s="218"/>
      <c r="O191" s="214">
        <f t="shared" si="9"/>
        <v>36.574929057249676</v>
      </c>
      <c r="P191" s="218">
        <v>128</v>
      </c>
      <c r="Q191" s="218">
        <v>79</v>
      </c>
      <c r="R191" s="218">
        <v>116</v>
      </c>
      <c r="S191" s="218">
        <v>200</v>
      </c>
      <c r="T191" s="218">
        <v>30.9</v>
      </c>
      <c r="U191" s="218">
        <v>27.6</v>
      </c>
      <c r="V191" s="218">
        <v>111</v>
      </c>
      <c r="W191" s="218">
        <v>0.87</v>
      </c>
      <c r="X191" s="218">
        <v>83.1</v>
      </c>
      <c r="Y191" s="218">
        <v>29.9</v>
      </c>
      <c r="Z191" s="203">
        <f t="shared" si="10"/>
        <v>22.200000000000003</v>
      </c>
      <c r="AA191" s="203">
        <f t="shared" si="12"/>
        <v>94.7</v>
      </c>
      <c r="AB191" s="218"/>
      <c r="AC191" s="218"/>
      <c r="AD191" s="218"/>
      <c r="AE191" s="218"/>
    </row>
    <row r="192" spans="1:31" x14ac:dyDescent="0.2">
      <c r="A192" s="200" t="s">
        <v>8442</v>
      </c>
      <c r="B192" s="201">
        <v>44786</v>
      </c>
      <c r="C192" s="202">
        <v>2</v>
      </c>
      <c r="D192" s="218" t="s">
        <v>196</v>
      </c>
      <c r="E192" s="218">
        <v>33</v>
      </c>
      <c r="F192" s="218">
        <v>111</v>
      </c>
      <c r="G192" s="218">
        <v>1.6</v>
      </c>
      <c r="H192" s="218">
        <v>118</v>
      </c>
      <c r="I192" s="218">
        <v>132</v>
      </c>
      <c r="J192" s="203">
        <f t="shared" si="8"/>
        <v>0.89393939393939392</v>
      </c>
      <c r="K192" s="218">
        <v>47.5</v>
      </c>
      <c r="L192" s="218">
        <v>13</v>
      </c>
      <c r="M192" s="218">
        <v>55.5</v>
      </c>
      <c r="N192" s="218"/>
      <c r="O192" s="214">
        <f t="shared" si="9"/>
        <v>43.359374999999993</v>
      </c>
      <c r="P192" s="218">
        <v>130</v>
      </c>
      <c r="Q192" s="218">
        <v>95</v>
      </c>
      <c r="R192" s="218">
        <v>95.9</v>
      </c>
      <c r="S192" s="218">
        <v>164</v>
      </c>
      <c r="T192" s="218">
        <v>12.2</v>
      </c>
      <c r="U192" s="218">
        <v>21</v>
      </c>
      <c r="V192" s="218">
        <v>114.8</v>
      </c>
      <c r="W192" s="218">
        <v>0.82</v>
      </c>
      <c r="X192" s="218">
        <v>82.7</v>
      </c>
      <c r="Y192" s="218">
        <v>28.2</v>
      </c>
      <c r="Z192" s="203">
        <f t="shared" si="10"/>
        <v>22.96</v>
      </c>
      <c r="AA192" s="203">
        <f t="shared" si="12"/>
        <v>58.339999999999996</v>
      </c>
      <c r="AB192" s="218"/>
      <c r="AC192" s="218"/>
      <c r="AD192" s="218"/>
      <c r="AE192" s="218"/>
    </row>
    <row r="193" spans="1:31" x14ac:dyDescent="0.2">
      <c r="A193" s="200" t="s">
        <v>8443</v>
      </c>
      <c r="B193" s="201">
        <v>44785</v>
      </c>
      <c r="C193" s="212">
        <v>3</v>
      </c>
      <c r="D193" s="218" t="s">
        <v>196</v>
      </c>
      <c r="E193" s="218">
        <v>60</v>
      </c>
      <c r="F193" s="218">
        <v>114</v>
      </c>
      <c r="G193" s="218">
        <v>1.52</v>
      </c>
      <c r="H193" s="218">
        <v>138</v>
      </c>
      <c r="I193" s="218">
        <v>143</v>
      </c>
      <c r="J193" s="203">
        <f t="shared" si="8"/>
        <v>0.965034965034965</v>
      </c>
      <c r="K193" s="218"/>
      <c r="L193" s="218"/>
      <c r="M193" s="218"/>
      <c r="N193" s="218"/>
      <c r="O193" s="214">
        <f t="shared" si="9"/>
        <v>49.342105263157897</v>
      </c>
      <c r="P193" s="218">
        <v>122</v>
      </c>
      <c r="Q193" s="218">
        <v>77</v>
      </c>
      <c r="R193" s="222">
        <v>227</v>
      </c>
      <c r="S193" s="218">
        <v>209</v>
      </c>
      <c r="T193" s="218">
        <v>14.3</v>
      </c>
      <c r="U193" s="218">
        <v>28.2</v>
      </c>
      <c r="V193" s="222">
        <v>175.9</v>
      </c>
      <c r="W193" s="218">
        <v>0.97</v>
      </c>
      <c r="X193" s="218">
        <v>70.099999999999994</v>
      </c>
      <c r="Y193" s="218">
        <v>67.2</v>
      </c>
      <c r="Z193" s="203">
        <f t="shared" si="10"/>
        <v>35.18</v>
      </c>
      <c r="AA193" s="203">
        <f t="shared" si="12"/>
        <v>103.72</v>
      </c>
      <c r="AB193" s="218"/>
      <c r="AC193" s="218"/>
      <c r="AD193" s="218"/>
      <c r="AE193" s="218"/>
    </row>
    <row r="194" spans="1:31" x14ac:dyDescent="0.2">
      <c r="A194" s="200" t="s">
        <v>8444</v>
      </c>
      <c r="B194" s="201">
        <v>44801</v>
      </c>
      <c r="C194" s="209">
        <v>1</v>
      </c>
      <c r="D194" s="218" t="s">
        <v>675</v>
      </c>
      <c r="E194" s="218">
        <v>20</v>
      </c>
      <c r="F194" s="218">
        <v>57.2</v>
      </c>
      <c r="G194" s="218">
        <v>1.69</v>
      </c>
      <c r="H194" s="218">
        <v>78</v>
      </c>
      <c r="I194" s="218">
        <v>84</v>
      </c>
      <c r="J194" s="203">
        <f t="shared" si="8"/>
        <v>0.9285714285714286</v>
      </c>
      <c r="K194" s="218">
        <v>9</v>
      </c>
      <c r="L194" s="218">
        <v>1</v>
      </c>
      <c r="M194" s="218">
        <v>49.4</v>
      </c>
      <c r="N194" s="218"/>
      <c r="O194" s="214">
        <f t="shared" si="9"/>
        <v>20.027309968138375</v>
      </c>
      <c r="P194" s="218">
        <v>110</v>
      </c>
      <c r="Q194" s="218">
        <v>72</v>
      </c>
      <c r="R194" s="218">
        <v>86.4</v>
      </c>
      <c r="S194" s="218">
        <v>163</v>
      </c>
      <c r="T194" s="218">
        <v>15.5</v>
      </c>
      <c r="U194" s="218">
        <v>13.8</v>
      </c>
      <c r="V194" s="218">
        <v>48.1</v>
      </c>
      <c r="W194" s="218">
        <v>0.98</v>
      </c>
      <c r="X194" s="218">
        <v>111.4</v>
      </c>
      <c r="Y194" s="218">
        <v>31.2</v>
      </c>
      <c r="Z194" s="203">
        <f t="shared" si="10"/>
        <v>9.620000000000001</v>
      </c>
      <c r="AA194" s="203">
        <f t="shared" si="12"/>
        <v>41.97999999999999</v>
      </c>
      <c r="AB194" s="218"/>
      <c r="AC194" s="218"/>
      <c r="AD194" s="218"/>
      <c r="AE194" s="218"/>
    </row>
    <row r="195" spans="1:31" x14ac:dyDescent="0.2">
      <c r="A195" s="200" t="s">
        <v>8445</v>
      </c>
      <c r="B195" s="201">
        <v>44786</v>
      </c>
      <c r="C195" s="202">
        <v>2</v>
      </c>
      <c r="D195" s="218" t="s">
        <v>196</v>
      </c>
      <c r="E195" s="218">
        <v>55</v>
      </c>
      <c r="F195" s="218">
        <v>59.8</v>
      </c>
      <c r="G195" s="218">
        <v>1.56</v>
      </c>
      <c r="H195" s="218">
        <v>79</v>
      </c>
      <c r="I195" s="218">
        <v>94</v>
      </c>
      <c r="J195" s="203">
        <f t="shared" ref="J195:J258" si="13">H195/I195</f>
        <v>0.84042553191489366</v>
      </c>
      <c r="K195" s="218">
        <v>27</v>
      </c>
      <c r="L195" s="218">
        <v>6</v>
      </c>
      <c r="M195" s="218">
        <v>41.4</v>
      </c>
      <c r="N195" s="218"/>
      <c r="O195" s="214">
        <f t="shared" ref="O195:O258" si="14">F195/(G195)^2</f>
        <v>24.572649572649571</v>
      </c>
      <c r="P195" s="218">
        <v>125</v>
      </c>
      <c r="Q195" s="218">
        <v>88</v>
      </c>
      <c r="R195" s="222">
        <v>128.1</v>
      </c>
      <c r="S195" s="218">
        <v>177</v>
      </c>
      <c r="T195" s="218">
        <v>20.100000000000001</v>
      </c>
      <c r="U195" s="218">
        <v>39</v>
      </c>
      <c r="V195" s="218">
        <v>44.4</v>
      </c>
      <c r="W195" s="218">
        <v>0.92</v>
      </c>
      <c r="X195" s="218">
        <v>88.7</v>
      </c>
      <c r="Y195" s="218">
        <v>31.1</v>
      </c>
      <c r="Z195" s="203">
        <f t="shared" ref="Z195:Z243" si="15">V195*0.2</f>
        <v>8.8800000000000008</v>
      </c>
      <c r="AA195" s="203">
        <f t="shared" si="12"/>
        <v>79.42</v>
      </c>
      <c r="AB195" s="218"/>
      <c r="AC195" s="218"/>
      <c r="AD195" s="218"/>
      <c r="AE195" s="218"/>
    </row>
    <row r="196" spans="1:31" x14ac:dyDescent="0.2">
      <c r="A196" s="200" t="s">
        <v>8446</v>
      </c>
      <c r="B196" s="201">
        <v>44803</v>
      </c>
      <c r="C196" s="212">
        <v>3</v>
      </c>
      <c r="D196" s="218" t="s">
        <v>675</v>
      </c>
      <c r="E196" s="218">
        <v>53</v>
      </c>
      <c r="F196" s="218">
        <v>74</v>
      </c>
      <c r="G196" s="218">
        <v>1.62</v>
      </c>
      <c r="H196" s="218">
        <v>100</v>
      </c>
      <c r="I196" s="218">
        <v>104</v>
      </c>
      <c r="J196" s="203">
        <f t="shared" si="13"/>
        <v>0.96153846153846156</v>
      </c>
      <c r="K196" s="218">
        <v>20</v>
      </c>
      <c r="L196" s="218">
        <v>12</v>
      </c>
      <c r="M196" s="218">
        <v>53.3</v>
      </c>
      <c r="N196" s="218"/>
      <c r="O196" s="214">
        <f t="shared" si="14"/>
        <v>28.196921201036421</v>
      </c>
      <c r="P196" s="218">
        <v>130</v>
      </c>
      <c r="Q196" s="218">
        <v>82</v>
      </c>
      <c r="R196" s="222">
        <v>309.60000000000002</v>
      </c>
      <c r="S196" s="218">
        <v>236</v>
      </c>
      <c r="T196" s="218">
        <v>21.1</v>
      </c>
      <c r="U196" s="218">
        <v>49.8</v>
      </c>
      <c r="V196" s="222">
        <v>198.4</v>
      </c>
      <c r="W196" s="218">
        <v>0.89</v>
      </c>
      <c r="X196" s="218">
        <v>84</v>
      </c>
      <c r="Y196" s="218">
        <v>33.5</v>
      </c>
      <c r="Z196" s="203">
        <f t="shared" si="15"/>
        <v>39.680000000000007</v>
      </c>
      <c r="AA196" s="203">
        <f t="shared" si="12"/>
        <v>112.32</v>
      </c>
      <c r="AB196" s="218"/>
      <c r="AC196" s="218"/>
      <c r="AD196" s="218"/>
      <c r="AE196" s="218"/>
    </row>
    <row r="197" spans="1:31" x14ac:dyDescent="0.2">
      <c r="A197" s="200" t="s">
        <v>8447</v>
      </c>
      <c r="B197" s="201">
        <v>44804</v>
      </c>
      <c r="C197" s="202">
        <v>2</v>
      </c>
      <c r="D197" s="218" t="s">
        <v>196</v>
      </c>
      <c r="E197" s="218">
        <v>73</v>
      </c>
      <c r="F197" s="218">
        <v>55.9</v>
      </c>
      <c r="G197" s="218">
        <v>1.47</v>
      </c>
      <c r="H197" s="218">
        <v>88</v>
      </c>
      <c r="I197" s="218">
        <v>101</v>
      </c>
      <c r="J197" s="203">
        <f t="shared" si="13"/>
        <v>0.87128712871287128</v>
      </c>
      <c r="K197" s="218">
        <v>36.799999999999997</v>
      </c>
      <c r="L197" s="218">
        <v>10</v>
      </c>
      <c r="M197" s="218">
        <v>33.5</v>
      </c>
      <c r="N197" s="218"/>
      <c r="O197" s="214">
        <f t="shared" si="14"/>
        <v>25.868850941737239</v>
      </c>
      <c r="P197" s="218">
        <v>193</v>
      </c>
      <c r="Q197" s="218">
        <v>83</v>
      </c>
      <c r="R197" s="220">
        <v>111</v>
      </c>
      <c r="S197" s="218">
        <v>261</v>
      </c>
      <c r="T197" s="218">
        <v>13.7</v>
      </c>
      <c r="U197" s="218">
        <v>14.4</v>
      </c>
      <c r="V197" s="218">
        <v>93.4</v>
      </c>
      <c r="W197" s="218">
        <v>0.86</v>
      </c>
      <c r="X197" s="218">
        <v>94.8</v>
      </c>
      <c r="Y197" s="218">
        <v>34.1</v>
      </c>
      <c r="Z197" s="203">
        <f t="shared" si="15"/>
        <v>18.680000000000003</v>
      </c>
      <c r="AA197" s="203">
        <f t="shared" si="12"/>
        <v>147.51999999999998</v>
      </c>
      <c r="AB197" s="218"/>
      <c r="AC197" s="218"/>
      <c r="AD197" s="218"/>
      <c r="AE197" s="218"/>
    </row>
    <row r="198" spans="1:31" x14ac:dyDescent="0.2">
      <c r="A198" s="200" t="s">
        <v>8448</v>
      </c>
      <c r="B198" s="201">
        <v>44805</v>
      </c>
      <c r="C198" s="202">
        <v>3</v>
      </c>
      <c r="D198" s="218" t="s">
        <v>196</v>
      </c>
      <c r="E198" s="218">
        <v>42</v>
      </c>
      <c r="F198" s="218">
        <v>101</v>
      </c>
      <c r="G198" s="218">
        <v>1.55</v>
      </c>
      <c r="H198" s="218">
        <v>126</v>
      </c>
      <c r="I198" s="218">
        <v>130</v>
      </c>
      <c r="J198" s="203">
        <f t="shared" si="13"/>
        <v>0.96923076923076923</v>
      </c>
      <c r="K198" s="218"/>
      <c r="L198" s="218"/>
      <c r="M198" s="218"/>
      <c r="N198" s="218"/>
      <c r="O198" s="216">
        <f t="shared" si="14"/>
        <v>42.039542143600414</v>
      </c>
      <c r="P198" s="222">
        <v>141</v>
      </c>
      <c r="Q198" s="222">
        <v>102</v>
      </c>
      <c r="R198" s="222">
        <v>249.3</v>
      </c>
      <c r="S198" s="218">
        <v>152</v>
      </c>
      <c r="T198" s="218">
        <v>9.1999999999999993</v>
      </c>
      <c r="U198" s="218">
        <v>19.2</v>
      </c>
      <c r="V198" s="222">
        <v>163.5</v>
      </c>
      <c r="W198" s="218">
        <v>0.92</v>
      </c>
      <c r="X198" s="218">
        <v>53.6</v>
      </c>
      <c r="Y198" s="218">
        <v>21.7</v>
      </c>
      <c r="Z198" s="203">
        <f t="shared" si="15"/>
        <v>32.700000000000003</v>
      </c>
      <c r="AA198" s="203">
        <f t="shared" si="12"/>
        <v>65.7</v>
      </c>
      <c r="AB198" s="218"/>
      <c r="AC198" s="218"/>
      <c r="AD198" s="218"/>
      <c r="AE198" s="218"/>
    </row>
    <row r="199" spans="1:31" x14ac:dyDescent="0.2">
      <c r="A199" s="200" t="s">
        <v>8449</v>
      </c>
      <c r="B199" s="201">
        <v>44786</v>
      </c>
      <c r="C199" s="202">
        <v>2</v>
      </c>
      <c r="D199" s="218" t="s">
        <v>196</v>
      </c>
      <c r="E199" s="218">
        <v>2</v>
      </c>
      <c r="F199" s="218">
        <v>82.4</v>
      </c>
      <c r="G199" s="218">
        <v>1.52</v>
      </c>
      <c r="H199" s="218">
        <v>114</v>
      </c>
      <c r="I199" s="218">
        <v>118</v>
      </c>
      <c r="J199" s="203">
        <f t="shared" si="13"/>
        <v>0.96610169491525422</v>
      </c>
      <c r="K199" s="218">
        <v>37.799999999999997</v>
      </c>
      <c r="L199" s="218">
        <v>10</v>
      </c>
      <c r="M199" s="218">
        <v>48.7</v>
      </c>
      <c r="N199" s="218"/>
      <c r="O199" s="214">
        <f t="shared" si="14"/>
        <v>35.664819944598342</v>
      </c>
      <c r="P199" s="218">
        <v>136</v>
      </c>
      <c r="Q199" s="218">
        <v>73</v>
      </c>
      <c r="R199" s="218">
        <v>95.9</v>
      </c>
      <c r="S199" s="218">
        <v>165</v>
      </c>
      <c r="T199" s="218">
        <v>16.8</v>
      </c>
      <c r="U199" s="218">
        <v>16.8</v>
      </c>
      <c r="V199" s="218">
        <v>195.6</v>
      </c>
      <c r="W199" s="218">
        <v>0.84</v>
      </c>
      <c r="X199" s="218">
        <v>67</v>
      </c>
      <c r="Y199" s="218">
        <v>39.1</v>
      </c>
      <c r="Z199" s="203">
        <f t="shared" si="15"/>
        <v>39.120000000000005</v>
      </c>
      <c r="AA199" s="203">
        <f t="shared" si="12"/>
        <v>58.879999999999995</v>
      </c>
      <c r="AB199" s="218"/>
      <c r="AC199" s="218"/>
      <c r="AD199" s="218"/>
      <c r="AE199" s="218"/>
    </row>
    <row r="200" spans="1:31" x14ac:dyDescent="0.2">
      <c r="A200" s="200" t="s">
        <v>8450</v>
      </c>
      <c r="B200" s="201">
        <v>44807</v>
      </c>
      <c r="C200" s="202"/>
      <c r="D200" s="218"/>
      <c r="E200" s="218"/>
      <c r="F200" s="218"/>
      <c r="G200" s="218"/>
      <c r="H200" s="218"/>
      <c r="I200" s="218"/>
      <c r="J200" s="203" t="e">
        <f t="shared" si="13"/>
        <v>#DIV/0!</v>
      </c>
      <c r="K200" s="218"/>
      <c r="L200" s="218"/>
      <c r="M200" s="218"/>
      <c r="N200" s="218"/>
      <c r="O200" s="214" t="e">
        <f t="shared" si="14"/>
        <v>#DIV/0!</v>
      </c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03">
        <f t="shared" si="15"/>
        <v>0</v>
      </c>
      <c r="AA200" s="203">
        <f t="shared" si="12"/>
        <v>0</v>
      </c>
      <c r="AB200" s="218"/>
      <c r="AC200" s="218"/>
      <c r="AD200" s="218"/>
      <c r="AE200" s="218"/>
    </row>
    <row r="201" spans="1:31" x14ac:dyDescent="0.2">
      <c r="A201" s="200" t="s">
        <v>8451</v>
      </c>
      <c r="B201" s="201">
        <v>44808</v>
      </c>
      <c r="C201" s="202"/>
      <c r="D201" s="218"/>
      <c r="E201" s="218"/>
      <c r="F201" s="218"/>
      <c r="G201" s="218"/>
      <c r="H201" s="218"/>
      <c r="I201" s="218"/>
      <c r="J201" s="203" t="e">
        <f t="shared" si="13"/>
        <v>#DIV/0!</v>
      </c>
      <c r="K201" s="218"/>
      <c r="L201" s="218"/>
      <c r="M201" s="218"/>
      <c r="N201" s="218"/>
      <c r="O201" s="214" t="e">
        <f t="shared" si="14"/>
        <v>#DIV/0!</v>
      </c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03">
        <f t="shared" si="15"/>
        <v>0</v>
      </c>
      <c r="AA201" s="203">
        <f t="shared" si="12"/>
        <v>0</v>
      </c>
      <c r="AB201" s="218"/>
      <c r="AC201" s="218"/>
      <c r="AD201" s="218"/>
      <c r="AE201" s="218"/>
    </row>
    <row r="202" spans="1:31" x14ac:dyDescent="0.2">
      <c r="A202" s="200" t="s">
        <v>8452</v>
      </c>
      <c r="B202" s="201">
        <v>44809</v>
      </c>
      <c r="C202" s="202"/>
      <c r="D202" s="218"/>
      <c r="E202" s="218"/>
      <c r="F202" s="218"/>
      <c r="G202" s="218"/>
      <c r="H202" s="218"/>
      <c r="I202" s="218"/>
      <c r="J202" s="203" t="e">
        <f t="shared" si="13"/>
        <v>#DIV/0!</v>
      </c>
      <c r="K202" s="218"/>
      <c r="L202" s="218"/>
      <c r="M202" s="218"/>
      <c r="N202" s="218"/>
      <c r="O202" s="214" t="e">
        <f t="shared" si="14"/>
        <v>#DIV/0!</v>
      </c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03">
        <f t="shared" si="15"/>
        <v>0</v>
      </c>
      <c r="AA202" s="203">
        <f t="shared" si="12"/>
        <v>0</v>
      </c>
      <c r="AB202" s="218"/>
      <c r="AC202" s="218"/>
      <c r="AD202" s="218"/>
      <c r="AE202" s="218"/>
    </row>
    <row r="203" spans="1:31" x14ac:dyDescent="0.2">
      <c r="A203" s="200" t="s">
        <v>8453</v>
      </c>
      <c r="B203" s="201">
        <v>44859</v>
      </c>
      <c r="C203" s="202">
        <v>2</v>
      </c>
      <c r="D203" s="218" t="s">
        <v>196</v>
      </c>
      <c r="E203" s="218"/>
      <c r="F203" s="218">
        <v>83</v>
      </c>
      <c r="G203" s="218">
        <v>1.76</v>
      </c>
      <c r="H203" s="218">
        <v>100</v>
      </c>
      <c r="I203" s="218">
        <v>105</v>
      </c>
      <c r="J203" s="203">
        <f t="shared" si="13"/>
        <v>0.95238095238095233</v>
      </c>
      <c r="K203" s="218"/>
      <c r="L203" s="218"/>
      <c r="M203" s="218"/>
      <c r="N203" s="218"/>
      <c r="O203" s="214">
        <f t="shared" si="14"/>
        <v>26.794938016528928</v>
      </c>
      <c r="P203" s="218">
        <v>115</v>
      </c>
      <c r="Q203" s="218">
        <v>79</v>
      </c>
      <c r="R203" s="218">
        <v>103.6</v>
      </c>
      <c r="S203" s="218">
        <v>187</v>
      </c>
      <c r="T203" s="218">
        <v>31.5</v>
      </c>
      <c r="U203" s="218">
        <v>5.9</v>
      </c>
      <c r="V203" s="218">
        <v>54.2</v>
      </c>
      <c r="W203" s="218">
        <v>1</v>
      </c>
      <c r="X203" s="218">
        <v>125</v>
      </c>
      <c r="Y203" s="218">
        <v>42.8</v>
      </c>
      <c r="Z203" s="203">
        <f t="shared" si="15"/>
        <v>10.840000000000002</v>
      </c>
      <c r="AA203" s="203">
        <f t="shared" si="12"/>
        <v>51.16</v>
      </c>
      <c r="AB203" s="218"/>
      <c r="AC203" s="218"/>
      <c r="AD203" s="218"/>
      <c r="AE203" s="218"/>
    </row>
    <row r="204" spans="1:31" x14ac:dyDescent="0.2">
      <c r="A204" s="200" t="s">
        <v>8454</v>
      </c>
      <c r="B204" s="201">
        <v>44811</v>
      </c>
      <c r="C204" s="202"/>
      <c r="D204" s="218"/>
      <c r="E204" s="218"/>
      <c r="F204" s="218"/>
      <c r="G204" s="218"/>
      <c r="H204" s="218"/>
      <c r="I204" s="218"/>
      <c r="J204" s="203" t="e">
        <f t="shared" si="13"/>
        <v>#DIV/0!</v>
      </c>
      <c r="K204" s="218"/>
      <c r="L204" s="218"/>
      <c r="M204" s="218"/>
      <c r="N204" s="218"/>
      <c r="O204" s="214" t="e">
        <f t="shared" si="14"/>
        <v>#DIV/0!</v>
      </c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03">
        <f t="shared" si="15"/>
        <v>0</v>
      </c>
      <c r="AA204" s="203">
        <f t="shared" si="12"/>
        <v>0</v>
      </c>
      <c r="AB204" s="218"/>
      <c r="AC204" s="218"/>
      <c r="AD204" s="218"/>
      <c r="AE204" s="218"/>
    </row>
    <row r="205" spans="1:31" x14ac:dyDescent="0.2">
      <c r="A205" s="200" t="s">
        <v>8455</v>
      </c>
      <c r="B205" s="201">
        <v>44812</v>
      </c>
      <c r="C205" s="202"/>
      <c r="D205" s="218"/>
      <c r="E205" s="218"/>
      <c r="F205" s="218"/>
      <c r="G205" s="218"/>
      <c r="H205" s="218"/>
      <c r="I205" s="218"/>
      <c r="J205" s="203" t="e">
        <f t="shared" si="13"/>
        <v>#DIV/0!</v>
      </c>
      <c r="K205" s="218"/>
      <c r="L205" s="218"/>
      <c r="M205" s="218"/>
      <c r="N205" s="218"/>
      <c r="O205" s="214" t="e">
        <f t="shared" si="14"/>
        <v>#DIV/0!</v>
      </c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03">
        <f t="shared" si="15"/>
        <v>0</v>
      </c>
      <c r="AA205" s="203">
        <f t="shared" si="12"/>
        <v>0</v>
      </c>
      <c r="AB205" s="218"/>
      <c r="AC205" s="218"/>
      <c r="AD205" s="218"/>
      <c r="AE205" s="218"/>
    </row>
    <row r="206" spans="1:31" x14ac:dyDescent="0.2">
      <c r="A206" s="200" t="s">
        <v>8456</v>
      </c>
      <c r="B206" s="201">
        <v>44813</v>
      </c>
      <c r="C206" s="202"/>
      <c r="D206" s="218"/>
      <c r="E206" s="218"/>
      <c r="F206" s="218"/>
      <c r="G206" s="218"/>
      <c r="H206" s="218"/>
      <c r="I206" s="218"/>
      <c r="J206" s="203" t="e">
        <f t="shared" si="13"/>
        <v>#DIV/0!</v>
      </c>
      <c r="K206" s="218"/>
      <c r="L206" s="218"/>
      <c r="M206" s="218"/>
      <c r="N206" s="218"/>
      <c r="O206" s="214" t="e">
        <f t="shared" si="14"/>
        <v>#DIV/0!</v>
      </c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03">
        <f t="shared" si="15"/>
        <v>0</v>
      </c>
      <c r="AA206" s="203">
        <f t="shared" si="12"/>
        <v>0</v>
      </c>
      <c r="AB206" s="218"/>
      <c r="AC206" s="218"/>
      <c r="AD206" s="218"/>
      <c r="AE206" s="218"/>
    </row>
    <row r="207" spans="1:31" x14ac:dyDescent="0.2">
      <c r="A207" s="200" t="s">
        <v>8457</v>
      </c>
      <c r="B207" s="201">
        <v>44814</v>
      </c>
      <c r="C207" s="202"/>
      <c r="D207" s="218"/>
      <c r="E207" s="218"/>
      <c r="F207" s="218"/>
      <c r="G207" s="218"/>
      <c r="H207" s="218"/>
      <c r="I207" s="218"/>
      <c r="J207" s="203" t="e">
        <f t="shared" si="13"/>
        <v>#DIV/0!</v>
      </c>
      <c r="K207" s="218"/>
      <c r="L207" s="218"/>
      <c r="M207" s="218"/>
      <c r="N207" s="218"/>
      <c r="O207" s="214" t="e">
        <f t="shared" si="14"/>
        <v>#DIV/0!</v>
      </c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03">
        <f t="shared" si="15"/>
        <v>0</v>
      </c>
      <c r="AA207" s="203">
        <f t="shared" si="12"/>
        <v>0</v>
      </c>
      <c r="AB207" s="218"/>
      <c r="AC207" s="218"/>
      <c r="AD207" s="218"/>
      <c r="AE207" s="218"/>
    </row>
    <row r="208" spans="1:31" x14ac:dyDescent="0.2">
      <c r="A208" s="200" t="s">
        <v>8458</v>
      </c>
      <c r="B208" s="201">
        <v>44815</v>
      </c>
      <c r="C208" s="202"/>
      <c r="D208" s="218"/>
      <c r="E208" s="218"/>
      <c r="F208" s="218"/>
      <c r="G208" s="218"/>
      <c r="H208" s="218"/>
      <c r="I208" s="218"/>
      <c r="J208" s="203" t="e">
        <f t="shared" si="13"/>
        <v>#DIV/0!</v>
      </c>
      <c r="K208" s="218"/>
      <c r="L208" s="218"/>
      <c r="M208" s="218"/>
      <c r="N208" s="218"/>
      <c r="O208" s="214" t="e">
        <f t="shared" si="14"/>
        <v>#DIV/0!</v>
      </c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03">
        <f t="shared" si="15"/>
        <v>0</v>
      </c>
      <c r="AA208" s="203">
        <f t="shared" si="12"/>
        <v>0</v>
      </c>
      <c r="AB208" s="218"/>
      <c r="AC208" s="218"/>
      <c r="AD208" s="218"/>
      <c r="AE208" s="218"/>
    </row>
    <row r="209" spans="1:31" x14ac:dyDescent="0.2">
      <c r="A209" s="200" t="s">
        <v>8459</v>
      </c>
      <c r="B209" s="201">
        <v>44816</v>
      </c>
      <c r="C209" s="202"/>
      <c r="D209" s="218"/>
      <c r="E209" s="218"/>
      <c r="F209" s="218"/>
      <c r="G209" s="218"/>
      <c r="H209" s="218"/>
      <c r="I209" s="218"/>
      <c r="J209" s="203" t="e">
        <f t="shared" si="13"/>
        <v>#DIV/0!</v>
      </c>
      <c r="K209" s="218"/>
      <c r="L209" s="218"/>
      <c r="M209" s="218"/>
      <c r="N209" s="218"/>
      <c r="O209" s="214" t="e">
        <f t="shared" si="14"/>
        <v>#DIV/0!</v>
      </c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03">
        <f t="shared" si="15"/>
        <v>0</v>
      </c>
      <c r="AA209" s="203">
        <f t="shared" si="12"/>
        <v>0</v>
      </c>
      <c r="AB209" s="218"/>
      <c r="AC209" s="218"/>
      <c r="AD209" s="218"/>
      <c r="AE209" s="218"/>
    </row>
    <row r="210" spans="1:31" x14ac:dyDescent="0.2">
      <c r="A210" s="200" t="s">
        <v>8460</v>
      </c>
      <c r="B210" s="201">
        <v>44817</v>
      </c>
      <c r="C210" s="202"/>
      <c r="D210" s="218"/>
      <c r="E210" s="218"/>
      <c r="F210" s="218"/>
      <c r="G210" s="218"/>
      <c r="H210" s="218"/>
      <c r="I210" s="218"/>
      <c r="J210" s="203" t="e">
        <f t="shared" si="13"/>
        <v>#DIV/0!</v>
      </c>
      <c r="K210" s="218"/>
      <c r="L210" s="218"/>
      <c r="M210" s="218"/>
      <c r="N210" s="218"/>
      <c r="O210" s="214" t="e">
        <f t="shared" si="14"/>
        <v>#DIV/0!</v>
      </c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03">
        <f t="shared" si="15"/>
        <v>0</v>
      </c>
      <c r="AA210" s="203">
        <f t="shared" si="12"/>
        <v>0</v>
      </c>
      <c r="AB210" s="218"/>
      <c r="AC210" s="218"/>
      <c r="AD210" s="218"/>
      <c r="AE210" s="218"/>
    </row>
    <row r="211" spans="1:31" x14ac:dyDescent="0.2">
      <c r="A211" s="200" t="s">
        <v>8461</v>
      </c>
      <c r="B211" s="201">
        <v>44818</v>
      </c>
      <c r="C211" s="202"/>
      <c r="D211" s="218"/>
      <c r="E211" s="218"/>
      <c r="F211" s="218"/>
      <c r="G211" s="218"/>
      <c r="H211" s="218"/>
      <c r="I211" s="218"/>
      <c r="J211" s="203" t="e">
        <f t="shared" si="13"/>
        <v>#DIV/0!</v>
      </c>
      <c r="K211" s="218"/>
      <c r="L211" s="218"/>
      <c r="M211" s="218"/>
      <c r="N211" s="218"/>
      <c r="O211" s="214" t="e">
        <f t="shared" si="14"/>
        <v>#DIV/0!</v>
      </c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03">
        <f t="shared" si="15"/>
        <v>0</v>
      </c>
      <c r="AA211" s="203">
        <f t="shared" si="12"/>
        <v>0</v>
      </c>
      <c r="AB211" s="218"/>
      <c r="AC211" s="218"/>
      <c r="AD211" s="218"/>
      <c r="AE211" s="218"/>
    </row>
    <row r="212" spans="1:31" x14ac:dyDescent="0.2">
      <c r="A212" s="200" t="s">
        <v>8462</v>
      </c>
      <c r="B212" s="201">
        <v>44819</v>
      </c>
      <c r="C212" s="202">
        <v>2</v>
      </c>
      <c r="D212" s="218" t="s">
        <v>196</v>
      </c>
      <c r="E212" s="218">
        <v>57</v>
      </c>
      <c r="F212" s="218">
        <v>77.5</v>
      </c>
      <c r="G212" s="218">
        <v>1.57</v>
      </c>
      <c r="H212" s="218">
        <v>102</v>
      </c>
      <c r="I212" s="218">
        <v>110</v>
      </c>
      <c r="J212" s="203">
        <f t="shared" si="13"/>
        <v>0.92727272727272725</v>
      </c>
      <c r="K212" s="218">
        <v>42.1</v>
      </c>
      <c r="L212" s="218">
        <v>10</v>
      </c>
      <c r="M212" s="218">
        <v>43.2</v>
      </c>
      <c r="N212" s="218">
        <v>71</v>
      </c>
      <c r="O212" s="214">
        <f t="shared" si="14"/>
        <v>31.44143778652278</v>
      </c>
      <c r="P212" s="218">
        <v>132</v>
      </c>
      <c r="Q212" s="218">
        <v>84</v>
      </c>
      <c r="R212" s="220">
        <v>109</v>
      </c>
      <c r="S212" s="218">
        <v>156</v>
      </c>
      <c r="T212" s="218">
        <v>11.8</v>
      </c>
      <c r="U212" s="218">
        <v>37.9</v>
      </c>
      <c r="V212" s="218">
        <v>82.4</v>
      </c>
      <c r="W212" s="218">
        <v>0.82</v>
      </c>
      <c r="X212" s="218">
        <v>52.9</v>
      </c>
      <c r="Y212" s="218"/>
      <c r="Z212" s="203">
        <f t="shared" si="15"/>
        <v>16.48</v>
      </c>
      <c r="AA212" s="203">
        <f t="shared" si="12"/>
        <v>86.61999999999999</v>
      </c>
      <c r="AB212" s="218"/>
      <c r="AC212" s="218"/>
      <c r="AD212" s="218"/>
      <c r="AE212" s="218"/>
    </row>
    <row r="213" spans="1:31" x14ac:dyDescent="0.2">
      <c r="A213" s="200" t="s">
        <v>8463</v>
      </c>
      <c r="B213" s="201">
        <v>44820</v>
      </c>
      <c r="C213" s="202"/>
      <c r="D213" s="218"/>
      <c r="E213" s="218"/>
      <c r="F213" s="218"/>
      <c r="G213" s="218"/>
      <c r="H213" s="218"/>
      <c r="I213" s="218"/>
      <c r="J213" s="203" t="e">
        <f t="shared" si="13"/>
        <v>#DIV/0!</v>
      </c>
      <c r="K213" s="218"/>
      <c r="L213" s="218"/>
      <c r="M213" s="218"/>
      <c r="N213" s="218"/>
      <c r="O213" s="214" t="e">
        <f t="shared" si="14"/>
        <v>#DIV/0!</v>
      </c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03">
        <f t="shared" si="15"/>
        <v>0</v>
      </c>
      <c r="AA213" s="203">
        <f t="shared" si="12"/>
        <v>0</v>
      </c>
      <c r="AB213" s="218"/>
      <c r="AC213" s="218"/>
      <c r="AD213" s="218"/>
      <c r="AE213" s="218"/>
    </row>
    <row r="214" spans="1:31" x14ac:dyDescent="0.2">
      <c r="A214" s="200" t="s">
        <v>8464</v>
      </c>
      <c r="B214" s="201">
        <v>44821</v>
      </c>
      <c r="C214" s="202">
        <v>2</v>
      </c>
      <c r="D214" s="218" t="s">
        <v>196</v>
      </c>
      <c r="E214" s="218">
        <v>23</v>
      </c>
      <c r="F214" s="218">
        <v>67.599999999999994</v>
      </c>
      <c r="G214" s="218">
        <v>1.68</v>
      </c>
      <c r="H214" s="218">
        <v>70</v>
      </c>
      <c r="I214" s="218">
        <v>90</v>
      </c>
      <c r="J214" s="203">
        <f t="shared" si="13"/>
        <v>0.77777777777777779</v>
      </c>
      <c r="K214" s="218">
        <v>34.6</v>
      </c>
      <c r="L214" s="218">
        <v>3</v>
      </c>
      <c r="M214" s="218">
        <v>42</v>
      </c>
      <c r="N214" s="218">
        <v>39</v>
      </c>
      <c r="O214" s="214">
        <f t="shared" si="14"/>
        <v>23.95124716553288</v>
      </c>
      <c r="P214" s="218">
        <v>100</v>
      </c>
      <c r="Q214" s="218">
        <v>78</v>
      </c>
      <c r="R214" s="218">
        <v>83.6</v>
      </c>
      <c r="S214" s="218">
        <v>152</v>
      </c>
      <c r="T214" s="218">
        <v>14.3</v>
      </c>
      <c r="U214" s="218">
        <v>7.2</v>
      </c>
      <c r="V214" s="218">
        <v>102.2</v>
      </c>
      <c r="W214" s="218">
        <v>0.81</v>
      </c>
      <c r="X214" s="218">
        <v>76.7</v>
      </c>
      <c r="Y214" s="218">
        <v>19.899999999999999</v>
      </c>
      <c r="Z214" s="203">
        <f t="shared" si="15"/>
        <v>20.440000000000001</v>
      </c>
      <c r="AA214" s="203">
        <f t="shared" si="12"/>
        <v>54.86</v>
      </c>
      <c r="AB214" s="218"/>
      <c r="AC214" s="218"/>
      <c r="AD214" s="218"/>
      <c r="AE214" s="218"/>
    </row>
    <row r="215" spans="1:31" x14ac:dyDescent="0.2">
      <c r="A215" s="200" t="s">
        <v>8465</v>
      </c>
      <c r="B215" s="201">
        <v>44852</v>
      </c>
      <c r="C215" s="202">
        <v>2</v>
      </c>
      <c r="D215" s="218" t="s">
        <v>196</v>
      </c>
      <c r="E215" s="218">
        <v>59</v>
      </c>
      <c r="F215" s="218">
        <v>60.5</v>
      </c>
      <c r="G215" s="218">
        <v>1.575</v>
      </c>
      <c r="H215" s="218">
        <v>79</v>
      </c>
      <c r="I215" s="218">
        <v>90</v>
      </c>
      <c r="J215" s="203">
        <f t="shared" si="13"/>
        <v>0.87777777777777777</v>
      </c>
      <c r="K215" s="218">
        <v>34.299999999999997</v>
      </c>
      <c r="L215" s="218">
        <v>7</v>
      </c>
      <c r="M215" s="218">
        <v>37.700000000000003</v>
      </c>
      <c r="N215" s="218"/>
      <c r="O215" s="214">
        <f t="shared" si="14"/>
        <v>24.389014865205343</v>
      </c>
      <c r="P215" s="218">
        <v>115</v>
      </c>
      <c r="Q215" s="218">
        <v>83</v>
      </c>
      <c r="R215" s="220">
        <v>103.1</v>
      </c>
      <c r="S215" s="218">
        <v>251</v>
      </c>
      <c r="T215" s="218">
        <v>42.8</v>
      </c>
      <c r="U215" s="218">
        <v>31</v>
      </c>
      <c r="V215" s="218">
        <v>149.1</v>
      </c>
      <c r="W215" s="218">
        <v>0.95</v>
      </c>
      <c r="X215" s="218">
        <v>101</v>
      </c>
      <c r="Y215" s="218"/>
      <c r="Z215" s="203">
        <f t="shared" si="15"/>
        <v>29.82</v>
      </c>
      <c r="AA215" s="203">
        <f t="shared" si="12"/>
        <v>120.18</v>
      </c>
      <c r="AB215" s="218"/>
      <c r="AC215" s="218"/>
      <c r="AD215" s="218"/>
      <c r="AE215" s="218"/>
    </row>
    <row r="216" spans="1:31" x14ac:dyDescent="0.2">
      <c r="A216" s="200" t="s">
        <v>8466</v>
      </c>
      <c r="B216" s="201">
        <v>44823</v>
      </c>
      <c r="C216" s="202">
        <v>2</v>
      </c>
      <c r="D216" s="218" t="s">
        <v>196</v>
      </c>
      <c r="E216" s="218">
        <v>54</v>
      </c>
      <c r="F216" s="218">
        <v>90.7</v>
      </c>
      <c r="G216" s="218">
        <v>1.65</v>
      </c>
      <c r="H216" s="218">
        <v>101</v>
      </c>
      <c r="I216" s="218">
        <v>120</v>
      </c>
      <c r="J216" s="203">
        <f t="shared" si="13"/>
        <v>0.84166666666666667</v>
      </c>
      <c r="K216" s="218">
        <v>46.6</v>
      </c>
      <c r="L216" s="218">
        <v>12</v>
      </c>
      <c r="M216" s="218">
        <v>46</v>
      </c>
      <c r="N216" s="218">
        <v>90</v>
      </c>
      <c r="O216" s="214">
        <f t="shared" si="14"/>
        <v>33.314967860422414</v>
      </c>
      <c r="P216" s="218">
        <v>106</v>
      </c>
      <c r="Q216" s="218">
        <v>74</v>
      </c>
      <c r="R216" s="218">
        <v>86.3</v>
      </c>
      <c r="S216" s="218">
        <v>147</v>
      </c>
      <c r="T216" s="218">
        <v>17.600000000000001</v>
      </c>
      <c r="U216" s="218">
        <v>28.7</v>
      </c>
      <c r="V216" s="218">
        <v>101.7</v>
      </c>
      <c r="W216" s="218">
        <v>0.76</v>
      </c>
      <c r="X216" s="218">
        <v>45.4</v>
      </c>
      <c r="Y216" s="218">
        <v>85.7</v>
      </c>
      <c r="Z216" s="203">
        <f t="shared" si="15"/>
        <v>20.340000000000003</v>
      </c>
      <c r="AA216" s="203">
        <f t="shared" si="12"/>
        <v>81.259999999999991</v>
      </c>
      <c r="AB216" s="218"/>
      <c r="AC216" s="218"/>
      <c r="AD216" s="218"/>
      <c r="AE216" s="218"/>
    </row>
    <row r="217" spans="1:31" x14ac:dyDescent="0.2">
      <c r="A217" s="200" t="s">
        <v>8467</v>
      </c>
      <c r="B217" s="201">
        <v>44863</v>
      </c>
      <c r="C217" s="202">
        <v>2</v>
      </c>
      <c r="D217" s="218" t="s">
        <v>196</v>
      </c>
      <c r="E217" s="218">
        <v>54</v>
      </c>
      <c r="F217" s="218">
        <v>67.2</v>
      </c>
      <c r="G217" s="218">
        <v>1.66</v>
      </c>
      <c r="H217" s="218">
        <v>79</v>
      </c>
      <c r="I217" s="218">
        <v>98</v>
      </c>
      <c r="J217" s="203">
        <f t="shared" si="13"/>
        <v>0.80612244897959184</v>
      </c>
      <c r="K217" s="218">
        <v>29.2</v>
      </c>
      <c r="L217" s="218">
        <v>6</v>
      </c>
      <c r="M217" s="218">
        <v>44</v>
      </c>
      <c r="N217" s="218">
        <v>40</v>
      </c>
      <c r="O217" s="214">
        <f t="shared" si="14"/>
        <v>24.386703440267095</v>
      </c>
      <c r="P217" s="218">
        <v>97</v>
      </c>
      <c r="Q217" s="218">
        <v>64</v>
      </c>
      <c r="R217" s="218">
        <v>69.099999999999994</v>
      </c>
      <c r="S217" s="218">
        <v>230</v>
      </c>
      <c r="T217" s="218">
        <v>10.6</v>
      </c>
      <c r="U217" s="218">
        <v>7.8</v>
      </c>
      <c r="V217" s="218">
        <v>119.2</v>
      </c>
      <c r="W217" s="218">
        <v>0.79</v>
      </c>
      <c r="X217" s="218">
        <v>75.3</v>
      </c>
      <c r="Y217" s="218"/>
      <c r="Z217" s="203">
        <f t="shared" si="15"/>
        <v>23.840000000000003</v>
      </c>
      <c r="AA217" s="203">
        <f t="shared" si="12"/>
        <v>130.85999999999999</v>
      </c>
      <c r="AB217" s="218"/>
      <c r="AC217" s="218"/>
      <c r="AD217" s="218"/>
      <c r="AE217" s="218"/>
    </row>
    <row r="218" spans="1:31" x14ac:dyDescent="0.2">
      <c r="A218" s="200" t="s">
        <v>8468</v>
      </c>
      <c r="B218" s="201">
        <v>44825</v>
      </c>
      <c r="C218" s="202"/>
      <c r="D218" s="218"/>
      <c r="E218" s="218"/>
      <c r="F218" s="218"/>
      <c r="G218" s="218"/>
      <c r="H218" s="218"/>
      <c r="I218" s="218"/>
      <c r="J218" s="203" t="e">
        <f t="shared" si="13"/>
        <v>#DIV/0!</v>
      </c>
      <c r="K218" s="218"/>
      <c r="L218" s="218"/>
      <c r="M218" s="218"/>
      <c r="N218" s="218"/>
      <c r="O218" s="214" t="e">
        <f t="shared" si="14"/>
        <v>#DIV/0!</v>
      </c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03">
        <f t="shared" si="15"/>
        <v>0</v>
      </c>
      <c r="AA218" s="203">
        <f t="shared" si="12"/>
        <v>0</v>
      </c>
      <c r="AB218" s="218"/>
      <c r="AC218" s="218"/>
      <c r="AD218" s="218"/>
      <c r="AE218" s="218"/>
    </row>
    <row r="219" spans="1:31" x14ac:dyDescent="0.2">
      <c r="A219" s="200" t="s">
        <v>8469</v>
      </c>
      <c r="B219" s="201">
        <v>44826</v>
      </c>
      <c r="C219" s="202"/>
      <c r="D219" s="218"/>
      <c r="E219" s="218"/>
      <c r="F219" s="218"/>
      <c r="G219" s="218"/>
      <c r="H219" s="218"/>
      <c r="I219" s="218"/>
      <c r="J219" s="203" t="e">
        <f t="shared" si="13"/>
        <v>#DIV/0!</v>
      </c>
      <c r="K219" s="218"/>
      <c r="L219" s="218"/>
      <c r="M219" s="218"/>
      <c r="N219" s="218"/>
      <c r="O219" s="214" t="e">
        <f t="shared" si="14"/>
        <v>#DIV/0!</v>
      </c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03">
        <f t="shared" si="15"/>
        <v>0</v>
      </c>
      <c r="AA219" s="203">
        <f t="shared" si="12"/>
        <v>0</v>
      </c>
      <c r="AB219" s="218"/>
      <c r="AC219" s="218"/>
      <c r="AD219" s="218"/>
      <c r="AE219" s="218"/>
    </row>
    <row r="220" spans="1:31" x14ac:dyDescent="0.2">
      <c r="A220" s="200" t="s">
        <v>8470</v>
      </c>
      <c r="B220" s="201">
        <v>44827</v>
      </c>
      <c r="C220" s="202"/>
      <c r="D220" s="218"/>
      <c r="E220" s="218"/>
      <c r="F220" s="218"/>
      <c r="G220" s="218"/>
      <c r="H220" s="218"/>
      <c r="I220" s="218"/>
      <c r="J220" s="203" t="e">
        <f t="shared" si="13"/>
        <v>#DIV/0!</v>
      </c>
      <c r="K220" s="218"/>
      <c r="L220" s="218"/>
      <c r="M220" s="218"/>
      <c r="N220" s="218"/>
      <c r="O220" s="214" t="e">
        <f t="shared" si="14"/>
        <v>#DIV/0!</v>
      </c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03">
        <f t="shared" si="15"/>
        <v>0</v>
      </c>
      <c r="AA220" s="203">
        <f t="shared" si="12"/>
        <v>0</v>
      </c>
      <c r="AB220" s="218"/>
      <c r="AC220" s="218"/>
      <c r="AD220" s="218"/>
      <c r="AE220" s="218"/>
    </row>
    <row r="221" spans="1:31" x14ac:dyDescent="0.2">
      <c r="A221" s="200" t="s">
        <v>8471</v>
      </c>
      <c r="B221" s="201">
        <v>44828</v>
      </c>
      <c r="C221" s="202"/>
      <c r="D221" s="218"/>
      <c r="E221" s="218"/>
      <c r="F221" s="218"/>
      <c r="G221" s="218"/>
      <c r="H221" s="218"/>
      <c r="I221" s="218"/>
      <c r="J221" s="203" t="e">
        <f t="shared" si="13"/>
        <v>#DIV/0!</v>
      </c>
      <c r="K221" s="218"/>
      <c r="L221" s="218"/>
      <c r="M221" s="218"/>
      <c r="N221" s="218"/>
      <c r="O221" s="214" t="e">
        <f t="shared" si="14"/>
        <v>#DIV/0!</v>
      </c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03">
        <f t="shared" si="15"/>
        <v>0</v>
      </c>
      <c r="AA221" s="203">
        <f t="shared" si="12"/>
        <v>0</v>
      </c>
      <c r="AB221" s="218"/>
      <c r="AC221" s="218"/>
      <c r="AD221" s="218"/>
      <c r="AE221" s="218"/>
    </row>
    <row r="222" spans="1:31" x14ac:dyDescent="0.2">
      <c r="A222" s="200" t="s">
        <v>8472</v>
      </c>
      <c r="B222" s="201">
        <v>44829</v>
      </c>
      <c r="C222" s="202"/>
      <c r="D222" s="218"/>
      <c r="E222" s="218"/>
      <c r="F222" s="218"/>
      <c r="G222" s="218"/>
      <c r="H222" s="218"/>
      <c r="I222" s="218"/>
      <c r="J222" s="203" t="e">
        <f t="shared" si="13"/>
        <v>#DIV/0!</v>
      </c>
      <c r="K222" s="218"/>
      <c r="L222" s="218"/>
      <c r="M222" s="218"/>
      <c r="N222" s="218"/>
      <c r="O222" s="214" t="e">
        <f t="shared" si="14"/>
        <v>#DIV/0!</v>
      </c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03">
        <f t="shared" si="15"/>
        <v>0</v>
      </c>
      <c r="AA222" s="203">
        <f t="shared" si="12"/>
        <v>0</v>
      </c>
      <c r="AB222" s="218"/>
      <c r="AC222" s="218"/>
      <c r="AD222" s="218"/>
      <c r="AE222" s="218"/>
    </row>
    <row r="223" spans="1:31" x14ac:dyDescent="0.2">
      <c r="A223" s="200" t="s">
        <v>8473</v>
      </c>
      <c r="B223" s="201">
        <v>44830</v>
      </c>
      <c r="C223" s="202"/>
      <c r="D223" s="218"/>
      <c r="E223" s="218"/>
      <c r="F223" s="218"/>
      <c r="G223" s="218"/>
      <c r="H223" s="218"/>
      <c r="I223" s="218"/>
      <c r="J223" s="203" t="e">
        <f t="shared" si="13"/>
        <v>#DIV/0!</v>
      </c>
      <c r="K223" s="218"/>
      <c r="L223" s="218"/>
      <c r="M223" s="218"/>
      <c r="N223" s="218"/>
      <c r="O223" s="214" t="e">
        <f t="shared" si="14"/>
        <v>#DIV/0!</v>
      </c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03">
        <f t="shared" si="15"/>
        <v>0</v>
      </c>
      <c r="AA223" s="203">
        <f t="shared" si="12"/>
        <v>0</v>
      </c>
      <c r="AB223" s="218"/>
      <c r="AC223" s="218"/>
      <c r="AD223" s="218"/>
      <c r="AE223" s="218"/>
    </row>
    <row r="224" spans="1:31" x14ac:dyDescent="0.2">
      <c r="A224" s="200" t="s">
        <v>8474</v>
      </c>
      <c r="B224" s="201">
        <v>44831</v>
      </c>
      <c r="C224" s="202"/>
      <c r="D224" s="218"/>
      <c r="E224" s="218"/>
      <c r="F224" s="218"/>
      <c r="G224" s="218"/>
      <c r="H224" s="218"/>
      <c r="I224" s="218"/>
      <c r="J224" s="203" t="e">
        <f t="shared" si="13"/>
        <v>#DIV/0!</v>
      </c>
      <c r="K224" s="218"/>
      <c r="L224" s="218"/>
      <c r="M224" s="218"/>
      <c r="N224" s="218"/>
      <c r="O224" s="214" t="e">
        <f t="shared" si="14"/>
        <v>#DIV/0!</v>
      </c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03">
        <f t="shared" si="15"/>
        <v>0</v>
      </c>
      <c r="AA224" s="203">
        <f t="shared" si="12"/>
        <v>0</v>
      </c>
      <c r="AB224" s="218"/>
      <c r="AC224" s="218"/>
      <c r="AD224" s="218"/>
      <c r="AE224" s="218"/>
    </row>
    <row r="225" spans="1:31" x14ac:dyDescent="0.2">
      <c r="A225" s="200" t="s">
        <v>8475</v>
      </c>
      <c r="B225" s="201">
        <v>44832</v>
      </c>
      <c r="C225" s="202"/>
      <c r="D225" s="218"/>
      <c r="E225" s="218"/>
      <c r="F225" s="218"/>
      <c r="G225" s="218"/>
      <c r="H225" s="218"/>
      <c r="I225" s="218"/>
      <c r="J225" s="203" t="e">
        <f t="shared" si="13"/>
        <v>#DIV/0!</v>
      </c>
      <c r="K225" s="218"/>
      <c r="L225" s="218"/>
      <c r="M225" s="218"/>
      <c r="N225" s="218"/>
      <c r="O225" s="214" t="e">
        <f t="shared" si="14"/>
        <v>#DIV/0!</v>
      </c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03">
        <f t="shared" si="15"/>
        <v>0</v>
      </c>
      <c r="AA225" s="203">
        <f t="shared" si="12"/>
        <v>0</v>
      </c>
      <c r="AB225" s="218"/>
      <c r="AC225" s="218"/>
      <c r="AD225" s="218"/>
      <c r="AE225" s="218"/>
    </row>
    <row r="226" spans="1:31" x14ac:dyDescent="0.2">
      <c r="A226" s="200" t="s">
        <v>8476</v>
      </c>
      <c r="B226" s="201">
        <v>44833</v>
      </c>
      <c r="C226" s="202"/>
      <c r="D226" s="218"/>
      <c r="E226" s="218"/>
      <c r="F226" s="218"/>
      <c r="G226" s="218"/>
      <c r="H226" s="218"/>
      <c r="I226" s="218"/>
      <c r="J226" s="203" t="e">
        <f t="shared" si="13"/>
        <v>#DIV/0!</v>
      </c>
      <c r="K226" s="218"/>
      <c r="L226" s="218"/>
      <c r="M226" s="218"/>
      <c r="N226" s="218"/>
      <c r="O226" s="214" t="e">
        <f t="shared" si="14"/>
        <v>#DIV/0!</v>
      </c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03">
        <f t="shared" si="15"/>
        <v>0</v>
      </c>
      <c r="AA226" s="203">
        <f t="shared" si="12"/>
        <v>0</v>
      </c>
      <c r="AB226" s="218"/>
      <c r="AC226" s="218"/>
      <c r="AD226" s="218"/>
      <c r="AE226" s="218"/>
    </row>
    <row r="227" spans="1:31" x14ac:dyDescent="0.2">
      <c r="A227" s="200" t="s">
        <v>8477</v>
      </c>
      <c r="B227" s="201">
        <v>44834</v>
      </c>
      <c r="C227" s="202"/>
      <c r="D227" s="218"/>
      <c r="E227" s="218"/>
      <c r="F227" s="218"/>
      <c r="G227" s="218"/>
      <c r="H227" s="218"/>
      <c r="I227" s="218"/>
      <c r="J227" s="203" t="e">
        <f t="shared" si="13"/>
        <v>#DIV/0!</v>
      </c>
      <c r="K227" s="218"/>
      <c r="L227" s="218"/>
      <c r="M227" s="218"/>
      <c r="N227" s="218"/>
      <c r="O227" s="214" t="e">
        <f t="shared" si="14"/>
        <v>#DIV/0!</v>
      </c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03">
        <f t="shared" si="15"/>
        <v>0</v>
      </c>
      <c r="AA227" s="203">
        <f t="shared" si="12"/>
        <v>0</v>
      </c>
      <c r="AB227" s="218"/>
      <c r="AC227" s="218"/>
      <c r="AD227" s="218"/>
      <c r="AE227" s="218"/>
    </row>
    <row r="228" spans="1:31" x14ac:dyDescent="0.2">
      <c r="A228" s="200" t="s">
        <v>8478</v>
      </c>
      <c r="B228" s="201">
        <v>44835</v>
      </c>
      <c r="C228" s="202"/>
      <c r="D228" s="218"/>
      <c r="E228" s="218"/>
      <c r="F228" s="218"/>
      <c r="G228" s="218"/>
      <c r="H228" s="218"/>
      <c r="I228" s="218"/>
      <c r="J228" s="203" t="e">
        <f t="shared" si="13"/>
        <v>#DIV/0!</v>
      </c>
      <c r="K228" s="218"/>
      <c r="L228" s="218"/>
      <c r="M228" s="218"/>
      <c r="N228" s="218"/>
      <c r="O228" s="214" t="e">
        <f t="shared" si="14"/>
        <v>#DIV/0!</v>
      </c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03">
        <f t="shared" si="15"/>
        <v>0</v>
      </c>
      <c r="AA228" s="203">
        <f t="shared" si="12"/>
        <v>0</v>
      </c>
      <c r="AB228" s="218"/>
      <c r="AC228" s="218"/>
      <c r="AD228" s="218"/>
      <c r="AE228" s="218"/>
    </row>
    <row r="229" spans="1:31" x14ac:dyDescent="0.2">
      <c r="A229" s="200" t="s">
        <v>8479</v>
      </c>
      <c r="B229" s="201">
        <v>44836</v>
      </c>
      <c r="C229" s="202"/>
      <c r="D229" s="218"/>
      <c r="E229" s="218"/>
      <c r="F229" s="218"/>
      <c r="G229" s="218"/>
      <c r="H229" s="218"/>
      <c r="I229" s="218"/>
      <c r="J229" s="203" t="e">
        <f t="shared" si="13"/>
        <v>#DIV/0!</v>
      </c>
      <c r="K229" s="218"/>
      <c r="L229" s="218"/>
      <c r="M229" s="218"/>
      <c r="N229" s="218"/>
      <c r="O229" s="214" t="e">
        <f t="shared" si="14"/>
        <v>#DIV/0!</v>
      </c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03">
        <f t="shared" si="15"/>
        <v>0</v>
      </c>
      <c r="AA229" s="203">
        <f t="shared" si="12"/>
        <v>0</v>
      </c>
      <c r="AB229" s="218"/>
      <c r="AC229" s="218"/>
      <c r="AD229" s="218"/>
      <c r="AE229" s="218"/>
    </row>
    <row r="230" spans="1:31" x14ac:dyDescent="0.2">
      <c r="A230" s="200" t="s">
        <v>8480</v>
      </c>
      <c r="B230" s="201">
        <v>44837</v>
      </c>
      <c r="C230" s="202"/>
      <c r="D230" s="218"/>
      <c r="E230" s="218"/>
      <c r="F230" s="218"/>
      <c r="G230" s="218"/>
      <c r="H230" s="218"/>
      <c r="I230" s="218"/>
      <c r="J230" s="203" t="e">
        <f t="shared" si="13"/>
        <v>#DIV/0!</v>
      </c>
      <c r="K230" s="218"/>
      <c r="L230" s="218"/>
      <c r="M230" s="218"/>
      <c r="N230" s="218"/>
      <c r="O230" s="214" t="e">
        <f t="shared" si="14"/>
        <v>#DIV/0!</v>
      </c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03">
        <f t="shared" si="15"/>
        <v>0</v>
      </c>
      <c r="AA230" s="203">
        <f t="shared" si="12"/>
        <v>0</v>
      </c>
      <c r="AB230" s="218"/>
      <c r="AC230" s="218"/>
      <c r="AD230" s="218"/>
      <c r="AE230" s="218"/>
    </row>
    <row r="231" spans="1:31" x14ac:dyDescent="0.2">
      <c r="A231" s="200" t="s">
        <v>8481</v>
      </c>
      <c r="B231" s="201">
        <v>44838</v>
      </c>
      <c r="C231" s="202"/>
      <c r="D231" s="218"/>
      <c r="E231" s="218"/>
      <c r="F231" s="218"/>
      <c r="G231" s="218"/>
      <c r="H231" s="218"/>
      <c r="I231" s="218"/>
      <c r="J231" s="203" t="e">
        <f t="shared" si="13"/>
        <v>#DIV/0!</v>
      </c>
      <c r="K231" s="218"/>
      <c r="L231" s="218"/>
      <c r="M231" s="218"/>
      <c r="N231" s="218"/>
      <c r="O231" s="214" t="e">
        <f t="shared" si="14"/>
        <v>#DIV/0!</v>
      </c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03">
        <f t="shared" si="15"/>
        <v>0</v>
      </c>
      <c r="AA231" s="203">
        <f t="shared" si="12"/>
        <v>0</v>
      </c>
      <c r="AB231" s="218"/>
      <c r="AC231" s="218"/>
      <c r="AD231" s="218"/>
      <c r="AE231" s="218"/>
    </row>
    <row r="232" spans="1:31" x14ac:dyDescent="0.2">
      <c r="A232" s="200" t="s">
        <v>8482</v>
      </c>
      <c r="B232" s="201">
        <v>44839</v>
      </c>
      <c r="C232" s="202"/>
      <c r="D232" s="218"/>
      <c r="E232" s="218"/>
      <c r="F232" s="218"/>
      <c r="G232" s="218"/>
      <c r="H232" s="218"/>
      <c r="I232" s="218"/>
      <c r="J232" s="203" t="e">
        <f t="shared" si="13"/>
        <v>#DIV/0!</v>
      </c>
      <c r="K232" s="218"/>
      <c r="L232" s="218"/>
      <c r="M232" s="218"/>
      <c r="N232" s="218"/>
      <c r="O232" s="214" t="e">
        <f t="shared" si="14"/>
        <v>#DIV/0!</v>
      </c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03">
        <f t="shared" si="15"/>
        <v>0</v>
      </c>
      <c r="AA232" s="203">
        <f t="shared" si="12"/>
        <v>0</v>
      </c>
      <c r="AB232" s="218"/>
      <c r="AC232" s="218"/>
      <c r="AD232" s="218"/>
      <c r="AE232" s="218"/>
    </row>
    <row r="233" spans="1:31" x14ac:dyDescent="0.2">
      <c r="A233" s="200" t="s">
        <v>8483</v>
      </c>
      <c r="B233" s="201">
        <v>44840</v>
      </c>
      <c r="C233" s="202"/>
      <c r="D233" s="218"/>
      <c r="E233" s="218"/>
      <c r="F233" s="218"/>
      <c r="G233" s="218"/>
      <c r="H233" s="218"/>
      <c r="I233" s="218"/>
      <c r="J233" s="203" t="e">
        <f t="shared" si="13"/>
        <v>#DIV/0!</v>
      </c>
      <c r="K233" s="218"/>
      <c r="L233" s="218"/>
      <c r="M233" s="218"/>
      <c r="N233" s="218"/>
      <c r="O233" s="214" t="e">
        <f t="shared" si="14"/>
        <v>#DIV/0!</v>
      </c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03">
        <f t="shared" si="15"/>
        <v>0</v>
      </c>
      <c r="AA233" s="203">
        <f t="shared" si="12"/>
        <v>0</v>
      </c>
      <c r="AB233" s="218"/>
      <c r="AC233" s="218"/>
      <c r="AD233" s="218"/>
      <c r="AE233" s="218"/>
    </row>
    <row r="234" spans="1:31" x14ac:dyDescent="0.2">
      <c r="A234" s="200" t="s">
        <v>8484</v>
      </c>
      <c r="B234" s="201">
        <v>44841</v>
      </c>
      <c r="C234" s="202"/>
      <c r="D234" s="218"/>
      <c r="E234" s="218"/>
      <c r="F234" s="218"/>
      <c r="G234" s="218"/>
      <c r="H234" s="218"/>
      <c r="I234" s="218"/>
      <c r="J234" s="203" t="e">
        <f t="shared" si="13"/>
        <v>#DIV/0!</v>
      </c>
      <c r="K234" s="218"/>
      <c r="L234" s="218"/>
      <c r="M234" s="218"/>
      <c r="N234" s="218"/>
      <c r="O234" s="214" t="e">
        <f t="shared" si="14"/>
        <v>#DIV/0!</v>
      </c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03">
        <f t="shared" si="15"/>
        <v>0</v>
      </c>
      <c r="AA234" s="203">
        <f t="shared" si="12"/>
        <v>0</v>
      </c>
      <c r="AB234" s="218"/>
      <c r="AC234" s="218"/>
      <c r="AD234" s="218"/>
      <c r="AE234" s="218"/>
    </row>
    <row r="235" spans="1:31" x14ac:dyDescent="0.2">
      <c r="A235" s="200" t="s">
        <v>8485</v>
      </c>
      <c r="B235" s="201">
        <v>44842</v>
      </c>
      <c r="C235" s="202"/>
      <c r="D235" s="218"/>
      <c r="E235" s="218"/>
      <c r="F235" s="218"/>
      <c r="G235" s="218"/>
      <c r="H235" s="218"/>
      <c r="I235" s="218"/>
      <c r="J235" s="203" t="e">
        <f t="shared" si="13"/>
        <v>#DIV/0!</v>
      </c>
      <c r="K235" s="218"/>
      <c r="L235" s="218"/>
      <c r="M235" s="218"/>
      <c r="N235" s="218"/>
      <c r="O235" s="214" t="e">
        <f t="shared" si="14"/>
        <v>#DIV/0!</v>
      </c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03">
        <f t="shared" si="15"/>
        <v>0</v>
      </c>
      <c r="AA235" s="203">
        <f t="shared" si="12"/>
        <v>0</v>
      </c>
      <c r="AB235" s="218"/>
      <c r="AC235" s="218"/>
      <c r="AD235" s="218"/>
      <c r="AE235" s="218"/>
    </row>
    <row r="236" spans="1:31" x14ac:dyDescent="0.2">
      <c r="A236" s="200" t="s">
        <v>8486</v>
      </c>
      <c r="B236" s="201">
        <v>44855</v>
      </c>
      <c r="C236" s="202">
        <v>2</v>
      </c>
      <c r="D236" s="218" t="s">
        <v>196</v>
      </c>
      <c r="E236" s="218">
        <v>47</v>
      </c>
      <c r="F236" s="218">
        <v>55.9</v>
      </c>
      <c r="G236" s="218">
        <v>1.52</v>
      </c>
      <c r="H236" s="218">
        <v>78</v>
      </c>
      <c r="I236" s="218">
        <v>91</v>
      </c>
      <c r="J236" s="203">
        <f t="shared" si="13"/>
        <v>0.8571428571428571</v>
      </c>
      <c r="K236" s="218">
        <v>25.5</v>
      </c>
      <c r="L236" s="218">
        <v>4</v>
      </c>
      <c r="M236" s="218">
        <v>39</v>
      </c>
      <c r="N236" s="218">
        <v>24</v>
      </c>
      <c r="O236" s="214">
        <f t="shared" si="14"/>
        <v>24.194944598337951</v>
      </c>
      <c r="P236" s="218">
        <v>152</v>
      </c>
      <c r="Q236" s="218">
        <v>63</v>
      </c>
      <c r="R236" s="218">
        <v>75.599999999999994</v>
      </c>
      <c r="S236" s="218">
        <v>191</v>
      </c>
      <c r="T236" s="218">
        <v>38.6</v>
      </c>
      <c r="U236" s="218">
        <v>16.600000000000001</v>
      </c>
      <c r="V236" s="218">
        <v>147.1</v>
      </c>
      <c r="W236" s="218">
        <v>0.84</v>
      </c>
      <c r="X236" s="218">
        <v>72.5</v>
      </c>
      <c r="Y236" s="218">
        <v>23.3</v>
      </c>
      <c r="Z236" s="203">
        <f t="shared" si="15"/>
        <v>29.42</v>
      </c>
      <c r="AA236" s="203">
        <f t="shared" si="12"/>
        <v>89.08</v>
      </c>
      <c r="AB236" s="218"/>
      <c r="AC236" s="218"/>
      <c r="AD236" s="218"/>
      <c r="AE236" s="218"/>
    </row>
    <row r="237" spans="1:31" x14ac:dyDescent="0.2">
      <c r="A237" s="200" t="s">
        <v>8487</v>
      </c>
      <c r="B237" s="201">
        <v>44859</v>
      </c>
      <c r="C237" s="202">
        <v>2</v>
      </c>
      <c r="D237" s="218" t="s">
        <v>196</v>
      </c>
      <c r="E237" s="218">
        <v>61</v>
      </c>
      <c r="F237" s="218">
        <v>80.400000000000006</v>
      </c>
      <c r="G237" s="218">
        <v>1.52</v>
      </c>
      <c r="H237" s="218">
        <v>120</v>
      </c>
      <c r="I237" s="218">
        <v>117</v>
      </c>
      <c r="J237" s="203">
        <f t="shared" si="13"/>
        <v>1.0256410256410255</v>
      </c>
      <c r="K237" s="218">
        <v>47.2</v>
      </c>
      <c r="L237" s="218">
        <v>13</v>
      </c>
      <c r="M237" s="218">
        <v>40.299999999999997</v>
      </c>
      <c r="N237" s="218">
        <v>90</v>
      </c>
      <c r="O237" s="214">
        <f t="shared" si="14"/>
        <v>34.799168975069257</v>
      </c>
      <c r="P237" s="218">
        <v>140</v>
      </c>
      <c r="Q237" s="218">
        <v>79</v>
      </c>
      <c r="R237" s="218">
        <v>88.5</v>
      </c>
      <c r="S237" s="218">
        <v>177</v>
      </c>
      <c r="T237" s="218">
        <v>39.6</v>
      </c>
      <c r="U237" s="218">
        <v>21.4</v>
      </c>
      <c r="V237" s="220">
        <v>229</v>
      </c>
      <c r="W237" s="218">
        <v>1.1399999999999999</v>
      </c>
      <c r="X237" s="218">
        <v>107.8</v>
      </c>
      <c r="Y237" s="218">
        <v>42.7</v>
      </c>
      <c r="Z237" s="203">
        <f t="shared" si="15"/>
        <v>45.800000000000004</v>
      </c>
      <c r="AA237" s="203">
        <f t="shared" si="12"/>
        <v>23.4</v>
      </c>
      <c r="AB237" s="218"/>
      <c r="AC237" s="218"/>
      <c r="AD237" s="218"/>
      <c r="AE237" s="218"/>
    </row>
    <row r="238" spans="1:31" x14ac:dyDescent="0.2">
      <c r="A238" s="200" t="s">
        <v>8488</v>
      </c>
      <c r="B238" s="201">
        <v>44845</v>
      </c>
      <c r="C238" s="202"/>
      <c r="D238" s="218"/>
      <c r="E238" s="218"/>
      <c r="F238" s="218"/>
      <c r="G238" s="218"/>
      <c r="H238" s="218"/>
      <c r="I238" s="218"/>
      <c r="J238" s="203" t="e">
        <f t="shared" si="13"/>
        <v>#DIV/0!</v>
      </c>
      <c r="K238" s="218"/>
      <c r="L238" s="218"/>
      <c r="M238" s="218"/>
      <c r="N238" s="218"/>
      <c r="O238" s="214" t="e">
        <f t="shared" si="14"/>
        <v>#DIV/0!</v>
      </c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03">
        <f t="shared" si="15"/>
        <v>0</v>
      </c>
      <c r="AA238" s="203">
        <f t="shared" ref="AA238:AA301" si="16">S238-X238-Z238</f>
        <v>0</v>
      </c>
      <c r="AB238" s="218"/>
      <c r="AC238" s="218"/>
      <c r="AD238" s="218"/>
      <c r="AE238" s="218"/>
    </row>
    <row r="239" spans="1:31" x14ac:dyDescent="0.2">
      <c r="A239" s="200" t="s">
        <v>8489</v>
      </c>
      <c r="B239" s="201">
        <v>44846</v>
      </c>
      <c r="C239" s="202">
        <v>2</v>
      </c>
      <c r="D239" s="218" t="s">
        <v>675</v>
      </c>
      <c r="E239" s="218">
        <v>22</v>
      </c>
      <c r="F239" s="218">
        <v>74.5</v>
      </c>
      <c r="G239" s="218">
        <v>1.64</v>
      </c>
      <c r="H239" s="218">
        <v>84</v>
      </c>
      <c r="I239" s="218">
        <v>104</v>
      </c>
      <c r="J239" s="203">
        <f t="shared" si="13"/>
        <v>0.80769230769230771</v>
      </c>
      <c r="K239" s="218">
        <v>20.7</v>
      </c>
      <c r="L239" s="218">
        <v>5</v>
      </c>
      <c r="M239" s="218">
        <v>56.1</v>
      </c>
      <c r="N239" s="218"/>
      <c r="O239" s="214">
        <f t="shared" si="14"/>
        <v>27.699286139202862</v>
      </c>
      <c r="P239" s="218">
        <v>131</v>
      </c>
      <c r="Q239" s="218">
        <v>83</v>
      </c>
      <c r="R239" s="218">
        <v>78</v>
      </c>
      <c r="S239" s="218">
        <v>163</v>
      </c>
      <c r="T239" s="218"/>
      <c r="U239" s="218">
        <v>14.7</v>
      </c>
      <c r="V239" s="218">
        <v>84</v>
      </c>
      <c r="W239" s="218">
        <v>2</v>
      </c>
      <c r="X239" s="218">
        <v>82</v>
      </c>
      <c r="Y239" s="218"/>
      <c r="Z239" s="203">
        <f t="shared" si="15"/>
        <v>16.8</v>
      </c>
      <c r="AA239" s="203">
        <f t="shared" si="16"/>
        <v>64.2</v>
      </c>
      <c r="AB239" s="218"/>
      <c r="AC239" s="218"/>
      <c r="AD239" s="218"/>
      <c r="AE239" s="218"/>
    </row>
    <row r="240" spans="1:31" x14ac:dyDescent="0.2">
      <c r="A240" s="200" t="s">
        <v>8490</v>
      </c>
      <c r="B240" s="201">
        <v>44859</v>
      </c>
      <c r="C240" s="202">
        <v>1</v>
      </c>
      <c r="D240" s="218" t="s">
        <v>196</v>
      </c>
      <c r="E240" s="218">
        <v>43</v>
      </c>
      <c r="F240" s="218">
        <v>57.1</v>
      </c>
      <c r="G240" s="218">
        <v>1.61</v>
      </c>
      <c r="H240" s="218">
        <v>76</v>
      </c>
      <c r="I240" s="218">
        <v>96</v>
      </c>
      <c r="J240" s="203">
        <f t="shared" si="13"/>
        <v>0.79166666666666663</v>
      </c>
      <c r="K240" s="218">
        <v>28.8</v>
      </c>
      <c r="L240" s="218">
        <v>4</v>
      </c>
      <c r="M240" s="218">
        <v>38.6</v>
      </c>
      <c r="N240" s="218">
        <v>30</v>
      </c>
      <c r="O240" s="214">
        <f t="shared" si="14"/>
        <v>22.028471123799235</v>
      </c>
      <c r="P240" s="218">
        <v>104</v>
      </c>
      <c r="Q240" s="218">
        <v>83</v>
      </c>
      <c r="R240" s="218">
        <v>77.7</v>
      </c>
      <c r="S240" s="218">
        <v>129</v>
      </c>
      <c r="T240" s="218">
        <v>43</v>
      </c>
      <c r="U240" s="218">
        <v>19</v>
      </c>
      <c r="V240" s="218">
        <v>70.8</v>
      </c>
      <c r="W240" s="218">
        <v>1.03</v>
      </c>
      <c r="X240" s="218">
        <v>59.7</v>
      </c>
      <c r="Y240" s="218">
        <v>30.3</v>
      </c>
      <c r="Z240" s="203">
        <f t="shared" si="15"/>
        <v>14.16</v>
      </c>
      <c r="AA240" s="203">
        <f t="shared" si="16"/>
        <v>55.14</v>
      </c>
      <c r="AB240" s="218"/>
      <c r="AC240" s="218"/>
      <c r="AD240" s="218"/>
      <c r="AE240" s="218"/>
    </row>
    <row r="241" spans="1:31" x14ac:dyDescent="0.2">
      <c r="A241" s="200" t="s">
        <v>8491</v>
      </c>
      <c r="B241" s="201">
        <v>44848</v>
      </c>
      <c r="C241" s="202">
        <v>2</v>
      </c>
      <c r="D241" s="218" t="s">
        <v>196</v>
      </c>
      <c r="E241" s="218">
        <v>51</v>
      </c>
      <c r="F241" s="218">
        <v>72</v>
      </c>
      <c r="G241" s="218">
        <v>1.66</v>
      </c>
      <c r="H241" s="218">
        <v>90</v>
      </c>
      <c r="I241" s="218">
        <v>100</v>
      </c>
      <c r="J241" s="203">
        <f t="shared" si="13"/>
        <v>0.9</v>
      </c>
      <c r="K241" s="218">
        <v>34.5</v>
      </c>
      <c r="L241" s="218">
        <v>7</v>
      </c>
      <c r="M241" s="218">
        <v>43.2</v>
      </c>
      <c r="N241" s="218">
        <v>55</v>
      </c>
      <c r="O241" s="214">
        <f t="shared" si="14"/>
        <v>26.1286108288576</v>
      </c>
      <c r="P241" s="218">
        <v>96</v>
      </c>
      <c r="Q241" s="218">
        <v>68</v>
      </c>
      <c r="R241" s="218">
        <v>74</v>
      </c>
      <c r="S241" s="218">
        <v>157</v>
      </c>
      <c r="T241" s="218">
        <v>53.8</v>
      </c>
      <c r="U241" s="218">
        <v>52.9</v>
      </c>
      <c r="V241" s="220">
        <v>282.60000000000002</v>
      </c>
      <c r="W241" s="218">
        <v>0.87</v>
      </c>
      <c r="X241" s="218">
        <v>41.6</v>
      </c>
      <c r="Y241" s="218">
        <v>27.3</v>
      </c>
      <c r="Z241" s="203">
        <f t="shared" si="15"/>
        <v>56.52000000000001</v>
      </c>
      <c r="AA241" s="203">
        <f t="shared" si="16"/>
        <v>58.879999999999995</v>
      </c>
      <c r="AB241" s="218"/>
      <c r="AC241" s="218"/>
      <c r="AD241" s="218"/>
      <c r="AE241" s="218"/>
    </row>
    <row r="242" spans="1:31" x14ac:dyDescent="0.2">
      <c r="A242" s="200" t="s">
        <v>8492</v>
      </c>
      <c r="B242" s="201">
        <v>44852</v>
      </c>
      <c r="C242" s="202">
        <v>2</v>
      </c>
      <c r="D242" s="218" t="s">
        <v>675</v>
      </c>
      <c r="E242" s="218">
        <v>29</v>
      </c>
      <c r="F242" s="218">
        <v>84.6</v>
      </c>
      <c r="G242" s="218">
        <v>1.68</v>
      </c>
      <c r="H242" s="218">
        <v>92</v>
      </c>
      <c r="I242" s="218">
        <v>109</v>
      </c>
      <c r="J242" s="203">
        <f t="shared" si="13"/>
        <v>0.84403669724770647</v>
      </c>
      <c r="K242" s="218">
        <v>20.9</v>
      </c>
      <c r="L242" s="218">
        <v>7</v>
      </c>
      <c r="M242" s="218">
        <v>63.6</v>
      </c>
      <c r="N242" s="218"/>
      <c r="O242" s="214">
        <f t="shared" si="14"/>
        <v>29.97448979591837</v>
      </c>
      <c r="P242" s="218">
        <v>141</v>
      </c>
      <c r="Q242" s="218">
        <v>96</v>
      </c>
      <c r="R242" s="218">
        <v>96.6</v>
      </c>
      <c r="S242" s="218">
        <v>196</v>
      </c>
      <c r="T242" s="218">
        <v>46.3</v>
      </c>
      <c r="U242" s="218">
        <v>41.3</v>
      </c>
      <c r="V242" s="218">
        <v>73.8</v>
      </c>
      <c r="W242" s="218">
        <v>0.81</v>
      </c>
      <c r="X242" s="218">
        <v>86</v>
      </c>
      <c r="Y242" s="218"/>
      <c r="Z242" s="203">
        <f t="shared" si="15"/>
        <v>14.76</v>
      </c>
      <c r="AA242" s="203">
        <f t="shared" si="16"/>
        <v>95.24</v>
      </c>
      <c r="AB242" s="218"/>
      <c r="AC242" s="218"/>
      <c r="AD242" s="218"/>
      <c r="AE242" s="218"/>
    </row>
    <row r="243" spans="1:31" x14ac:dyDescent="0.2">
      <c r="A243" s="200" t="s">
        <v>8493</v>
      </c>
      <c r="B243" s="201">
        <v>44850</v>
      </c>
      <c r="C243" s="202"/>
      <c r="D243" s="218"/>
      <c r="E243" s="218"/>
      <c r="F243" s="218"/>
      <c r="G243" s="218"/>
      <c r="H243" s="218"/>
      <c r="I243" s="218"/>
      <c r="J243" s="203" t="e">
        <f t="shared" si="13"/>
        <v>#DIV/0!</v>
      </c>
      <c r="K243" s="218"/>
      <c r="L243" s="218"/>
      <c r="M243" s="218"/>
      <c r="N243" s="218"/>
      <c r="O243" s="214" t="e">
        <f t="shared" si="14"/>
        <v>#DIV/0!</v>
      </c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03">
        <f t="shared" si="15"/>
        <v>0</v>
      </c>
      <c r="AA243" s="203">
        <f t="shared" si="16"/>
        <v>0</v>
      </c>
      <c r="AB243" s="218"/>
      <c r="AC243" s="218"/>
      <c r="AD243" s="218"/>
      <c r="AE243" s="218"/>
    </row>
    <row r="244" spans="1:31" x14ac:dyDescent="0.2">
      <c r="A244" s="200" t="s">
        <v>8494</v>
      </c>
      <c r="B244" s="201">
        <v>44854</v>
      </c>
      <c r="C244" s="202">
        <v>2</v>
      </c>
      <c r="D244" s="218" t="s">
        <v>196</v>
      </c>
      <c r="E244" s="218">
        <v>4</v>
      </c>
      <c r="F244" s="218">
        <v>76.8</v>
      </c>
      <c r="G244" s="218">
        <v>1.5449999999999999</v>
      </c>
      <c r="H244" s="218">
        <v>95</v>
      </c>
      <c r="I244" s="218">
        <v>118</v>
      </c>
      <c r="J244" s="203">
        <f t="shared" si="13"/>
        <v>0.80508474576271183</v>
      </c>
      <c r="K244" s="218">
        <v>43.5</v>
      </c>
      <c r="L244" s="218">
        <v>10</v>
      </c>
      <c r="M244" s="218">
        <v>41.2</v>
      </c>
      <c r="N244" s="218"/>
      <c r="O244" s="214">
        <f t="shared" si="14"/>
        <v>32.173940365098815</v>
      </c>
      <c r="P244" s="218">
        <v>117</v>
      </c>
      <c r="Q244" s="218">
        <v>86</v>
      </c>
      <c r="R244" s="218">
        <v>73</v>
      </c>
      <c r="S244" s="218">
        <v>237</v>
      </c>
      <c r="T244" s="218"/>
      <c r="U244" s="218">
        <v>16.03</v>
      </c>
      <c r="V244" s="218">
        <v>104</v>
      </c>
      <c r="W244" s="218">
        <v>1</v>
      </c>
      <c r="X244" s="218">
        <v>85</v>
      </c>
      <c r="Y244" s="218"/>
      <c r="Z244" s="203">
        <f>V244*0.2</f>
        <v>20.8</v>
      </c>
      <c r="AA244" s="203">
        <f t="shared" si="16"/>
        <v>131.19999999999999</v>
      </c>
      <c r="AB244" s="218"/>
      <c r="AC244" s="218"/>
      <c r="AD244" s="218"/>
      <c r="AE244" s="218"/>
    </row>
    <row r="245" spans="1:31" x14ac:dyDescent="0.2">
      <c r="A245" s="200" t="s">
        <v>8495</v>
      </c>
      <c r="B245" s="201">
        <v>44852</v>
      </c>
      <c r="C245" s="202"/>
      <c r="D245" s="218"/>
      <c r="E245" s="218"/>
      <c r="F245" s="218"/>
      <c r="G245" s="218"/>
      <c r="H245" s="218"/>
      <c r="I245" s="218"/>
      <c r="J245" s="203" t="e">
        <f t="shared" si="13"/>
        <v>#DIV/0!</v>
      </c>
      <c r="K245" s="218"/>
      <c r="L245" s="218"/>
      <c r="M245" s="218"/>
      <c r="N245" s="218"/>
      <c r="O245" s="214" t="e">
        <f t="shared" si="14"/>
        <v>#DIV/0!</v>
      </c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03">
        <f t="shared" ref="Z245:Z308" si="17">V245*0.2</f>
        <v>0</v>
      </c>
      <c r="AA245" s="203">
        <f t="shared" si="16"/>
        <v>0</v>
      </c>
      <c r="AB245" s="218"/>
      <c r="AC245" s="218"/>
      <c r="AD245" s="218"/>
      <c r="AE245" s="218"/>
    </row>
    <row r="246" spans="1:31" x14ac:dyDescent="0.2">
      <c r="A246" s="200" t="s">
        <v>8496</v>
      </c>
      <c r="B246" s="201">
        <v>44853</v>
      </c>
      <c r="C246" s="202"/>
      <c r="D246" s="218"/>
      <c r="E246" s="218"/>
      <c r="F246" s="218"/>
      <c r="G246" s="218"/>
      <c r="H246" s="218"/>
      <c r="I246" s="218"/>
      <c r="J246" s="203" t="e">
        <f t="shared" si="13"/>
        <v>#DIV/0!</v>
      </c>
      <c r="K246" s="218"/>
      <c r="L246" s="218"/>
      <c r="M246" s="218"/>
      <c r="N246" s="218"/>
      <c r="O246" s="214" t="e">
        <f t="shared" si="14"/>
        <v>#DIV/0!</v>
      </c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03">
        <f t="shared" si="17"/>
        <v>0</v>
      </c>
      <c r="AA246" s="203">
        <f t="shared" si="16"/>
        <v>0</v>
      </c>
      <c r="AB246" s="218"/>
      <c r="AC246" s="218"/>
      <c r="AD246" s="218"/>
      <c r="AE246" s="218"/>
    </row>
    <row r="247" spans="1:31" x14ac:dyDescent="0.2">
      <c r="A247" s="200" t="s">
        <v>8497</v>
      </c>
      <c r="B247" s="201">
        <v>44859</v>
      </c>
      <c r="C247" s="202">
        <v>2</v>
      </c>
      <c r="D247" s="218" t="s">
        <v>196</v>
      </c>
      <c r="E247" s="218">
        <v>46</v>
      </c>
      <c r="F247" s="218">
        <v>65.8</v>
      </c>
      <c r="G247" s="218">
        <v>1.56</v>
      </c>
      <c r="H247" s="218">
        <v>80</v>
      </c>
      <c r="I247" s="218">
        <v>102</v>
      </c>
      <c r="J247" s="203">
        <f t="shared" si="13"/>
        <v>0.78431372549019607</v>
      </c>
      <c r="K247" s="218">
        <v>32.9</v>
      </c>
      <c r="L247" s="218">
        <v>6</v>
      </c>
      <c r="M247" s="218">
        <v>41.9</v>
      </c>
      <c r="N247" s="218"/>
      <c r="O247" s="214">
        <f t="shared" si="14"/>
        <v>27.038132807363574</v>
      </c>
      <c r="P247" s="218">
        <v>98</v>
      </c>
      <c r="Q247" s="218">
        <v>73</v>
      </c>
      <c r="R247" s="218">
        <v>75.599999999999994</v>
      </c>
      <c r="S247" s="218">
        <v>168</v>
      </c>
      <c r="T247" s="218">
        <v>27.4</v>
      </c>
      <c r="U247" s="218">
        <v>5.9</v>
      </c>
      <c r="V247" s="218">
        <v>66.2</v>
      </c>
      <c r="W247" s="218">
        <v>1.03</v>
      </c>
      <c r="X247" s="218">
        <v>68.5</v>
      </c>
      <c r="Y247" s="218">
        <v>29.2</v>
      </c>
      <c r="Z247" s="203">
        <f t="shared" si="17"/>
        <v>13.240000000000002</v>
      </c>
      <c r="AA247" s="203">
        <f t="shared" si="16"/>
        <v>86.259999999999991</v>
      </c>
      <c r="AB247" s="218"/>
      <c r="AC247" s="218"/>
      <c r="AD247" s="218"/>
      <c r="AE247" s="218"/>
    </row>
    <row r="248" spans="1:31" x14ac:dyDescent="0.2">
      <c r="A248" s="200" t="s">
        <v>8498</v>
      </c>
      <c r="B248" s="201">
        <v>44855</v>
      </c>
      <c r="C248" s="202"/>
      <c r="D248" s="218"/>
      <c r="E248" s="218"/>
      <c r="F248" s="218"/>
      <c r="G248" s="218"/>
      <c r="H248" s="218"/>
      <c r="I248" s="218"/>
      <c r="J248" s="203" t="e">
        <f t="shared" si="13"/>
        <v>#DIV/0!</v>
      </c>
      <c r="K248" s="218"/>
      <c r="L248" s="218"/>
      <c r="M248" s="218"/>
      <c r="N248" s="218"/>
      <c r="O248" s="214" t="e">
        <f t="shared" si="14"/>
        <v>#DIV/0!</v>
      </c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03">
        <f t="shared" si="17"/>
        <v>0</v>
      </c>
      <c r="AA248" s="203">
        <f t="shared" si="16"/>
        <v>0</v>
      </c>
      <c r="AB248" s="218"/>
      <c r="AC248" s="218"/>
      <c r="AD248" s="218"/>
      <c r="AE248" s="218"/>
    </row>
    <row r="249" spans="1:31" x14ac:dyDescent="0.2">
      <c r="A249" s="200" t="s">
        <v>8499</v>
      </c>
      <c r="B249" s="201">
        <v>44856</v>
      </c>
      <c r="C249" s="202"/>
      <c r="D249" s="218"/>
      <c r="E249" s="218"/>
      <c r="F249" s="218"/>
      <c r="G249" s="218"/>
      <c r="H249" s="218"/>
      <c r="I249" s="218"/>
      <c r="J249" s="203" t="e">
        <f t="shared" si="13"/>
        <v>#DIV/0!</v>
      </c>
      <c r="K249" s="218"/>
      <c r="L249" s="218"/>
      <c r="M249" s="218"/>
      <c r="N249" s="218"/>
      <c r="O249" s="214" t="e">
        <f t="shared" si="14"/>
        <v>#DIV/0!</v>
      </c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03">
        <f t="shared" si="17"/>
        <v>0</v>
      </c>
      <c r="AA249" s="203">
        <f t="shared" si="16"/>
        <v>0</v>
      </c>
      <c r="AB249" s="218"/>
      <c r="AC249" s="218"/>
      <c r="AD249" s="218"/>
      <c r="AE249" s="218"/>
    </row>
    <row r="250" spans="1:31" x14ac:dyDescent="0.2">
      <c r="A250" s="200" t="s">
        <v>8500</v>
      </c>
      <c r="B250" s="201">
        <v>44857</v>
      </c>
      <c r="C250" s="202"/>
      <c r="D250" s="218"/>
      <c r="E250" s="218"/>
      <c r="F250" s="218"/>
      <c r="G250" s="218"/>
      <c r="H250" s="218"/>
      <c r="I250" s="218"/>
      <c r="J250" s="203" t="e">
        <f t="shared" si="13"/>
        <v>#DIV/0!</v>
      </c>
      <c r="K250" s="218"/>
      <c r="L250" s="218"/>
      <c r="M250" s="218"/>
      <c r="N250" s="218"/>
      <c r="O250" s="214" t="e">
        <f t="shared" si="14"/>
        <v>#DIV/0!</v>
      </c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03">
        <f t="shared" si="17"/>
        <v>0</v>
      </c>
      <c r="AA250" s="203">
        <f t="shared" si="16"/>
        <v>0</v>
      </c>
      <c r="AB250" s="218"/>
      <c r="AC250" s="218"/>
      <c r="AD250" s="218"/>
      <c r="AE250" s="218"/>
    </row>
    <row r="251" spans="1:31" x14ac:dyDescent="0.2">
      <c r="A251" s="200" t="s">
        <v>8501</v>
      </c>
      <c r="B251" s="201">
        <v>44858</v>
      </c>
      <c r="C251" s="202">
        <v>2</v>
      </c>
      <c r="D251" s="218" t="s">
        <v>196</v>
      </c>
      <c r="E251" s="218">
        <v>47</v>
      </c>
      <c r="F251" s="218">
        <v>62.7</v>
      </c>
      <c r="G251" s="218">
        <v>1.63</v>
      </c>
      <c r="H251" s="218">
        <v>79</v>
      </c>
      <c r="I251" s="218">
        <v>94</v>
      </c>
      <c r="J251" s="203">
        <f t="shared" si="13"/>
        <v>0.84042553191489366</v>
      </c>
      <c r="K251" s="218">
        <v>30.1</v>
      </c>
      <c r="L251" s="218">
        <v>5</v>
      </c>
      <c r="M251" s="218">
        <v>41.6</v>
      </c>
      <c r="N251" s="218"/>
      <c r="O251" s="214">
        <f t="shared" si="14"/>
        <v>23.598931085099178</v>
      </c>
      <c r="P251" s="218">
        <v>107</v>
      </c>
      <c r="Q251" s="218">
        <v>81</v>
      </c>
      <c r="R251" s="218">
        <v>94.7</v>
      </c>
      <c r="S251" s="218">
        <v>182</v>
      </c>
      <c r="T251" s="218">
        <v>53.2</v>
      </c>
      <c r="U251" s="218">
        <v>44.9</v>
      </c>
      <c r="V251" s="220">
        <v>220.1</v>
      </c>
      <c r="W251" s="218">
        <v>0.75</v>
      </c>
      <c r="X251" s="218">
        <v>54.4</v>
      </c>
      <c r="Y251" s="218"/>
      <c r="Z251" s="203">
        <f t="shared" si="17"/>
        <v>44.02</v>
      </c>
      <c r="AA251" s="203">
        <f t="shared" si="16"/>
        <v>83.579999999999984</v>
      </c>
      <c r="AB251" s="218"/>
      <c r="AC251" s="218"/>
      <c r="AD251" s="218"/>
      <c r="AE251" s="218"/>
    </row>
    <row r="252" spans="1:31" x14ac:dyDescent="0.2">
      <c r="A252" s="200" t="s">
        <v>8502</v>
      </c>
      <c r="B252" s="201">
        <v>44859</v>
      </c>
      <c r="C252" s="202"/>
      <c r="D252" s="218"/>
      <c r="E252" s="218"/>
      <c r="F252" s="218"/>
      <c r="G252" s="218"/>
      <c r="H252" s="218"/>
      <c r="I252" s="218"/>
      <c r="J252" s="203" t="e">
        <f t="shared" si="13"/>
        <v>#DIV/0!</v>
      </c>
      <c r="K252" s="218"/>
      <c r="L252" s="218"/>
      <c r="M252" s="218"/>
      <c r="N252" s="218"/>
      <c r="O252" s="214" t="e">
        <f t="shared" si="14"/>
        <v>#DIV/0!</v>
      </c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03">
        <f t="shared" si="17"/>
        <v>0</v>
      </c>
      <c r="AA252" s="203">
        <f t="shared" si="16"/>
        <v>0</v>
      </c>
      <c r="AB252" s="218"/>
      <c r="AC252" s="218"/>
      <c r="AD252" s="218"/>
      <c r="AE252" s="218"/>
    </row>
    <row r="253" spans="1:31" x14ac:dyDescent="0.2">
      <c r="A253" s="200" t="s">
        <v>8503</v>
      </c>
      <c r="B253" s="201">
        <v>44860</v>
      </c>
      <c r="C253" s="202"/>
      <c r="D253" s="218"/>
      <c r="E253" s="218"/>
      <c r="F253" s="218"/>
      <c r="G253" s="218"/>
      <c r="H253" s="218"/>
      <c r="I253" s="218"/>
      <c r="J253" s="203" t="e">
        <f t="shared" si="13"/>
        <v>#DIV/0!</v>
      </c>
      <c r="K253" s="218"/>
      <c r="L253" s="218"/>
      <c r="M253" s="218"/>
      <c r="N253" s="218"/>
      <c r="O253" s="214" t="e">
        <f t="shared" si="14"/>
        <v>#DIV/0!</v>
      </c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03">
        <f t="shared" si="17"/>
        <v>0</v>
      </c>
      <c r="AA253" s="203">
        <f t="shared" si="16"/>
        <v>0</v>
      </c>
      <c r="AB253" s="218"/>
      <c r="AC253" s="218"/>
      <c r="AD253" s="218"/>
      <c r="AE253" s="218"/>
    </row>
    <row r="254" spans="1:31" x14ac:dyDescent="0.2">
      <c r="A254" s="200" t="s">
        <v>8504</v>
      </c>
      <c r="B254" s="201">
        <v>44855</v>
      </c>
      <c r="C254" s="202">
        <v>2</v>
      </c>
      <c r="D254" s="218" t="s">
        <v>675</v>
      </c>
      <c r="E254" s="218">
        <v>42</v>
      </c>
      <c r="F254" s="218">
        <v>104.9</v>
      </c>
      <c r="G254" s="218">
        <v>1.78</v>
      </c>
      <c r="H254" s="218">
        <v>123</v>
      </c>
      <c r="I254" s="218">
        <v>114</v>
      </c>
      <c r="J254" s="203">
        <f t="shared" si="13"/>
        <v>1.0789473684210527</v>
      </c>
      <c r="K254" s="218">
        <v>31.9</v>
      </c>
      <c r="L254" s="218">
        <v>15</v>
      </c>
      <c r="M254" s="218">
        <v>67.900000000000006</v>
      </c>
      <c r="N254" s="218">
        <v>76</v>
      </c>
      <c r="O254" s="214">
        <f t="shared" si="14"/>
        <v>33.10819340992299</v>
      </c>
      <c r="P254" s="218">
        <v>112</v>
      </c>
      <c r="Q254" s="218">
        <v>86</v>
      </c>
      <c r="R254" s="218">
        <v>79.5</v>
      </c>
      <c r="S254" s="218">
        <v>214</v>
      </c>
      <c r="T254" s="218">
        <v>52.8</v>
      </c>
      <c r="U254" s="218">
        <v>22</v>
      </c>
      <c r="V254" s="218">
        <v>124.2</v>
      </c>
      <c r="W254" s="218">
        <v>1.1100000000000001</v>
      </c>
      <c r="X254" s="218">
        <v>101.1</v>
      </c>
      <c r="Y254" s="218">
        <v>25.6</v>
      </c>
      <c r="Z254" s="203">
        <f t="shared" si="17"/>
        <v>24.840000000000003</v>
      </c>
      <c r="AA254" s="203">
        <f t="shared" si="16"/>
        <v>88.06</v>
      </c>
      <c r="AB254" s="218"/>
      <c r="AC254" s="218"/>
      <c r="AD254" s="218"/>
      <c r="AE254" s="218"/>
    </row>
    <row r="255" spans="1:31" x14ac:dyDescent="0.2">
      <c r="A255" s="200" t="s">
        <v>8505</v>
      </c>
      <c r="B255" s="201">
        <v>44859</v>
      </c>
      <c r="C255" s="212">
        <v>3</v>
      </c>
      <c r="D255" s="218" t="s">
        <v>196</v>
      </c>
      <c r="E255" s="218">
        <v>75</v>
      </c>
      <c r="F255" s="218">
        <v>74.599999999999994</v>
      </c>
      <c r="G255" s="218">
        <v>1.5</v>
      </c>
      <c r="H255" s="218">
        <v>113</v>
      </c>
      <c r="I255" s="218">
        <v>117</v>
      </c>
      <c r="J255" s="203">
        <f t="shared" si="13"/>
        <v>0.96581196581196582</v>
      </c>
      <c r="K255" s="218">
        <v>37.6</v>
      </c>
      <c r="L255" s="218">
        <v>12</v>
      </c>
      <c r="M255" s="218">
        <v>44.2</v>
      </c>
      <c r="N255" s="218">
        <v>61</v>
      </c>
      <c r="O255" s="214">
        <f t="shared" si="14"/>
        <v>33.155555555555551</v>
      </c>
      <c r="P255" s="222">
        <v>207</v>
      </c>
      <c r="Q255" s="222">
        <v>92</v>
      </c>
      <c r="R255" s="218">
        <v>86.7</v>
      </c>
      <c r="S255" s="218">
        <v>217</v>
      </c>
      <c r="T255" s="218">
        <v>37.6</v>
      </c>
      <c r="U255" s="218">
        <v>13.7</v>
      </c>
      <c r="V255" s="222">
        <v>190</v>
      </c>
      <c r="W255" s="218">
        <v>1.1499999999999999</v>
      </c>
      <c r="X255" s="218">
        <v>86.6</v>
      </c>
      <c r="Y255" s="218">
        <v>45.9</v>
      </c>
      <c r="Z255" s="203">
        <f t="shared" si="17"/>
        <v>38</v>
      </c>
      <c r="AA255" s="203">
        <f t="shared" si="16"/>
        <v>92.4</v>
      </c>
      <c r="AB255" s="218"/>
      <c r="AC255" s="218"/>
      <c r="AD255" s="218"/>
      <c r="AE255" s="218"/>
    </row>
    <row r="256" spans="1:31" x14ac:dyDescent="0.2">
      <c r="A256" s="200" t="s">
        <v>8506</v>
      </c>
      <c r="B256" s="201">
        <v>44863</v>
      </c>
      <c r="C256" s="202">
        <v>2</v>
      </c>
      <c r="D256" s="218" t="s">
        <v>196</v>
      </c>
      <c r="E256" s="218">
        <v>74</v>
      </c>
      <c r="F256" s="218">
        <v>58.5</v>
      </c>
      <c r="G256" s="218">
        <v>1.5449999999999999</v>
      </c>
      <c r="H256" s="218">
        <v>79</v>
      </c>
      <c r="I256" s="218">
        <v>94</v>
      </c>
      <c r="J256" s="203">
        <f t="shared" si="13"/>
        <v>0.84042553191489366</v>
      </c>
      <c r="K256" s="218">
        <v>27.4</v>
      </c>
      <c r="L256" s="218">
        <v>8</v>
      </c>
      <c r="M256" s="218">
        <v>40.5</v>
      </c>
      <c r="N256" s="218"/>
      <c r="O256" s="214">
        <f t="shared" si="14"/>
        <v>24.507493637477612</v>
      </c>
      <c r="P256" s="218">
        <v>113</v>
      </c>
      <c r="Q256" s="218">
        <v>67</v>
      </c>
      <c r="R256" s="218">
        <v>69</v>
      </c>
      <c r="S256" s="218">
        <v>199</v>
      </c>
      <c r="T256" s="218"/>
      <c r="U256" s="218" t="s">
        <v>500</v>
      </c>
      <c r="V256" s="218">
        <v>109</v>
      </c>
      <c r="W256" s="218">
        <v>1</v>
      </c>
      <c r="X256" s="218">
        <v>80</v>
      </c>
      <c r="Y256" s="218"/>
      <c r="Z256" s="203">
        <f t="shared" si="17"/>
        <v>21.8</v>
      </c>
      <c r="AA256" s="203">
        <f t="shared" si="16"/>
        <v>97.2</v>
      </c>
      <c r="AB256" s="218"/>
      <c r="AC256" s="218"/>
      <c r="AD256" s="218"/>
      <c r="AE256" s="218"/>
    </row>
    <row r="257" spans="1:31" x14ac:dyDescent="0.2">
      <c r="A257" s="200" t="s">
        <v>8507</v>
      </c>
      <c r="B257" s="201">
        <v>44855</v>
      </c>
      <c r="C257" s="212">
        <v>3</v>
      </c>
      <c r="D257" s="218" t="s">
        <v>675</v>
      </c>
      <c r="E257" s="218">
        <v>55</v>
      </c>
      <c r="F257" s="218">
        <v>87.4</v>
      </c>
      <c r="G257" s="218">
        <v>1.76</v>
      </c>
      <c r="H257" s="218">
        <v>101</v>
      </c>
      <c r="I257" s="218">
        <v>108</v>
      </c>
      <c r="J257" s="203">
        <f t="shared" si="13"/>
        <v>0.93518518518518523</v>
      </c>
      <c r="K257" s="218">
        <v>21.3</v>
      </c>
      <c r="L257" s="218">
        <v>11</v>
      </c>
      <c r="M257" s="218">
        <v>65.400000000000006</v>
      </c>
      <c r="N257" s="218">
        <v>41</v>
      </c>
      <c r="O257" s="214">
        <f t="shared" si="14"/>
        <v>28.215392561983474</v>
      </c>
      <c r="P257" s="222">
        <v>160</v>
      </c>
      <c r="Q257" s="222">
        <v>78</v>
      </c>
      <c r="R257" s="220">
        <v>110.9</v>
      </c>
      <c r="S257" s="218">
        <v>259</v>
      </c>
      <c r="T257" s="218">
        <v>74.099999999999994</v>
      </c>
      <c r="U257" s="218">
        <v>32.700000000000003</v>
      </c>
      <c r="V257" s="222">
        <v>1687.6</v>
      </c>
      <c r="W257" s="218">
        <v>1.18</v>
      </c>
      <c r="X257" s="218">
        <v>34.700000000000003</v>
      </c>
      <c r="Y257" s="218">
        <v>37.5</v>
      </c>
      <c r="Z257" s="203">
        <f>V257*0.2</f>
        <v>337.52</v>
      </c>
      <c r="AA257" s="203">
        <f t="shared" si="16"/>
        <v>-113.21999999999997</v>
      </c>
      <c r="AB257" s="218"/>
      <c r="AC257" s="218"/>
      <c r="AD257" s="218"/>
      <c r="AE257" s="218"/>
    </row>
    <row r="258" spans="1:31" x14ac:dyDescent="0.2">
      <c r="A258" s="200" t="s">
        <v>8508</v>
      </c>
      <c r="B258" s="201">
        <v>44852</v>
      </c>
      <c r="C258" s="202">
        <v>2</v>
      </c>
      <c r="D258" s="218" t="s">
        <v>196</v>
      </c>
      <c r="E258" s="218">
        <v>28</v>
      </c>
      <c r="F258" s="218">
        <v>68.2</v>
      </c>
      <c r="G258" s="218">
        <v>1.59</v>
      </c>
      <c r="H258" s="218">
        <v>88</v>
      </c>
      <c r="I258" s="218">
        <v>105</v>
      </c>
      <c r="J258" s="203">
        <f t="shared" si="13"/>
        <v>0.83809523809523812</v>
      </c>
      <c r="K258" s="218">
        <v>38.1</v>
      </c>
      <c r="L258" s="218">
        <v>5</v>
      </c>
      <c r="M258" s="218">
        <v>40</v>
      </c>
      <c r="N258" s="218"/>
      <c r="O258" s="214">
        <f t="shared" si="14"/>
        <v>26.976780981764961</v>
      </c>
      <c r="P258" s="218">
        <v>110</v>
      </c>
      <c r="Q258" s="218">
        <v>81</v>
      </c>
      <c r="R258" s="218">
        <v>77.900000000000006</v>
      </c>
      <c r="S258" s="218">
        <v>215</v>
      </c>
      <c r="T258" s="218">
        <v>42</v>
      </c>
      <c r="U258" s="218">
        <v>17.899999999999999</v>
      </c>
      <c r="V258" s="218">
        <v>125.9</v>
      </c>
      <c r="W258" s="218">
        <v>0.65</v>
      </c>
      <c r="X258" s="218">
        <v>54.1</v>
      </c>
      <c r="Y258" s="218"/>
      <c r="Z258" s="203">
        <f t="shared" si="17"/>
        <v>25.180000000000003</v>
      </c>
      <c r="AA258" s="203">
        <f t="shared" si="16"/>
        <v>135.72</v>
      </c>
      <c r="AB258" s="218"/>
      <c r="AC258" s="218"/>
      <c r="AD258" s="218"/>
      <c r="AE258" s="218"/>
    </row>
    <row r="259" spans="1:31" x14ac:dyDescent="0.2">
      <c r="A259" s="200" t="s">
        <v>8509</v>
      </c>
      <c r="B259" s="201">
        <v>44866</v>
      </c>
      <c r="C259" s="202">
        <v>2</v>
      </c>
      <c r="D259" s="218" t="s">
        <v>196</v>
      </c>
      <c r="E259" s="218">
        <v>38</v>
      </c>
      <c r="F259" s="218">
        <v>60.1</v>
      </c>
      <c r="G259" s="218">
        <v>1.53</v>
      </c>
      <c r="H259" s="218">
        <v>84</v>
      </c>
      <c r="I259" s="218">
        <v>104</v>
      </c>
      <c r="J259" s="203">
        <f t="shared" ref="J259:J322" si="18">H259/I259</f>
        <v>0.80769230769230771</v>
      </c>
      <c r="K259" s="218">
        <v>31.2</v>
      </c>
      <c r="L259" s="218">
        <v>5</v>
      </c>
      <c r="M259" s="218">
        <v>39.299999999999997</v>
      </c>
      <c r="N259" s="218"/>
      <c r="O259" s="214">
        <f t="shared" ref="O259:O322" si="19">F259/(G259)^2</f>
        <v>25.673886112179076</v>
      </c>
      <c r="P259" s="218">
        <v>99</v>
      </c>
      <c r="Q259" s="218">
        <v>66</v>
      </c>
      <c r="R259" s="218">
        <v>84.3</v>
      </c>
      <c r="S259" s="218">
        <v>242</v>
      </c>
      <c r="T259" s="218">
        <v>39.6</v>
      </c>
      <c r="U259" s="218">
        <v>4.8</v>
      </c>
      <c r="V259" s="218">
        <v>90</v>
      </c>
      <c r="W259" s="218">
        <v>1.01</v>
      </c>
      <c r="X259" s="218">
        <v>118.3</v>
      </c>
      <c r="Y259" s="218">
        <v>29.6</v>
      </c>
      <c r="Z259" s="203">
        <f t="shared" si="17"/>
        <v>18</v>
      </c>
      <c r="AA259" s="203">
        <f t="shared" si="16"/>
        <v>105.7</v>
      </c>
      <c r="AB259" s="218"/>
      <c r="AC259" s="218"/>
      <c r="AD259" s="218"/>
      <c r="AE259" s="218"/>
    </row>
    <row r="260" spans="1:31" x14ac:dyDescent="0.2">
      <c r="A260" s="200" t="s">
        <v>8510</v>
      </c>
      <c r="B260" s="201">
        <v>44867</v>
      </c>
      <c r="C260" s="202"/>
      <c r="D260" s="218"/>
      <c r="E260" s="218"/>
      <c r="F260" s="218"/>
      <c r="G260" s="218"/>
      <c r="H260" s="218"/>
      <c r="I260" s="218"/>
      <c r="J260" s="203" t="e">
        <f t="shared" si="18"/>
        <v>#DIV/0!</v>
      </c>
      <c r="K260" s="218"/>
      <c r="L260" s="218"/>
      <c r="M260" s="218"/>
      <c r="N260" s="218"/>
      <c r="O260" s="214" t="e">
        <f t="shared" si="19"/>
        <v>#DIV/0!</v>
      </c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03">
        <f t="shared" si="17"/>
        <v>0</v>
      </c>
      <c r="AA260" s="203">
        <f t="shared" si="16"/>
        <v>0</v>
      </c>
      <c r="AB260" s="218"/>
      <c r="AC260" s="218"/>
      <c r="AD260" s="218"/>
      <c r="AE260" s="218"/>
    </row>
    <row r="261" spans="1:31" x14ac:dyDescent="0.2">
      <c r="A261" s="200" t="s">
        <v>8511</v>
      </c>
      <c r="B261" s="201">
        <v>44868</v>
      </c>
      <c r="C261" s="202"/>
      <c r="D261" s="218"/>
      <c r="E261" s="218"/>
      <c r="F261" s="218"/>
      <c r="G261" s="218"/>
      <c r="H261" s="218"/>
      <c r="I261" s="218"/>
      <c r="J261" s="203" t="e">
        <f t="shared" si="18"/>
        <v>#DIV/0!</v>
      </c>
      <c r="K261" s="218"/>
      <c r="L261" s="218"/>
      <c r="M261" s="218"/>
      <c r="N261" s="218"/>
      <c r="O261" s="214" t="e">
        <f t="shared" si="19"/>
        <v>#DIV/0!</v>
      </c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03">
        <f t="shared" si="17"/>
        <v>0</v>
      </c>
      <c r="AA261" s="203">
        <f t="shared" si="16"/>
        <v>0</v>
      </c>
      <c r="AB261" s="218"/>
      <c r="AC261" s="218"/>
      <c r="AD261" s="218"/>
      <c r="AE261" s="218"/>
    </row>
    <row r="262" spans="1:31" x14ac:dyDescent="0.2">
      <c r="A262" s="200" t="s">
        <v>8512</v>
      </c>
      <c r="B262" s="201">
        <v>44859</v>
      </c>
      <c r="C262" s="212">
        <v>3</v>
      </c>
      <c r="D262" s="218" t="s">
        <v>196</v>
      </c>
      <c r="E262" s="218">
        <v>68</v>
      </c>
      <c r="F262" s="218">
        <v>73.2</v>
      </c>
      <c r="G262" s="218">
        <v>1.49</v>
      </c>
      <c r="H262" s="218">
        <v>96</v>
      </c>
      <c r="I262" s="218">
        <v>116</v>
      </c>
      <c r="J262" s="203">
        <f t="shared" si="18"/>
        <v>0.82758620689655171</v>
      </c>
      <c r="K262" s="218">
        <v>43.9</v>
      </c>
      <c r="L262" s="218">
        <v>13</v>
      </c>
      <c r="M262" s="218">
        <v>39</v>
      </c>
      <c r="N262" s="218">
        <v>79</v>
      </c>
      <c r="O262" s="214">
        <f t="shared" si="19"/>
        <v>32.971487770821135</v>
      </c>
      <c r="P262" s="222">
        <v>138</v>
      </c>
      <c r="Q262" s="222">
        <v>97</v>
      </c>
      <c r="R262" s="218">
        <v>74.2</v>
      </c>
      <c r="S262" s="218">
        <v>248</v>
      </c>
      <c r="T262" s="218">
        <v>45.7</v>
      </c>
      <c r="U262" s="218">
        <v>9.5</v>
      </c>
      <c r="V262" s="220">
        <v>272.8</v>
      </c>
      <c r="W262" s="218">
        <v>0.79</v>
      </c>
      <c r="X262" s="218">
        <v>67.099999999999994</v>
      </c>
      <c r="Y262" s="218">
        <v>30</v>
      </c>
      <c r="Z262" s="203">
        <f t="shared" si="17"/>
        <v>54.56</v>
      </c>
      <c r="AA262" s="203">
        <f t="shared" si="16"/>
        <v>126.34</v>
      </c>
      <c r="AB262" s="218"/>
      <c r="AC262" s="218"/>
      <c r="AD262" s="218"/>
      <c r="AE262" s="218"/>
    </row>
    <row r="263" spans="1:31" x14ac:dyDescent="0.2">
      <c r="A263" s="200" t="s">
        <v>8513</v>
      </c>
      <c r="B263" s="201">
        <v>44870</v>
      </c>
      <c r="C263" s="202">
        <v>2</v>
      </c>
      <c r="D263" s="218" t="s">
        <v>196</v>
      </c>
      <c r="E263" s="218">
        <v>48</v>
      </c>
      <c r="F263" s="218">
        <v>60.6</v>
      </c>
      <c r="G263" s="218">
        <v>1.54</v>
      </c>
      <c r="H263" s="218">
        <v>79</v>
      </c>
      <c r="I263" s="218">
        <v>94</v>
      </c>
      <c r="J263" s="203">
        <f t="shared" si="18"/>
        <v>0.84042553191489366</v>
      </c>
      <c r="K263" s="218">
        <v>36.200000000000003</v>
      </c>
      <c r="L263" s="218">
        <v>7</v>
      </c>
      <c r="M263" s="218">
        <v>36.700000000000003</v>
      </c>
      <c r="N263" s="218">
        <v>50</v>
      </c>
      <c r="O263" s="214">
        <f t="shared" si="19"/>
        <v>25.552369708213867</v>
      </c>
      <c r="P263" s="222">
        <v>130</v>
      </c>
      <c r="Q263" s="222">
        <v>90</v>
      </c>
      <c r="R263" s="218">
        <v>80</v>
      </c>
      <c r="S263" s="218">
        <v>231</v>
      </c>
      <c r="T263" s="218">
        <v>30.5</v>
      </c>
      <c r="U263" s="218">
        <v>39.200000000000003</v>
      </c>
      <c r="V263" s="218">
        <v>119.1</v>
      </c>
      <c r="W263" s="218">
        <v>1.1200000000000001</v>
      </c>
      <c r="X263" s="218">
        <v>76.900000000000006</v>
      </c>
      <c r="Y263" s="218">
        <v>27.4</v>
      </c>
      <c r="Z263" s="203">
        <f t="shared" si="17"/>
        <v>23.82</v>
      </c>
      <c r="AA263" s="203">
        <f t="shared" si="16"/>
        <v>130.28</v>
      </c>
      <c r="AB263" s="218"/>
      <c r="AC263" s="218"/>
      <c r="AD263" s="218"/>
      <c r="AE263" s="218"/>
    </row>
    <row r="264" spans="1:31" x14ac:dyDescent="0.2">
      <c r="A264" s="200" t="s">
        <v>8510</v>
      </c>
      <c r="B264" s="201">
        <v>44855</v>
      </c>
      <c r="C264" s="202">
        <v>2</v>
      </c>
      <c r="D264" s="218" t="s">
        <v>675</v>
      </c>
      <c r="E264" s="218">
        <v>63</v>
      </c>
      <c r="F264" s="218">
        <v>76.599999999999994</v>
      </c>
      <c r="G264" s="218">
        <v>1.82</v>
      </c>
      <c r="H264" s="218">
        <v>79</v>
      </c>
      <c r="I264" s="218">
        <v>94</v>
      </c>
      <c r="J264" s="203">
        <f t="shared" si="18"/>
        <v>0.84042553191489366</v>
      </c>
      <c r="K264" s="218">
        <v>26.8</v>
      </c>
      <c r="L264" s="218">
        <v>13</v>
      </c>
      <c r="M264" s="218">
        <v>53.2</v>
      </c>
      <c r="N264" s="218">
        <v>63</v>
      </c>
      <c r="O264" s="214">
        <f t="shared" si="19"/>
        <v>23.125226421929714</v>
      </c>
      <c r="P264" s="222">
        <v>160</v>
      </c>
      <c r="Q264" s="222">
        <v>103</v>
      </c>
      <c r="R264" s="218">
        <v>85.4</v>
      </c>
      <c r="S264" s="218">
        <v>148</v>
      </c>
      <c r="T264" s="218">
        <v>54.8</v>
      </c>
      <c r="U264" s="218">
        <v>49.9</v>
      </c>
      <c r="V264" s="218">
        <v>77.3</v>
      </c>
      <c r="W264" s="218">
        <v>1.2</v>
      </c>
      <c r="X264" s="218">
        <v>49.4</v>
      </c>
      <c r="Y264" s="218">
        <v>30.6</v>
      </c>
      <c r="Z264" s="203">
        <f t="shared" si="17"/>
        <v>15.46</v>
      </c>
      <c r="AA264" s="203">
        <f t="shared" si="16"/>
        <v>83.139999999999986</v>
      </c>
      <c r="AB264" s="218"/>
      <c r="AC264" s="218"/>
      <c r="AD264" s="218"/>
      <c r="AE264" s="218"/>
    </row>
    <row r="265" spans="1:31" x14ac:dyDescent="0.2">
      <c r="A265" s="200" t="s">
        <v>8514</v>
      </c>
      <c r="B265" s="201">
        <v>44872</v>
      </c>
      <c r="C265" s="202"/>
      <c r="D265" s="218"/>
      <c r="E265" s="218"/>
      <c r="F265" s="218"/>
      <c r="G265" s="218"/>
      <c r="H265" s="218"/>
      <c r="I265" s="218"/>
      <c r="J265" s="203" t="e">
        <f t="shared" si="18"/>
        <v>#DIV/0!</v>
      </c>
      <c r="K265" s="218"/>
      <c r="L265" s="218"/>
      <c r="M265" s="218"/>
      <c r="N265" s="218"/>
      <c r="O265" s="214" t="e">
        <f t="shared" si="19"/>
        <v>#DIV/0!</v>
      </c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03">
        <f t="shared" si="17"/>
        <v>0</v>
      </c>
      <c r="AA265" s="203">
        <f t="shared" si="16"/>
        <v>0</v>
      </c>
      <c r="AB265" s="218"/>
      <c r="AC265" s="218"/>
      <c r="AD265" s="218"/>
      <c r="AE265" s="218"/>
    </row>
    <row r="266" spans="1:31" x14ac:dyDescent="0.2">
      <c r="A266" s="200" t="s">
        <v>8515</v>
      </c>
      <c r="B266" s="201">
        <v>44873</v>
      </c>
      <c r="C266" s="202"/>
      <c r="D266" s="218"/>
      <c r="E266" s="218"/>
      <c r="F266" s="218"/>
      <c r="G266" s="218"/>
      <c r="H266" s="218"/>
      <c r="I266" s="218"/>
      <c r="J266" s="203" t="e">
        <f t="shared" si="18"/>
        <v>#DIV/0!</v>
      </c>
      <c r="K266" s="218"/>
      <c r="L266" s="218"/>
      <c r="M266" s="218"/>
      <c r="N266" s="218"/>
      <c r="O266" s="214" t="e">
        <f t="shared" si="19"/>
        <v>#DIV/0!</v>
      </c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03">
        <f t="shared" si="17"/>
        <v>0</v>
      </c>
      <c r="AA266" s="203">
        <f t="shared" si="16"/>
        <v>0</v>
      </c>
      <c r="AB266" s="218"/>
      <c r="AC266" s="218"/>
      <c r="AD266" s="218"/>
      <c r="AE266" s="218"/>
    </row>
    <row r="267" spans="1:31" x14ac:dyDescent="0.2">
      <c r="A267" s="200" t="s">
        <v>8516</v>
      </c>
      <c r="B267" s="201">
        <v>44854</v>
      </c>
      <c r="C267" s="202">
        <v>2</v>
      </c>
      <c r="D267" s="218" t="s">
        <v>196</v>
      </c>
      <c r="E267" s="218">
        <v>24</v>
      </c>
      <c r="F267" s="218">
        <v>76.45</v>
      </c>
      <c r="G267" s="218">
        <v>1.6</v>
      </c>
      <c r="H267" s="218">
        <v>91</v>
      </c>
      <c r="I267" s="218">
        <v>110</v>
      </c>
      <c r="J267" s="203">
        <f t="shared" si="18"/>
        <v>0.82727272727272727</v>
      </c>
      <c r="K267" s="218">
        <v>40.200000000000003</v>
      </c>
      <c r="L267" s="218">
        <v>6</v>
      </c>
      <c r="M267" s="218">
        <v>43.4</v>
      </c>
      <c r="N267" s="218"/>
      <c r="O267" s="214">
        <f t="shared" si="19"/>
        <v>29.863281249999996</v>
      </c>
      <c r="P267" s="218">
        <v>123</v>
      </c>
      <c r="Q267" s="218">
        <v>85</v>
      </c>
      <c r="R267" s="218">
        <v>77</v>
      </c>
      <c r="S267" s="218">
        <v>165</v>
      </c>
      <c r="T267" s="218"/>
      <c r="U267" s="218">
        <v>20.48</v>
      </c>
      <c r="V267" s="218">
        <v>61</v>
      </c>
      <c r="W267" s="218">
        <v>1</v>
      </c>
      <c r="X267" s="218">
        <v>80</v>
      </c>
      <c r="Y267" s="218"/>
      <c r="Z267" s="203">
        <f t="shared" si="17"/>
        <v>12.200000000000001</v>
      </c>
      <c r="AA267" s="203">
        <f t="shared" si="16"/>
        <v>72.8</v>
      </c>
      <c r="AB267" s="218"/>
      <c r="AC267" s="218"/>
      <c r="AD267" s="218"/>
      <c r="AE267" s="218"/>
    </row>
    <row r="268" spans="1:31" x14ac:dyDescent="0.2">
      <c r="A268" s="200" t="s">
        <v>8517</v>
      </c>
      <c r="B268" s="201">
        <v>44875</v>
      </c>
      <c r="C268" s="202"/>
      <c r="D268" s="218"/>
      <c r="E268" s="218"/>
      <c r="F268" s="218"/>
      <c r="G268" s="218"/>
      <c r="H268" s="218"/>
      <c r="I268" s="218"/>
      <c r="J268" s="203" t="e">
        <f t="shared" si="18"/>
        <v>#DIV/0!</v>
      </c>
      <c r="K268" s="218"/>
      <c r="L268" s="218"/>
      <c r="M268" s="218"/>
      <c r="N268" s="218"/>
      <c r="O268" s="214" t="e">
        <f t="shared" si="19"/>
        <v>#DIV/0!</v>
      </c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03">
        <f t="shared" si="17"/>
        <v>0</v>
      </c>
      <c r="AA268" s="203">
        <f t="shared" si="16"/>
        <v>0</v>
      </c>
      <c r="AB268" s="218"/>
      <c r="AC268" s="218"/>
      <c r="AD268" s="218"/>
      <c r="AE268" s="218"/>
    </row>
    <row r="269" spans="1:31" x14ac:dyDescent="0.2">
      <c r="A269" s="200" t="s">
        <v>8518</v>
      </c>
      <c r="B269" s="201">
        <v>44859</v>
      </c>
      <c r="C269" s="202">
        <v>2</v>
      </c>
      <c r="D269" s="218" t="s">
        <v>196</v>
      </c>
      <c r="E269" s="218">
        <v>24</v>
      </c>
      <c r="F269" s="218">
        <v>58.7</v>
      </c>
      <c r="G269" s="218">
        <v>1.55</v>
      </c>
      <c r="H269" s="218">
        <v>79</v>
      </c>
      <c r="I269" s="218">
        <v>94</v>
      </c>
      <c r="J269" s="203">
        <f t="shared" si="18"/>
        <v>0.84042553191489366</v>
      </c>
      <c r="K269" s="218"/>
      <c r="L269" s="218"/>
      <c r="M269" s="218"/>
      <c r="N269" s="218"/>
      <c r="O269" s="214">
        <f t="shared" si="19"/>
        <v>24.432882414151923</v>
      </c>
      <c r="P269" s="218">
        <v>96</v>
      </c>
      <c r="Q269" s="218">
        <v>68</v>
      </c>
      <c r="R269" s="218">
        <v>83.5</v>
      </c>
      <c r="S269" s="218">
        <v>161</v>
      </c>
      <c r="T269" s="218">
        <v>35.6</v>
      </c>
      <c r="U269" s="218">
        <v>54.7</v>
      </c>
      <c r="V269" s="222">
        <v>350.3</v>
      </c>
      <c r="W269" s="218">
        <v>0.97</v>
      </c>
      <c r="X269" s="218">
        <v>51.4</v>
      </c>
      <c r="Y269" s="218">
        <v>54.9</v>
      </c>
      <c r="Z269" s="203">
        <f t="shared" si="17"/>
        <v>70.06</v>
      </c>
      <c r="AA269" s="203">
        <f t="shared" si="16"/>
        <v>39.539999999999992</v>
      </c>
      <c r="AB269" s="218"/>
      <c r="AC269" s="218"/>
      <c r="AD269" s="218"/>
      <c r="AE269" s="218"/>
    </row>
    <row r="270" spans="1:31" x14ac:dyDescent="0.2">
      <c r="A270" s="200" t="s">
        <v>8519</v>
      </c>
      <c r="B270" s="201">
        <v>44877</v>
      </c>
      <c r="C270" s="209">
        <v>1</v>
      </c>
      <c r="D270" s="218" t="s">
        <v>196</v>
      </c>
      <c r="E270" s="218">
        <v>49</v>
      </c>
      <c r="F270" s="218">
        <v>59.6</v>
      </c>
      <c r="G270" s="218">
        <v>1.6</v>
      </c>
      <c r="H270" s="218">
        <v>78</v>
      </c>
      <c r="I270" s="218">
        <v>83</v>
      </c>
      <c r="J270" s="203">
        <f t="shared" si="18"/>
        <v>0.93975903614457834</v>
      </c>
      <c r="K270" s="218">
        <v>33.299999999999997</v>
      </c>
      <c r="L270" s="218">
        <v>2</v>
      </c>
      <c r="M270" s="218">
        <v>32.799999999999997</v>
      </c>
      <c r="N270" s="218">
        <v>42</v>
      </c>
      <c r="O270" s="214">
        <f t="shared" si="19"/>
        <v>23.281249999999996</v>
      </c>
      <c r="P270" s="218">
        <v>124</v>
      </c>
      <c r="Q270" s="218">
        <v>86</v>
      </c>
      <c r="R270" s="218">
        <v>76.099999999999994</v>
      </c>
      <c r="S270" s="218">
        <v>155</v>
      </c>
      <c r="T270" s="218">
        <v>40.6</v>
      </c>
      <c r="U270" s="218">
        <v>20.2</v>
      </c>
      <c r="V270" s="218">
        <v>107</v>
      </c>
      <c r="W270" s="218">
        <v>0.79</v>
      </c>
      <c r="X270" s="218">
        <v>73.2</v>
      </c>
      <c r="Y270" s="218">
        <v>38.6</v>
      </c>
      <c r="Z270" s="203">
        <f t="shared" si="17"/>
        <v>21.400000000000002</v>
      </c>
      <c r="AA270" s="203">
        <f t="shared" si="16"/>
        <v>60.399999999999991</v>
      </c>
      <c r="AB270" s="218"/>
      <c r="AC270" s="218"/>
      <c r="AD270" s="218"/>
      <c r="AE270" s="218"/>
    </row>
    <row r="271" spans="1:31" x14ac:dyDescent="0.2">
      <c r="A271" s="200" t="s">
        <v>8520</v>
      </c>
      <c r="B271" s="201">
        <v>44855</v>
      </c>
      <c r="C271" s="202">
        <v>2</v>
      </c>
      <c r="D271" s="218" t="s">
        <v>196</v>
      </c>
      <c r="E271" s="218">
        <v>40</v>
      </c>
      <c r="F271" s="218">
        <v>82</v>
      </c>
      <c r="G271" s="218">
        <v>1.66</v>
      </c>
      <c r="H271" s="218">
        <v>102</v>
      </c>
      <c r="I271" s="218">
        <v>115</v>
      </c>
      <c r="J271" s="203">
        <f t="shared" si="18"/>
        <v>0.88695652173913042</v>
      </c>
      <c r="K271" s="218">
        <v>39.5</v>
      </c>
      <c r="L271" s="218">
        <v>8</v>
      </c>
      <c r="M271" s="218">
        <v>471</v>
      </c>
      <c r="N271" s="218">
        <v>63</v>
      </c>
      <c r="O271" s="214">
        <f t="shared" si="19"/>
        <v>29.757584555087824</v>
      </c>
      <c r="P271" s="218">
        <v>116</v>
      </c>
      <c r="Q271" s="218">
        <v>85</v>
      </c>
      <c r="R271" s="218">
        <v>77.900000000000006</v>
      </c>
      <c r="S271" s="218">
        <v>140</v>
      </c>
      <c r="T271" s="218">
        <v>43.7</v>
      </c>
      <c r="U271" s="218">
        <v>11.9</v>
      </c>
      <c r="V271" s="222">
        <v>190.3</v>
      </c>
      <c r="W271" s="218">
        <v>0.84</v>
      </c>
      <c r="X271" s="218">
        <v>49</v>
      </c>
      <c r="Y271" s="218">
        <v>24.1</v>
      </c>
      <c r="Z271" s="203">
        <f t="shared" si="17"/>
        <v>38.06</v>
      </c>
      <c r="AA271" s="203">
        <f t="shared" si="16"/>
        <v>52.94</v>
      </c>
      <c r="AB271" s="218"/>
      <c r="AC271" s="218"/>
      <c r="AD271" s="218"/>
      <c r="AE271" s="218"/>
    </row>
    <row r="272" spans="1:31" x14ac:dyDescent="0.2">
      <c r="A272" s="200" t="s">
        <v>8521</v>
      </c>
      <c r="B272" s="201">
        <v>44879</v>
      </c>
      <c r="C272" s="202"/>
      <c r="D272" s="218"/>
      <c r="E272" s="218"/>
      <c r="F272" s="218"/>
      <c r="G272" s="218"/>
      <c r="H272" s="218"/>
      <c r="I272" s="218"/>
      <c r="J272" s="203" t="e">
        <f t="shared" si="18"/>
        <v>#DIV/0!</v>
      </c>
      <c r="K272" s="218"/>
      <c r="L272" s="218"/>
      <c r="M272" s="218"/>
      <c r="N272" s="218"/>
      <c r="O272" s="214" t="e">
        <f t="shared" si="19"/>
        <v>#DIV/0!</v>
      </c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03">
        <f t="shared" si="17"/>
        <v>0</v>
      </c>
      <c r="AA272" s="203">
        <f t="shared" si="16"/>
        <v>0</v>
      </c>
      <c r="AB272" s="218"/>
      <c r="AC272" s="218"/>
      <c r="AD272" s="218"/>
      <c r="AE272" s="218"/>
    </row>
    <row r="273" spans="1:31" x14ac:dyDescent="0.2">
      <c r="A273" s="200" t="s">
        <v>8522</v>
      </c>
      <c r="B273" s="201">
        <v>44880</v>
      </c>
      <c r="C273" s="202"/>
      <c r="D273" s="218"/>
      <c r="E273" s="218"/>
      <c r="F273" s="218"/>
      <c r="G273" s="218"/>
      <c r="H273" s="218"/>
      <c r="I273" s="218"/>
      <c r="J273" s="203" t="e">
        <f t="shared" si="18"/>
        <v>#DIV/0!</v>
      </c>
      <c r="K273" s="218"/>
      <c r="L273" s="218"/>
      <c r="M273" s="218"/>
      <c r="N273" s="218"/>
      <c r="O273" s="214" t="e">
        <f t="shared" si="19"/>
        <v>#DIV/0!</v>
      </c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03">
        <f t="shared" si="17"/>
        <v>0</v>
      </c>
      <c r="AA273" s="203">
        <f t="shared" si="16"/>
        <v>0</v>
      </c>
      <c r="AB273" s="218"/>
      <c r="AC273" s="218"/>
      <c r="AD273" s="218"/>
      <c r="AE273" s="218"/>
    </row>
    <row r="274" spans="1:31" x14ac:dyDescent="0.2">
      <c r="A274" s="200" t="s">
        <v>8523</v>
      </c>
      <c r="B274" s="201">
        <v>44881</v>
      </c>
      <c r="C274" s="202"/>
      <c r="D274" s="218"/>
      <c r="E274" s="218"/>
      <c r="F274" s="218"/>
      <c r="G274" s="218"/>
      <c r="H274" s="218"/>
      <c r="I274" s="218"/>
      <c r="J274" s="203" t="e">
        <f t="shared" si="18"/>
        <v>#DIV/0!</v>
      </c>
      <c r="K274" s="218"/>
      <c r="L274" s="218"/>
      <c r="M274" s="218"/>
      <c r="N274" s="218"/>
      <c r="O274" s="214" t="e">
        <f t="shared" si="19"/>
        <v>#DIV/0!</v>
      </c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03">
        <f t="shared" si="17"/>
        <v>0</v>
      </c>
      <c r="AA274" s="203">
        <f t="shared" si="16"/>
        <v>0</v>
      </c>
      <c r="AB274" s="218"/>
      <c r="AC274" s="218"/>
      <c r="AD274" s="218"/>
      <c r="AE274" s="218"/>
    </row>
    <row r="275" spans="1:31" x14ac:dyDescent="0.2">
      <c r="A275" s="200" t="s">
        <v>8524</v>
      </c>
      <c r="B275" s="201">
        <v>44882</v>
      </c>
      <c r="C275" s="202"/>
      <c r="D275" s="218"/>
      <c r="E275" s="218"/>
      <c r="F275" s="218"/>
      <c r="G275" s="218"/>
      <c r="H275" s="218"/>
      <c r="I275" s="218"/>
      <c r="J275" s="203" t="e">
        <f t="shared" si="18"/>
        <v>#DIV/0!</v>
      </c>
      <c r="K275" s="218"/>
      <c r="L275" s="218"/>
      <c r="M275" s="218"/>
      <c r="N275" s="218"/>
      <c r="O275" s="214" t="e">
        <f t="shared" si="19"/>
        <v>#DIV/0!</v>
      </c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03">
        <f t="shared" si="17"/>
        <v>0</v>
      </c>
      <c r="AA275" s="203">
        <f t="shared" si="16"/>
        <v>0</v>
      </c>
      <c r="AB275" s="218"/>
      <c r="AC275" s="218"/>
      <c r="AD275" s="218"/>
      <c r="AE275" s="218"/>
    </row>
    <row r="276" spans="1:31" x14ac:dyDescent="0.2">
      <c r="A276" s="200" t="s">
        <v>8525</v>
      </c>
      <c r="B276" s="201">
        <v>44866</v>
      </c>
      <c r="C276" s="202">
        <v>2</v>
      </c>
      <c r="D276" s="218" t="s">
        <v>675</v>
      </c>
      <c r="E276" s="218">
        <v>31</v>
      </c>
      <c r="F276" s="218">
        <v>105.7</v>
      </c>
      <c r="G276" s="218">
        <v>1.77</v>
      </c>
      <c r="H276" s="218">
        <v>115</v>
      </c>
      <c r="I276" s="218">
        <v>119</v>
      </c>
      <c r="J276" s="203">
        <f t="shared" si="18"/>
        <v>0.96638655462184875</v>
      </c>
      <c r="K276" s="218">
        <v>29.3</v>
      </c>
      <c r="L276" s="218">
        <v>12</v>
      </c>
      <c r="M276" s="218">
        <v>71.099999999999994</v>
      </c>
      <c r="N276" s="218"/>
      <c r="O276" s="214">
        <f t="shared" si="19"/>
        <v>33.738708544798747</v>
      </c>
      <c r="P276" s="218">
        <v>135</v>
      </c>
      <c r="Q276" s="218">
        <v>83</v>
      </c>
      <c r="R276" s="218">
        <v>67</v>
      </c>
      <c r="S276" s="218">
        <v>148</v>
      </c>
      <c r="T276" s="218"/>
      <c r="U276" s="218">
        <v>48.09</v>
      </c>
      <c r="V276" s="218">
        <v>49</v>
      </c>
      <c r="W276" s="218">
        <v>2</v>
      </c>
      <c r="X276" s="218">
        <v>82</v>
      </c>
      <c r="Y276" s="218"/>
      <c r="Z276" s="203">
        <f t="shared" si="17"/>
        <v>9.8000000000000007</v>
      </c>
      <c r="AA276" s="203">
        <f t="shared" si="16"/>
        <v>56.2</v>
      </c>
      <c r="AB276" s="218">
        <v>1.02</v>
      </c>
      <c r="AC276" s="218"/>
      <c r="AD276" s="218"/>
      <c r="AE276" s="218"/>
    </row>
    <row r="277" spans="1:31" x14ac:dyDescent="0.2">
      <c r="A277" s="200" t="s">
        <v>8526</v>
      </c>
      <c r="B277" s="201">
        <v>44884</v>
      </c>
      <c r="C277" s="212">
        <v>3</v>
      </c>
      <c r="D277" s="218" t="s">
        <v>196</v>
      </c>
      <c r="E277" s="218">
        <v>47</v>
      </c>
      <c r="F277" s="218">
        <v>95.7</v>
      </c>
      <c r="G277" s="218">
        <v>1.68</v>
      </c>
      <c r="H277" s="218">
        <v>110</v>
      </c>
      <c r="I277" s="218">
        <v>118</v>
      </c>
      <c r="J277" s="203">
        <f t="shared" si="18"/>
        <v>0.93220338983050843</v>
      </c>
      <c r="K277" s="218">
        <v>42.5</v>
      </c>
      <c r="L277" s="218">
        <v>10</v>
      </c>
      <c r="M277" s="218">
        <v>52.3</v>
      </c>
      <c r="N277" s="218"/>
      <c r="O277" s="214">
        <f t="shared" si="19"/>
        <v>33.907312925170075</v>
      </c>
      <c r="P277" s="218">
        <v>133</v>
      </c>
      <c r="Q277" s="218">
        <v>83</v>
      </c>
      <c r="R277" s="222">
        <v>134</v>
      </c>
      <c r="S277" s="218">
        <v>153</v>
      </c>
      <c r="T277" s="218"/>
      <c r="U277" s="218">
        <v>67.69</v>
      </c>
      <c r="V277" s="222">
        <v>173</v>
      </c>
      <c r="W277" s="218">
        <v>1</v>
      </c>
      <c r="X277" s="218">
        <v>59</v>
      </c>
      <c r="Y277" s="218"/>
      <c r="Z277" s="203">
        <f t="shared" si="17"/>
        <v>34.6</v>
      </c>
      <c r="AA277" s="203">
        <f t="shared" si="16"/>
        <v>59.4</v>
      </c>
      <c r="AB277" s="218"/>
      <c r="AC277" s="218"/>
      <c r="AD277" s="218"/>
      <c r="AE277" s="218"/>
    </row>
    <row r="278" spans="1:31" x14ac:dyDescent="0.2">
      <c r="A278" s="200" t="s">
        <v>8527</v>
      </c>
      <c r="B278" s="201">
        <v>44859</v>
      </c>
      <c r="C278" s="202">
        <v>2</v>
      </c>
      <c r="D278" s="218" t="s">
        <v>8528</v>
      </c>
      <c r="E278" s="218">
        <v>52</v>
      </c>
      <c r="F278" s="218">
        <v>83.6</v>
      </c>
      <c r="G278" s="218">
        <v>1.62</v>
      </c>
      <c r="H278" s="218">
        <v>11</v>
      </c>
      <c r="I278" s="218">
        <v>112</v>
      </c>
      <c r="J278" s="203">
        <f>H278/I278</f>
        <v>9.8214285714285712E-2</v>
      </c>
      <c r="K278" s="218">
        <v>38.5</v>
      </c>
      <c r="L278" s="218">
        <v>9</v>
      </c>
      <c r="M278" s="218">
        <v>48.8</v>
      </c>
      <c r="N278" s="218">
        <v>62</v>
      </c>
      <c r="O278" s="214">
        <f t="shared" si="19"/>
        <v>31.854900167657362</v>
      </c>
      <c r="P278" s="218">
        <v>133</v>
      </c>
      <c r="Q278" s="218">
        <v>63</v>
      </c>
      <c r="R278" s="218">
        <v>84.2</v>
      </c>
      <c r="S278" s="218">
        <v>221</v>
      </c>
      <c r="T278" s="218">
        <v>50.8</v>
      </c>
      <c r="U278" s="218">
        <v>23.2</v>
      </c>
      <c r="V278" s="222">
        <v>337.2</v>
      </c>
      <c r="W278" s="218">
        <v>1.1100000000000001</v>
      </c>
      <c r="X278" s="218">
        <v>78</v>
      </c>
      <c r="Y278" s="218">
        <v>39.4</v>
      </c>
      <c r="Z278" s="203">
        <f t="shared" si="17"/>
        <v>67.44</v>
      </c>
      <c r="AA278" s="203">
        <f t="shared" si="16"/>
        <v>75.56</v>
      </c>
      <c r="AB278" s="218"/>
      <c r="AC278" s="218"/>
      <c r="AD278" s="218"/>
      <c r="AE278" s="218"/>
    </row>
    <row r="279" spans="1:31" x14ac:dyDescent="0.2">
      <c r="A279" s="200" t="s">
        <v>8529</v>
      </c>
      <c r="B279" s="201">
        <v>44886</v>
      </c>
      <c r="C279" s="202"/>
      <c r="D279" s="218"/>
      <c r="E279" s="218"/>
      <c r="F279" s="218"/>
      <c r="G279" s="218"/>
      <c r="H279" s="218"/>
      <c r="I279" s="218"/>
      <c r="J279" s="203" t="e">
        <f t="shared" si="18"/>
        <v>#DIV/0!</v>
      </c>
      <c r="K279" s="218"/>
      <c r="L279" s="218"/>
      <c r="M279" s="218"/>
      <c r="N279" s="218"/>
      <c r="O279" s="214" t="e">
        <f t="shared" si="19"/>
        <v>#DIV/0!</v>
      </c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03">
        <f t="shared" si="17"/>
        <v>0</v>
      </c>
      <c r="AA279" s="203">
        <f t="shared" si="16"/>
        <v>0</v>
      </c>
      <c r="AB279" s="218"/>
      <c r="AC279" s="218"/>
      <c r="AD279" s="218"/>
      <c r="AE279" s="218"/>
    </row>
    <row r="280" spans="1:31" x14ac:dyDescent="0.2">
      <c r="A280" s="200" t="s">
        <v>8530</v>
      </c>
      <c r="B280" s="201">
        <v>44859</v>
      </c>
      <c r="C280" s="202">
        <v>2</v>
      </c>
      <c r="D280" s="218" t="s">
        <v>196</v>
      </c>
      <c r="E280" s="218">
        <v>25</v>
      </c>
      <c r="F280" s="218">
        <v>74.8</v>
      </c>
      <c r="G280" s="218">
        <v>1.6</v>
      </c>
      <c r="H280" s="218">
        <v>102</v>
      </c>
      <c r="I280" s="218">
        <v>116</v>
      </c>
      <c r="J280" s="203">
        <f t="shared" si="18"/>
        <v>0.87931034482758619</v>
      </c>
      <c r="K280" s="218">
        <v>42.2</v>
      </c>
      <c r="L280" s="218">
        <v>6</v>
      </c>
      <c r="M280" s="218">
        <v>41.1</v>
      </c>
      <c r="N280" s="218">
        <v>62</v>
      </c>
      <c r="O280" s="214">
        <f t="shared" si="19"/>
        <v>29.218749999999993</v>
      </c>
      <c r="P280" s="218">
        <v>106</v>
      </c>
      <c r="Q280" s="218">
        <v>75</v>
      </c>
      <c r="R280" s="218">
        <v>77.099999999999994</v>
      </c>
      <c r="S280" s="218">
        <v>180</v>
      </c>
      <c r="T280" s="218">
        <v>47.7</v>
      </c>
      <c r="U280" s="218">
        <v>11.9</v>
      </c>
      <c r="V280" s="218">
        <v>104.5</v>
      </c>
      <c r="W280" s="218">
        <v>1.01</v>
      </c>
      <c r="X280" s="218">
        <v>80.900000000000006</v>
      </c>
      <c r="Y280" s="218">
        <v>23.8</v>
      </c>
      <c r="Z280" s="203">
        <f t="shared" si="17"/>
        <v>20.900000000000002</v>
      </c>
      <c r="AA280" s="203">
        <f t="shared" si="16"/>
        <v>78.199999999999989</v>
      </c>
      <c r="AB280" s="218"/>
      <c r="AC280" s="218"/>
      <c r="AD280" s="218"/>
      <c r="AE280" s="218"/>
    </row>
    <row r="281" spans="1:31" x14ac:dyDescent="0.2">
      <c r="A281" s="200" t="s">
        <v>8531</v>
      </c>
      <c r="B281" s="201">
        <v>44888</v>
      </c>
      <c r="C281" s="202">
        <v>2</v>
      </c>
      <c r="D281" s="218" t="s">
        <v>675</v>
      </c>
      <c r="E281" s="218">
        <v>40</v>
      </c>
      <c r="F281" s="218">
        <v>98.7</v>
      </c>
      <c r="G281" s="218">
        <v>1.71</v>
      </c>
      <c r="H281" s="218">
        <v>113</v>
      </c>
      <c r="I281" s="218">
        <v>111</v>
      </c>
      <c r="J281" s="203">
        <f t="shared" si="18"/>
        <v>1.0180180180180181</v>
      </c>
      <c r="K281" s="218">
        <v>33.5</v>
      </c>
      <c r="L281" s="218">
        <v>15</v>
      </c>
      <c r="M281" s="218">
        <v>62.4</v>
      </c>
      <c r="N281" s="218">
        <v>84</v>
      </c>
      <c r="O281" s="214">
        <f t="shared" si="19"/>
        <v>33.753975582230431</v>
      </c>
      <c r="P281" s="218">
        <v>133</v>
      </c>
      <c r="Q281" s="218">
        <v>90</v>
      </c>
      <c r="R281" s="218">
        <v>95</v>
      </c>
      <c r="S281" s="218">
        <v>207</v>
      </c>
      <c r="T281" s="218">
        <v>52.8</v>
      </c>
      <c r="U281" s="218">
        <v>30.9</v>
      </c>
      <c r="V281" s="218">
        <v>141.30000000000001</v>
      </c>
      <c r="W281" s="218">
        <v>1.04</v>
      </c>
      <c r="X281" s="218">
        <v>67.400000000000006</v>
      </c>
      <c r="Y281" s="218"/>
      <c r="Z281" s="203">
        <f t="shared" si="17"/>
        <v>28.260000000000005</v>
      </c>
      <c r="AA281" s="203">
        <f t="shared" si="16"/>
        <v>111.33999999999999</v>
      </c>
      <c r="AB281" s="218"/>
      <c r="AC281" s="218"/>
      <c r="AD281" s="218"/>
      <c r="AE281" s="218"/>
    </row>
    <row r="282" spans="1:31" x14ac:dyDescent="0.2">
      <c r="A282" s="200" t="s">
        <v>8532</v>
      </c>
      <c r="B282" s="201">
        <v>44859</v>
      </c>
      <c r="C282" s="209">
        <v>1</v>
      </c>
      <c r="D282" s="218" t="s">
        <v>675</v>
      </c>
      <c r="E282" s="218"/>
      <c r="F282" s="218">
        <v>75.8</v>
      </c>
      <c r="G282" s="218">
        <v>1.83</v>
      </c>
      <c r="H282" s="218">
        <v>75</v>
      </c>
      <c r="I282" s="218">
        <v>89</v>
      </c>
      <c r="J282" s="203">
        <f t="shared" si="18"/>
        <v>0.84269662921348309</v>
      </c>
      <c r="K282" s="218">
        <v>9.1999999999999993</v>
      </c>
      <c r="L282" s="218">
        <v>5</v>
      </c>
      <c r="M282" s="218">
        <v>65.400000000000006</v>
      </c>
      <c r="N282" s="218"/>
      <c r="O282" s="214">
        <f t="shared" si="19"/>
        <v>22.634297829137921</v>
      </c>
      <c r="P282" s="218">
        <v>128</v>
      </c>
      <c r="Q282" s="218">
        <v>85</v>
      </c>
      <c r="R282" s="218">
        <v>95.3</v>
      </c>
      <c r="S282" s="218">
        <v>167</v>
      </c>
      <c r="T282" s="218">
        <v>50.8</v>
      </c>
      <c r="U282" s="218">
        <v>10.1</v>
      </c>
      <c r="V282" s="218">
        <v>99.9</v>
      </c>
      <c r="W282" s="218">
        <v>0.92</v>
      </c>
      <c r="X282" s="218">
        <v>64</v>
      </c>
      <c r="Y282" s="218">
        <v>42</v>
      </c>
      <c r="Z282" s="203">
        <f t="shared" si="17"/>
        <v>19.980000000000004</v>
      </c>
      <c r="AA282" s="203">
        <f t="shared" si="16"/>
        <v>83.02</v>
      </c>
      <c r="AB282" s="218"/>
      <c r="AC282" s="218"/>
      <c r="AD282" s="218"/>
      <c r="AE282" s="218"/>
    </row>
    <row r="283" spans="1:31" x14ac:dyDescent="0.2">
      <c r="A283" s="200" t="s">
        <v>8533</v>
      </c>
      <c r="B283" s="201">
        <v>44890</v>
      </c>
      <c r="C283" s="202"/>
      <c r="D283" s="218"/>
      <c r="E283" s="218"/>
      <c r="F283" s="218"/>
      <c r="G283" s="218"/>
      <c r="H283" s="218"/>
      <c r="I283" s="218"/>
      <c r="J283" s="203" t="e">
        <f t="shared" si="18"/>
        <v>#DIV/0!</v>
      </c>
      <c r="K283" s="218"/>
      <c r="L283" s="218"/>
      <c r="M283" s="218"/>
      <c r="N283" s="218"/>
      <c r="O283" s="214" t="e">
        <f t="shared" si="19"/>
        <v>#DIV/0!</v>
      </c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03">
        <f t="shared" si="17"/>
        <v>0</v>
      </c>
      <c r="AA283" s="203">
        <f t="shared" si="16"/>
        <v>0</v>
      </c>
      <c r="AB283" s="218"/>
      <c r="AC283" s="218"/>
      <c r="AD283" s="218"/>
      <c r="AE283" s="218"/>
    </row>
    <row r="284" spans="1:31" x14ac:dyDescent="0.2">
      <c r="A284" s="200" t="s">
        <v>8534</v>
      </c>
      <c r="B284" s="201">
        <v>44891</v>
      </c>
      <c r="C284" s="202"/>
      <c r="D284" s="218"/>
      <c r="E284" s="218"/>
      <c r="F284" s="218"/>
      <c r="G284" s="218"/>
      <c r="H284" s="218"/>
      <c r="I284" s="218"/>
      <c r="J284" s="203" t="e">
        <f t="shared" si="18"/>
        <v>#DIV/0!</v>
      </c>
      <c r="K284" s="218"/>
      <c r="L284" s="218"/>
      <c r="M284" s="218"/>
      <c r="N284" s="218"/>
      <c r="O284" s="214" t="e">
        <f t="shared" si="19"/>
        <v>#DIV/0!</v>
      </c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03">
        <f t="shared" si="17"/>
        <v>0</v>
      </c>
      <c r="AA284" s="203">
        <f t="shared" si="16"/>
        <v>0</v>
      </c>
      <c r="AB284" s="218"/>
      <c r="AC284" s="218"/>
      <c r="AD284" s="218"/>
      <c r="AE284" s="218"/>
    </row>
    <row r="285" spans="1:31" x14ac:dyDescent="0.2">
      <c r="A285" s="200" t="s">
        <v>8535</v>
      </c>
      <c r="B285" s="201">
        <v>44892</v>
      </c>
      <c r="C285" s="202"/>
      <c r="D285" s="218"/>
      <c r="E285" s="218"/>
      <c r="F285" s="218"/>
      <c r="G285" s="218"/>
      <c r="H285" s="218"/>
      <c r="I285" s="218"/>
      <c r="J285" s="203" t="e">
        <f t="shared" si="18"/>
        <v>#DIV/0!</v>
      </c>
      <c r="K285" s="218"/>
      <c r="L285" s="218"/>
      <c r="M285" s="218"/>
      <c r="N285" s="218"/>
      <c r="O285" s="214" t="e">
        <f t="shared" si="19"/>
        <v>#DIV/0!</v>
      </c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03">
        <f t="shared" si="17"/>
        <v>0</v>
      </c>
      <c r="AA285" s="203">
        <f t="shared" si="16"/>
        <v>0</v>
      </c>
      <c r="AB285" s="218"/>
      <c r="AC285" s="218"/>
      <c r="AD285" s="218"/>
      <c r="AE285" s="218"/>
    </row>
    <row r="286" spans="1:31" x14ac:dyDescent="0.2">
      <c r="A286" s="200" t="s">
        <v>8536</v>
      </c>
      <c r="B286" s="201">
        <v>44796</v>
      </c>
      <c r="C286" s="202">
        <v>2</v>
      </c>
      <c r="D286" s="218" t="s">
        <v>196</v>
      </c>
      <c r="E286" s="218">
        <v>58</v>
      </c>
      <c r="F286" s="218">
        <v>81.599999999999994</v>
      </c>
      <c r="G286" s="218">
        <v>1.58</v>
      </c>
      <c r="H286" s="218">
        <v>106</v>
      </c>
      <c r="I286" s="218">
        <v>117</v>
      </c>
      <c r="J286" s="203">
        <f t="shared" si="18"/>
        <v>0.90598290598290598</v>
      </c>
      <c r="K286" s="218">
        <v>45</v>
      </c>
      <c r="L286" s="218">
        <v>13</v>
      </c>
      <c r="M286" s="218">
        <v>20.6</v>
      </c>
      <c r="N286" s="218"/>
      <c r="O286" s="214">
        <f t="shared" si="19"/>
        <v>32.687069379907058</v>
      </c>
      <c r="P286" s="218">
        <v>116</v>
      </c>
      <c r="Q286" s="218">
        <v>85</v>
      </c>
      <c r="R286" s="222">
        <v>114</v>
      </c>
      <c r="S286" s="218">
        <v>222</v>
      </c>
      <c r="T286" s="218">
        <v>38.71</v>
      </c>
      <c r="U286" s="218">
        <v>22.29</v>
      </c>
      <c r="V286" s="218">
        <v>84</v>
      </c>
      <c r="W286" s="218">
        <v>1</v>
      </c>
      <c r="X286" s="218">
        <v>80</v>
      </c>
      <c r="Y286" s="218"/>
      <c r="Z286" s="203">
        <f t="shared" si="17"/>
        <v>16.8</v>
      </c>
      <c r="AA286" s="203">
        <f t="shared" si="16"/>
        <v>125.2</v>
      </c>
      <c r="AB286" s="218"/>
      <c r="AC286" s="218"/>
      <c r="AD286" s="218"/>
      <c r="AE286" s="218"/>
    </row>
    <row r="287" spans="1:31" x14ac:dyDescent="0.2">
      <c r="A287" s="200" t="s">
        <v>8537</v>
      </c>
      <c r="B287" s="201">
        <v>44894</v>
      </c>
      <c r="C287" s="202">
        <v>2</v>
      </c>
      <c r="D287" s="218" t="s">
        <v>675</v>
      </c>
      <c r="E287" s="218">
        <v>23</v>
      </c>
      <c r="F287" s="218">
        <v>84.6</v>
      </c>
      <c r="G287" s="218">
        <v>1.72</v>
      </c>
      <c r="H287" s="218">
        <v>104</v>
      </c>
      <c r="I287" s="218">
        <v>106</v>
      </c>
      <c r="J287" s="203">
        <f t="shared" si="18"/>
        <v>0.98113207547169812</v>
      </c>
      <c r="K287" s="218">
        <v>45.5</v>
      </c>
      <c r="L287" s="218">
        <v>14</v>
      </c>
      <c r="M287" s="218">
        <v>20.399999999999999</v>
      </c>
      <c r="N287" s="218"/>
      <c r="O287" s="214">
        <f t="shared" si="19"/>
        <v>28.596538669551109</v>
      </c>
      <c r="P287" s="218">
        <v>135</v>
      </c>
      <c r="Q287" s="218">
        <v>78</v>
      </c>
      <c r="R287" s="218">
        <v>95</v>
      </c>
      <c r="S287" s="218"/>
      <c r="T287" s="218"/>
      <c r="U287" s="218"/>
      <c r="V287" s="218"/>
      <c r="W287" s="218"/>
      <c r="X287" s="218"/>
      <c r="Y287" s="218"/>
      <c r="Z287" s="203">
        <f t="shared" si="17"/>
        <v>0</v>
      </c>
      <c r="AA287" s="203">
        <f t="shared" si="16"/>
        <v>0</v>
      </c>
      <c r="AB287" s="218"/>
      <c r="AC287" s="218"/>
      <c r="AD287" s="218"/>
      <c r="AE287" s="218"/>
    </row>
    <row r="288" spans="1:31" x14ac:dyDescent="0.2">
      <c r="A288" s="200" t="s">
        <v>8538</v>
      </c>
      <c r="B288" s="201">
        <v>44798</v>
      </c>
      <c r="C288" s="212">
        <v>3</v>
      </c>
      <c r="D288" s="218" t="s">
        <v>196</v>
      </c>
      <c r="E288" s="218">
        <v>61</v>
      </c>
      <c r="F288" s="218">
        <v>90.8</v>
      </c>
      <c r="G288" s="218">
        <v>1.63</v>
      </c>
      <c r="H288" s="218">
        <v>105</v>
      </c>
      <c r="I288" s="218">
        <v>1177</v>
      </c>
      <c r="J288" s="203">
        <f t="shared" si="18"/>
        <v>8.9209855564995749E-2</v>
      </c>
      <c r="K288" s="218">
        <v>47.6</v>
      </c>
      <c r="L288" s="218">
        <v>16</v>
      </c>
      <c r="M288" s="218">
        <v>19.7</v>
      </c>
      <c r="N288" s="218"/>
      <c r="O288" s="214">
        <f t="shared" si="19"/>
        <v>34.175166547480146</v>
      </c>
      <c r="P288" s="222">
        <v>145</v>
      </c>
      <c r="Q288" s="222">
        <v>87</v>
      </c>
      <c r="R288" s="222">
        <v>194</v>
      </c>
      <c r="S288" s="218">
        <v>144</v>
      </c>
      <c r="T288" s="218">
        <v>17.84</v>
      </c>
      <c r="U288" s="218">
        <v>15.43</v>
      </c>
      <c r="V288" s="222">
        <v>194</v>
      </c>
      <c r="W288" s="218">
        <v>9</v>
      </c>
      <c r="X288" s="218">
        <v>70</v>
      </c>
      <c r="Y288" s="218"/>
      <c r="Z288" s="203">
        <f t="shared" si="17"/>
        <v>38.800000000000004</v>
      </c>
      <c r="AA288" s="203">
        <f t="shared" si="16"/>
        <v>35.199999999999996</v>
      </c>
      <c r="AB288" s="218"/>
      <c r="AC288" s="218"/>
      <c r="AD288" s="218"/>
      <c r="AE288" s="218"/>
    </row>
    <row r="289" spans="1:31" x14ac:dyDescent="0.2">
      <c r="A289" s="200" t="s">
        <v>8539</v>
      </c>
      <c r="B289" s="201">
        <v>44798</v>
      </c>
      <c r="C289" s="202">
        <v>2</v>
      </c>
      <c r="D289" s="218" t="s">
        <v>196</v>
      </c>
      <c r="E289" s="218">
        <v>53</v>
      </c>
      <c r="F289" s="218">
        <v>89.6</v>
      </c>
      <c r="G289" s="218">
        <v>1.58</v>
      </c>
      <c r="H289" s="218">
        <v>115</v>
      </c>
      <c r="I289" s="218">
        <v>114</v>
      </c>
      <c r="J289" s="203">
        <f t="shared" si="18"/>
        <v>1.0087719298245614</v>
      </c>
      <c r="K289" s="218"/>
      <c r="L289" s="218">
        <v>16</v>
      </c>
      <c r="M289" s="218">
        <v>19</v>
      </c>
      <c r="N289" s="218"/>
      <c r="O289" s="214">
        <f t="shared" si="19"/>
        <v>35.891684024995989</v>
      </c>
      <c r="P289" s="218">
        <v>146</v>
      </c>
      <c r="Q289" s="218">
        <v>91</v>
      </c>
      <c r="R289" s="218"/>
      <c r="S289" s="218">
        <v>209</v>
      </c>
      <c r="T289" s="218">
        <v>22.24</v>
      </c>
      <c r="U289" s="218">
        <v>23.76</v>
      </c>
      <c r="V289" s="218">
        <v>139</v>
      </c>
      <c r="W289" s="218">
        <v>1</v>
      </c>
      <c r="X289" s="218">
        <v>77</v>
      </c>
      <c r="Y289" s="218"/>
      <c r="Z289" s="203">
        <f t="shared" si="17"/>
        <v>27.8</v>
      </c>
      <c r="AA289" s="203">
        <f t="shared" si="16"/>
        <v>104.2</v>
      </c>
      <c r="AB289" s="218"/>
      <c r="AC289" s="218"/>
      <c r="AD289" s="218"/>
      <c r="AE289" s="218"/>
    </row>
    <row r="290" spans="1:31" x14ac:dyDescent="0.2">
      <c r="A290" s="200" t="s">
        <v>8540</v>
      </c>
      <c r="B290" s="201">
        <v>44897</v>
      </c>
      <c r="C290" s="202">
        <v>2</v>
      </c>
      <c r="D290" s="218" t="s">
        <v>196</v>
      </c>
      <c r="E290" s="218">
        <v>49</v>
      </c>
      <c r="F290" s="218">
        <v>66.099999999999994</v>
      </c>
      <c r="G290" s="218">
        <v>1.7</v>
      </c>
      <c r="H290" s="218">
        <v>75</v>
      </c>
      <c r="I290" s="218">
        <v>89</v>
      </c>
      <c r="J290" s="203">
        <f t="shared" si="18"/>
        <v>0.84269662921348309</v>
      </c>
      <c r="K290" s="218">
        <v>13.6</v>
      </c>
      <c r="L290" s="218"/>
      <c r="M290" s="218"/>
      <c r="N290" s="218"/>
      <c r="O290" s="214">
        <f t="shared" si="19"/>
        <v>22.8719723183391</v>
      </c>
      <c r="P290" s="218"/>
      <c r="Q290" s="218"/>
      <c r="R290" s="218">
        <v>87</v>
      </c>
      <c r="S290" s="218">
        <v>163</v>
      </c>
      <c r="T290" s="218">
        <v>124.63</v>
      </c>
      <c r="U290" s="218">
        <v>42.38</v>
      </c>
      <c r="V290" s="218">
        <v>58</v>
      </c>
      <c r="W290" s="218">
        <v>1</v>
      </c>
      <c r="X290" s="218">
        <v>87</v>
      </c>
      <c r="Y290" s="218"/>
      <c r="Z290" s="203">
        <f t="shared" si="17"/>
        <v>11.600000000000001</v>
      </c>
      <c r="AA290" s="203">
        <f t="shared" si="16"/>
        <v>64.400000000000006</v>
      </c>
      <c r="AB290" s="218"/>
      <c r="AC290" s="218"/>
      <c r="AD290" s="218"/>
      <c r="AE290" s="218"/>
    </row>
    <row r="291" spans="1:31" x14ac:dyDescent="0.2">
      <c r="A291" s="200" t="s">
        <v>8541</v>
      </c>
      <c r="B291" s="201">
        <v>44798</v>
      </c>
      <c r="C291" s="202">
        <v>2</v>
      </c>
      <c r="D291" s="218" t="s">
        <v>196</v>
      </c>
      <c r="E291" s="218">
        <v>53</v>
      </c>
      <c r="F291" s="218">
        <v>103.1</v>
      </c>
      <c r="G291" s="218">
        <v>1.9</v>
      </c>
      <c r="H291" s="218">
        <v>115</v>
      </c>
      <c r="I291" s="218">
        <v>124</v>
      </c>
      <c r="J291" s="203">
        <f t="shared" si="18"/>
        <v>0.92741935483870963</v>
      </c>
      <c r="K291" s="218">
        <v>32.700000000000003</v>
      </c>
      <c r="L291" s="218">
        <v>16</v>
      </c>
      <c r="M291" s="218">
        <v>32.799999999999997</v>
      </c>
      <c r="N291" s="218"/>
      <c r="O291" s="214">
        <f t="shared" si="19"/>
        <v>28.559556786703599</v>
      </c>
      <c r="P291" s="218">
        <v>113</v>
      </c>
      <c r="Q291" s="218">
        <v>80</v>
      </c>
      <c r="R291" s="222">
        <v>102</v>
      </c>
      <c r="S291" s="218">
        <v>187</v>
      </c>
      <c r="T291" s="218">
        <v>30.2</v>
      </c>
      <c r="U291" s="218">
        <v>14.45</v>
      </c>
      <c r="V291" s="218">
        <v>80</v>
      </c>
      <c r="W291" s="218">
        <v>1</v>
      </c>
      <c r="X291" s="218">
        <v>89</v>
      </c>
      <c r="Y291" s="218"/>
      <c r="Z291" s="203">
        <f t="shared" si="17"/>
        <v>16</v>
      </c>
      <c r="AA291" s="203">
        <f t="shared" si="16"/>
        <v>82</v>
      </c>
      <c r="AB291" s="218">
        <v>0.65</v>
      </c>
      <c r="AC291" s="218"/>
      <c r="AD291" s="218"/>
      <c r="AE291" s="218"/>
    </row>
    <row r="292" spans="1:31" x14ac:dyDescent="0.2">
      <c r="A292" s="200" t="s">
        <v>8542</v>
      </c>
      <c r="B292" s="201">
        <v>44899</v>
      </c>
      <c r="C292" s="202"/>
      <c r="D292" s="218"/>
      <c r="E292" s="218"/>
      <c r="F292" s="218"/>
      <c r="G292" s="218"/>
      <c r="H292" s="218"/>
      <c r="I292" s="218"/>
      <c r="J292" s="203" t="e">
        <f t="shared" si="18"/>
        <v>#DIV/0!</v>
      </c>
      <c r="K292" s="218"/>
      <c r="L292" s="218"/>
      <c r="M292" s="218"/>
      <c r="N292" s="218"/>
      <c r="O292" s="214" t="e">
        <f t="shared" si="19"/>
        <v>#DIV/0!</v>
      </c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03">
        <f t="shared" si="17"/>
        <v>0</v>
      </c>
      <c r="AA292" s="203">
        <f t="shared" si="16"/>
        <v>0</v>
      </c>
      <c r="AB292" s="218"/>
      <c r="AC292" s="218"/>
      <c r="AD292" s="218"/>
      <c r="AE292" s="218"/>
    </row>
    <row r="293" spans="1:31" x14ac:dyDescent="0.2">
      <c r="A293" s="200" t="s">
        <v>8543</v>
      </c>
      <c r="B293" s="201">
        <v>44900</v>
      </c>
      <c r="C293" s="202"/>
      <c r="D293" s="218"/>
      <c r="E293" s="218"/>
      <c r="F293" s="218"/>
      <c r="G293" s="218"/>
      <c r="H293" s="218"/>
      <c r="I293" s="218"/>
      <c r="J293" s="203" t="e">
        <f t="shared" si="18"/>
        <v>#DIV/0!</v>
      </c>
      <c r="K293" s="218"/>
      <c r="L293" s="218"/>
      <c r="M293" s="218"/>
      <c r="N293" s="218"/>
      <c r="O293" s="214" t="e">
        <f t="shared" si="19"/>
        <v>#DIV/0!</v>
      </c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03">
        <f t="shared" si="17"/>
        <v>0</v>
      </c>
      <c r="AA293" s="203">
        <f t="shared" si="16"/>
        <v>0</v>
      </c>
      <c r="AB293" s="218"/>
      <c r="AC293" s="218"/>
      <c r="AD293" s="218"/>
      <c r="AE293" s="218"/>
    </row>
    <row r="294" spans="1:31" x14ac:dyDescent="0.2">
      <c r="A294" s="200" t="s">
        <v>8544</v>
      </c>
      <c r="B294" s="201">
        <v>44866</v>
      </c>
      <c r="C294" s="202">
        <v>2</v>
      </c>
      <c r="D294" s="218" t="s">
        <v>675</v>
      </c>
      <c r="E294" s="218">
        <v>34</v>
      </c>
      <c r="F294" s="218">
        <v>79.2</v>
      </c>
      <c r="G294" s="218">
        <v>1.71</v>
      </c>
      <c r="H294" s="218">
        <v>97</v>
      </c>
      <c r="I294" s="218">
        <v>105</v>
      </c>
      <c r="J294" s="203">
        <f t="shared" si="18"/>
        <v>0.92380952380952386</v>
      </c>
      <c r="K294" s="218">
        <v>25.6</v>
      </c>
      <c r="L294" s="218">
        <v>9</v>
      </c>
      <c r="M294" s="218">
        <v>56</v>
      </c>
      <c r="N294" s="218"/>
      <c r="O294" s="214">
        <f t="shared" si="19"/>
        <v>27.085257002154513</v>
      </c>
      <c r="P294" s="218">
        <v>112</v>
      </c>
      <c r="Q294" s="218">
        <v>82</v>
      </c>
      <c r="R294" s="218">
        <v>79</v>
      </c>
      <c r="S294" s="218">
        <v>224</v>
      </c>
      <c r="T294" s="218"/>
      <c r="U294" s="218">
        <v>49.88</v>
      </c>
      <c r="V294" s="218">
        <v>122</v>
      </c>
      <c r="W294" s="218">
        <v>1</v>
      </c>
      <c r="X294" s="218">
        <v>68</v>
      </c>
      <c r="Y294" s="218"/>
      <c r="Z294" s="203">
        <f t="shared" si="17"/>
        <v>24.400000000000002</v>
      </c>
      <c r="AA294" s="203">
        <f t="shared" si="16"/>
        <v>131.6</v>
      </c>
      <c r="AB294" s="218">
        <v>1.1000000000000001</v>
      </c>
      <c r="AC294" s="218"/>
      <c r="AD294" s="218"/>
      <c r="AE294" s="218"/>
    </row>
    <row r="295" spans="1:31" x14ac:dyDescent="0.2">
      <c r="A295" s="200" t="s">
        <v>8545</v>
      </c>
      <c r="B295" s="201">
        <v>44902</v>
      </c>
      <c r="C295" s="202"/>
      <c r="D295" s="218"/>
      <c r="E295" s="218"/>
      <c r="F295" s="218"/>
      <c r="G295" s="218"/>
      <c r="H295" s="218"/>
      <c r="I295" s="218"/>
      <c r="J295" s="203" t="e">
        <f t="shared" si="18"/>
        <v>#DIV/0!</v>
      </c>
      <c r="K295" s="218"/>
      <c r="L295" s="218"/>
      <c r="M295" s="218"/>
      <c r="N295" s="218"/>
      <c r="O295" s="214" t="e">
        <f t="shared" si="19"/>
        <v>#DIV/0!</v>
      </c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03">
        <f t="shared" si="17"/>
        <v>0</v>
      </c>
      <c r="AA295" s="203">
        <f t="shared" si="16"/>
        <v>0</v>
      </c>
      <c r="AB295" s="218"/>
      <c r="AC295" s="218"/>
      <c r="AD295" s="218"/>
      <c r="AE295" s="218"/>
    </row>
    <row r="296" spans="1:31" x14ac:dyDescent="0.2">
      <c r="A296" s="200" t="s">
        <v>8546</v>
      </c>
      <c r="B296" s="201">
        <v>44903</v>
      </c>
      <c r="C296" s="202"/>
      <c r="D296" s="218"/>
      <c r="E296" s="218"/>
      <c r="F296" s="218"/>
      <c r="G296" s="218"/>
      <c r="H296" s="218"/>
      <c r="I296" s="218"/>
      <c r="J296" s="203" t="e">
        <f t="shared" si="18"/>
        <v>#DIV/0!</v>
      </c>
      <c r="K296" s="218"/>
      <c r="L296" s="218"/>
      <c r="M296" s="218"/>
      <c r="N296" s="218"/>
      <c r="O296" s="214" t="e">
        <f t="shared" si="19"/>
        <v>#DIV/0!</v>
      </c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03">
        <f t="shared" si="17"/>
        <v>0</v>
      </c>
      <c r="AA296" s="203">
        <f t="shared" si="16"/>
        <v>0</v>
      </c>
      <c r="AB296" s="218"/>
      <c r="AC296" s="218"/>
      <c r="AD296" s="218"/>
      <c r="AE296" s="218"/>
    </row>
    <row r="297" spans="1:31" x14ac:dyDescent="0.2">
      <c r="A297" s="200" t="s">
        <v>8547</v>
      </c>
      <c r="B297" s="201">
        <v>44904</v>
      </c>
      <c r="C297" s="202"/>
      <c r="D297" s="218"/>
      <c r="E297" s="218"/>
      <c r="F297" s="218"/>
      <c r="G297" s="218"/>
      <c r="H297" s="218"/>
      <c r="I297" s="218"/>
      <c r="J297" s="203" t="e">
        <f t="shared" si="18"/>
        <v>#DIV/0!</v>
      </c>
      <c r="K297" s="218"/>
      <c r="L297" s="218"/>
      <c r="M297" s="218"/>
      <c r="N297" s="218"/>
      <c r="O297" s="214" t="e">
        <f t="shared" si="19"/>
        <v>#DIV/0!</v>
      </c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03">
        <f t="shared" si="17"/>
        <v>0</v>
      </c>
      <c r="AA297" s="203">
        <f t="shared" si="16"/>
        <v>0</v>
      </c>
      <c r="AB297" s="218"/>
      <c r="AC297" s="218"/>
      <c r="AD297" s="218"/>
      <c r="AE297" s="218"/>
    </row>
    <row r="298" spans="1:31" x14ac:dyDescent="0.2">
      <c r="A298" s="200" t="s">
        <v>8548</v>
      </c>
      <c r="B298" s="201">
        <v>44905</v>
      </c>
      <c r="C298" s="202"/>
      <c r="D298" s="218"/>
      <c r="E298" s="218"/>
      <c r="F298" s="218"/>
      <c r="G298" s="218"/>
      <c r="H298" s="218"/>
      <c r="I298" s="218"/>
      <c r="J298" s="203" t="e">
        <f t="shared" si="18"/>
        <v>#DIV/0!</v>
      </c>
      <c r="K298" s="218"/>
      <c r="L298" s="218"/>
      <c r="M298" s="218"/>
      <c r="N298" s="218"/>
      <c r="O298" s="214" t="e">
        <f t="shared" si="19"/>
        <v>#DIV/0!</v>
      </c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03">
        <f t="shared" si="17"/>
        <v>0</v>
      </c>
      <c r="AA298" s="203">
        <f t="shared" si="16"/>
        <v>0</v>
      </c>
      <c r="AB298" s="218"/>
      <c r="AC298" s="218"/>
      <c r="AD298" s="218"/>
      <c r="AE298" s="218"/>
    </row>
    <row r="299" spans="1:31" x14ac:dyDescent="0.2">
      <c r="A299" s="200" t="s">
        <v>8549</v>
      </c>
      <c r="B299" s="201">
        <v>44906</v>
      </c>
      <c r="C299" s="202"/>
      <c r="D299" s="218"/>
      <c r="E299" s="218"/>
      <c r="F299" s="218"/>
      <c r="G299" s="218"/>
      <c r="H299" s="218"/>
      <c r="I299" s="218"/>
      <c r="J299" s="203" t="e">
        <f t="shared" si="18"/>
        <v>#DIV/0!</v>
      </c>
      <c r="K299" s="218"/>
      <c r="L299" s="218"/>
      <c r="M299" s="218"/>
      <c r="N299" s="218"/>
      <c r="O299" s="214" t="e">
        <f t="shared" si="19"/>
        <v>#DIV/0!</v>
      </c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03">
        <f t="shared" si="17"/>
        <v>0</v>
      </c>
      <c r="AA299" s="203">
        <f t="shared" si="16"/>
        <v>0</v>
      </c>
      <c r="AB299" s="218"/>
      <c r="AC299" s="218"/>
      <c r="AD299" s="218"/>
      <c r="AE299" s="218"/>
    </row>
    <row r="300" spans="1:31" x14ac:dyDescent="0.2">
      <c r="A300" s="200" t="s">
        <v>8550</v>
      </c>
      <c r="B300" s="201">
        <v>44907</v>
      </c>
      <c r="C300" s="202"/>
      <c r="D300" s="218"/>
      <c r="E300" s="218"/>
      <c r="F300" s="218"/>
      <c r="G300" s="218"/>
      <c r="H300" s="218"/>
      <c r="I300" s="218"/>
      <c r="J300" s="203" t="e">
        <f t="shared" si="18"/>
        <v>#DIV/0!</v>
      </c>
      <c r="K300" s="218"/>
      <c r="L300" s="218"/>
      <c r="M300" s="218"/>
      <c r="N300" s="218"/>
      <c r="O300" s="214" t="e">
        <f t="shared" si="19"/>
        <v>#DIV/0!</v>
      </c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03">
        <f t="shared" si="17"/>
        <v>0</v>
      </c>
      <c r="AA300" s="203">
        <f t="shared" si="16"/>
        <v>0</v>
      </c>
      <c r="AB300" s="218"/>
      <c r="AC300" s="218"/>
      <c r="AD300" s="218"/>
      <c r="AE300" s="218"/>
    </row>
    <row r="301" spans="1:31" x14ac:dyDescent="0.2">
      <c r="A301" s="200" t="s">
        <v>8551</v>
      </c>
      <c r="B301" s="201">
        <v>44908</v>
      </c>
      <c r="C301" s="202"/>
      <c r="D301" s="218"/>
      <c r="E301" s="218"/>
      <c r="F301" s="218"/>
      <c r="G301" s="218"/>
      <c r="H301" s="218"/>
      <c r="I301" s="218"/>
      <c r="J301" s="203" t="e">
        <f t="shared" si="18"/>
        <v>#DIV/0!</v>
      </c>
      <c r="K301" s="218"/>
      <c r="L301" s="218"/>
      <c r="M301" s="218"/>
      <c r="N301" s="218"/>
      <c r="O301" s="214" t="e">
        <f t="shared" si="19"/>
        <v>#DIV/0!</v>
      </c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03">
        <f t="shared" si="17"/>
        <v>0</v>
      </c>
      <c r="AA301" s="203">
        <f t="shared" si="16"/>
        <v>0</v>
      </c>
      <c r="AB301" s="218"/>
      <c r="AC301" s="218"/>
      <c r="AD301" s="218"/>
      <c r="AE301" s="218"/>
    </row>
    <row r="302" spans="1:31" x14ac:dyDescent="0.2">
      <c r="A302" s="200" t="s">
        <v>8552</v>
      </c>
      <c r="B302" s="201">
        <v>44909</v>
      </c>
      <c r="C302" s="202"/>
      <c r="D302" s="218"/>
      <c r="E302" s="218"/>
      <c r="F302" s="218"/>
      <c r="G302" s="218"/>
      <c r="H302" s="218"/>
      <c r="I302" s="218"/>
      <c r="J302" s="203" t="e">
        <f t="shared" si="18"/>
        <v>#DIV/0!</v>
      </c>
      <c r="K302" s="218"/>
      <c r="L302" s="218"/>
      <c r="M302" s="218"/>
      <c r="N302" s="218"/>
      <c r="O302" s="214" t="e">
        <f t="shared" si="19"/>
        <v>#DIV/0!</v>
      </c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03">
        <f t="shared" si="17"/>
        <v>0</v>
      </c>
      <c r="AA302" s="203">
        <f t="shared" ref="AA302:AA365" si="20">S302-X302-Z302</f>
        <v>0</v>
      </c>
      <c r="AB302" s="218"/>
      <c r="AC302" s="218"/>
      <c r="AD302" s="218"/>
      <c r="AE302" s="218"/>
    </row>
    <row r="303" spans="1:31" x14ac:dyDescent="0.2">
      <c r="A303" s="200" t="s">
        <v>8553</v>
      </c>
      <c r="B303" s="201">
        <v>44910</v>
      </c>
      <c r="C303" s="202"/>
      <c r="D303" s="218"/>
      <c r="E303" s="218"/>
      <c r="F303" s="218"/>
      <c r="G303" s="218"/>
      <c r="H303" s="218"/>
      <c r="I303" s="218"/>
      <c r="J303" s="203" t="e">
        <f t="shared" si="18"/>
        <v>#DIV/0!</v>
      </c>
      <c r="K303" s="218"/>
      <c r="L303" s="218"/>
      <c r="M303" s="218"/>
      <c r="N303" s="218"/>
      <c r="O303" s="214" t="e">
        <f t="shared" si="19"/>
        <v>#DIV/0!</v>
      </c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03">
        <f t="shared" si="17"/>
        <v>0</v>
      </c>
      <c r="AA303" s="203">
        <f t="shared" si="20"/>
        <v>0</v>
      </c>
      <c r="AB303" s="218"/>
      <c r="AC303" s="218"/>
      <c r="AD303" s="218"/>
      <c r="AE303" s="218"/>
    </row>
    <row r="304" spans="1:31" x14ac:dyDescent="0.2">
      <c r="A304" s="200" t="s">
        <v>8554</v>
      </c>
      <c r="B304" s="201">
        <v>44911</v>
      </c>
      <c r="C304" s="202"/>
      <c r="D304" s="218"/>
      <c r="E304" s="218"/>
      <c r="F304" s="218"/>
      <c r="G304" s="218"/>
      <c r="H304" s="218"/>
      <c r="I304" s="218"/>
      <c r="J304" s="203" t="e">
        <f t="shared" si="18"/>
        <v>#DIV/0!</v>
      </c>
      <c r="K304" s="218"/>
      <c r="L304" s="218"/>
      <c r="M304" s="218"/>
      <c r="N304" s="218"/>
      <c r="O304" s="214" t="e">
        <f t="shared" si="19"/>
        <v>#DIV/0!</v>
      </c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03">
        <f t="shared" si="17"/>
        <v>0</v>
      </c>
      <c r="AA304" s="203">
        <f t="shared" si="20"/>
        <v>0</v>
      </c>
      <c r="AB304" s="218"/>
      <c r="AC304" s="218"/>
      <c r="AD304" s="218"/>
      <c r="AE304" s="218"/>
    </row>
    <row r="305" spans="1:31" x14ac:dyDescent="0.2">
      <c r="A305" s="200" t="s">
        <v>8555</v>
      </c>
      <c r="B305" s="201">
        <v>44912</v>
      </c>
      <c r="C305" s="202"/>
      <c r="D305" s="218"/>
      <c r="E305" s="218"/>
      <c r="F305" s="218"/>
      <c r="G305" s="218"/>
      <c r="H305" s="218"/>
      <c r="I305" s="218"/>
      <c r="J305" s="203" t="e">
        <f t="shared" si="18"/>
        <v>#DIV/0!</v>
      </c>
      <c r="K305" s="218"/>
      <c r="L305" s="218"/>
      <c r="M305" s="218"/>
      <c r="N305" s="218"/>
      <c r="O305" s="214" t="e">
        <f t="shared" si="19"/>
        <v>#DIV/0!</v>
      </c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03">
        <f t="shared" si="17"/>
        <v>0</v>
      </c>
      <c r="AA305" s="203">
        <f t="shared" si="20"/>
        <v>0</v>
      </c>
      <c r="AB305" s="218"/>
      <c r="AC305" s="218"/>
      <c r="AD305" s="218"/>
      <c r="AE305" s="218"/>
    </row>
    <row r="306" spans="1:31" x14ac:dyDescent="0.2">
      <c r="A306" s="200" t="s">
        <v>8556</v>
      </c>
      <c r="B306" s="201">
        <v>44913</v>
      </c>
      <c r="C306" s="202"/>
      <c r="D306" s="218"/>
      <c r="E306" s="218"/>
      <c r="F306" s="218"/>
      <c r="G306" s="218"/>
      <c r="H306" s="218"/>
      <c r="I306" s="218"/>
      <c r="J306" s="203" t="e">
        <f t="shared" si="18"/>
        <v>#DIV/0!</v>
      </c>
      <c r="K306" s="218"/>
      <c r="L306" s="218"/>
      <c r="M306" s="218"/>
      <c r="N306" s="218"/>
      <c r="O306" s="214" t="e">
        <f t="shared" si="19"/>
        <v>#DIV/0!</v>
      </c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03">
        <f t="shared" si="17"/>
        <v>0</v>
      </c>
      <c r="AA306" s="203">
        <f t="shared" si="20"/>
        <v>0</v>
      </c>
      <c r="AB306" s="218"/>
      <c r="AC306" s="218"/>
      <c r="AD306" s="218"/>
      <c r="AE306" s="218"/>
    </row>
    <row r="307" spans="1:31" x14ac:dyDescent="0.2">
      <c r="A307" s="200" t="s">
        <v>8557</v>
      </c>
      <c r="B307" s="201">
        <v>44914</v>
      </c>
      <c r="C307" s="202"/>
      <c r="D307" s="218"/>
      <c r="E307" s="218"/>
      <c r="F307" s="218"/>
      <c r="G307" s="218"/>
      <c r="H307" s="218"/>
      <c r="I307" s="218"/>
      <c r="J307" s="203" t="e">
        <f t="shared" si="18"/>
        <v>#DIV/0!</v>
      </c>
      <c r="K307" s="218"/>
      <c r="L307" s="218"/>
      <c r="M307" s="218"/>
      <c r="N307" s="218"/>
      <c r="O307" s="214" t="e">
        <f t="shared" si="19"/>
        <v>#DIV/0!</v>
      </c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03">
        <f t="shared" si="17"/>
        <v>0</v>
      </c>
      <c r="AA307" s="203">
        <f t="shared" si="20"/>
        <v>0</v>
      </c>
      <c r="AB307" s="218"/>
      <c r="AC307" s="218"/>
      <c r="AD307" s="218"/>
      <c r="AE307" s="218"/>
    </row>
    <row r="308" spans="1:31" x14ac:dyDescent="0.2">
      <c r="A308" s="200" t="s">
        <v>8558</v>
      </c>
      <c r="B308" s="201">
        <v>44915</v>
      </c>
      <c r="C308" s="202"/>
      <c r="D308" s="218"/>
      <c r="E308" s="218"/>
      <c r="F308" s="218"/>
      <c r="G308" s="218"/>
      <c r="H308" s="218"/>
      <c r="I308" s="218"/>
      <c r="J308" s="203" t="e">
        <f t="shared" si="18"/>
        <v>#DIV/0!</v>
      </c>
      <c r="K308" s="218"/>
      <c r="L308" s="218"/>
      <c r="M308" s="218"/>
      <c r="N308" s="218"/>
      <c r="O308" s="214" t="e">
        <f t="shared" si="19"/>
        <v>#DIV/0!</v>
      </c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03">
        <f t="shared" si="17"/>
        <v>0</v>
      </c>
      <c r="AA308" s="203">
        <f t="shared" si="20"/>
        <v>0</v>
      </c>
      <c r="AB308" s="218"/>
      <c r="AC308" s="218"/>
      <c r="AD308" s="218"/>
      <c r="AE308" s="218"/>
    </row>
    <row r="309" spans="1:31" x14ac:dyDescent="0.2">
      <c r="A309" s="200" t="s">
        <v>8559</v>
      </c>
      <c r="B309" s="201">
        <v>44916</v>
      </c>
      <c r="C309" s="202"/>
      <c r="D309" s="218"/>
      <c r="E309" s="218"/>
      <c r="F309" s="218"/>
      <c r="G309" s="218"/>
      <c r="H309" s="218"/>
      <c r="I309" s="218"/>
      <c r="J309" s="203" t="e">
        <f t="shared" si="18"/>
        <v>#DIV/0!</v>
      </c>
      <c r="K309" s="218"/>
      <c r="L309" s="218"/>
      <c r="M309" s="218"/>
      <c r="N309" s="218"/>
      <c r="O309" s="214" t="e">
        <f t="shared" si="19"/>
        <v>#DIV/0!</v>
      </c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03">
        <f t="shared" ref="Z309:Z372" si="21">V309*0.2</f>
        <v>0</v>
      </c>
      <c r="AA309" s="203">
        <f t="shared" si="20"/>
        <v>0</v>
      </c>
      <c r="AB309" s="218"/>
      <c r="AC309" s="218"/>
      <c r="AD309" s="218"/>
      <c r="AE309" s="218"/>
    </row>
    <row r="310" spans="1:31" x14ac:dyDescent="0.2">
      <c r="A310" s="200" t="s">
        <v>8560</v>
      </c>
      <c r="B310" s="201">
        <v>44917</v>
      </c>
      <c r="C310" s="202"/>
      <c r="D310" s="218"/>
      <c r="E310" s="218"/>
      <c r="F310" s="218"/>
      <c r="G310" s="218"/>
      <c r="H310" s="218"/>
      <c r="I310" s="218"/>
      <c r="J310" s="203" t="e">
        <f t="shared" si="18"/>
        <v>#DIV/0!</v>
      </c>
      <c r="K310" s="218"/>
      <c r="L310" s="218"/>
      <c r="M310" s="218"/>
      <c r="N310" s="218"/>
      <c r="O310" s="214" t="e">
        <f t="shared" si="19"/>
        <v>#DIV/0!</v>
      </c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03">
        <f t="shared" si="21"/>
        <v>0</v>
      </c>
      <c r="AA310" s="203">
        <f t="shared" si="20"/>
        <v>0</v>
      </c>
      <c r="AB310" s="218"/>
      <c r="AC310" s="218"/>
      <c r="AD310" s="218"/>
      <c r="AE310" s="218"/>
    </row>
    <row r="311" spans="1:31" x14ac:dyDescent="0.2">
      <c r="A311" s="200" t="s">
        <v>8561</v>
      </c>
      <c r="B311" s="201">
        <v>44918</v>
      </c>
      <c r="C311" s="202"/>
      <c r="D311" s="218"/>
      <c r="E311" s="218"/>
      <c r="F311" s="218"/>
      <c r="G311" s="218"/>
      <c r="H311" s="218"/>
      <c r="I311" s="218"/>
      <c r="J311" s="203" t="e">
        <f t="shared" si="18"/>
        <v>#DIV/0!</v>
      </c>
      <c r="K311" s="218"/>
      <c r="L311" s="218"/>
      <c r="M311" s="218"/>
      <c r="N311" s="218"/>
      <c r="O311" s="214" t="e">
        <f t="shared" si="19"/>
        <v>#DIV/0!</v>
      </c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03">
        <f t="shared" si="21"/>
        <v>0</v>
      </c>
      <c r="AA311" s="203">
        <f t="shared" si="20"/>
        <v>0</v>
      </c>
      <c r="AB311" s="218"/>
      <c r="AC311" s="218"/>
      <c r="AD311" s="218"/>
      <c r="AE311" s="218"/>
    </row>
    <row r="312" spans="1:31" x14ac:dyDescent="0.2">
      <c r="A312" s="200" t="s">
        <v>8562</v>
      </c>
      <c r="B312" s="201">
        <v>44919</v>
      </c>
      <c r="C312" s="202"/>
      <c r="D312" s="218"/>
      <c r="E312" s="218"/>
      <c r="F312" s="218"/>
      <c r="G312" s="218"/>
      <c r="H312" s="218"/>
      <c r="I312" s="218"/>
      <c r="J312" s="203" t="e">
        <f t="shared" si="18"/>
        <v>#DIV/0!</v>
      </c>
      <c r="K312" s="218"/>
      <c r="L312" s="218"/>
      <c r="M312" s="218"/>
      <c r="N312" s="218"/>
      <c r="O312" s="214" t="e">
        <f t="shared" si="19"/>
        <v>#DIV/0!</v>
      </c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03">
        <f t="shared" si="21"/>
        <v>0</v>
      </c>
      <c r="AA312" s="203">
        <f t="shared" si="20"/>
        <v>0</v>
      </c>
      <c r="AB312" s="218"/>
      <c r="AC312" s="218"/>
      <c r="AD312" s="218"/>
      <c r="AE312" s="218"/>
    </row>
    <row r="313" spans="1:31" x14ac:dyDescent="0.2">
      <c r="A313" s="200" t="s">
        <v>8563</v>
      </c>
      <c r="B313" s="201">
        <v>44920</v>
      </c>
      <c r="C313" s="202"/>
      <c r="D313" s="218"/>
      <c r="E313" s="218"/>
      <c r="F313" s="218"/>
      <c r="G313" s="218"/>
      <c r="H313" s="218"/>
      <c r="I313" s="218"/>
      <c r="J313" s="203" t="e">
        <f t="shared" si="18"/>
        <v>#DIV/0!</v>
      </c>
      <c r="K313" s="218"/>
      <c r="L313" s="218"/>
      <c r="M313" s="218"/>
      <c r="N313" s="218"/>
      <c r="O313" s="214" t="e">
        <f t="shared" si="19"/>
        <v>#DIV/0!</v>
      </c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03">
        <f t="shared" si="21"/>
        <v>0</v>
      </c>
      <c r="AA313" s="203">
        <f t="shared" si="20"/>
        <v>0</v>
      </c>
      <c r="AB313" s="218"/>
      <c r="AC313" s="218"/>
      <c r="AD313" s="218"/>
      <c r="AE313" s="218"/>
    </row>
    <row r="314" spans="1:31" x14ac:dyDescent="0.2">
      <c r="A314" s="200" t="s">
        <v>8564</v>
      </c>
      <c r="B314" s="201">
        <v>44921</v>
      </c>
      <c r="C314" s="202"/>
      <c r="D314" s="218"/>
      <c r="E314" s="218"/>
      <c r="F314" s="218"/>
      <c r="G314" s="218"/>
      <c r="H314" s="218"/>
      <c r="I314" s="218"/>
      <c r="J314" s="203" t="e">
        <f t="shared" si="18"/>
        <v>#DIV/0!</v>
      </c>
      <c r="K314" s="218"/>
      <c r="L314" s="218"/>
      <c r="M314" s="218"/>
      <c r="N314" s="218"/>
      <c r="O314" s="214" t="e">
        <f t="shared" si="19"/>
        <v>#DIV/0!</v>
      </c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03">
        <f t="shared" si="21"/>
        <v>0</v>
      </c>
      <c r="AA314" s="203">
        <f t="shared" si="20"/>
        <v>0</v>
      </c>
      <c r="AB314" s="218"/>
      <c r="AC314" s="218"/>
      <c r="AD314" s="218"/>
      <c r="AE314" s="218"/>
    </row>
    <row r="315" spans="1:31" x14ac:dyDescent="0.2">
      <c r="A315" s="200" t="s">
        <v>8565</v>
      </c>
      <c r="B315" s="201">
        <v>44922</v>
      </c>
      <c r="C315" s="202"/>
      <c r="D315" s="218"/>
      <c r="E315" s="218"/>
      <c r="F315" s="218"/>
      <c r="G315" s="218"/>
      <c r="H315" s="218"/>
      <c r="I315" s="218"/>
      <c r="J315" s="203" t="e">
        <f t="shared" si="18"/>
        <v>#DIV/0!</v>
      </c>
      <c r="K315" s="218"/>
      <c r="L315" s="218"/>
      <c r="M315" s="218"/>
      <c r="N315" s="218"/>
      <c r="O315" s="214" t="e">
        <f t="shared" si="19"/>
        <v>#DIV/0!</v>
      </c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03">
        <f t="shared" si="21"/>
        <v>0</v>
      </c>
      <c r="AA315" s="203">
        <f t="shared" si="20"/>
        <v>0</v>
      </c>
      <c r="AB315" s="218"/>
      <c r="AC315" s="218"/>
      <c r="AD315" s="218"/>
      <c r="AE315" s="218"/>
    </row>
    <row r="316" spans="1:31" x14ac:dyDescent="0.2">
      <c r="A316" s="200" t="s">
        <v>8566</v>
      </c>
      <c r="B316" s="201">
        <v>44923</v>
      </c>
      <c r="C316" s="202"/>
      <c r="D316" s="218"/>
      <c r="E316" s="218"/>
      <c r="F316" s="218"/>
      <c r="G316" s="218"/>
      <c r="H316" s="218"/>
      <c r="I316" s="218"/>
      <c r="J316" s="203" t="e">
        <f t="shared" si="18"/>
        <v>#DIV/0!</v>
      </c>
      <c r="K316" s="218"/>
      <c r="L316" s="218"/>
      <c r="M316" s="218"/>
      <c r="N316" s="218"/>
      <c r="O316" s="214" t="e">
        <f t="shared" si="19"/>
        <v>#DIV/0!</v>
      </c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03">
        <f t="shared" si="21"/>
        <v>0</v>
      </c>
      <c r="AA316" s="203">
        <f t="shared" si="20"/>
        <v>0</v>
      </c>
      <c r="AB316" s="218"/>
      <c r="AC316" s="218"/>
      <c r="AD316" s="218"/>
      <c r="AE316" s="218"/>
    </row>
    <row r="317" spans="1:31" x14ac:dyDescent="0.2">
      <c r="A317" s="200" t="s">
        <v>8567</v>
      </c>
      <c r="B317" s="201">
        <v>44924</v>
      </c>
      <c r="C317" s="202"/>
      <c r="D317" s="218"/>
      <c r="E317" s="218"/>
      <c r="F317" s="218"/>
      <c r="G317" s="218"/>
      <c r="H317" s="218"/>
      <c r="I317" s="218"/>
      <c r="J317" s="203" t="e">
        <f t="shared" si="18"/>
        <v>#DIV/0!</v>
      </c>
      <c r="K317" s="218"/>
      <c r="L317" s="218"/>
      <c r="M317" s="218"/>
      <c r="N317" s="218"/>
      <c r="O317" s="214" t="e">
        <f t="shared" si="19"/>
        <v>#DIV/0!</v>
      </c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03">
        <f t="shared" si="21"/>
        <v>0</v>
      </c>
      <c r="AA317" s="203">
        <f t="shared" si="20"/>
        <v>0</v>
      </c>
      <c r="AB317" s="218"/>
      <c r="AC317" s="218"/>
      <c r="AD317" s="218"/>
      <c r="AE317" s="218"/>
    </row>
    <row r="318" spans="1:31" x14ac:dyDescent="0.2">
      <c r="A318" s="200" t="s">
        <v>8568</v>
      </c>
      <c r="B318" s="201">
        <v>44925</v>
      </c>
      <c r="C318" s="202"/>
      <c r="D318" s="218"/>
      <c r="E318" s="218"/>
      <c r="F318" s="218"/>
      <c r="G318" s="218"/>
      <c r="H318" s="218"/>
      <c r="I318" s="218"/>
      <c r="J318" s="203" t="e">
        <f t="shared" si="18"/>
        <v>#DIV/0!</v>
      </c>
      <c r="K318" s="218"/>
      <c r="L318" s="218"/>
      <c r="M318" s="218"/>
      <c r="N318" s="218"/>
      <c r="O318" s="214" t="e">
        <f t="shared" si="19"/>
        <v>#DIV/0!</v>
      </c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03">
        <f t="shared" si="21"/>
        <v>0</v>
      </c>
      <c r="AA318" s="203">
        <f t="shared" si="20"/>
        <v>0</v>
      </c>
      <c r="AB318" s="218"/>
      <c r="AC318" s="218"/>
      <c r="AD318" s="218"/>
      <c r="AE318" s="218"/>
    </row>
    <row r="319" spans="1:31" x14ac:dyDescent="0.2">
      <c r="A319" s="200" t="s">
        <v>8569</v>
      </c>
      <c r="B319" s="201">
        <v>44926</v>
      </c>
      <c r="C319" s="202"/>
      <c r="D319" s="218"/>
      <c r="E319" s="218"/>
      <c r="F319" s="218"/>
      <c r="G319" s="218"/>
      <c r="H319" s="218"/>
      <c r="I319" s="218"/>
      <c r="J319" s="203" t="e">
        <f t="shared" si="18"/>
        <v>#DIV/0!</v>
      </c>
      <c r="K319" s="218"/>
      <c r="L319" s="218"/>
      <c r="M319" s="218"/>
      <c r="N319" s="218"/>
      <c r="O319" s="214" t="e">
        <f t="shared" si="19"/>
        <v>#DIV/0!</v>
      </c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03">
        <f t="shared" si="21"/>
        <v>0</v>
      </c>
      <c r="AA319" s="203">
        <f t="shared" si="20"/>
        <v>0</v>
      </c>
      <c r="AB319" s="218"/>
      <c r="AC319" s="218"/>
      <c r="AD319" s="218"/>
      <c r="AE319" s="218"/>
    </row>
    <row r="320" spans="1:31" x14ac:dyDescent="0.2">
      <c r="A320" s="200" t="s">
        <v>8570</v>
      </c>
      <c r="B320" s="201">
        <v>44927</v>
      </c>
      <c r="C320" s="202"/>
      <c r="D320" s="218"/>
      <c r="E320" s="218"/>
      <c r="F320" s="218"/>
      <c r="G320" s="218"/>
      <c r="H320" s="218"/>
      <c r="I320" s="218"/>
      <c r="J320" s="203" t="e">
        <f t="shared" si="18"/>
        <v>#DIV/0!</v>
      </c>
      <c r="K320" s="218"/>
      <c r="L320" s="218"/>
      <c r="M320" s="218"/>
      <c r="N320" s="218"/>
      <c r="O320" s="214" t="e">
        <f t="shared" si="19"/>
        <v>#DIV/0!</v>
      </c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03">
        <f t="shared" si="21"/>
        <v>0</v>
      </c>
      <c r="AA320" s="203">
        <f t="shared" si="20"/>
        <v>0</v>
      </c>
      <c r="AB320" s="218"/>
      <c r="AC320" s="218"/>
      <c r="AD320" s="218"/>
      <c r="AE320" s="218"/>
    </row>
    <row r="321" spans="1:31" x14ac:dyDescent="0.2">
      <c r="A321" s="200" t="s">
        <v>8571</v>
      </c>
      <c r="B321" s="201">
        <v>44928</v>
      </c>
      <c r="C321" s="202"/>
      <c r="D321" s="218"/>
      <c r="E321" s="218"/>
      <c r="F321" s="218"/>
      <c r="G321" s="218"/>
      <c r="H321" s="218"/>
      <c r="I321" s="218"/>
      <c r="J321" s="203" t="e">
        <f t="shared" si="18"/>
        <v>#DIV/0!</v>
      </c>
      <c r="K321" s="218"/>
      <c r="L321" s="218"/>
      <c r="M321" s="218"/>
      <c r="N321" s="218"/>
      <c r="O321" s="214" t="e">
        <f t="shared" si="19"/>
        <v>#DIV/0!</v>
      </c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03">
        <f t="shared" si="21"/>
        <v>0</v>
      </c>
      <c r="AA321" s="203">
        <f t="shared" si="20"/>
        <v>0</v>
      </c>
      <c r="AB321" s="218"/>
      <c r="AC321" s="218"/>
      <c r="AD321" s="218"/>
      <c r="AE321" s="218"/>
    </row>
    <row r="322" spans="1:31" x14ac:dyDescent="0.2">
      <c r="A322" s="200" t="s">
        <v>8572</v>
      </c>
      <c r="B322" s="201">
        <v>44929</v>
      </c>
      <c r="C322" s="202"/>
      <c r="D322" s="218"/>
      <c r="E322" s="218"/>
      <c r="F322" s="218"/>
      <c r="G322" s="218"/>
      <c r="H322" s="218"/>
      <c r="I322" s="218"/>
      <c r="J322" s="203" t="e">
        <f t="shared" si="18"/>
        <v>#DIV/0!</v>
      </c>
      <c r="K322" s="218"/>
      <c r="L322" s="218"/>
      <c r="M322" s="218"/>
      <c r="N322" s="218"/>
      <c r="O322" s="214" t="e">
        <f t="shared" si="19"/>
        <v>#DIV/0!</v>
      </c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03">
        <f t="shared" si="21"/>
        <v>0</v>
      </c>
      <c r="AA322" s="203">
        <f t="shared" si="20"/>
        <v>0</v>
      </c>
      <c r="AB322" s="218"/>
      <c r="AC322" s="218"/>
      <c r="AD322" s="218"/>
      <c r="AE322" s="218"/>
    </row>
    <row r="323" spans="1:31" x14ac:dyDescent="0.2">
      <c r="A323" s="200" t="s">
        <v>8573</v>
      </c>
      <c r="B323" s="201">
        <v>44930</v>
      </c>
      <c r="C323" s="202"/>
      <c r="D323" s="218"/>
      <c r="E323" s="218"/>
      <c r="F323" s="218"/>
      <c r="G323" s="218"/>
      <c r="H323" s="218"/>
      <c r="I323" s="218"/>
      <c r="J323" s="203" t="e">
        <f t="shared" ref="J323:J386" si="22">H323/I323</f>
        <v>#DIV/0!</v>
      </c>
      <c r="K323" s="218"/>
      <c r="L323" s="218"/>
      <c r="M323" s="218"/>
      <c r="N323" s="218"/>
      <c r="O323" s="214" t="e">
        <f t="shared" ref="O323:O386" si="23">F323/(G323)^2</f>
        <v>#DIV/0!</v>
      </c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03">
        <f t="shared" si="21"/>
        <v>0</v>
      </c>
      <c r="AA323" s="203">
        <f t="shared" si="20"/>
        <v>0</v>
      </c>
      <c r="AB323" s="218"/>
      <c r="AC323" s="218"/>
      <c r="AD323" s="218"/>
      <c r="AE323" s="218"/>
    </row>
    <row r="324" spans="1:31" x14ac:dyDescent="0.2">
      <c r="A324" s="200" t="s">
        <v>8574</v>
      </c>
      <c r="B324" s="201">
        <v>44931</v>
      </c>
      <c r="C324" s="202"/>
      <c r="D324" s="218"/>
      <c r="E324" s="218"/>
      <c r="F324" s="218"/>
      <c r="G324" s="218"/>
      <c r="H324" s="218"/>
      <c r="I324" s="218"/>
      <c r="J324" s="203" t="e">
        <f t="shared" si="22"/>
        <v>#DIV/0!</v>
      </c>
      <c r="K324" s="218"/>
      <c r="L324" s="218"/>
      <c r="M324" s="218"/>
      <c r="N324" s="218"/>
      <c r="O324" s="214" t="e">
        <f t="shared" si="23"/>
        <v>#DIV/0!</v>
      </c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03">
        <f t="shared" si="21"/>
        <v>0</v>
      </c>
      <c r="AA324" s="203">
        <f t="shared" si="20"/>
        <v>0</v>
      </c>
      <c r="AB324" s="218"/>
      <c r="AC324" s="218"/>
      <c r="AD324" s="218"/>
      <c r="AE324" s="218"/>
    </row>
    <row r="325" spans="1:31" x14ac:dyDescent="0.2">
      <c r="A325" s="200" t="s">
        <v>8575</v>
      </c>
      <c r="B325" s="201">
        <v>44932</v>
      </c>
      <c r="C325" s="202"/>
      <c r="D325" s="218"/>
      <c r="E325" s="218"/>
      <c r="F325" s="218"/>
      <c r="G325" s="218"/>
      <c r="H325" s="218"/>
      <c r="I325" s="218"/>
      <c r="J325" s="203" t="e">
        <f t="shared" si="22"/>
        <v>#DIV/0!</v>
      </c>
      <c r="K325" s="218"/>
      <c r="L325" s="218"/>
      <c r="M325" s="218"/>
      <c r="N325" s="218"/>
      <c r="O325" s="214" t="e">
        <f t="shared" si="23"/>
        <v>#DIV/0!</v>
      </c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03">
        <f t="shared" si="21"/>
        <v>0</v>
      </c>
      <c r="AA325" s="203">
        <f t="shared" si="20"/>
        <v>0</v>
      </c>
      <c r="AB325" s="218"/>
      <c r="AC325" s="218"/>
      <c r="AD325" s="218"/>
      <c r="AE325" s="218"/>
    </row>
    <row r="326" spans="1:31" x14ac:dyDescent="0.2">
      <c r="A326" s="200" t="s">
        <v>8576</v>
      </c>
      <c r="B326" s="201">
        <v>44933</v>
      </c>
      <c r="C326" s="202"/>
      <c r="D326" s="218"/>
      <c r="E326" s="218"/>
      <c r="F326" s="218"/>
      <c r="G326" s="218"/>
      <c r="H326" s="218"/>
      <c r="I326" s="218"/>
      <c r="J326" s="203" t="e">
        <f t="shared" si="22"/>
        <v>#DIV/0!</v>
      </c>
      <c r="K326" s="218"/>
      <c r="L326" s="218"/>
      <c r="M326" s="218"/>
      <c r="N326" s="218"/>
      <c r="O326" s="214" t="e">
        <f t="shared" si="23"/>
        <v>#DIV/0!</v>
      </c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03">
        <f t="shared" si="21"/>
        <v>0</v>
      </c>
      <c r="AA326" s="203">
        <f t="shared" si="20"/>
        <v>0</v>
      </c>
      <c r="AB326" s="218"/>
      <c r="AC326" s="218"/>
      <c r="AD326" s="218"/>
      <c r="AE326" s="218"/>
    </row>
    <row r="327" spans="1:31" x14ac:dyDescent="0.2">
      <c r="A327" s="200" t="s">
        <v>8577</v>
      </c>
      <c r="B327" s="201">
        <v>44934</v>
      </c>
      <c r="C327" s="202"/>
      <c r="D327" s="218"/>
      <c r="E327" s="218"/>
      <c r="F327" s="218"/>
      <c r="G327" s="218"/>
      <c r="H327" s="218"/>
      <c r="I327" s="218"/>
      <c r="J327" s="203" t="e">
        <f t="shared" si="22"/>
        <v>#DIV/0!</v>
      </c>
      <c r="K327" s="218"/>
      <c r="L327" s="218"/>
      <c r="M327" s="218"/>
      <c r="N327" s="218"/>
      <c r="O327" s="214" t="e">
        <f t="shared" si="23"/>
        <v>#DIV/0!</v>
      </c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03">
        <f t="shared" si="21"/>
        <v>0</v>
      </c>
      <c r="AA327" s="203">
        <f t="shared" si="20"/>
        <v>0</v>
      </c>
      <c r="AB327" s="218"/>
      <c r="AC327" s="218"/>
      <c r="AD327" s="218"/>
      <c r="AE327" s="218"/>
    </row>
    <row r="328" spans="1:31" x14ac:dyDescent="0.2">
      <c r="A328" s="200" t="s">
        <v>8578</v>
      </c>
      <c r="B328" s="201">
        <v>44935</v>
      </c>
      <c r="C328" s="202"/>
      <c r="D328" s="218"/>
      <c r="E328" s="218"/>
      <c r="F328" s="218"/>
      <c r="G328" s="218"/>
      <c r="H328" s="218"/>
      <c r="I328" s="218"/>
      <c r="J328" s="203" t="e">
        <f t="shared" si="22"/>
        <v>#DIV/0!</v>
      </c>
      <c r="K328" s="218"/>
      <c r="L328" s="218"/>
      <c r="M328" s="218"/>
      <c r="N328" s="218"/>
      <c r="O328" s="214" t="e">
        <f t="shared" si="23"/>
        <v>#DIV/0!</v>
      </c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03">
        <f t="shared" si="21"/>
        <v>0</v>
      </c>
      <c r="AA328" s="203">
        <f t="shared" si="20"/>
        <v>0</v>
      </c>
      <c r="AB328" s="218"/>
      <c r="AC328" s="218"/>
      <c r="AD328" s="218"/>
      <c r="AE328" s="218"/>
    </row>
    <row r="329" spans="1:31" x14ac:dyDescent="0.2">
      <c r="A329" s="200" t="s">
        <v>8579</v>
      </c>
      <c r="B329" s="201">
        <v>44936</v>
      </c>
      <c r="C329" s="202"/>
      <c r="D329" s="218"/>
      <c r="E329" s="218"/>
      <c r="F329" s="218"/>
      <c r="G329" s="218"/>
      <c r="H329" s="218"/>
      <c r="I329" s="218"/>
      <c r="J329" s="203" t="e">
        <f t="shared" si="22"/>
        <v>#DIV/0!</v>
      </c>
      <c r="K329" s="218"/>
      <c r="L329" s="218"/>
      <c r="M329" s="218"/>
      <c r="N329" s="218"/>
      <c r="O329" s="214" t="e">
        <f t="shared" si="23"/>
        <v>#DIV/0!</v>
      </c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03">
        <f t="shared" si="21"/>
        <v>0</v>
      </c>
      <c r="AA329" s="203">
        <f t="shared" si="20"/>
        <v>0</v>
      </c>
      <c r="AB329" s="218"/>
      <c r="AC329" s="218"/>
      <c r="AD329" s="218"/>
      <c r="AE329" s="218"/>
    </row>
    <row r="330" spans="1:31" x14ac:dyDescent="0.2">
      <c r="A330" s="200" t="s">
        <v>8580</v>
      </c>
      <c r="B330" s="201">
        <v>44937</v>
      </c>
      <c r="C330" s="202"/>
      <c r="D330" s="218"/>
      <c r="E330" s="218"/>
      <c r="F330" s="218"/>
      <c r="G330" s="218"/>
      <c r="H330" s="218"/>
      <c r="I330" s="218"/>
      <c r="J330" s="203" t="e">
        <f t="shared" si="22"/>
        <v>#DIV/0!</v>
      </c>
      <c r="K330" s="218"/>
      <c r="L330" s="218"/>
      <c r="M330" s="218"/>
      <c r="N330" s="218"/>
      <c r="O330" s="214" t="e">
        <f t="shared" si="23"/>
        <v>#DIV/0!</v>
      </c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03">
        <f t="shared" si="21"/>
        <v>0</v>
      </c>
      <c r="AA330" s="203">
        <f t="shared" si="20"/>
        <v>0</v>
      </c>
      <c r="AB330" s="218"/>
      <c r="AC330" s="218"/>
      <c r="AD330" s="218"/>
      <c r="AE330" s="218"/>
    </row>
    <row r="331" spans="1:31" x14ac:dyDescent="0.2">
      <c r="A331" s="200" t="s">
        <v>8581</v>
      </c>
      <c r="B331" s="201">
        <v>44938</v>
      </c>
      <c r="C331" s="202"/>
      <c r="D331" s="218"/>
      <c r="E331" s="218"/>
      <c r="F331" s="218"/>
      <c r="G331" s="218"/>
      <c r="H331" s="218"/>
      <c r="I331" s="218"/>
      <c r="J331" s="203" t="e">
        <f t="shared" si="22"/>
        <v>#DIV/0!</v>
      </c>
      <c r="K331" s="218"/>
      <c r="L331" s="218"/>
      <c r="M331" s="218"/>
      <c r="N331" s="218"/>
      <c r="O331" s="214" t="e">
        <f t="shared" si="23"/>
        <v>#DIV/0!</v>
      </c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03">
        <f t="shared" si="21"/>
        <v>0</v>
      </c>
      <c r="AA331" s="203">
        <f t="shared" si="20"/>
        <v>0</v>
      </c>
      <c r="AB331" s="218"/>
      <c r="AC331" s="218"/>
      <c r="AD331" s="218"/>
      <c r="AE331" s="218"/>
    </row>
    <row r="332" spans="1:31" x14ac:dyDescent="0.2">
      <c r="A332" s="200" t="s">
        <v>8582</v>
      </c>
      <c r="B332" s="201">
        <v>44939</v>
      </c>
      <c r="C332" s="202"/>
      <c r="D332" s="218"/>
      <c r="E332" s="218"/>
      <c r="F332" s="218"/>
      <c r="G332" s="218"/>
      <c r="H332" s="218"/>
      <c r="I332" s="218"/>
      <c r="J332" s="203" t="e">
        <f t="shared" si="22"/>
        <v>#DIV/0!</v>
      </c>
      <c r="K332" s="218"/>
      <c r="L332" s="218"/>
      <c r="M332" s="218"/>
      <c r="N332" s="218"/>
      <c r="O332" s="214" t="e">
        <f t="shared" si="23"/>
        <v>#DIV/0!</v>
      </c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03">
        <f t="shared" si="21"/>
        <v>0</v>
      </c>
      <c r="AA332" s="203">
        <f t="shared" si="20"/>
        <v>0</v>
      </c>
      <c r="AB332" s="218"/>
      <c r="AC332" s="218"/>
      <c r="AD332" s="218"/>
      <c r="AE332" s="218"/>
    </row>
    <row r="333" spans="1:31" x14ac:dyDescent="0.2">
      <c r="A333" s="200" t="s">
        <v>8583</v>
      </c>
      <c r="B333" s="201">
        <v>44940</v>
      </c>
      <c r="C333" s="202"/>
      <c r="D333" s="218"/>
      <c r="E333" s="218"/>
      <c r="F333" s="218"/>
      <c r="G333" s="218"/>
      <c r="H333" s="218"/>
      <c r="I333" s="218"/>
      <c r="J333" s="203" t="e">
        <f t="shared" si="22"/>
        <v>#DIV/0!</v>
      </c>
      <c r="K333" s="218"/>
      <c r="L333" s="218"/>
      <c r="M333" s="218"/>
      <c r="N333" s="218"/>
      <c r="O333" s="214" t="e">
        <f t="shared" si="23"/>
        <v>#DIV/0!</v>
      </c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03">
        <f t="shared" si="21"/>
        <v>0</v>
      </c>
      <c r="AA333" s="203">
        <f t="shared" si="20"/>
        <v>0</v>
      </c>
      <c r="AB333" s="218"/>
      <c r="AC333" s="218"/>
      <c r="AD333" s="218"/>
      <c r="AE333" s="218"/>
    </row>
    <row r="334" spans="1:31" x14ac:dyDescent="0.2">
      <c r="A334" s="200" t="s">
        <v>8584</v>
      </c>
      <c r="B334" s="201">
        <v>44941</v>
      </c>
      <c r="C334" s="202"/>
      <c r="D334" s="218"/>
      <c r="E334" s="218"/>
      <c r="F334" s="218"/>
      <c r="G334" s="218"/>
      <c r="H334" s="218"/>
      <c r="I334" s="218"/>
      <c r="J334" s="203" t="e">
        <f t="shared" si="22"/>
        <v>#DIV/0!</v>
      </c>
      <c r="K334" s="218"/>
      <c r="L334" s="218"/>
      <c r="M334" s="218"/>
      <c r="N334" s="218"/>
      <c r="O334" s="214" t="e">
        <f t="shared" si="23"/>
        <v>#DIV/0!</v>
      </c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03">
        <f t="shared" si="21"/>
        <v>0</v>
      </c>
      <c r="AA334" s="203">
        <f t="shared" si="20"/>
        <v>0</v>
      </c>
      <c r="AB334" s="218"/>
      <c r="AC334" s="218"/>
      <c r="AD334" s="218"/>
      <c r="AE334" s="218"/>
    </row>
    <row r="335" spans="1:31" x14ac:dyDescent="0.2">
      <c r="A335" s="200" t="s">
        <v>8585</v>
      </c>
      <c r="B335" s="201">
        <v>44942</v>
      </c>
      <c r="C335" s="202"/>
      <c r="D335" s="218"/>
      <c r="E335" s="218"/>
      <c r="F335" s="218"/>
      <c r="G335" s="218"/>
      <c r="H335" s="218"/>
      <c r="I335" s="218"/>
      <c r="J335" s="203" t="e">
        <f t="shared" si="22"/>
        <v>#DIV/0!</v>
      </c>
      <c r="K335" s="218"/>
      <c r="L335" s="218"/>
      <c r="M335" s="218"/>
      <c r="N335" s="218"/>
      <c r="O335" s="214" t="e">
        <f t="shared" si="23"/>
        <v>#DIV/0!</v>
      </c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03">
        <f t="shared" si="21"/>
        <v>0</v>
      </c>
      <c r="AA335" s="203">
        <f t="shared" si="20"/>
        <v>0</v>
      </c>
      <c r="AB335" s="218"/>
      <c r="AC335" s="218"/>
      <c r="AD335" s="218"/>
      <c r="AE335" s="218"/>
    </row>
    <row r="336" spans="1:31" x14ac:dyDescent="0.2">
      <c r="A336" s="200" t="s">
        <v>8586</v>
      </c>
      <c r="B336" s="201">
        <v>44943</v>
      </c>
      <c r="C336" s="202"/>
      <c r="D336" s="218"/>
      <c r="E336" s="218"/>
      <c r="F336" s="218"/>
      <c r="G336" s="218"/>
      <c r="H336" s="218"/>
      <c r="I336" s="218"/>
      <c r="J336" s="203" t="e">
        <f t="shared" si="22"/>
        <v>#DIV/0!</v>
      </c>
      <c r="K336" s="218"/>
      <c r="L336" s="218"/>
      <c r="M336" s="218"/>
      <c r="N336" s="218"/>
      <c r="O336" s="214" t="e">
        <f t="shared" si="23"/>
        <v>#DIV/0!</v>
      </c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03">
        <f t="shared" si="21"/>
        <v>0</v>
      </c>
      <c r="AA336" s="203">
        <f t="shared" si="20"/>
        <v>0</v>
      </c>
      <c r="AB336" s="218"/>
      <c r="AC336" s="218"/>
      <c r="AD336" s="218"/>
      <c r="AE336" s="218"/>
    </row>
    <row r="337" spans="1:31" x14ac:dyDescent="0.2">
      <c r="A337" s="200" t="s">
        <v>8587</v>
      </c>
      <c r="B337" s="201">
        <v>44944</v>
      </c>
      <c r="C337" s="202"/>
      <c r="D337" s="218"/>
      <c r="E337" s="218"/>
      <c r="F337" s="218"/>
      <c r="G337" s="218"/>
      <c r="H337" s="218"/>
      <c r="I337" s="218"/>
      <c r="J337" s="203" t="e">
        <f t="shared" si="22"/>
        <v>#DIV/0!</v>
      </c>
      <c r="K337" s="218"/>
      <c r="L337" s="218"/>
      <c r="M337" s="218"/>
      <c r="N337" s="218"/>
      <c r="O337" s="214" t="e">
        <f t="shared" si="23"/>
        <v>#DIV/0!</v>
      </c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03">
        <f t="shared" si="21"/>
        <v>0</v>
      </c>
      <c r="AA337" s="203">
        <f t="shared" si="20"/>
        <v>0</v>
      </c>
      <c r="AB337" s="218"/>
      <c r="AC337" s="218"/>
      <c r="AD337" s="218"/>
      <c r="AE337" s="218"/>
    </row>
    <row r="338" spans="1:31" x14ac:dyDescent="0.2">
      <c r="A338" s="200" t="s">
        <v>8588</v>
      </c>
      <c r="B338" s="201">
        <v>44945</v>
      </c>
      <c r="C338" s="202"/>
      <c r="D338" s="218"/>
      <c r="E338" s="218"/>
      <c r="F338" s="218"/>
      <c r="G338" s="218"/>
      <c r="H338" s="218"/>
      <c r="I338" s="218"/>
      <c r="J338" s="203" t="e">
        <f t="shared" si="22"/>
        <v>#DIV/0!</v>
      </c>
      <c r="K338" s="218"/>
      <c r="L338" s="218"/>
      <c r="M338" s="218"/>
      <c r="N338" s="218"/>
      <c r="O338" s="214" t="e">
        <f t="shared" si="23"/>
        <v>#DIV/0!</v>
      </c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03">
        <f t="shared" si="21"/>
        <v>0</v>
      </c>
      <c r="AA338" s="203">
        <f t="shared" si="20"/>
        <v>0</v>
      </c>
      <c r="AB338" s="218"/>
      <c r="AC338" s="218"/>
      <c r="AD338" s="218"/>
      <c r="AE338" s="218"/>
    </row>
    <row r="339" spans="1:31" x14ac:dyDescent="0.2">
      <c r="A339" s="200" t="s">
        <v>8589</v>
      </c>
      <c r="B339" s="201">
        <v>44946</v>
      </c>
      <c r="C339" s="202"/>
      <c r="D339" s="218"/>
      <c r="E339" s="218"/>
      <c r="F339" s="218"/>
      <c r="G339" s="218"/>
      <c r="H339" s="218"/>
      <c r="I339" s="218"/>
      <c r="J339" s="203" t="e">
        <f t="shared" si="22"/>
        <v>#DIV/0!</v>
      </c>
      <c r="K339" s="218"/>
      <c r="L339" s="218"/>
      <c r="M339" s="218"/>
      <c r="N339" s="218"/>
      <c r="O339" s="214" t="e">
        <f t="shared" si="23"/>
        <v>#DIV/0!</v>
      </c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03">
        <f t="shared" si="21"/>
        <v>0</v>
      </c>
      <c r="AA339" s="203">
        <f t="shared" si="20"/>
        <v>0</v>
      </c>
      <c r="AB339" s="218"/>
      <c r="AC339" s="218"/>
      <c r="AD339" s="218"/>
      <c r="AE339" s="218"/>
    </row>
    <row r="340" spans="1:31" x14ac:dyDescent="0.2">
      <c r="A340" s="200" t="s">
        <v>8590</v>
      </c>
      <c r="B340" s="201">
        <v>44947</v>
      </c>
      <c r="C340" s="202"/>
      <c r="D340" s="218"/>
      <c r="E340" s="218"/>
      <c r="F340" s="218"/>
      <c r="G340" s="218"/>
      <c r="H340" s="218"/>
      <c r="I340" s="218"/>
      <c r="J340" s="203" t="e">
        <f t="shared" si="22"/>
        <v>#DIV/0!</v>
      </c>
      <c r="K340" s="218"/>
      <c r="L340" s="218"/>
      <c r="M340" s="218"/>
      <c r="N340" s="218"/>
      <c r="O340" s="214" t="e">
        <f t="shared" si="23"/>
        <v>#DIV/0!</v>
      </c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03">
        <f t="shared" si="21"/>
        <v>0</v>
      </c>
      <c r="AA340" s="203">
        <f t="shared" si="20"/>
        <v>0</v>
      </c>
      <c r="AB340" s="218"/>
      <c r="AC340" s="218"/>
      <c r="AD340" s="218"/>
      <c r="AE340" s="218"/>
    </row>
    <row r="341" spans="1:31" x14ac:dyDescent="0.2">
      <c r="A341" s="200" t="s">
        <v>8591</v>
      </c>
      <c r="B341" s="201">
        <v>44948</v>
      </c>
      <c r="C341" s="202"/>
      <c r="D341" s="218"/>
      <c r="E341" s="218"/>
      <c r="F341" s="218"/>
      <c r="G341" s="218"/>
      <c r="H341" s="218"/>
      <c r="I341" s="218"/>
      <c r="J341" s="203" t="e">
        <f t="shared" si="22"/>
        <v>#DIV/0!</v>
      </c>
      <c r="K341" s="218"/>
      <c r="L341" s="218"/>
      <c r="M341" s="218"/>
      <c r="N341" s="218"/>
      <c r="O341" s="214" t="e">
        <f t="shared" si="23"/>
        <v>#DIV/0!</v>
      </c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03">
        <f t="shared" si="21"/>
        <v>0</v>
      </c>
      <c r="AA341" s="203">
        <f t="shared" si="20"/>
        <v>0</v>
      </c>
      <c r="AB341" s="218"/>
      <c r="AC341" s="218"/>
      <c r="AD341" s="218"/>
      <c r="AE341" s="218"/>
    </row>
    <row r="342" spans="1:31" x14ac:dyDescent="0.2">
      <c r="A342" s="200" t="s">
        <v>8592</v>
      </c>
      <c r="B342" s="201">
        <v>44949</v>
      </c>
      <c r="C342" s="202"/>
      <c r="D342" s="218"/>
      <c r="E342" s="218"/>
      <c r="F342" s="218"/>
      <c r="G342" s="218"/>
      <c r="H342" s="218"/>
      <c r="I342" s="218"/>
      <c r="J342" s="203" t="e">
        <f t="shared" si="22"/>
        <v>#DIV/0!</v>
      </c>
      <c r="K342" s="218"/>
      <c r="L342" s="218"/>
      <c r="M342" s="218"/>
      <c r="N342" s="218"/>
      <c r="O342" s="214" t="e">
        <f t="shared" si="23"/>
        <v>#DIV/0!</v>
      </c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03">
        <f t="shared" si="21"/>
        <v>0</v>
      </c>
      <c r="AA342" s="203">
        <f t="shared" si="20"/>
        <v>0</v>
      </c>
      <c r="AB342" s="218"/>
      <c r="AC342" s="218"/>
      <c r="AD342" s="218"/>
      <c r="AE342" s="218"/>
    </row>
    <row r="343" spans="1:31" x14ac:dyDescent="0.2">
      <c r="A343" s="200" t="s">
        <v>8593</v>
      </c>
      <c r="B343" s="201">
        <v>44950</v>
      </c>
      <c r="C343" s="202"/>
      <c r="D343" s="218"/>
      <c r="E343" s="218"/>
      <c r="F343" s="218"/>
      <c r="G343" s="218"/>
      <c r="H343" s="218"/>
      <c r="I343" s="218"/>
      <c r="J343" s="203" t="e">
        <f t="shared" si="22"/>
        <v>#DIV/0!</v>
      </c>
      <c r="K343" s="218"/>
      <c r="L343" s="218"/>
      <c r="M343" s="218"/>
      <c r="N343" s="218"/>
      <c r="O343" s="214" t="e">
        <f t="shared" si="23"/>
        <v>#DIV/0!</v>
      </c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03">
        <f t="shared" si="21"/>
        <v>0</v>
      </c>
      <c r="AA343" s="203">
        <f t="shared" si="20"/>
        <v>0</v>
      </c>
      <c r="AB343" s="218"/>
      <c r="AC343" s="218"/>
      <c r="AD343" s="218"/>
      <c r="AE343" s="218"/>
    </row>
    <row r="344" spans="1:31" x14ac:dyDescent="0.2">
      <c r="A344" s="200" t="s">
        <v>8594</v>
      </c>
      <c r="B344" s="201">
        <v>44951</v>
      </c>
      <c r="C344" s="202"/>
      <c r="D344" s="218"/>
      <c r="E344" s="218"/>
      <c r="F344" s="218"/>
      <c r="G344" s="218"/>
      <c r="H344" s="218"/>
      <c r="I344" s="218"/>
      <c r="J344" s="203" t="e">
        <f t="shared" si="22"/>
        <v>#DIV/0!</v>
      </c>
      <c r="K344" s="218"/>
      <c r="L344" s="218"/>
      <c r="M344" s="218"/>
      <c r="N344" s="218"/>
      <c r="O344" s="214" t="e">
        <f t="shared" si="23"/>
        <v>#DIV/0!</v>
      </c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03">
        <f t="shared" si="21"/>
        <v>0</v>
      </c>
      <c r="AA344" s="203">
        <f t="shared" si="20"/>
        <v>0</v>
      </c>
      <c r="AB344" s="218"/>
      <c r="AC344" s="218"/>
      <c r="AD344" s="218"/>
      <c r="AE344" s="218"/>
    </row>
    <row r="345" spans="1:31" x14ac:dyDescent="0.2">
      <c r="A345" s="200" t="s">
        <v>8595</v>
      </c>
      <c r="B345" s="201">
        <v>44952</v>
      </c>
      <c r="C345" s="202"/>
      <c r="D345" s="218"/>
      <c r="E345" s="218"/>
      <c r="F345" s="218"/>
      <c r="G345" s="218"/>
      <c r="H345" s="218"/>
      <c r="I345" s="218"/>
      <c r="J345" s="203" t="e">
        <f t="shared" si="22"/>
        <v>#DIV/0!</v>
      </c>
      <c r="K345" s="218"/>
      <c r="L345" s="218"/>
      <c r="M345" s="218"/>
      <c r="N345" s="218"/>
      <c r="O345" s="214" t="e">
        <f t="shared" si="23"/>
        <v>#DIV/0!</v>
      </c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03">
        <f t="shared" si="21"/>
        <v>0</v>
      </c>
      <c r="AA345" s="203">
        <f t="shared" si="20"/>
        <v>0</v>
      </c>
      <c r="AB345" s="218"/>
      <c r="AC345" s="218"/>
      <c r="AD345" s="218"/>
      <c r="AE345" s="218"/>
    </row>
    <row r="346" spans="1:31" x14ac:dyDescent="0.2">
      <c r="A346" s="200" t="s">
        <v>8596</v>
      </c>
      <c r="B346" s="201">
        <v>44953</v>
      </c>
      <c r="C346" s="202"/>
      <c r="D346" s="218"/>
      <c r="E346" s="218"/>
      <c r="F346" s="218"/>
      <c r="G346" s="218"/>
      <c r="H346" s="218"/>
      <c r="I346" s="218"/>
      <c r="J346" s="203" t="e">
        <f t="shared" si="22"/>
        <v>#DIV/0!</v>
      </c>
      <c r="K346" s="218"/>
      <c r="L346" s="218"/>
      <c r="M346" s="218"/>
      <c r="N346" s="218"/>
      <c r="O346" s="214" t="e">
        <f t="shared" si="23"/>
        <v>#DIV/0!</v>
      </c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03">
        <f t="shared" si="21"/>
        <v>0</v>
      </c>
      <c r="AA346" s="203">
        <f t="shared" si="20"/>
        <v>0</v>
      </c>
      <c r="AB346" s="218"/>
      <c r="AC346" s="218"/>
      <c r="AD346" s="218"/>
      <c r="AE346" s="218"/>
    </row>
    <row r="347" spans="1:31" x14ac:dyDescent="0.2">
      <c r="A347" s="200" t="s">
        <v>8597</v>
      </c>
      <c r="B347" s="201">
        <v>44954</v>
      </c>
      <c r="C347" s="202"/>
      <c r="D347" s="218"/>
      <c r="E347" s="218"/>
      <c r="F347" s="218"/>
      <c r="G347" s="218"/>
      <c r="H347" s="218"/>
      <c r="I347" s="218"/>
      <c r="J347" s="203" t="e">
        <f t="shared" si="22"/>
        <v>#DIV/0!</v>
      </c>
      <c r="K347" s="218"/>
      <c r="L347" s="218"/>
      <c r="M347" s="218"/>
      <c r="N347" s="218"/>
      <c r="O347" s="214" t="e">
        <f t="shared" si="23"/>
        <v>#DIV/0!</v>
      </c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03">
        <f t="shared" si="21"/>
        <v>0</v>
      </c>
      <c r="AA347" s="203">
        <f t="shared" si="20"/>
        <v>0</v>
      </c>
      <c r="AB347" s="218"/>
      <c r="AC347" s="218"/>
      <c r="AD347" s="218"/>
      <c r="AE347" s="218"/>
    </row>
    <row r="348" spans="1:31" x14ac:dyDescent="0.2">
      <c r="A348" s="200" t="s">
        <v>8598</v>
      </c>
      <c r="B348" s="201">
        <v>44955</v>
      </c>
      <c r="C348" s="202"/>
      <c r="D348" s="218"/>
      <c r="E348" s="218"/>
      <c r="F348" s="218"/>
      <c r="G348" s="218"/>
      <c r="H348" s="218"/>
      <c r="I348" s="218"/>
      <c r="J348" s="203" t="e">
        <f t="shared" si="22"/>
        <v>#DIV/0!</v>
      </c>
      <c r="K348" s="218"/>
      <c r="L348" s="218"/>
      <c r="M348" s="218"/>
      <c r="N348" s="218"/>
      <c r="O348" s="214" t="e">
        <f t="shared" si="23"/>
        <v>#DIV/0!</v>
      </c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03">
        <f t="shared" si="21"/>
        <v>0</v>
      </c>
      <c r="AA348" s="203">
        <f t="shared" si="20"/>
        <v>0</v>
      </c>
      <c r="AB348" s="218"/>
      <c r="AC348" s="218"/>
      <c r="AD348" s="218"/>
      <c r="AE348" s="218"/>
    </row>
    <row r="349" spans="1:31" x14ac:dyDescent="0.2">
      <c r="A349" s="200" t="s">
        <v>8599</v>
      </c>
      <c r="B349" s="201">
        <v>44956</v>
      </c>
      <c r="C349" s="202"/>
      <c r="D349" s="218"/>
      <c r="E349" s="218"/>
      <c r="F349" s="218"/>
      <c r="G349" s="218"/>
      <c r="H349" s="218"/>
      <c r="I349" s="218"/>
      <c r="J349" s="203" t="e">
        <f t="shared" si="22"/>
        <v>#DIV/0!</v>
      </c>
      <c r="K349" s="218"/>
      <c r="L349" s="218"/>
      <c r="M349" s="218"/>
      <c r="N349" s="218"/>
      <c r="O349" s="214" t="e">
        <f t="shared" si="23"/>
        <v>#DIV/0!</v>
      </c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03">
        <f t="shared" si="21"/>
        <v>0</v>
      </c>
      <c r="AA349" s="203">
        <f t="shared" si="20"/>
        <v>0</v>
      </c>
      <c r="AB349" s="218"/>
      <c r="AC349" s="218"/>
      <c r="AD349" s="218"/>
      <c r="AE349" s="218"/>
    </row>
    <row r="350" spans="1:31" x14ac:dyDescent="0.2">
      <c r="A350" s="200" t="s">
        <v>8600</v>
      </c>
      <c r="B350" s="201">
        <v>44957</v>
      </c>
      <c r="C350" s="202"/>
      <c r="D350" s="218"/>
      <c r="E350" s="218"/>
      <c r="F350" s="218"/>
      <c r="G350" s="218"/>
      <c r="H350" s="218"/>
      <c r="I350" s="218"/>
      <c r="J350" s="203" t="e">
        <f t="shared" si="22"/>
        <v>#DIV/0!</v>
      </c>
      <c r="K350" s="218"/>
      <c r="L350" s="218"/>
      <c r="M350" s="218"/>
      <c r="N350" s="218"/>
      <c r="O350" s="214" t="e">
        <f t="shared" si="23"/>
        <v>#DIV/0!</v>
      </c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03">
        <f t="shared" si="21"/>
        <v>0</v>
      </c>
      <c r="AA350" s="203">
        <f t="shared" si="20"/>
        <v>0</v>
      </c>
      <c r="AB350" s="218"/>
      <c r="AC350" s="218"/>
      <c r="AD350" s="218"/>
      <c r="AE350" s="218"/>
    </row>
    <row r="351" spans="1:31" x14ac:dyDescent="0.2">
      <c r="A351" s="200" t="s">
        <v>8601</v>
      </c>
      <c r="B351" s="201">
        <v>44958</v>
      </c>
      <c r="C351" s="202"/>
      <c r="D351" s="218"/>
      <c r="E351" s="218"/>
      <c r="F351" s="218"/>
      <c r="G351" s="218"/>
      <c r="H351" s="218"/>
      <c r="I351" s="218"/>
      <c r="J351" s="203" t="e">
        <f t="shared" si="22"/>
        <v>#DIV/0!</v>
      </c>
      <c r="K351" s="218"/>
      <c r="L351" s="218"/>
      <c r="M351" s="218"/>
      <c r="N351" s="218"/>
      <c r="O351" s="214" t="e">
        <f t="shared" si="23"/>
        <v>#DIV/0!</v>
      </c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03">
        <f t="shared" si="21"/>
        <v>0</v>
      </c>
      <c r="AA351" s="203">
        <f t="shared" si="20"/>
        <v>0</v>
      </c>
      <c r="AB351" s="218"/>
      <c r="AC351" s="218"/>
      <c r="AD351" s="218"/>
      <c r="AE351" s="218"/>
    </row>
    <row r="352" spans="1:31" x14ac:dyDescent="0.2">
      <c r="A352" s="200" t="s">
        <v>8602</v>
      </c>
      <c r="B352" s="201">
        <v>44959</v>
      </c>
      <c r="C352" s="202"/>
      <c r="D352" s="218"/>
      <c r="E352" s="218"/>
      <c r="F352" s="218"/>
      <c r="G352" s="218"/>
      <c r="H352" s="218"/>
      <c r="I352" s="218"/>
      <c r="J352" s="203" t="e">
        <f t="shared" si="22"/>
        <v>#DIV/0!</v>
      </c>
      <c r="K352" s="218"/>
      <c r="L352" s="218"/>
      <c r="M352" s="218"/>
      <c r="N352" s="218"/>
      <c r="O352" s="214" t="e">
        <f t="shared" si="23"/>
        <v>#DIV/0!</v>
      </c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03">
        <f t="shared" si="21"/>
        <v>0</v>
      </c>
      <c r="AA352" s="203">
        <f t="shared" si="20"/>
        <v>0</v>
      </c>
      <c r="AB352" s="218"/>
      <c r="AC352" s="218"/>
      <c r="AD352" s="218"/>
      <c r="AE352" s="218"/>
    </row>
    <row r="353" spans="1:31" x14ac:dyDescent="0.2">
      <c r="A353" s="200" t="s">
        <v>8603</v>
      </c>
      <c r="B353" s="201">
        <v>44960</v>
      </c>
      <c r="C353" s="202"/>
      <c r="D353" s="218"/>
      <c r="E353" s="218"/>
      <c r="F353" s="218"/>
      <c r="G353" s="218"/>
      <c r="H353" s="218"/>
      <c r="I353" s="218"/>
      <c r="J353" s="203" t="e">
        <f t="shared" si="22"/>
        <v>#DIV/0!</v>
      </c>
      <c r="K353" s="218"/>
      <c r="L353" s="218"/>
      <c r="M353" s="218"/>
      <c r="N353" s="218"/>
      <c r="O353" s="214" t="e">
        <f t="shared" si="23"/>
        <v>#DIV/0!</v>
      </c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03">
        <f t="shared" si="21"/>
        <v>0</v>
      </c>
      <c r="AA353" s="203">
        <f t="shared" si="20"/>
        <v>0</v>
      </c>
      <c r="AB353" s="218"/>
      <c r="AC353" s="218"/>
      <c r="AD353" s="218"/>
      <c r="AE353" s="218"/>
    </row>
    <row r="354" spans="1:31" x14ac:dyDescent="0.2">
      <c r="A354" s="200" t="s">
        <v>8604</v>
      </c>
      <c r="B354" s="201">
        <v>44961</v>
      </c>
      <c r="C354" s="202"/>
      <c r="D354" s="218"/>
      <c r="E354" s="218"/>
      <c r="F354" s="218"/>
      <c r="G354" s="218"/>
      <c r="H354" s="218"/>
      <c r="I354" s="218"/>
      <c r="J354" s="203" t="e">
        <f t="shared" si="22"/>
        <v>#DIV/0!</v>
      </c>
      <c r="K354" s="218"/>
      <c r="L354" s="218"/>
      <c r="M354" s="218"/>
      <c r="N354" s="218"/>
      <c r="O354" s="214" t="e">
        <f t="shared" si="23"/>
        <v>#DIV/0!</v>
      </c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03">
        <f t="shared" si="21"/>
        <v>0</v>
      </c>
      <c r="AA354" s="203">
        <f t="shared" si="20"/>
        <v>0</v>
      </c>
      <c r="AB354" s="218"/>
      <c r="AC354" s="218"/>
      <c r="AD354" s="218"/>
      <c r="AE354" s="218"/>
    </row>
    <row r="355" spans="1:31" x14ac:dyDescent="0.2">
      <c r="A355" s="200" t="s">
        <v>8605</v>
      </c>
      <c r="B355" s="201">
        <v>44962</v>
      </c>
      <c r="C355" s="202"/>
      <c r="D355" s="218"/>
      <c r="E355" s="218"/>
      <c r="F355" s="218"/>
      <c r="G355" s="218"/>
      <c r="H355" s="218"/>
      <c r="I355" s="218"/>
      <c r="J355" s="203" t="e">
        <f t="shared" si="22"/>
        <v>#DIV/0!</v>
      </c>
      <c r="K355" s="218"/>
      <c r="L355" s="218"/>
      <c r="M355" s="218"/>
      <c r="N355" s="218"/>
      <c r="O355" s="214" t="e">
        <f t="shared" si="23"/>
        <v>#DIV/0!</v>
      </c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03">
        <f t="shared" si="21"/>
        <v>0</v>
      </c>
      <c r="AA355" s="203">
        <f t="shared" si="20"/>
        <v>0</v>
      </c>
      <c r="AB355" s="218"/>
      <c r="AC355" s="218"/>
      <c r="AD355" s="218"/>
      <c r="AE355" s="218"/>
    </row>
    <row r="356" spans="1:31" x14ac:dyDescent="0.2">
      <c r="A356" s="200" t="s">
        <v>8606</v>
      </c>
      <c r="B356" s="201">
        <v>44963</v>
      </c>
      <c r="C356" s="202"/>
      <c r="D356" s="218"/>
      <c r="E356" s="218"/>
      <c r="F356" s="218"/>
      <c r="G356" s="218"/>
      <c r="H356" s="218"/>
      <c r="I356" s="218"/>
      <c r="J356" s="203" t="e">
        <f t="shared" si="22"/>
        <v>#DIV/0!</v>
      </c>
      <c r="K356" s="218"/>
      <c r="L356" s="218"/>
      <c r="M356" s="218"/>
      <c r="N356" s="218"/>
      <c r="O356" s="214" t="e">
        <f t="shared" si="23"/>
        <v>#DIV/0!</v>
      </c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03">
        <f t="shared" si="21"/>
        <v>0</v>
      </c>
      <c r="AA356" s="203">
        <f t="shared" si="20"/>
        <v>0</v>
      </c>
      <c r="AB356" s="218"/>
      <c r="AC356" s="218"/>
      <c r="AD356" s="218"/>
      <c r="AE356" s="218"/>
    </row>
    <row r="357" spans="1:31" x14ac:dyDescent="0.2">
      <c r="A357" s="200" t="s">
        <v>8607</v>
      </c>
      <c r="B357" s="201">
        <v>44964</v>
      </c>
      <c r="C357" s="202"/>
      <c r="D357" s="218"/>
      <c r="E357" s="218"/>
      <c r="F357" s="218"/>
      <c r="G357" s="218"/>
      <c r="H357" s="218"/>
      <c r="I357" s="218"/>
      <c r="J357" s="203" t="e">
        <f t="shared" si="22"/>
        <v>#DIV/0!</v>
      </c>
      <c r="K357" s="218"/>
      <c r="L357" s="218"/>
      <c r="M357" s="218"/>
      <c r="N357" s="218"/>
      <c r="O357" s="214" t="e">
        <f t="shared" si="23"/>
        <v>#DIV/0!</v>
      </c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03">
        <f t="shared" si="21"/>
        <v>0</v>
      </c>
      <c r="AA357" s="203">
        <f t="shared" si="20"/>
        <v>0</v>
      </c>
      <c r="AB357" s="218"/>
      <c r="AC357" s="218"/>
      <c r="AD357" s="218"/>
      <c r="AE357" s="218"/>
    </row>
    <row r="358" spans="1:31" x14ac:dyDescent="0.2">
      <c r="A358" s="200" t="s">
        <v>8608</v>
      </c>
      <c r="B358" s="201">
        <v>44965</v>
      </c>
      <c r="C358" s="202"/>
      <c r="D358" s="218"/>
      <c r="E358" s="218"/>
      <c r="F358" s="218"/>
      <c r="G358" s="218"/>
      <c r="H358" s="218"/>
      <c r="I358" s="218"/>
      <c r="J358" s="203" t="e">
        <f t="shared" si="22"/>
        <v>#DIV/0!</v>
      </c>
      <c r="K358" s="218"/>
      <c r="L358" s="218"/>
      <c r="M358" s="218"/>
      <c r="N358" s="218"/>
      <c r="O358" s="214" t="e">
        <f t="shared" si="23"/>
        <v>#DIV/0!</v>
      </c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03">
        <f t="shared" si="21"/>
        <v>0</v>
      </c>
      <c r="AA358" s="203">
        <f t="shared" si="20"/>
        <v>0</v>
      </c>
      <c r="AB358" s="218"/>
      <c r="AC358" s="218"/>
      <c r="AD358" s="218"/>
      <c r="AE358" s="218"/>
    </row>
    <row r="359" spans="1:31" x14ac:dyDescent="0.2">
      <c r="A359" s="200" t="s">
        <v>8609</v>
      </c>
      <c r="B359" s="201">
        <v>44966</v>
      </c>
      <c r="C359" s="202"/>
      <c r="D359" s="218"/>
      <c r="E359" s="218"/>
      <c r="F359" s="218"/>
      <c r="G359" s="218"/>
      <c r="H359" s="218"/>
      <c r="I359" s="218"/>
      <c r="J359" s="203" t="e">
        <f t="shared" si="22"/>
        <v>#DIV/0!</v>
      </c>
      <c r="K359" s="218"/>
      <c r="L359" s="218"/>
      <c r="M359" s="218"/>
      <c r="N359" s="218"/>
      <c r="O359" s="214" t="e">
        <f t="shared" si="23"/>
        <v>#DIV/0!</v>
      </c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03">
        <f t="shared" si="21"/>
        <v>0</v>
      </c>
      <c r="AA359" s="203">
        <f t="shared" si="20"/>
        <v>0</v>
      </c>
      <c r="AB359" s="218"/>
      <c r="AC359" s="218"/>
      <c r="AD359" s="218"/>
      <c r="AE359" s="218"/>
    </row>
    <row r="360" spans="1:31" x14ac:dyDescent="0.2">
      <c r="A360" s="200" t="s">
        <v>8610</v>
      </c>
      <c r="B360" s="201">
        <v>44967</v>
      </c>
      <c r="C360" s="202"/>
      <c r="D360" s="218"/>
      <c r="E360" s="218"/>
      <c r="F360" s="218"/>
      <c r="G360" s="218"/>
      <c r="H360" s="218"/>
      <c r="I360" s="218"/>
      <c r="J360" s="203" t="e">
        <f t="shared" si="22"/>
        <v>#DIV/0!</v>
      </c>
      <c r="K360" s="218"/>
      <c r="L360" s="218"/>
      <c r="M360" s="218"/>
      <c r="N360" s="218"/>
      <c r="O360" s="214" t="e">
        <f t="shared" si="23"/>
        <v>#DIV/0!</v>
      </c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03">
        <f t="shared" si="21"/>
        <v>0</v>
      </c>
      <c r="AA360" s="203">
        <f t="shared" si="20"/>
        <v>0</v>
      </c>
      <c r="AB360" s="218"/>
      <c r="AC360" s="218"/>
      <c r="AD360" s="218"/>
      <c r="AE360" s="218"/>
    </row>
    <row r="361" spans="1:31" x14ac:dyDescent="0.2">
      <c r="A361" s="200" t="s">
        <v>8611</v>
      </c>
      <c r="B361" s="201">
        <v>44968</v>
      </c>
      <c r="C361" s="202"/>
      <c r="D361" s="218"/>
      <c r="E361" s="218"/>
      <c r="F361" s="218"/>
      <c r="G361" s="218"/>
      <c r="H361" s="218"/>
      <c r="I361" s="218"/>
      <c r="J361" s="203" t="e">
        <f t="shared" si="22"/>
        <v>#DIV/0!</v>
      </c>
      <c r="K361" s="218"/>
      <c r="L361" s="218"/>
      <c r="M361" s="218"/>
      <c r="N361" s="218"/>
      <c r="O361" s="214" t="e">
        <f t="shared" si="23"/>
        <v>#DIV/0!</v>
      </c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03">
        <f t="shared" si="21"/>
        <v>0</v>
      </c>
      <c r="AA361" s="203">
        <f t="shared" si="20"/>
        <v>0</v>
      </c>
      <c r="AB361" s="218"/>
      <c r="AC361" s="218"/>
      <c r="AD361" s="218"/>
      <c r="AE361" s="218"/>
    </row>
    <row r="362" spans="1:31" x14ac:dyDescent="0.2">
      <c r="A362" s="200" t="s">
        <v>8612</v>
      </c>
      <c r="B362" s="201">
        <v>44969</v>
      </c>
      <c r="C362" s="202"/>
      <c r="D362" s="218"/>
      <c r="E362" s="218"/>
      <c r="F362" s="218"/>
      <c r="G362" s="218"/>
      <c r="H362" s="218"/>
      <c r="I362" s="218"/>
      <c r="J362" s="203" t="e">
        <f t="shared" si="22"/>
        <v>#DIV/0!</v>
      </c>
      <c r="K362" s="218"/>
      <c r="L362" s="218"/>
      <c r="M362" s="218"/>
      <c r="N362" s="218"/>
      <c r="O362" s="214" t="e">
        <f t="shared" si="23"/>
        <v>#DIV/0!</v>
      </c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03">
        <f t="shared" si="21"/>
        <v>0</v>
      </c>
      <c r="AA362" s="203">
        <f t="shared" si="20"/>
        <v>0</v>
      </c>
      <c r="AB362" s="218"/>
      <c r="AC362" s="218"/>
      <c r="AD362" s="218"/>
      <c r="AE362" s="218"/>
    </row>
    <row r="363" spans="1:31" x14ac:dyDescent="0.2">
      <c r="A363" s="200" t="s">
        <v>8613</v>
      </c>
      <c r="B363" s="201">
        <v>44970</v>
      </c>
      <c r="C363" s="202"/>
      <c r="D363" s="218"/>
      <c r="E363" s="218"/>
      <c r="F363" s="218"/>
      <c r="G363" s="218"/>
      <c r="H363" s="218"/>
      <c r="I363" s="218"/>
      <c r="J363" s="203" t="e">
        <f t="shared" si="22"/>
        <v>#DIV/0!</v>
      </c>
      <c r="K363" s="218"/>
      <c r="L363" s="218"/>
      <c r="M363" s="218"/>
      <c r="N363" s="218"/>
      <c r="O363" s="214" t="e">
        <f t="shared" si="23"/>
        <v>#DIV/0!</v>
      </c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03">
        <f t="shared" si="21"/>
        <v>0</v>
      </c>
      <c r="AA363" s="203">
        <f t="shared" si="20"/>
        <v>0</v>
      </c>
      <c r="AB363" s="218"/>
      <c r="AC363" s="218"/>
      <c r="AD363" s="218"/>
      <c r="AE363" s="218"/>
    </row>
    <row r="364" spans="1:31" x14ac:dyDescent="0.2">
      <c r="A364" s="200" t="s">
        <v>8614</v>
      </c>
      <c r="B364" s="201">
        <v>44971</v>
      </c>
      <c r="C364" s="202"/>
      <c r="D364" s="218"/>
      <c r="E364" s="218"/>
      <c r="F364" s="218"/>
      <c r="G364" s="218"/>
      <c r="H364" s="218"/>
      <c r="I364" s="218"/>
      <c r="J364" s="203" t="e">
        <f t="shared" si="22"/>
        <v>#DIV/0!</v>
      </c>
      <c r="K364" s="218"/>
      <c r="L364" s="218"/>
      <c r="M364" s="218"/>
      <c r="N364" s="218"/>
      <c r="O364" s="214" t="e">
        <f t="shared" si="23"/>
        <v>#DIV/0!</v>
      </c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03">
        <f t="shared" si="21"/>
        <v>0</v>
      </c>
      <c r="AA364" s="203">
        <f t="shared" si="20"/>
        <v>0</v>
      </c>
      <c r="AB364" s="218"/>
      <c r="AC364" s="218"/>
      <c r="AD364" s="218"/>
      <c r="AE364" s="218"/>
    </row>
    <row r="365" spans="1:31" x14ac:dyDescent="0.2">
      <c r="A365" s="200" t="s">
        <v>8615</v>
      </c>
      <c r="B365" s="201">
        <v>44972</v>
      </c>
      <c r="C365" s="202"/>
      <c r="D365" s="218"/>
      <c r="E365" s="218"/>
      <c r="F365" s="218"/>
      <c r="G365" s="218"/>
      <c r="H365" s="218"/>
      <c r="I365" s="218"/>
      <c r="J365" s="203" t="e">
        <f t="shared" si="22"/>
        <v>#DIV/0!</v>
      </c>
      <c r="K365" s="218"/>
      <c r="L365" s="218"/>
      <c r="M365" s="218"/>
      <c r="N365" s="218"/>
      <c r="O365" s="214" t="e">
        <f t="shared" si="23"/>
        <v>#DIV/0!</v>
      </c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03">
        <f t="shared" si="21"/>
        <v>0</v>
      </c>
      <c r="AA365" s="203">
        <f t="shared" si="20"/>
        <v>0</v>
      </c>
      <c r="AB365" s="218"/>
      <c r="AC365" s="218"/>
      <c r="AD365" s="218"/>
      <c r="AE365" s="218"/>
    </row>
    <row r="366" spans="1:31" x14ac:dyDescent="0.2">
      <c r="A366" s="200" t="s">
        <v>8616</v>
      </c>
      <c r="B366" s="201">
        <v>44973</v>
      </c>
      <c r="C366" s="202"/>
      <c r="D366" s="218"/>
      <c r="E366" s="218"/>
      <c r="F366" s="218"/>
      <c r="G366" s="218"/>
      <c r="H366" s="218"/>
      <c r="I366" s="218"/>
      <c r="J366" s="203" t="e">
        <f t="shared" si="22"/>
        <v>#DIV/0!</v>
      </c>
      <c r="K366" s="218"/>
      <c r="L366" s="218"/>
      <c r="M366" s="218"/>
      <c r="N366" s="218"/>
      <c r="O366" s="214" t="e">
        <f t="shared" si="23"/>
        <v>#DIV/0!</v>
      </c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03">
        <f t="shared" si="21"/>
        <v>0</v>
      </c>
      <c r="AA366" s="203">
        <f t="shared" ref="AA366:AA429" si="24">S366-X366-Z366</f>
        <v>0</v>
      </c>
      <c r="AB366" s="218"/>
      <c r="AC366" s="218"/>
      <c r="AD366" s="218"/>
      <c r="AE366" s="218"/>
    </row>
    <row r="367" spans="1:31" x14ac:dyDescent="0.2">
      <c r="A367" s="200" t="s">
        <v>8617</v>
      </c>
      <c r="B367" s="201">
        <v>44974</v>
      </c>
      <c r="C367" s="202"/>
      <c r="D367" s="218"/>
      <c r="E367" s="218"/>
      <c r="F367" s="218"/>
      <c r="G367" s="218"/>
      <c r="H367" s="218"/>
      <c r="I367" s="218"/>
      <c r="J367" s="203" t="e">
        <f t="shared" si="22"/>
        <v>#DIV/0!</v>
      </c>
      <c r="K367" s="218"/>
      <c r="L367" s="218"/>
      <c r="M367" s="218"/>
      <c r="N367" s="218"/>
      <c r="O367" s="214" t="e">
        <f t="shared" si="23"/>
        <v>#DIV/0!</v>
      </c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03">
        <f t="shared" si="21"/>
        <v>0</v>
      </c>
      <c r="AA367" s="203">
        <f t="shared" si="24"/>
        <v>0</v>
      </c>
      <c r="AB367" s="218"/>
      <c r="AC367" s="218"/>
      <c r="AD367" s="218"/>
      <c r="AE367" s="218"/>
    </row>
    <row r="368" spans="1:31" x14ac:dyDescent="0.2">
      <c r="A368" s="200" t="s">
        <v>8618</v>
      </c>
      <c r="B368" s="201">
        <v>44975</v>
      </c>
      <c r="C368" s="202"/>
      <c r="D368" s="218"/>
      <c r="E368" s="218"/>
      <c r="F368" s="218"/>
      <c r="G368" s="218"/>
      <c r="H368" s="218"/>
      <c r="I368" s="218"/>
      <c r="J368" s="203" t="e">
        <f t="shared" si="22"/>
        <v>#DIV/0!</v>
      </c>
      <c r="K368" s="218"/>
      <c r="L368" s="218"/>
      <c r="M368" s="218"/>
      <c r="N368" s="218"/>
      <c r="O368" s="214" t="e">
        <f t="shared" si="23"/>
        <v>#DIV/0!</v>
      </c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03">
        <f t="shared" si="21"/>
        <v>0</v>
      </c>
      <c r="AA368" s="203">
        <f t="shared" si="24"/>
        <v>0</v>
      </c>
      <c r="AB368" s="218"/>
      <c r="AC368" s="218"/>
      <c r="AD368" s="218"/>
      <c r="AE368" s="218"/>
    </row>
    <row r="369" spans="1:31" x14ac:dyDescent="0.2">
      <c r="A369" s="200" t="s">
        <v>8619</v>
      </c>
      <c r="B369" s="201">
        <v>44976</v>
      </c>
      <c r="C369" s="202"/>
      <c r="D369" s="218"/>
      <c r="E369" s="218"/>
      <c r="F369" s="218"/>
      <c r="G369" s="218"/>
      <c r="H369" s="218"/>
      <c r="I369" s="218"/>
      <c r="J369" s="203" t="e">
        <f t="shared" si="22"/>
        <v>#DIV/0!</v>
      </c>
      <c r="K369" s="218"/>
      <c r="L369" s="218"/>
      <c r="M369" s="218"/>
      <c r="N369" s="218"/>
      <c r="O369" s="214" t="e">
        <f t="shared" si="23"/>
        <v>#DIV/0!</v>
      </c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03">
        <f t="shared" si="21"/>
        <v>0</v>
      </c>
      <c r="AA369" s="203">
        <f t="shared" si="24"/>
        <v>0</v>
      </c>
      <c r="AB369" s="218"/>
      <c r="AC369" s="218"/>
      <c r="AD369" s="218"/>
      <c r="AE369" s="218"/>
    </row>
    <row r="370" spans="1:31" x14ac:dyDescent="0.2">
      <c r="A370" s="200" t="s">
        <v>8620</v>
      </c>
      <c r="B370" s="201">
        <v>44977</v>
      </c>
      <c r="C370" s="202"/>
      <c r="D370" s="218"/>
      <c r="E370" s="218"/>
      <c r="F370" s="218"/>
      <c r="G370" s="218"/>
      <c r="H370" s="218"/>
      <c r="I370" s="218"/>
      <c r="J370" s="203" t="e">
        <f t="shared" si="22"/>
        <v>#DIV/0!</v>
      </c>
      <c r="K370" s="218"/>
      <c r="L370" s="218"/>
      <c r="M370" s="218"/>
      <c r="N370" s="218"/>
      <c r="O370" s="214" t="e">
        <f t="shared" si="23"/>
        <v>#DIV/0!</v>
      </c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03">
        <f t="shared" si="21"/>
        <v>0</v>
      </c>
      <c r="AA370" s="203">
        <f t="shared" si="24"/>
        <v>0</v>
      </c>
      <c r="AB370" s="218"/>
      <c r="AC370" s="218"/>
      <c r="AD370" s="218"/>
      <c r="AE370" s="218"/>
    </row>
    <row r="371" spans="1:31" x14ac:dyDescent="0.2">
      <c r="A371" s="200" t="s">
        <v>8621</v>
      </c>
      <c r="B371" s="201">
        <v>44978</v>
      </c>
      <c r="C371" s="202"/>
      <c r="D371" s="218"/>
      <c r="E371" s="218"/>
      <c r="F371" s="218"/>
      <c r="G371" s="218"/>
      <c r="H371" s="218"/>
      <c r="I371" s="218"/>
      <c r="J371" s="203" t="e">
        <f t="shared" si="22"/>
        <v>#DIV/0!</v>
      </c>
      <c r="K371" s="218"/>
      <c r="L371" s="218"/>
      <c r="M371" s="218"/>
      <c r="N371" s="218"/>
      <c r="O371" s="214" t="e">
        <f t="shared" si="23"/>
        <v>#DIV/0!</v>
      </c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03">
        <f t="shared" si="21"/>
        <v>0</v>
      </c>
      <c r="AA371" s="203">
        <f t="shared" si="24"/>
        <v>0</v>
      </c>
      <c r="AB371" s="218"/>
      <c r="AC371" s="218"/>
      <c r="AD371" s="218"/>
      <c r="AE371" s="218"/>
    </row>
    <row r="372" spans="1:31" x14ac:dyDescent="0.2">
      <c r="A372" s="200" t="s">
        <v>8622</v>
      </c>
      <c r="B372" s="201">
        <v>44979</v>
      </c>
      <c r="C372" s="202"/>
      <c r="D372" s="218"/>
      <c r="E372" s="218"/>
      <c r="F372" s="218"/>
      <c r="G372" s="218"/>
      <c r="H372" s="218"/>
      <c r="I372" s="218"/>
      <c r="J372" s="203" t="e">
        <f t="shared" si="22"/>
        <v>#DIV/0!</v>
      </c>
      <c r="K372" s="218"/>
      <c r="L372" s="218"/>
      <c r="M372" s="218"/>
      <c r="N372" s="218"/>
      <c r="O372" s="214" t="e">
        <f t="shared" si="23"/>
        <v>#DIV/0!</v>
      </c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03">
        <f t="shared" si="21"/>
        <v>0</v>
      </c>
      <c r="AA372" s="203">
        <f t="shared" si="24"/>
        <v>0</v>
      </c>
      <c r="AB372" s="218"/>
      <c r="AC372" s="218"/>
      <c r="AD372" s="218"/>
      <c r="AE372" s="218"/>
    </row>
    <row r="373" spans="1:31" x14ac:dyDescent="0.2">
      <c r="A373" s="200" t="s">
        <v>8623</v>
      </c>
      <c r="B373" s="201">
        <v>44980</v>
      </c>
      <c r="C373" s="202"/>
      <c r="D373" s="218"/>
      <c r="E373" s="218"/>
      <c r="F373" s="218"/>
      <c r="G373" s="218"/>
      <c r="H373" s="218"/>
      <c r="I373" s="218"/>
      <c r="J373" s="203" t="e">
        <f t="shared" si="22"/>
        <v>#DIV/0!</v>
      </c>
      <c r="K373" s="218"/>
      <c r="L373" s="218"/>
      <c r="M373" s="218"/>
      <c r="N373" s="218"/>
      <c r="O373" s="214" t="e">
        <f t="shared" si="23"/>
        <v>#DIV/0!</v>
      </c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03">
        <f t="shared" ref="Z373:Z436" si="25">V373*0.2</f>
        <v>0</v>
      </c>
      <c r="AA373" s="203">
        <f t="shared" si="24"/>
        <v>0</v>
      </c>
      <c r="AB373" s="218"/>
      <c r="AC373" s="218"/>
      <c r="AD373" s="218"/>
      <c r="AE373" s="218"/>
    </row>
    <row r="374" spans="1:31" x14ac:dyDescent="0.2">
      <c r="A374" s="200" t="s">
        <v>8624</v>
      </c>
      <c r="B374" s="201">
        <v>44981</v>
      </c>
      <c r="C374" s="202"/>
      <c r="D374" s="218"/>
      <c r="E374" s="218"/>
      <c r="F374" s="218"/>
      <c r="G374" s="218"/>
      <c r="H374" s="218"/>
      <c r="I374" s="218"/>
      <c r="J374" s="203" t="e">
        <f t="shared" si="22"/>
        <v>#DIV/0!</v>
      </c>
      <c r="K374" s="218"/>
      <c r="L374" s="218"/>
      <c r="M374" s="218"/>
      <c r="N374" s="218"/>
      <c r="O374" s="214" t="e">
        <f t="shared" si="23"/>
        <v>#DIV/0!</v>
      </c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03">
        <f t="shared" si="25"/>
        <v>0</v>
      </c>
      <c r="AA374" s="203">
        <f t="shared" si="24"/>
        <v>0</v>
      </c>
      <c r="AB374" s="218"/>
      <c r="AC374" s="218"/>
      <c r="AD374" s="218"/>
      <c r="AE374" s="218"/>
    </row>
    <row r="375" spans="1:31" x14ac:dyDescent="0.2">
      <c r="A375" s="200" t="s">
        <v>8625</v>
      </c>
      <c r="B375" s="201">
        <v>44982</v>
      </c>
      <c r="C375" s="202"/>
      <c r="D375" s="218"/>
      <c r="E375" s="218"/>
      <c r="F375" s="218"/>
      <c r="G375" s="218"/>
      <c r="H375" s="218"/>
      <c r="I375" s="218"/>
      <c r="J375" s="203" t="e">
        <f t="shared" si="22"/>
        <v>#DIV/0!</v>
      </c>
      <c r="K375" s="218"/>
      <c r="L375" s="218"/>
      <c r="M375" s="218"/>
      <c r="N375" s="218"/>
      <c r="O375" s="214" t="e">
        <f t="shared" si="23"/>
        <v>#DIV/0!</v>
      </c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03">
        <f t="shared" si="25"/>
        <v>0</v>
      </c>
      <c r="AA375" s="203">
        <f t="shared" si="24"/>
        <v>0</v>
      </c>
      <c r="AB375" s="218"/>
      <c r="AC375" s="218"/>
      <c r="AD375" s="218"/>
      <c r="AE375" s="218"/>
    </row>
    <row r="376" spans="1:31" x14ac:dyDescent="0.2">
      <c r="A376" s="200" t="s">
        <v>8626</v>
      </c>
      <c r="B376" s="201">
        <v>44983</v>
      </c>
      <c r="C376" s="202"/>
      <c r="D376" s="218"/>
      <c r="E376" s="218"/>
      <c r="F376" s="218"/>
      <c r="G376" s="218"/>
      <c r="H376" s="218"/>
      <c r="I376" s="218"/>
      <c r="J376" s="203" t="e">
        <f t="shared" si="22"/>
        <v>#DIV/0!</v>
      </c>
      <c r="K376" s="218"/>
      <c r="L376" s="218"/>
      <c r="M376" s="218"/>
      <c r="N376" s="218"/>
      <c r="O376" s="214" t="e">
        <f t="shared" si="23"/>
        <v>#DIV/0!</v>
      </c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03">
        <f t="shared" si="25"/>
        <v>0</v>
      </c>
      <c r="AA376" s="203">
        <f t="shared" si="24"/>
        <v>0</v>
      </c>
      <c r="AB376" s="218"/>
      <c r="AC376" s="218"/>
      <c r="AD376" s="218"/>
      <c r="AE376" s="218"/>
    </row>
    <row r="377" spans="1:31" x14ac:dyDescent="0.2">
      <c r="A377" s="200" t="s">
        <v>8627</v>
      </c>
      <c r="B377" s="201">
        <v>44984</v>
      </c>
      <c r="C377" s="202"/>
      <c r="D377" s="218"/>
      <c r="E377" s="218"/>
      <c r="F377" s="218"/>
      <c r="G377" s="218"/>
      <c r="H377" s="218"/>
      <c r="I377" s="218"/>
      <c r="J377" s="203" t="e">
        <f t="shared" si="22"/>
        <v>#DIV/0!</v>
      </c>
      <c r="K377" s="218"/>
      <c r="L377" s="218"/>
      <c r="M377" s="218"/>
      <c r="N377" s="218"/>
      <c r="O377" s="214" t="e">
        <f t="shared" si="23"/>
        <v>#DIV/0!</v>
      </c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03">
        <f t="shared" si="25"/>
        <v>0</v>
      </c>
      <c r="AA377" s="203">
        <f t="shared" si="24"/>
        <v>0</v>
      </c>
      <c r="AB377" s="218"/>
      <c r="AC377" s="218"/>
      <c r="AD377" s="218"/>
      <c r="AE377" s="218"/>
    </row>
    <row r="378" spans="1:31" x14ac:dyDescent="0.2">
      <c r="A378" s="200" t="s">
        <v>8628</v>
      </c>
      <c r="B378" s="201">
        <v>44985</v>
      </c>
      <c r="C378" s="202"/>
      <c r="D378" s="218"/>
      <c r="E378" s="218"/>
      <c r="F378" s="218"/>
      <c r="G378" s="218"/>
      <c r="H378" s="218"/>
      <c r="I378" s="218"/>
      <c r="J378" s="203" t="e">
        <f t="shared" si="22"/>
        <v>#DIV/0!</v>
      </c>
      <c r="K378" s="218"/>
      <c r="L378" s="218"/>
      <c r="M378" s="218"/>
      <c r="N378" s="218"/>
      <c r="O378" s="214" t="e">
        <f t="shared" si="23"/>
        <v>#DIV/0!</v>
      </c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03">
        <f t="shared" si="25"/>
        <v>0</v>
      </c>
      <c r="AA378" s="203">
        <f t="shared" si="24"/>
        <v>0</v>
      </c>
      <c r="AB378" s="218"/>
      <c r="AC378" s="218"/>
      <c r="AD378" s="218"/>
      <c r="AE378" s="218"/>
    </row>
    <row r="379" spans="1:31" x14ac:dyDescent="0.2">
      <c r="A379" s="200" t="s">
        <v>8629</v>
      </c>
      <c r="B379" s="201">
        <v>44986</v>
      </c>
      <c r="C379" s="202"/>
      <c r="D379" s="218"/>
      <c r="E379" s="218"/>
      <c r="F379" s="218"/>
      <c r="G379" s="218"/>
      <c r="H379" s="218"/>
      <c r="I379" s="218"/>
      <c r="J379" s="203" t="e">
        <f t="shared" si="22"/>
        <v>#DIV/0!</v>
      </c>
      <c r="K379" s="218"/>
      <c r="L379" s="218"/>
      <c r="M379" s="218"/>
      <c r="N379" s="218"/>
      <c r="O379" s="214" t="e">
        <f t="shared" si="23"/>
        <v>#DIV/0!</v>
      </c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03">
        <f t="shared" si="25"/>
        <v>0</v>
      </c>
      <c r="AA379" s="203">
        <f t="shared" si="24"/>
        <v>0</v>
      </c>
      <c r="AB379" s="218"/>
      <c r="AC379" s="218"/>
      <c r="AD379" s="218"/>
      <c r="AE379" s="218"/>
    </row>
    <row r="380" spans="1:31" x14ac:dyDescent="0.2">
      <c r="A380" s="200" t="s">
        <v>8630</v>
      </c>
      <c r="B380" s="201">
        <v>44987</v>
      </c>
      <c r="C380" s="202"/>
      <c r="D380" s="218"/>
      <c r="E380" s="218"/>
      <c r="F380" s="218"/>
      <c r="G380" s="218"/>
      <c r="H380" s="218"/>
      <c r="I380" s="218"/>
      <c r="J380" s="203" t="e">
        <f t="shared" si="22"/>
        <v>#DIV/0!</v>
      </c>
      <c r="K380" s="218"/>
      <c r="L380" s="218"/>
      <c r="M380" s="218"/>
      <c r="N380" s="218"/>
      <c r="O380" s="214" t="e">
        <f t="shared" si="23"/>
        <v>#DIV/0!</v>
      </c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03">
        <f t="shared" si="25"/>
        <v>0</v>
      </c>
      <c r="AA380" s="203">
        <f t="shared" si="24"/>
        <v>0</v>
      </c>
      <c r="AB380" s="218"/>
      <c r="AC380" s="218"/>
      <c r="AD380" s="218"/>
      <c r="AE380" s="218"/>
    </row>
    <row r="381" spans="1:31" x14ac:dyDescent="0.2">
      <c r="A381" s="200" t="s">
        <v>8631</v>
      </c>
      <c r="B381" s="201">
        <v>44988</v>
      </c>
      <c r="C381" s="202"/>
      <c r="D381" s="218"/>
      <c r="E381" s="218"/>
      <c r="F381" s="218"/>
      <c r="G381" s="218"/>
      <c r="H381" s="218"/>
      <c r="I381" s="218"/>
      <c r="J381" s="203" t="e">
        <f t="shared" si="22"/>
        <v>#DIV/0!</v>
      </c>
      <c r="K381" s="218"/>
      <c r="L381" s="218"/>
      <c r="M381" s="218"/>
      <c r="N381" s="218"/>
      <c r="O381" s="214" t="e">
        <f t="shared" si="23"/>
        <v>#DIV/0!</v>
      </c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03">
        <f t="shared" si="25"/>
        <v>0</v>
      </c>
      <c r="AA381" s="203">
        <f t="shared" si="24"/>
        <v>0</v>
      </c>
      <c r="AB381" s="218"/>
      <c r="AC381" s="218"/>
      <c r="AD381" s="218"/>
      <c r="AE381" s="218"/>
    </row>
    <row r="382" spans="1:31" x14ac:dyDescent="0.2">
      <c r="A382" s="200" t="s">
        <v>8632</v>
      </c>
      <c r="B382" s="201">
        <v>44989</v>
      </c>
      <c r="C382" s="202"/>
      <c r="D382" s="218"/>
      <c r="E382" s="218"/>
      <c r="F382" s="218"/>
      <c r="G382" s="218"/>
      <c r="H382" s="218"/>
      <c r="I382" s="218"/>
      <c r="J382" s="203" t="e">
        <f t="shared" si="22"/>
        <v>#DIV/0!</v>
      </c>
      <c r="K382" s="218"/>
      <c r="L382" s="218"/>
      <c r="M382" s="218"/>
      <c r="N382" s="218"/>
      <c r="O382" s="214" t="e">
        <f t="shared" si="23"/>
        <v>#DIV/0!</v>
      </c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03">
        <f t="shared" si="25"/>
        <v>0</v>
      </c>
      <c r="AA382" s="203">
        <f t="shared" si="24"/>
        <v>0</v>
      </c>
      <c r="AB382" s="218"/>
      <c r="AC382" s="218"/>
      <c r="AD382" s="218"/>
      <c r="AE382" s="218"/>
    </row>
    <row r="383" spans="1:31" x14ac:dyDescent="0.2">
      <c r="A383" s="200" t="s">
        <v>8633</v>
      </c>
      <c r="B383" s="201">
        <v>44990</v>
      </c>
      <c r="C383" s="202"/>
      <c r="D383" s="218"/>
      <c r="E383" s="218"/>
      <c r="F383" s="218"/>
      <c r="G383" s="218"/>
      <c r="H383" s="218"/>
      <c r="I383" s="218"/>
      <c r="J383" s="203" t="e">
        <f t="shared" si="22"/>
        <v>#DIV/0!</v>
      </c>
      <c r="K383" s="218"/>
      <c r="L383" s="218"/>
      <c r="M383" s="218"/>
      <c r="N383" s="218"/>
      <c r="O383" s="214" t="e">
        <f t="shared" si="23"/>
        <v>#DIV/0!</v>
      </c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03">
        <f t="shared" si="25"/>
        <v>0</v>
      </c>
      <c r="AA383" s="203">
        <f t="shared" si="24"/>
        <v>0</v>
      </c>
      <c r="AB383" s="218"/>
      <c r="AC383" s="218"/>
      <c r="AD383" s="218"/>
      <c r="AE383" s="218"/>
    </row>
    <row r="384" spans="1:31" x14ac:dyDescent="0.2">
      <c r="A384" s="200" t="s">
        <v>8634</v>
      </c>
      <c r="B384" s="201">
        <v>44991</v>
      </c>
      <c r="C384" s="202"/>
      <c r="D384" s="218"/>
      <c r="E384" s="218"/>
      <c r="F384" s="218"/>
      <c r="G384" s="218"/>
      <c r="H384" s="218"/>
      <c r="I384" s="218"/>
      <c r="J384" s="203" t="e">
        <f t="shared" si="22"/>
        <v>#DIV/0!</v>
      </c>
      <c r="K384" s="218"/>
      <c r="L384" s="218"/>
      <c r="M384" s="218"/>
      <c r="N384" s="218"/>
      <c r="O384" s="214" t="e">
        <f t="shared" si="23"/>
        <v>#DIV/0!</v>
      </c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03">
        <f t="shared" si="25"/>
        <v>0</v>
      </c>
      <c r="AA384" s="203">
        <f t="shared" si="24"/>
        <v>0</v>
      </c>
      <c r="AB384" s="218"/>
      <c r="AC384" s="218"/>
      <c r="AD384" s="218"/>
      <c r="AE384" s="218"/>
    </row>
    <row r="385" spans="1:31" x14ac:dyDescent="0.2">
      <c r="A385" s="200" t="s">
        <v>8635</v>
      </c>
      <c r="B385" s="201">
        <v>44992</v>
      </c>
      <c r="C385" s="202"/>
      <c r="D385" s="218"/>
      <c r="E385" s="218"/>
      <c r="F385" s="218"/>
      <c r="G385" s="218"/>
      <c r="H385" s="218"/>
      <c r="I385" s="218"/>
      <c r="J385" s="203" t="e">
        <f t="shared" si="22"/>
        <v>#DIV/0!</v>
      </c>
      <c r="K385" s="218"/>
      <c r="L385" s="218"/>
      <c r="M385" s="218"/>
      <c r="N385" s="218"/>
      <c r="O385" s="214" t="e">
        <f t="shared" si="23"/>
        <v>#DIV/0!</v>
      </c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03">
        <f t="shared" si="25"/>
        <v>0</v>
      </c>
      <c r="AA385" s="203">
        <f t="shared" si="24"/>
        <v>0</v>
      </c>
      <c r="AB385" s="218"/>
      <c r="AC385" s="218"/>
      <c r="AD385" s="218"/>
      <c r="AE385" s="218"/>
    </row>
    <row r="386" spans="1:31" x14ac:dyDescent="0.2">
      <c r="A386" s="200" t="s">
        <v>8636</v>
      </c>
      <c r="B386" s="201">
        <v>44993</v>
      </c>
      <c r="C386" s="202"/>
      <c r="D386" s="218"/>
      <c r="E386" s="218"/>
      <c r="F386" s="218"/>
      <c r="G386" s="218"/>
      <c r="H386" s="218"/>
      <c r="I386" s="218"/>
      <c r="J386" s="203" t="e">
        <f t="shared" si="22"/>
        <v>#DIV/0!</v>
      </c>
      <c r="K386" s="218"/>
      <c r="L386" s="218"/>
      <c r="M386" s="218"/>
      <c r="N386" s="218"/>
      <c r="O386" s="214" t="e">
        <f t="shared" si="23"/>
        <v>#DIV/0!</v>
      </c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03">
        <f t="shared" si="25"/>
        <v>0</v>
      </c>
      <c r="AA386" s="203">
        <f t="shared" si="24"/>
        <v>0</v>
      </c>
      <c r="AB386" s="218"/>
      <c r="AC386" s="218"/>
      <c r="AD386" s="218"/>
      <c r="AE386" s="218"/>
    </row>
    <row r="387" spans="1:31" x14ac:dyDescent="0.2">
      <c r="A387" s="200" t="s">
        <v>8637</v>
      </c>
      <c r="B387" s="201">
        <v>44994</v>
      </c>
      <c r="C387" s="202"/>
      <c r="D387" s="218"/>
      <c r="E387" s="218"/>
      <c r="F387" s="218"/>
      <c r="G387" s="218"/>
      <c r="H387" s="218"/>
      <c r="I387" s="218"/>
      <c r="J387" s="203" t="e">
        <f t="shared" ref="J387:J446" si="26">H387/I387</f>
        <v>#DIV/0!</v>
      </c>
      <c r="K387" s="218"/>
      <c r="L387" s="218"/>
      <c r="M387" s="218"/>
      <c r="N387" s="218"/>
      <c r="O387" s="214" t="e">
        <f t="shared" ref="O387:O446" si="27">F387/(G387)^2</f>
        <v>#DIV/0!</v>
      </c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03">
        <f t="shared" si="25"/>
        <v>0</v>
      </c>
      <c r="AA387" s="203">
        <f t="shared" si="24"/>
        <v>0</v>
      </c>
      <c r="AB387" s="218"/>
      <c r="AC387" s="218"/>
      <c r="AD387" s="218"/>
      <c r="AE387" s="218"/>
    </row>
    <row r="388" spans="1:31" x14ac:dyDescent="0.2">
      <c r="A388" s="200" t="s">
        <v>8638</v>
      </c>
      <c r="B388" s="201">
        <v>44995</v>
      </c>
      <c r="C388" s="202"/>
      <c r="D388" s="218"/>
      <c r="E388" s="218"/>
      <c r="F388" s="218"/>
      <c r="G388" s="218"/>
      <c r="H388" s="218"/>
      <c r="I388" s="218"/>
      <c r="J388" s="203" t="e">
        <f t="shared" si="26"/>
        <v>#DIV/0!</v>
      </c>
      <c r="K388" s="218"/>
      <c r="L388" s="218"/>
      <c r="M388" s="218"/>
      <c r="N388" s="218"/>
      <c r="O388" s="214" t="e">
        <f t="shared" si="27"/>
        <v>#DIV/0!</v>
      </c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03">
        <f t="shared" si="25"/>
        <v>0</v>
      </c>
      <c r="AA388" s="203">
        <f t="shared" si="24"/>
        <v>0</v>
      </c>
      <c r="AB388" s="218"/>
      <c r="AC388" s="218"/>
      <c r="AD388" s="218"/>
      <c r="AE388" s="218"/>
    </row>
    <row r="389" spans="1:31" x14ac:dyDescent="0.2">
      <c r="A389" s="200" t="s">
        <v>8639</v>
      </c>
      <c r="B389" s="201">
        <v>44996</v>
      </c>
      <c r="C389" s="202"/>
      <c r="D389" s="218"/>
      <c r="E389" s="218"/>
      <c r="F389" s="218"/>
      <c r="G389" s="218"/>
      <c r="H389" s="218"/>
      <c r="I389" s="218"/>
      <c r="J389" s="203" t="e">
        <f t="shared" si="26"/>
        <v>#DIV/0!</v>
      </c>
      <c r="K389" s="218"/>
      <c r="L389" s="218"/>
      <c r="M389" s="218"/>
      <c r="N389" s="218"/>
      <c r="O389" s="214" t="e">
        <f t="shared" si="27"/>
        <v>#DIV/0!</v>
      </c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03">
        <f t="shared" si="25"/>
        <v>0</v>
      </c>
      <c r="AA389" s="203">
        <f t="shared" si="24"/>
        <v>0</v>
      </c>
      <c r="AB389" s="218"/>
      <c r="AC389" s="218"/>
      <c r="AD389" s="218"/>
      <c r="AE389" s="218"/>
    </row>
    <row r="390" spans="1:31" x14ac:dyDescent="0.2">
      <c r="A390" s="200" t="s">
        <v>8640</v>
      </c>
      <c r="B390" s="201">
        <v>44997</v>
      </c>
      <c r="C390" s="202"/>
      <c r="D390" s="218"/>
      <c r="E390" s="218"/>
      <c r="F390" s="218"/>
      <c r="G390" s="218"/>
      <c r="H390" s="218"/>
      <c r="I390" s="218"/>
      <c r="J390" s="203" t="e">
        <f t="shared" si="26"/>
        <v>#DIV/0!</v>
      </c>
      <c r="K390" s="218"/>
      <c r="L390" s="218"/>
      <c r="M390" s="218"/>
      <c r="N390" s="218"/>
      <c r="O390" s="214" t="e">
        <f t="shared" si="27"/>
        <v>#DIV/0!</v>
      </c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03">
        <f t="shared" si="25"/>
        <v>0</v>
      </c>
      <c r="AA390" s="203">
        <f t="shared" si="24"/>
        <v>0</v>
      </c>
      <c r="AB390" s="218"/>
      <c r="AC390" s="218"/>
      <c r="AD390" s="218"/>
      <c r="AE390" s="218"/>
    </row>
    <row r="391" spans="1:31" x14ac:dyDescent="0.2">
      <c r="A391" s="200" t="s">
        <v>8641</v>
      </c>
      <c r="B391" s="201">
        <v>44998</v>
      </c>
      <c r="C391" s="202"/>
      <c r="D391" s="218"/>
      <c r="E391" s="218"/>
      <c r="F391" s="218"/>
      <c r="G391" s="218"/>
      <c r="H391" s="218"/>
      <c r="I391" s="218"/>
      <c r="J391" s="203" t="e">
        <f t="shared" si="26"/>
        <v>#DIV/0!</v>
      </c>
      <c r="K391" s="218"/>
      <c r="L391" s="218"/>
      <c r="M391" s="218"/>
      <c r="N391" s="218"/>
      <c r="O391" s="214" t="e">
        <f t="shared" si="27"/>
        <v>#DIV/0!</v>
      </c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03">
        <f t="shared" si="25"/>
        <v>0</v>
      </c>
      <c r="AA391" s="203">
        <f t="shared" si="24"/>
        <v>0</v>
      </c>
      <c r="AB391" s="218"/>
      <c r="AC391" s="218"/>
      <c r="AD391" s="218"/>
      <c r="AE391" s="218"/>
    </row>
    <row r="392" spans="1:31" x14ac:dyDescent="0.2">
      <c r="A392" s="200" t="s">
        <v>8642</v>
      </c>
      <c r="B392" s="201">
        <v>44999</v>
      </c>
      <c r="C392" s="202"/>
      <c r="D392" s="218"/>
      <c r="E392" s="218"/>
      <c r="F392" s="218"/>
      <c r="G392" s="218"/>
      <c r="H392" s="218"/>
      <c r="I392" s="218"/>
      <c r="J392" s="203" t="e">
        <f t="shared" si="26"/>
        <v>#DIV/0!</v>
      </c>
      <c r="K392" s="218"/>
      <c r="L392" s="218"/>
      <c r="M392" s="218"/>
      <c r="N392" s="218"/>
      <c r="O392" s="214" t="e">
        <f t="shared" si="27"/>
        <v>#DIV/0!</v>
      </c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03">
        <f t="shared" si="25"/>
        <v>0</v>
      </c>
      <c r="AA392" s="203">
        <f t="shared" si="24"/>
        <v>0</v>
      </c>
      <c r="AB392" s="218"/>
      <c r="AC392" s="218"/>
      <c r="AD392" s="218"/>
      <c r="AE392" s="218"/>
    </row>
    <row r="393" spans="1:31" x14ac:dyDescent="0.2">
      <c r="A393" s="200" t="s">
        <v>8643</v>
      </c>
      <c r="B393" s="201">
        <v>45000</v>
      </c>
      <c r="C393" s="202"/>
      <c r="D393" s="218"/>
      <c r="E393" s="218"/>
      <c r="F393" s="218"/>
      <c r="G393" s="218"/>
      <c r="H393" s="218"/>
      <c r="I393" s="218"/>
      <c r="J393" s="203" t="e">
        <f t="shared" si="26"/>
        <v>#DIV/0!</v>
      </c>
      <c r="K393" s="218"/>
      <c r="L393" s="218"/>
      <c r="M393" s="218"/>
      <c r="N393" s="218"/>
      <c r="O393" s="214" t="e">
        <f t="shared" si="27"/>
        <v>#DIV/0!</v>
      </c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03">
        <f t="shared" si="25"/>
        <v>0</v>
      </c>
      <c r="AA393" s="203">
        <f t="shared" si="24"/>
        <v>0</v>
      </c>
      <c r="AB393" s="218"/>
      <c r="AC393" s="218"/>
      <c r="AD393" s="218"/>
      <c r="AE393" s="218"/>
    </row>
    <row r="394" spans="1:31" x14ac:dyDescent="0.2">
      <c r="A394" s="200" t="s">
        <v>8644</v>
      </c>
      <c r="B394" s="201">
        <v>45001</v>
      </c>
      <c r="C394" s="202"/>
      <c r="D394" s="218"/>
      <c r="E394" s="218"/>
      <c r="F394" s="218"/>
      <c r="G394" s="218"/>
      <c r="H394" s="218"/>
      <c r="I394" s="218"/>
      <c r="J394" s="203" t="e">
        <f t="shared" si="26"/>
        <v>#DIV/0!</v>
      </c>
      <c r="K394" s="218"/>
      <c r="L394" s="218"/>
      <c r="M394" s="218"/>
      <c r="N394" s="218"/>
      <c r="O394" s="214" t="e">
        <f t="shared" si="27"/>
        <v>#DIV/0!</v>
      </c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03">
        <f t="shared" si="25"/>
        <v>0</v>
      </c>
      <c r="AA394" s="203">
        <f t="shared" si="24"/>
        <v>0</v>
      </c>
      <c r="AB394" s="218"/>
      <c r="AC394" s="218"/>
      <c r="AD394" s="218"/>
      <c r="AE394" s="218"/>
    </row>
    <row r="395" spans="1:31" x14ac:dyDescent="0.2">
      <c r="A395" s="200" t="s">
        <v>8645</v>
      </c>
      <c r="B395" s="201">
        <v>45002</v>
      </c>
      <c r="C395" s="202"/>
      <c r="D395" s="218"/>
      <c r="E395" s="218"/>
      <c r="F395" s="218"/>
      <c r="G395" s="218"/>
      <c r="H395" s="218"/>
      <c r="I395" s="218"/>
      <c r="J395" s="203" t="e">
        <f t="shared" si="26"/>
        <v>#DIV/0!</v>
      </c>
      <c r="K395" s="218"/>
      <c r="L395" s="218"/>
      <c r="M395" s="218"/>
      <c r="N395" s="218"/>
      <c r="O395" s="214" t="e">
        <f t="shared" si="27"/>
        <v>#DIV/0!</v>
      </c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03">
        <f t="shared" si="25"/>
        <v>0</v>
      </c>
      <c r="AA395" s="203">
        <f t="shared" si="24"/>
        <v>0</v>
      </c>
      <c r="AB395" s="218"/>
      <c r="AC395" s="218"/>
      <c r="AD395" s="218"/>
      <c r="AE395" s="218"/>
    </row>
    <row r="396" spans="1:31" x14ac:dyDescent="0.2">
      <c r="A396" s="200" t="s">
        <v>8646</v>
      </c>
      <c r="B396" s="201">
        <v>45003</v>
      </c>
      <c r="C396" s="202"/>
      <c r="D396" s="218"/>
      <c r="E396" s="218"/>
      <c r="F396" s="218"/>
      <c r="G396" s="218"/>
      <c r="H396" s="218"/>
      <c r="I396" s="218"/>
      <c r="J396" s="203" t="e">
        <f t="shared" si="26"/>
        <v>#DIV/0!</v>
      </c>
      <c r="K396" s="218"/>
      <c r="L396" s="218"/>
      <c r="M396" s="218"/>
      <c r="N396" s="218"/>
      <c r="O396" s="214" t="e">
        <f t="shared" si="27"/>
        <v>#DIV/0!</v>
      </c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03">
        <f t="shared" si="25"/>
        <v>0</v>
      </c>
      <c r="AA396" s="203">
        <f t="shared" si="24"/>
        <v>0</v>
      </c>
      <c r="AB396" s="218"/>
      <c r="AC396" s="218"/>
      <c r="AD396" s="218"/>
      <c r="AE396" s="218"/>
    </row>
    <row r="397" spans="1:31" x14ac:dyDescent="0.2">
      <c r="A397" s="200" t="s">
        <v>8647</v>
      </c>
      <c r="B397" s="201">
        <v>45004</v>
      </c>
      <c r="C397" s="202"/>
      <c r="D397" s="218"/>
      <c r="E397" s="218"/>
      <c r="F397" s="218"/>
      <c r="G397" s="218"/>
      <c r="H397" s="218"/>
      <c r="I397" s="218"/>
      <c r="J397" s="203" t="e">
        <f t="shared" si="26"/>
        <v>#DIV/0!</v>
      </c>
      <c r="K397" s="218"/>
      <c r="L397" s="218"/>
      <c r="M397" s="218"/>
      <c r="N397" s="218"/>
      <c r="O397" s="214" t="e">
        <f t="shared" si="27"/>
        <v>#DIV/0!</v>
      </c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03">
        <f t="shared" si="25"/>
        <v>0</v>
      </c>
      <c r="AA397" s="203">
        <f t="shared" si="24"/>
        <v>0</v>
      </c>
      <c r="AB397" s="218"/>
      <c r="AC397" s="218"/>
      <c r="AD397" s="218"/>
      <c r="AE397" s="218"/>
    </row>
    <row r="398" spans="1:31" x14ac:dyDescent="0.2">
      <c r="A398" s="200" t="s">
        <v>8648</v>
      </c>
      <c r="B398" s="201">
        <v>45005</v>
      </c>
      <c r="C398" s="202"/>
      <c r="D398" s="218"/>
      <c r="E398" s="218"/>
      <c r="F398" s="218"/>
      <c r="G398" s="218"/>
      <c r="H398" s="218"/>
      <c r="I398" s="218"/>
      <c r="J398" s="203" t="e">
        <f t="shared" si="26"/>
        <v>#DIV/0!</v>
      </c>
      <c r="K398" s="218"/>
      <c r="L398" s="218"/>
      <c r="M398" s="218"/>
      <c r="N398" s="218"/>
      <c r="O398" s="214" t="e">
        <f t="shared" si="27"/>
        <v>#DIV/0!</v>
      </c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03">
        <f t="shared" si="25"/>
        <v>0</v>
      </c>
      <c r="AA398" s="203">
        <f t="shared" si="24"/>
        <v>0</v>
      </c>
      <c r="AB398" s="218"/>
      <c r="AC398" s="218"/>
      <c r="AD398" s="218"/>
      <c r="AE398" s="218"/>
    </row>
    <row r="399" spans="1:31" x14ac:dyDescent="0.2">
      <c r="A399" s="200" t="s">
        <v>8649</v>
      </c>
      <c r="B399" s="201">
        <v>45006</v>
      </c>
      <c r="C399" s="202"/>
      <c r="D399" s="218"/>
      <c r="E399" s="218"/>
      <c r="F399" s="218"/>
      <c r="G399" s="218"/>
      <c r="H399" s="218"/>
      <c r="I399" s="218"/>
      <c r="J399" s="203" t="e">
        <f t="shared" si="26"/>
        <v>#DIV/0!</v>
      </c>
      <c r="K399" s="218"/>
      <c r="L399" s="218"/>
      <c r="M399" s="218"/>
      <c r="N399" s="218"/>
      <c r="O399" s="214" t="e">
        <f t="shared" si="27"/>
        <v>#DIV/0!</v>
      </c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03">
        <f t="shared" si="25"/>
        <v>0</v>
      </c>
      <c r="AA399" s="203">
        <f t="shared" si="24"/>
        <v>0</v>
      </c>
      <c r="AB399" s="218"/>
      <c r="AC399" s="218"/>
      <c r="AD399" s="218"/>
      <c r="AE399" s="218"/>
    </row>
    <row r="400" spans="1:31" x14ac:dyDescent="0.2">
      <c r="A400" s="200" t="s">
        <v>8650</v>
      </c>
      <c r="B400" s="201">
        <v>45007</v>
      </c>
      <c r="C400" s="202"/>
      <c r="D400" s="218"/>
      <c r="E400" s="218"/>
      <c r="F400" s="218"/>
      <c r="G400" s="218"/>
      <c r="H400" s="218"/>
      <c r="I400" s="218"/>
      <c r="J400" s="203" t="e">
        <f t="shared" si="26"/>
        <v>#DIV/0!</v>
      </c>
      <c r="K400" s="218"/>
      <c r="L400" s="218"/>
      <c r="M400" s="218"/>
      <c r="N400" s="218"/>
      <c r="O400" s="214" t="e">
        <f t="shared" si="27"/>
        <v>#DIV/0!</v>
      </c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03">
        <f t="shared" si="25"/>
        <v>0</v>
      </c>
      <c r="AA400" s="203">
        <f t="shared" si="24"/>
        <v>0</v>
      </c>
      <c r="AB400" s="218"/>
      <c r="AC400" s="218"/>
      <c r="AD400" s="218"/>
      <c r="AE400" s="218"/>
    </row>
    <row r="401" spans="1:31" x14ac:dyDescent="0.2">
      <c r="A401" s="200" t="s">
        <v>8651</v>
      </c>
      <c r="B401" s="201">
        <v>45008</v>
      </c>
      <c r="C401" s="202"/>
      <c r="D401" s="218"/>
      <c r="E401" s="218"/>
      <c r="F401" s="218"/>
      <c r="G401" s="218"/>
      <c r="H401" s="218"/>
      <c r="I401" s="218"/>
      <c r="J401" s="203" t="e">
        <f t="shared" si="26"/>
        <v>#DIV/0!</v>
      </c>
      <c r="K401" s="218"/>
      <c r="L401" s="218"/>
      <c r="M401" s="218"/>
      <c r="N401" s="218"/>
      <c r="O401" s="214" t="e">
        <f t="shared" si="27"/>
        <v>#DIV/0!</v>
      </c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03">
        <f t="shared" si="25"/>
        <v>0</v>
      </c>
      <c r="AA401" s="203">
        <f t="shared" si="24"/>
        <v>0</v>
      </c>
      <c r="AB401" s="218"/>
      <c r="AC401" s="218"/>
      <c r="AD401" s="218"/>
      <c r="AE401" s="218"/>
    </row>
    <row r="402" spans="1:31" x14ac:dyDescent="0.2">
      <c r="A402" s="200" t="s">
        <v>8652</v>
      </c>
      <c r="B402" s="201">
        <v>45009</v>
      </c>
      <c r="C402" s="202"/>
      <c r="D402" s="218"/>
      <c r="E402" s="218"/>
      <c r="F402" s="218"/>
      <c r="G402" s="218"/>
      <c r="H402" s="218"/>
      <c r="I402" s="218"/>
      <c r="J402" s="203" t="e">
        <f t="shared" si="26"/>
        <v>#DIV/0!</v>
      </c>
      <c r="K402" s="218"/>
      <c r="L402" s="218"/>
      <c r="M402" s="218"/>
      <c r="N402" s="218"/>
      <c r="O402" s="214" t="e">
        <f t="shared" si="27"/>
        <v>#DIV/0!</v>
      </c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03">
        <f t="shared" si="25"/>
        <v>0</v>
      </c>
      <c r="AA402" s="203">
        <f t="shared" si="24"/>
        <v>0</v>
      </c>
      <c r="AB402" s="218"/>
      <c r="AC402" s="218"/>
      <c r="AD402" s="218"/>
      <c r="AE402" s="218"/>
    </row>
    <row r="403" spans="1:31" x14ac:dyDescent="0.2">
      <c r="A403" s="200" t="s">
        <v>8653</v>
      </c>
      <c r="B403" s="201">
        <v>45010</v>
      </c>
      <c r="C403" s="202"/>
      <c r="D403" s="218"/>
      <c r="E403" s="218"/>
      <c r="F403" s="218"/>
      <c r="G403" s="218"/>
      <c r="H403" s="218"/>
      <c r="I403" s="218"/>
      <c r="J403" s="203" t="e">
        <f t="shared" si="26"/>
        <v>#DIV/0!</v>
      </c>
      <c r="K403" s="218"/>
      <c r="L403" s="218"/>
      <c r="M403" s="218"/>
      <c r="N403" s="218"/>
      <c r="O403" s="214" t="e">
        <f t="shared" si="27"/>
        <v>#DIV/0!</v>
      </c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03">
        <f t="shared" si="25"/>
        <v>0</v>
      </c>
      <c r="AA403" s="203">
        <f t="shared" si="24"/>
        <v>0</v>
      </c>
      <c r="AB403" s="218"/>
      <c r="AC403" s="218"/>
      <c r="AD403" s="218"/>
      <c r="AE403" s="218"/>
    </row>
    <row r="404" spans="1:31" x14ac:dyDescent="0.2">
      <c r="A404" s="200" t="s">
        <v>8654</v>
      </c>
      <c r="B404" s="201">
        <v>45011</v>
      </c>
      <c r="C404" s="202"/>
      <c r="D404" s="218"/>
      <c r="E404" s="218"/>
      <c r="F404" s="218"/>
      <c r="G404" s="218"/>
      <c r="H404" s="218"/>
      <c r="I404" s="218"/>
      <c r="J404" s="203" t="e">
        <f t="shared" si="26"/>
        <v>#DIV/0!</v>
      </c>
      <c r="K404" s="218"/>
      <c r="L404" s="218"/>
      <c r="M404" s="218"/>
      <c r="N404" s="218"/>
      <c r="O404" s="214" t="e">
        <f t="shared" si="27"/>
        <v>#DIV/0!</v>
      </c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03">
        <f t="shared" si="25"/>
        <v>0</v>
      </c>
      <c r="AA404" s="203">
        <f t="shared" si="24"/>
        <v>0</v>
      </c>
      <c r="AB404" s="218"/>
      <c r="AC404" s="218"/>
      <c r="AD404" s="218"/>
      <c r="AE404" s="218"/>
    </row>
    <row r="405" spans="1:31" x14ac:dyDescent="0.2">
      <c r="A405" s="200" t="s">
        <v>8655</v>
      </c>
      <c r="B405" s="201">
        <v>45012</v>
      </c>
      <c r="C405" s="202"/>
      <c r="D405" s="218"/>
      <c r="E405" s="218"/>
      <c r="F405" s="218"/>
      <c r="G405" s="218"/>
      <c r="H405" s="218"/>
      <c r="I405" s="218"/>
      <c r="J405" s="203" t="e">
        <f t="shared" si="26"/>
        <v>#DIV/0!</v>
      </c>
      <c r="K405" s="218"/>
      <c r="L405" s="218"/>
      <c r="M405" s="218"/>
      <c r="N405" s="218"/>
      <c r="O405" s="214" t="e">
        <f t="shared" si="27"/>
        <v>#DIV/0!</v>
      </c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03">
        <f t="shared" si="25"/>
        <v>0</v>
      </c>
      <c r="AA405" s="203">
        <f t="shared" si="24"/>
        <v>0</v>
      </c>
      <c r="AB405" s="218"/>
      <c r="AC405" s="218"/>
      <c r="AD405" s="218"/>
      <c r="AE405" s="218"/>
    </row>
    <row r="406" spans="1:31" x14ac:dyDescent="0.2">
      <c r="A406" s="200" t="s">
        <v>8656</v>
      </c>
      <c r="B406" s="201">
        <v>45013</v>
      </c>
      <c r="C406" s="202"/>
      <c r="D406" s="218"/>
      <c r="E406" s="218"/>
      <c r="F406" s="218"/>
      <c r="G406" s="218"/>
      <c r="H406" s="218"/>
      <c r="I406" s="218"/>
      <c r="J406" s="203" t="e">
        <f t="shared" si="26"/>
        <v>#DIV/0!</v>
      </c>
      <c r="K406" s="218"/>
      <c r="L406" s="218"/>
      <c r="M406" s="218"/>
      <c r="N406" s="218"/>
      <c r="O406" s="214" t="e">
        <f t="shared" si="27"/>
        <v>#DIV/0!</v>
      </c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03">
        <f t="shared" si="25"/>
        <v>0</v>
      </c>
      <c r="AA406" s="203">
        <f t="shared" si="24"/>
        <v>0</v>
      </c>
      <c r="AB406" s="218"/>
      <c r="AC406" s="218"/>
      <c r="AD406" s="218"/>
      <c r="AE406" s="218"/>
    </row>
    <row r="407" spans="1:31" x14ac:dyDescent="0.2">
      <c r="A407" s="200" t="s">
        <v>8657</v>
      </c>
      <c r="B407" s="201">
        <v>45014</v>
      </c>
      <c r="C407" s="202"/>
      <c r="D407" s="218"/>
      <c r="E407" s="218"/>
      <c r="F407" s="218"/>
      <c r="G407" s="218"/>
      <c r="H407" s="218"/>
      <c r="I407" s="218"/>
      <c r="J407" s="203" t="e">
        <f t="shared" si="26"/>
        <v>#DIV/0!</v>
      </c>
      <c r="K407" s="218"/>
      <c r="L407" s="218"/>
      <c r="M407" s="218"/>
      <c r="N407" s="218"/>
      <c r="O407" s="214" t="e">
        <f t="shared" si="27"/>
        <v>#DIV/0!</v>
      </c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03">
        <f t="shared" si="25"/>
        <v>0</v>
      </c>
      <c r="AA407" s="203">
        <f t="shared" si="24"/>
        <v>0</v>
      </c>
      <c r="AB407" s="218"/>
      <c r="AC407" s="218"/>
      <c r="AD407" s="218"/>
      <c r="AE407" s="218"/>
    </row>
    <row r="408" spans="1:31" x14ac:dyDescent="0.2">
      <c r="A408" s="200" t="s">
        <v>8658</v>
      </c>
      <c r="B408" s="201">
        <v>45015</v>
      </c>
      <c r="C408" s="202"/>
      <c r="D408" s="218"/>
      <c r="E408" s="218"/>
      <c r="F408" s="218"/>
      <c r="G408" s="218"/>
      <c r="H408" s="218"/>
      <c r="I408" s="218"/>
      <c r="J408" s="203" t="e">
        <f t="shared" si="26"/>
        <v>#DIV/0!</v>
      </c>
      <c r="K408" s="218"/>
      <c r="L408" s="218"/>
      <c r="M408" s="218"/>
      <c r="N408" s="218"/>
      <c r="O408" s="214" t="e">
        <f t="shared" si="27"/>
        <v>#DIV/0!</v>
      </c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03">
        <f t="shared" si="25"/>
        <v>0</v>
      </c>
      <c r="AA408" s="203">
        <f t="shared" si="24"/>
        <v>0</v>
      </c>
      <c r="AB408" s="218"/>
      <c r="AC408" s="218"/>
      <c r="AD408" s="218"/>
      <c r="AE408" s="218"/>
    </row>
    <row r="409" spans="1:31" x14ac:dyDescent="0.2">
      <c r="A409" s="200" t="s">
        <v>8659</v>
      </c>
      <c r="B409" s="201">
        <v>45016</v>
      </c>
      <c r="C409" s="202"/>
      <c r="D409" s="218"/>
      <c r="E409" s="218"/>
      <c r="F409" s="218"/>
      <c r="G409" s="218"/>
      <c r="H409" s="218"/>
      <c r="I409" s="218"/>
      <c r="J409" s="203" t="e">
        <f t="shared" si="26"/>
        <v>#DIV/0!</v>
      </c>
      <c r="K409" s="218"/>
      <c r="L409" s="218"/>
      <c r="M409" s="218"/>
      <c r="N409" s="218"/>
      <c r="O409" s="214" t="e">
        <f t="shared" si="27"/>
        <v>#DIV/0!</v>
      </c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03">
        <f t="shared" si="25"/>
        <v>0</v>
      </c>
      <c r="AA409" s="203">
        <f t="shared" si="24"/>
        <v>0</v>
      </c>
      <c r="AB409" s="218"/>
      <c r="AC409" s="218"/>
      <c r="AD409" s="218"/>
      <c r="AE409" s="218"/>
    </row>
    <row r="410" spans="1:31" x14ac:dyDescent="0.2">
      <c r="A410" s="200" t="s">
        <v>8660</v>
      </c>
      <c r="B410" s="201">
        <v>45017</v>
      </c>
      <c r="C410" s="202"/>
      <c r="D410" s="218"/>
      <c r="E410" s="218"/>
      <c r="F410" s="218"/>
      <c r="G410" s="218"/>
      <c r="H410" s="218"/>
      <c r="I410" s="218"/>
      <c r="J410" s="203" t="e">
        <f t="shared" si="26"/>
        <v>#DIV/0!</v>
      </c>
      <c r="K410" s="218"/>
      <c r="L410" s="218"/>
      <c r="M410" s="218"/>
      <c r="N410" s="218"/>
      <c r="O410" s="214" t="e">
        <f t="shared" si="27"/>
        <v>#DIV/0!</v>
      </c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03">
        <f t="shared" si="25"/>
        <v>0</v>
      </c>
      <c r="AA410" s="203">
        <f t="shared" si="24"/>
        <v>0</v>
      </c>
      <c r="AB410" s="218"/>
      <c r="AC410" s="218"/>
      <c r="AD410" s="218"/>
      <c r="AE410" s="218"/>
    </row>
    <row r="411" spans="1:31" x14ac:dyDescent="0.2">
      <c r="A411" s="200" t="s">
        <v>8661</v>
      </c>
      <c r="B411" s="201">
        <v>45018</v>
      </c>
      <c r="C411" s="202"/>
      <c r="D411" s="218"/>
      <c r="E411" s="218"/>
      <c r="F411" s="218"/>
      <c r="G411" s="218"/>
      <c r="H411" s="218"/>
      <c r="I411" s="218"/>
      <c r="J411" s="203" t="e">
        <f t="shared" si="26"/>
        <v>#DIV/0!</v>
      </c>
      <c r="K411" s="218"/>
      <c r="L411" s="218"/>
      <c r="M411" s="218"/>
      <c r="N411" s="218"/>
      <c r="O411" s="214" t="e">
        <f t="shared" si="27"/>
        <v>#DIV/0!</v>
      </c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03">
        <f t="shared" si="25"/>
        <v>0</v>
      </c>
      <c r="AA411" s="203">
        <f t="shared" si="24"/>
        <v>0</v>
      </c>
      <c r="AB411" s="218"/>
      <c r="AC411" s="218"/>
      <c r="AD411" s="218"/>
      <c r="AE411" s="218"/>
    </row>
    <row r="412" spans="1:31" x14ac:dyDescent="0.2">
      <c r="A412" s="200" t="s">
        <v>8662</v>
      </c>
      <c r="B412" s="201">
        <v>45019</v>
      </c>
      <c r="C412" s="202"/>
      <c r="D412" s="218"/>
      <c r="E412" s="218"/>
      <c r="F412" s="218"/>
      <c r="G412" s="218"/>
      <c r="H412" s="218"/>
      <c r="I412" s="218"/>
      <c r="J412" s="203" t="e">
        <f t="shared" si="26"/>
        <v>#DIV/0!</v>
      </c>
      <c r="K412" s="218"/>
      <c r="L412" s="218"/>
      <c r="M412" s="218"/>
      <c r="N412" s="218"/>
      <c r="O412" s="214" t="e">
        <f t="shared" si="27"/>
        <v>#DIV/0!</v>
      </c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03">
        <f t="shared" si="25"/>
        <v>0</v>
      </c>
      <c r="AA412" s="203">
        <f t="shared" si="24"/>
        <v>0</v>
      </c>
      <c r="AB412" s="218"/>
      <c r="AC412" s="218"/>
      <c r="AD412" s="218"/>
      <c r="AE412" s="218"/>
    </row>
    <row r="413" spans="1:31" x14ac:dyDescent="0.2">
      <c r="A413" s="200" t="s">
        <v>8663</v>
      </c>
      <c r="B413" s="201">
        <v>45020</v>
      </c>
      <c r="C413" s="202"/>
      <c r="D413" s="218"/>
      <c r="E413" s="218"/>
      <c r="F413" s="218"/>
      <c r="G413" s="218"/>
      <c r="H413" s="218"/>
      <c r="I413" s="218"/>
      <c r="J413" s="203" t="e">
        <f t="shared" si="26"/>
        <v>#DIV/0!</v>
      </c>
      <c r="K413" s="218"/>
      <c r="L413" s="218"/>
      <c r="M413" s="218"/>
      <c r="N413" s="218"/>
      <c r="O413" s="214" t="e">
        <f t="shared" si="27"/>
        <v>#DIV/0!</v>
      </c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03">
        <f t="shared" si="25"/>
        <v>0</v>
      </c>
      <c r="AA413" s="203">
        <f t="shared" si="24"/>
        <v>0</v>
      </c>
      <c r="AB413" s="218"/>
      <c r="AC413" s="218"/>
      <c r="AD413" s="218"/>
      <c r="AE413" s="218"/>
    </row>
    <row r="414" spans="1:31" x14ac:dyDescent="0.2">
      <c r="A414" s="200" t="s">
        <v>8664</v>
      </c>
      <c r="B414" s="201">
        <v>45021</v>
      </c>
      <c r="C414" s="202"/>
      <c r="D414" s="218"/>
      <c r="E414" s="218"/>
      <c r="F414" s="218"/>
      <c r="G414" s="218"/>
      <c r="H414" s="218"/>
      <c r="I414" s="218"/>
      <c r="J414" s="203" t="e">
        <f t="shared" si="26"/>
        <v>#DIV/0!</v>
      </c>
      <c r="K414" s="218"/>
      <c r="L414" s="218"/>
      <c r="M414" s="218"/>
      <c r="N414" s="218"/>
      <c r="O414" s="214" t="e">
        <f t="shared" si="27"/>
        <v>#DIV/0!</v>
      </c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03">
        <f t="shared" si="25"/>
        <v>0</v>
      </c>
      <c r="AA414" s="203">
        <f t="shared" si="24"/>
        <v>0</v>
      </c>
      <c r="AB414" s="218"/>
      <c r="AC414" s="218"/>
      <c r="AD414" s="218"/>
      <c r="AE414" s="218"/>
    </row>
    <row r="415" spans="1:31" x14ac:dyDescent="0.2">
      <c r="A415" s="200" t="s">
        <v>8665</v>
      </c>
      <c r="B415" s="201">
        <v>45022</v>
      </c>
      <c r="C415" s="202"/>
      <c r="D415" s="218"/>
      <c r="E415" s="218"/>
      <c r="F415" s="218"/>
      <c r="G415" s="218"/>
      <c r="H415" s="218"/>
      <c r="I415" s="218"/>
      <c r="J415" s="203" t="e">
        <f t="shared" si="26"/>
        <v>#DIV/0!</v>
      </c>
      <c r="K415" s="218"/>
      <c r="L415" s="218"/>
      <c r="M415" s="218"/>
      <c r="N415" s="218"/>
      <c r="O415" s="214" t="e">
        <f t="shared" si="27"/>
        <v>#DIV/0!</v>
      </c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03">
        <f t="shared" si="25"/>
        <v>0</v>
      </c>
      <c r="AA415" s="203">
        <f t="shared" si="24"/>
        <v>0</v>
      </c>
      <c r="AB415" s="218"/>
      <c r="AC415" s="218"/>
      <c r="AD415" s="218"/>
      <c r="AE415" s="218"/>
    </row>
    <row r="416" spans="1:31" x14ac:dyDescent="0.2">
      <c r="A416" s="200" t="s">
        <v>8666</v>
      </c>
      <c r="B416" s="201">
        <v>45023</v>
      </c>
      <c r="C416" s="202"/>
      <c r="D416" s="218"/>
      <c r="E416" s="218"/>
      <c r="F416" s="218"/>
      <c r="G416" s="218"/>
      <c r="H416" s="218"/>
      <c r="I416" s="218"/>
      <c r="J416" s="203" t="e">
        <f t="shared" si="26"/>
        <v>#DIV/0!</v>
      </c>
      <c r="K416" s="218"/>
      <c r="L416" s="218"/>
      <c r="M416" s="218"/>
      <c r="N416" s="218"/>
      <c r="O416" s="214" t="e">
        <f t="shared" si="27"/>
        <v>#DIV/0!</v>
      </c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03">
        <f t="shared" si="25"/>
        <v>0</v>
      </c>
      <c r="AA416" s="203">
        <f t="shared" si="24"/>
        <v>0</v>
      </c>
      <c r="AB416" s="218"/>
      <c r="AC416" s="218"/>
      <c r="AD416" s="218"/>
      <c r="AE416" s="218"/>
    </row>
    <row r="417" spans="1:31" x14ac:dyDescent="0.2">
      <c r="A417" s="200" t="s">
        <v>8667</v>
      </c>
      <c r="B417" s="201">
        <v>45024</v>
      </c>
      <c r="C417" s="202"/>
      <c r="D417" s="218"/>
      <c r="E417" s="218"/>
      <c r="F417" s="218"/>
      <c r="G417" s="218"/>
      <c r="H417" s="218"/>
      <c r="I417" s="218"/>
      <c r="J417" s="203" t="e">
        <f t="shared" si="26"/>
        <v>#DIV/0!</v>
      </c>
      <c r="K417" s="218"/>
      <c r="L417" s="218"/>
      <c r="M417" s="218"/>
      <c r="N417" s="218"/>
      <c r="O417" s="214" t="e">
        <f t="shared" si="27"/>
        <v>#DIV/0!</v>
      </c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03">
        <f t="shared" si="25"/>
        <v>0</v>
      </c>
      <c r="AA417" s="203">
        <f t="shared" si="24"/>
        <v>0</v>
      </c>
      <c r="AB417" s="218"/>
      <c r="AC417" s="218"/>
      <c r="AD417" s="218"/>
      <c r="AE417" s="218"/>
    </row>
    <row r="418" spans="1:31" x14ac:dyDescent="0.2">
      <c r="A418" s="200" t="s">
        <v>8668</v>
      </c>
      <c r="B418" s="201">
        <v>45025</v>
      </c>
      <c r="C418" s="202"/>
      <c r="D418" s="218"/>
      <c r="E418" s="218"/>
      <c r="F418" s="218"/>
      <c r="G418" s="218"/>
      <c r="H418" s="218"/>
      <c r="I418" s="218"/>
      <c r="J418" s="203" t="e">
        <f t="shared" si="26"/>
        <v>#DIV/0!</v>
      </c>
      <c r="K418" s="218"/>
      <c r="L418" s="218"/>
      <c r="M418" s="218"/>
      <c r="N418" s="218"/>
      <c r="O418" s="214" t="e">
        <f t="shared" si="27"/>
        <v>#DIV/0!</v>
      </c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03">
        <f t="shared" si="25"/>
        <v>0</v>
      </c>
      <c r="AA418" s="203">
        <f t="shared" si="24"/>
        <v>0</v>
      </c>
      <c r="AB418" s="218"/>
      <c r="AC418" s="218"/>
      <c r="AD418" s="218"/>
      <c r="AE418" s="218"/>
    </row>
    <row r="419" spans="1:31" x14ac:dyDescent="0.2">
      <c r="A419" s="200" t="s">
        <v>8669</v>
      </c>
      <c r="B419" s="201">
        <v>45026</v>
      </c>
      <c r="C419" s="202"/>
      <c r="D419" s="218"/>
      <c r="E419" s="218"/>
      <c r="F419" s="218"/>
      <c r="G419" s="218"/>
      <c r="H419" s="218"/>
      <c r="I419" s="218"/>
      <c r="J419" s="203" t="e">
        <f t="shared" si="26"/>
        <v>#DIV/0!</v>
      </c>
      <c r="K419" s="218"/>
      <c r="L419" s="218"/>
      <c r="M419" s="218"/>
      <c r="N419" s="218"/>
      <c r="O419" s="214" t="e">
        <f t="shared" si="27"/>
        <v>#DIV/0!</v>
      </c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03">
        <f t="shared" si="25"/>
        <v>0</v>
      </c>
      <c r="AA419" s="203">
        <f t="shared" si="24"/>
        <v>0</v>
      </c>
      <c r="AB419" s="218"/>
      <c r="AC419" s="218"/>
      <c r="AD419" s="218"/>
      <c r="AE419" s="218"/>
    </row>
    <row r="420" spans="1:31" x14ac:dyDescent="0.2">
      <c r="A420" s="200" t="s">
        <v>8670</v>
      </c>
      <c r="B420" s="201">
        <v>45027</v>
      </c>
      <c r="C420" s="202"/>
      <c r="D420" s="218"/>
      <c r="E420" s="218"/>
      <c r="F420" s="218"/>
      <c r="G420" s="218"/>
      <c r="H420" s="218"/>
      <c r="I420" s="218"/>
      <c r="J420" s="203" t="e">
        <f t="shared" si="26"/>
        <v>#DIV/0!</v>
      </c>
      <c r="K420" s="218"/>
      <c r="L420" s="218"/>
      <c r="M420" s="218"/>
      <c r="N420" s="218"/>
      <c r="O420" s="214" t="e">
        <f t="shared" si="27"/>
        <v>#DIV/0!</v>
      </c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03">
        <f t="shared" si="25"/>
        <v>0</v>
      </c>
      <c r="AA420" s="203">
        <f t="shared" si="24"/>
        <v>0</v>
      </c>
      <c r="AB420" s="218"/>
      <c r="AC420" s="218"/>
      <c r="AD420" s="218"/>
      <c r="AE420" s="218"/>
    </row>
    <row r="421" spans="1:31" x14ac:dyDescent="0.2">
      <c r="A421" s="200" t="s">
        <v>8671</v>
      </c>
      <c r="B421" s="201">
        <v>45028</v>
      </c>
      <c r="C421" s="202"/>
      <c r="D421" s="218"/>
      <c r="E421" s="218"/>
      <c r="F421" s="218"/>
      <c r="G421" s="218"/>
      <c r="H421" s="218"/>
      <c r="I421" s="218"/>
      <c r="J421" s="203" t="e">
        <f t="shared" si="26"/>
        <v>#DIV/0!</v>
      </c>
      <c r="K421" s="218"/>
      <c r="L421" s="218"/>
      <c r="M421" s="218"/>
      <c r="N421" s="218"/>
      <c r="O421" s="214" t="e">
        <f t="shared" si="27"/>
        <v>#DIV/0!</v>
      </c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03">
        <f t="shared" si="25"/>
        <v>0</v>
      </c>
      <c r="AA421" s="203">
        <f t="shared" si="24"/>
        <v>0</v>
      </c>
      <c r="AB421" s="218"/>
      <c r="AC421" s="218"/>
      <c r="AD421" s="218"/>
      <c r="AE421" s="218"/>
    </row>
    <row r="422" spans="1:31" x14ac:dyDescent="0.2">
      <c r="A422" s="200" t="s">
        <v>8672</v>
      </c>
      <c r="B422" s="201">
        <v>45029</v>
      </c>
      <c r="C422" s="202"/>
      <c r="D422" s="218"/>
      <c r="E422" s="218"/>
      <c r="F422" s="218"/>
      <c r="G422" s="218"/>
      <c r="H422" s="218"/>
      <c r="I422" s="218"/>
      <c r="J422" s="203" t="e">
        <f t="shared" si="26"/>
        <v>#DIV/0!</v>
      </c>
      <c r="K422" s="218"/>
      <c r="L422" s="218"/>
      <c r="M422" s="218"/>
      <c r="N422" s="218"/>
      <c r="O422" s="214" t="e">
        <f t="shared" si="27"/>
        <v>#DIV/0!</v>
      </c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03">
        <f t="shared" si="25"/>
        <v>0</v>
      </c>
      <c r="AA422" s="203">
        <f t="shared" si="24"/>
        <v>0</v>
      </c>
      <c r="AB422" s="218"/>
      <c r="AC422" s="218"/>
      <c r="AD422" s="218"/>
      <c r="AE422" s="218"/>
    </row>
    <row r="423" spans="1:31" x14ac:dyDescent="0.2">
      <c r="A423" s="200" t="s">
        <v>8673</v>
      </c>
      <c r="B423" s="201">
        <v>45030</v>
      </c>
      <c r="C423" s="202"/>
      <c r="D423" s="218"/>
      <c r="E423" s="218"/>
      <c r="F423" s="218"/>
      <c r="G423" s="218"/>
      <c r="H423" s="218"/>
      <c r="I423" s="218"/>
      <c r="J423" s="203" t="e">
        <f t="shared" si="26"/>
        <v>#DIV/0!</v>
      </c>
      <c r="K423" s="218"/>
      <c r="L423" s="218"/>
      <c r="M423" s="218"/>
      <c r="N423" s="218"/>
      <c r="O423" s="214" t="e">
        <f t="shared" si="27"/>
        <v>#DIV/0!</v>
      </c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03">
        <f t="shared" si="25"/>
        <v>0</v>
      </c>
      <c r="AA423" s="203">
        <f t="shared" si="24"/>
        <v>0</v>
      </c>
      <c r="AB423" s="218"/>
      <c r="AC423" s="218"/>
      <c r="AD423" s="218"/>
      <c r="AE423" s="218"/>
    </row>
    <row r="424" spans="1:31" x14ac:dyDescent="0.2">
      <c r="A424" s="200" t="s">
        <v>8674</v>
      </c>
      <c r="B424" s="201">
        <v>45031</v>
      </c>
      <c r="C424" s="202"/>
      <c r="D424" s="218"/>
      <c r="E424" s="218"/>
      <c r="F424" s="218"/>
      <c r="G424" s="218"/>
      <c r="H424" s="218"/>
      <c r="I424" s="218"/>
      <c r="J424" s="203" t="e">
        <f t="shared" si="26"/>
        <v>#DIV/0!</v>
      </c>
      <c r="K424" s="218"/>
      <c r="L424" s="218"/>
      <c r="M424" s="218"/>
      <c r="N424" s="218"/>
      <c r="O424" s="214" t="e">
        <f t="shared" si="27"/>
        <v>#DIV/0!</v>
      </c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03">
        <f t="shared" si="25"/>
        <v>0</v>
      </c>
      <c r="AA424" s="203">
        <f t="shared" si="24"/>
        <v>0</v>
      </c>
      <c r="AB424" s="218"/>
      <c r="AC424" s="218"/>
      <c r="AD424" s="218"/>
      <c r="AE424" s="218"/>
    </row>
    <row r="425" spans="1:31" x14ac:dyDescent="0.2">
      <c r="A425" s="200" t="s">
        <v>8675</v>
      </c>
      <c r="B425" s="201">
        <v>45032</v>
      </c>
      <c r="C425" s="202"/>
      <c r="D425" s="218"/>
      <c r="E425" s="218"/>
      <c r="F425" s="218"/>
      <c r="G425" s="218"/>
      <c r="H425" s="218"/>
      <c r="I425" s="218"/>
      <c r="J425" s="203" t="e">
        <f t="shared" si="26"/>
        <v>#DIV/0!</v>
      </c>
      <c r="K425" s="218"/>
      <c r="L425" s="218"/>
      <c r="M425" s="218"/>
      <c r="N425" s="218"/>
      <c r="O425" s="214" t="e">
        <f t="shared" si="27"/>
        <v>#DIV/0!</v>
      </c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03">
        <f t="shared" si="25"/>
        <v>0</v>
      </c>
      <c r="AA425" s="203">
        <f t="shared" si="24"/>
        <v>0</v>
      </c>
      <c r="AB425" s="218"/>
      <c r="AC425" s="218"/>
      <c r="AD425" s="218"/>
      <c r="AE425" s="218"/>
    </row>
    <row r="426" spans="1:31" x14ac:dyDescent="0.2">
      <c r="A426" s="200" t="s">
        <v>8676</v>
      </c>
      <c r="B426" s="201">
        <v>45033</v>
      </c>
      <c r="C426" s="202"/>
      <c r="D426" s="218"/>
      <c r="E426" s="218"/>
      <c r="F426" s="218"/>
      <c r="G426" s="218"/>
      <c r="H426" s="218"/>
      <c r="I426" s="218"/>
      <c r="J426" s="203" t="e">
        <f t="shared" si="26"/>
        <v>#DIV/0!</v>
      </c>
      <c r="K426" s="218"/>
      <c r="L426" s="218"/>
      <c r="M426" s="218"/>
      <c r="N426" s="218"/>
      <c r="O426" s="214" t="e">
        <f t="shared" si="27"/>
        <v>#DIV/0!</v>
      </c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03">
        <f t="shared" si="25"/>
        <v>0</v>
      </c>
      <c r="AA426" s="203">
        <f t="shared" si="24"/>
        <v>0</v>
      </c>
      <c r="AB426" s="218"/>
      <c r="AC426" s="218"/>
      <c r="AD426" s="218"/>
      <c r="AE426" s="218"/>
    </row>
    <row r="427" spans="1:31" x14ac:dyDescent="0.2">
      <c r="A427" s="200" t="s">
        <v>8677</v>
      </c>
      <c r="B427" s="201">
        <v>45034</v>
      </c>
      <c r="C427" s="202"/>
      <c r="D427" s="218"/>
      <c r="E427" s="218"/>
      <c r="F427" s="218"/>
      <c r="G427" s="218"/>
      <c r="H427" s="218"/>
      <c r="I427" s="218"/>
      <c r="J427" s="203" t="e">
        <f t="shared" si="26"/>
        <v>#DIV/0!</v>
      </c>
      <c r="K427" s="218"/>
      <c r="L427" s="218"/>
      <c r="M427" s="218"/>
      <c r="N427" s="218"/>
      <c r="O427" s="214" t="e">
        <f t="shared" si="27"/>
        <v>#DIV/0!</v>
      </c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03">
        <f t="shared" si="25"/>
        <v>0</v>
      </c>
      <c r="AA427" s="203">
        <f t="shared" si="24"/>
        <v>0</v>
      </c>
      <c r="AB427" s="218"/>
      <c r="AC427" s="218"/>
      <c r="AD427" s="218"/>
      <c r="AE427" s="218"/>
    </row>
    <row r="428" spans="1:31" x14ac:dyDescent="0.2">
      <c r="A428" s="200" t="s">
        <v>8678</v>
      </c>
      <c r="B428" s="201">
        <v>45035</v>
      </c>
      <c r="C428" s="202"/>
      <c r="D428" s="218"/>
      <c r="E428" s="218"/>
      <c r="F428" s="218"/>
      <c r="G428" s="218"/>
      <c r="H428" s="218"/>
      <c r="I428" s="218"/>
      <c r="J428" s="203" t="e">
        <f t="shared" si="26"/>
        <v>#DIV/0!</v>
      </c>
      <c r="K428" s="218"/>
      <c r="L428" s="218"/>
      <c r="M428" s="218"/>
      <c r="N428" s="218"/>
      <c r="O428" s="214" t="e">
        <f t="shared" si="27"/>
        <v>#DIV/0!</v>
      </c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03">
        <f t="shared" si="25"/>
        <v>0</v>
      </c>
      <c r="AA428" s="203">
        <f t="shared" si="24"/>
        <v>0</v>
      </c>
      <c r="AB428" s="218"/>
      <c r="AC428" s="218"/>
      <c r="AD428" s="218"/>
      <c r="AE428" s="218"/>
    </row>
    <row r="429" spans="1:31" x14ac:dyDescent="0.2">
      <c r="A429" s="200" t="s">
        <v>8679</v>
      </c>
      <c r="B429" s="201">
        <v>45036</v>
      </c>
      <c r="C429" s="202"/>
      <c r="D429" s="218"/>
      <c r="E429" s="218"/>
      <c r="F429" s="218"/>
      <c r="G429" s="218"/>
      <c r="H429" s="218"/>
      <c r="I429" s="218"/>
      <c r="J429" s="203" t="e">
        <f t="shared" si="26"/>
        <v>#DIV/0!</v>
      </c>
      <c r="K429" s="218"/>
      <c r="L429" s="218"/>
      <c r="M429" s="218"/>
      <c r="N429" s="218"/>
      <c r="O429" s="214" t="e">
        <f t="shared" si="27"/>
        <v>#DIV/0!</v>
      </c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03">
        <f t="shared" si="25"/>
        <v>0</v>
      </c>
      <c r="AA429" s="203">
        <f t="shared" si="24"/>
        <v>0</v>
      </c>
      <c r="AB429" s="218"/>
      <c r="AC429" s="218"/>
      <c r="AD429" s="218"/>
      <c r="AE429" s="218"/>
    </row>
    <row r="430" spans="1:31" x14ac:dyDescent="0.2">
      <c r="A430" s="200" t="s">
        <v>8680</v>
      </c>
      <c r="B430" s="201">
        <v>45037</v>
      </c>
      <c r="C430" s="202"/>
      <c r="D430" s="218"/>
      <c r="E430" s="218"/>
      <c r="F430" s="218"/>
      <c r="G430" s="218"/>
      <c r="H430" s="218"/>
      <c r="I430" s="218"/>
      <c r="J430" s="203" t="e">
        <f t="shared" si="26"/>
        <v>#DIV/0!</v>
      </c>
      <c r="K430" s="218"/>
      <c r="L430" s="218"/>
      <c r="M430" s="218"/>
      <c r="N430" s="218"/>
      <c r="O430" s="214" t="e">
        <f t="shared" si="27"/>
        <v>#DIV/0!</v>
      </c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03">
        <f t="shared" si="25"/>
        <v>0</v>
      </c>
      <c r="AA430" s="203">
        <f t="shared" ref="AA430:AA446" si="28">S430-X430-Z430</f>
        <v>0</v>
      </c>
      <c r="AB430" s="218"/>
      <c r="AC430" s="218"/>
      <c r="AD430" s="218"/>
      <c r="AE430" s="218"/>
    </row>
    <row r="431" spans="1:31" x14ac:dyDescent="0.2">
      <c r="A431" s="200" t="s">
        <v>8681</v>
      </c>
      <c r="B431" s="201">
        <v>44694</v>
      </c>
      <c r="C431" s="202">
        <v>2</v>
      </c>
      <c r="D431" s="218" t="s">
        <v>196</v>
      </c>
      <c r="E431" s="218">
        <v>21</v>
      </c>
      <c r="F431" s="218">
        <v>84.8</v>
      </c>
      <c r="G431" s="218">
        <v>1.64</v>
      </c>
      <c r="H431" s="218">
        <v>91</v>
      </c>
      <c r="I431" s="218">
        <v>116</v>
      </c>
      <c r="J431" s="203">
        <f t="shared" si="26"/>
        <v>0.78448275862068961</v>
      </c>
      <c r="K431" s="218">
        <v>38</v>
      </c>
      <c r="L431" s="218"/>
      <c r="M431" s="218">
        <v>35.5</v>
      </c>
      <c r="N431" s="218"/>
      <c r="O431" s="214">
        <f t="shared" si="27"/>
        <v>31.528851873884598</v>
      </c>
      <c r="P431" s="218">
        <v>122</v>
      </c>
      <c r="Q431" s="218">
        <v>88</v>
      </c>
      <c r="R431" s="218">
        <v>89</v>
      </c>
      <c r="S431" s="218">
        <v>19</v>
      </c>
      <c r="T431" s="218">
        <v>15</v>
      </c>
      <c r="U431" s="218">
        <v>25</v>
      </c>
      <c r="V431" s="218">
        <v>122</v>
      </c>
      <c r="W431" s="218">
        <v>1</v>
      </c>
      <c r="X431" s="218">
        <v>64</v>
      </c>
      <c r="Y431" s="218">
        <v>27</v>
      </c>
      <c r="Z431" s="203">
        <f t="shared" si="25"/>
        <v>24.400000000000002</v>
      </c>
      <c r="AA431" s="203">
        <f t="shared" si="28"/>
        <v>-69.400000000000006</v>
      </c>
      <c r="AB431" s="218"/>
      <c r="AC431" s="218"/>
      <c r="AD431" s="218"/>
    </row>
    <row r="432" spans="1:31" x14ac:dyDescent="0.2">
      <c r="A432" s="200" t="s">
        <v>8682</v>
      </c>
      <c r="B432" s="201">
        <v>44686</v>
      </c>
      <c r="C432" s="202">
        <v>2</v>
      </c>
      <c r="D432" s="218" t="s">
        <v>675</v>
      </c>
      <c r="E432" s="218">
        <v>19</v>
      </c>
      <c r="F432" s="218">
        <v>70.900000000000006</v>
      </c>
      <c r="G432" s="218">
        <v>1.71</v>
      </c>
      <c r="H432" s="218">
        <v>79</v>
      </c>
      <c r="I432" s="218">
        <v>95</v>
      </c>
      <c r="J432" s="203">
        <f t="shared" si="26"/>
        <v>0.83157894736842108</v>
      </c>
      <c r="K432" s="218">
        <v>18.3</v>
      </c>
      <c r="L432" s="218"/>
      <c r="M432" s="218">
        <v>19.2</v>
      </c>
      <c r="N432" s="218"/>
      <c r="O432" s="214">
        <f t="shared" si="27"/>
        <v>24.246776786019634</v>
      </c>
      <c r="P432" s="218">
        <v>107</v>
      </c>
      <c r="Q432" s="218">
        <v>66</v>
      </c>
      <c r="R432" s="218">
        <v>98</v>
      </c>
      <c r="S432" s="218">
        <v>151</v>
      </c>
      <c r="T432" s="218">
        <v>13</v>
      </c>
      <c r="U432" s="218">
        <v>35</v>
      </c>
      <c r="V432" s="218">
        <v>71</v>
      </c>
      <c r="W432" s="218">
        <v>0.97</v>
      </c>
      <c r="X432" s="218">
        <v>56</v>
      </c>
      <c r="Y432" s="218">
        <v>36</v>
      </c>
      <c r="Z432" s="203">
        <f t="shared" si="25"/>
        <v>14.200000000000001</v>
      </c>
      <c r="AA432" s="203">
        <f t="shared" si="28"/>
        <v>80.8</v>
      </c>
      <c r="AB432" s="218"/>
      <c r="AC432" s="218"/>
      <c r="AD432" s="218"/>
    </row>
    <row r="433" spans="1:30" x14ac:dyDescent="0.2">
      <c r="A433" s="200" t="s">
        <v>8683</v>
      </c>
      <c r="B433" s="201">
        <v>44686</v>
      </c>
      <c r="C433" s="202">
        <v>2</v>
      </c>
      <c r="D433" s="218" t="s">
        <v>196</v>
      </c>
      <c r="E433" s="218">
        <v>20</v>
      </c>
      <c r="F433" s="218">
        <v>48.5</v>
      </c>
      <c r="G433" s="218">
        <v>1.55</v>
      </c>
      <c r="H433" s="218">
        <v>70</v>
      </c>
      <c r="I433" s="218">
        <v>91</v>
      </c>
      <c r="J433" s="203">
        <f t="shared" si="26"/>
        <v>0.76923076923076927</v>
      </c>
      <c r="K433" s="218">
        <v>20.8</v>
      </c>
      <c r="L433" s="218"/>
      <c r="M433" s="218">
        <v>13.2</v>
      </c>
      <c r="N433" s="218"/>
      <c r="O433" s="214">
        <f t="shared" si="27"/>
        <v>20.187304890738812</v>
      </c>
      <c r="P433" s="218">
        <v>133</v>
      </c>
      <c r="Q433" s="218">
        <v>85</v>
      </c>
      <c r="R433" s="218">
        <v>94</v>
      </c>
      <c r="S433" s="218">
        <v>253</v>
      </c>
      <c r="T433" s="218">
        <v>19</v>
      </c>
      <c r="U433" s="218">
        <v>7.9</v>
      </c>
      <c r="V433" s="218">
        <v>98</v>
      </c>
      <c r="W433" s="218">
        <v>0.75</v>
      </c>
      <c r="X433" s="218">
        <v>88</v>
      </c>
      <c r="Y433" s="218">
        <v>23</v>
      </c>
      <c r="Z433" s="203">
        <f t="shared" si="25"/>
        <v>19.600000000000001</v>
      </c>
      <c r="AA433" s="203">
        <f t="shared" si="28"/>
        <v>145.4</v>
      </c>
      <c r="AB433" s="218"/>
      <c r="AC433" s="218"/>
      <c r="AD433" s="218"/>
    </row>
    <row r="434" spans="1:30" x14ac:dyDescent="0.2">
      <c r="A434" s="200" t="s">
        <v>8684</v>
      </c>
      <c r="B434" s="201">
        <v>44686</v>
      </c>
      <c r="C434" s="202">
        <v>2</v>
      </c>
      <c r="D434" s="218" t="s">
        <v>675</v>
      </c>
      <c r="E434" s="218">
        <v>27</v>
      </c>
      <c r="F434" s="218">
        <v>66.8</v>
      </c>
      <c r="G434" s="218">
        <v>1.71</v>
      </c>
      <c r="H434" s="218">
        <v>70</v>
      </c>
      <c r="I434" s="218">
        <v>90</v>
      </c>
      <c r="J434" s="203">
        <f t="shared" si="26"/>
        <v>0.77777777777777779</v>
      </c>
      <c r="K434" s="218">
        <v>14</v>
      </c>
      <c r="L434" s="218"/>
      <c r="M434" s="218">
        <v>16.100000000000001</v>
      </c>
      <c r="N434" s="218"/>
      <c r="O434" s="214">
        <f t="shared" si="27"/>
        <v>22.844635956362644</v>
      </c>
      <c r="P434" s="218">
        <v>104</v>
      </c>
      <c r="Q434" s="218">
        <v>72</v>
      </c>
      <c r="R434" s="218">
        <v>90</v>
      </c>
      <c r="S434" s="218">
        <v>153</v>
      </c>
      <c r="T434" s="218">
        <v>10</v>
      </c>
      <c r="U434" s="218">
        <v>16</v>
      </c>
      <c r="V434" s="218">
        <v>66</v>
      </c>
      <c r="W434" s="218">
        <v>0.87</v>
      </c>
      <c r="X434" s="218">
        <v>45.8</v>
      </c>
      <c r="Y434" s="218">
        <v>26</v>
      </c>
      <c r="Z434" s="203">
        <f t="shared" si="25"/>
        <v>13.200000000000001</v>
      </c>
      <c r="AA434" s="203">
        <f t="shared" si="28"/>
        <v>94</v>
      </c>
      <c r="AB434" s="218"/>
      <c r="AC434" s="218"/>
      <c r="AD434" s="218"/>
    </row>
    <row r="435" spans="1:30" x14ac:dyDescent="0.2">
      <c r="A435" s="200" t="s">
        <v>8685</v>
      </c>
      <c r="B435" s="201">
        <v>44694</v>
      </c>
      <c r="C435" s="202">
        <v>2</v>
      </c>
      <c r="D435" s="218" t="s">
        <v>196</v>
      </c>
      <c r="E435" s="218">
        <v>20</v>
      </c>
      <c r="F435" s="218">
        <v>68.3</v>
      </c>
      <c r="G435" s="218">
        <v>1.61</v>
      </c>
      <c r="H435" s="218">
        <v>84</v>
      </c>
      <c r="I435" s="218">
        <v>107</v>
      </c>
      <c r="J435" s="203">
        <f t="shared" si="26"/>
        <v>0.78504672897196259</v>
      </c>
      <c r="K435" s="218">
        <v>35</v>
      </c>
      <c r="L435" s="218"/>
      <c r="M435" s="218">
        <v>32.799999999999997</v>
      </c>
      <c r="N435" s="218"/>
      <c r="O435" s="214">
        <f t="shared" si="27"/>
        <v>26.34929207978087</v>
      </c>
      <c r="P435" s="218">
        <v>98</v>
      </c>
      <c r="Q435" s="218">
        <v>72</v>
      </c>
      <c r="R435" s="218">
        <v>78</v>
      </c>
      <c r="S435" s="218">
        <v>193</v>
      </c>
      <c r="T435" s="218">
        <v>17</v>
      </c>
      <c r="U435" s="218">
        <v>19</v>
      </c>
      <c r="V435" s="222">
        <v>158</v>
      </c>
      <c r="W435" s="218">
        <v>0.86</v>
      </c>
      <c r="X435" s="218">
        <v>48.9</v>
      </c>
      <c r="Y435" s="218">
        <v>26</v>
      </c>
      <c r="Z435" s="203">
        <f t="shared" si="25"/>
        <v>31.6</v>
      </c>
      <c r="AA435" s="203">
        <f t="shared" si="28"/>
        <v>112.5</v>
      </c>
      <c r="AB435" s="218"/>
      <c r="AC435" s="218"/>
      <c r="AD435" s="218"/>
    </row>
    <row r="436" spans="1:30" x14ac:dyDescent="0.2">
      <c r="A436" s="200" t="s">
        <v>8686</v>
      </c>
      <c r="B436" s="201">
        <v>44785</v>
      </c>
      <c r="C436" s="202">
        <v>2</v>
      </c>
      <c r="D436" s="218" t="s">
        <v>196</v>
      </c>
      <c r="E436" s="218">
        <v>51</v>
      </c>
      <c r="F436" s="218">
        <v>53</v>
      </c>
      <c r="G436" s="218">
        <v>1.56</v>
      </c>
      <c r="H436" s="218">
        <v>70</v>
      </c>
      <c r="I436" s="218">
        <v>90</v>
      </c>
      <c r="J436" s="203">
        <f t="shared" si="26"/>
        <v>0.77777777777777779</v>
      </c>
      <c r="K436" s="218"/>
      <c r="L436" s="218"/>
      <c r="M436" s="218"/>
      <c r="N436" s="218"/>
      <c r="O436" s="214">
        <f t="shared" si="27"/>
        <v>21.7784352399737</v>
      </c>
      <c r="P436" s="218">
        <v>113</v>
      </c>
      <c r="Q436" s="218">
        <v>70</v>
      </c>
      <c r="R436" s="222">
        <v>112</v>
      </c>
      <c r="S436" s="218">
        <v>100</v>
      </c>
      <c r="T436" s="218">
        <v>11</v>
      </c>
      <c r="U436" s="218">
        <v>25</v>
      </c>
      <c r="V436" s="218">
        <v>134</v>
      </c>
      <c r="W436" s="218">
        <v>0.63</v>
      </c>
      <c r="X436" s="218">
        <v>43</v>
      </c>
      <c r="Y436" s="218">
        <v>22</v>
      </c>
      <c r="Z436" s="203">
        <f t="shared" si="25"/>
        <v>26.8</v>
      </c>
      <c r="AA436" s="203">
        <f t="shared" si="28"/>
        <v>30.2</v>
      </c>
      <c r="AB436" s="218"/>
      <c r="AC436" s="218"/>
      <c r="AD436" s="218"/>
    </row>
    <row r="437" spans="1:30" x14ac:dyDescent="0.2">
      <c r="A437" s="200" t="s">
        <v>8687</v>
      </c>
      <c r="B437" s="201">
        <v>44785</v>
      </c>
      <c r="C437" s="202">
        <v>2</v>
      </c>
      <c r="D437" s="218" t="s">
        <v>196</v>
      </c>
      <c r="E437" s="218">
        <v>32</v>
      </c>
      <c r="F437" s="218">
        <v>77.2</v>
      </c>
      <c r="G437" s="218">
        <v>1.51</v>
      </c>
      <c r="H437" s="218">
        <v>95</v>
      </c>
      <c r="I437" s="218">
        <v>113</v>
      </c>
      <c r="J437" s="203">
        <f t="shared" si="26"/>
        <v>0.84070796460176989</v>
      </c>
      <c r="K437" s="218"/>
      <c r="L437" s="218"/>
      <c r="M437" s="218"/>
      <c r="N437" s="218"/>
      <c r="O437" s="214">
        <f t="shared" si="27"/>
        <v>33.858164115608965</v>
      </c>
      <c r="P437" s="218">
        <v>92</v>
      </c>
      <c r="Q437" s="218">
        <v>70</v>
      </c>
      <c r="R437" s="218">
        <v>83.8</v>
      </c>
      <c r="S437" s="218">
        <v>169</v>
      </c>
      <c r="T437" s="218">
        <v>22.8</v>
      </c>
      <c r="U437" s="218">
        <v>42</v>
      </c>
      <c r="V437" s="218">
        <v>73</v>
      </c>
      <c r="W437" s="218">
        <v>0.91</v>
      </c>
      <c r="X437" s="218">
        <v>89.7</v>
      </c>
      <c r="Y437" s="218">
        <v>14.6</v>
      </c>
      <c r="Z437" s="203">
        <f t="shared" ref="Z437:Z446" si="29">V437*0.2</f>
        <v>14.600000000000001</v>
      </c>
      <c r="AA437" s="203">
        <f t="shared" si="28"/>
        <v>64.699999999999989</v>
      </c>
      <c r="AB437" s="218"/>
      <c r="AC437" s="218"/>
      <c r="AD437" s="218"/>
    </row>
    <row r="438" spans="1:30" x14ac:dyDescent="0.2">
      <c r="A438" s="200" t="s">
        <v>8688</v>
      </c>
      <c r="B438" s="201">
        <v>44785</v>
      </c>
      <c r="C438" s="202">
        <v>2</v>
      </c>
      <c r="D438" s="218" t="s">
        <v>196</v>
      </c>
      <c r="E438" s="218">
        <v>42</v>
      </c>
      <c r="F438" s="218">
        <v>71.7</v>
      </c>
      <c r="G438" s="218">
        <v>1.55</v>
      </c>
      <c r="H438" s="218">
        <v>86</v>
      </c>
      <c r="I438" s="218">
        <v>103</v>
      </c>
      <c r="J438" s="203">
        <f t="shared" si="26"/>
        <v>0.83495145631067957</v>
      </c>
      <c r="K438" s="218">
        <v>32.9</v>
      </c>
      <c r="L438" s="218">
        <v>6</v>
      </c>
      <c r="M438" s="218">
        <v>45.7</v>
      </c>
      <c r="N438" s="218"/>
      <c r="O438" s="214">
        <f t="shared" si="27"/>
        <v>29.843912591050987</v>
      </c>
      <c r="P438" s="218">
        <v>108</v>
      </c>
      <c r="Q438" s="218">
        <v>80</v>
      </c>
      <c r="R438" s="218">
        <v>87</v>
      </c>
      <c r="S438" s="218">
        <v>228</v>
      </c>
      <c r="T438" s="218">
        <v>14.3</v>
      </c>
      <c r="U438" s="218">
        <v>17.399999999999999</v>
      </c>
      <c r="V438" s="222">
        <v>155.1</v>
      </c>
      <c r="W438" s="218">
        <v>1</v>
      </c>
      <c r="X438" s="218">
        <v>52.6</v>
      </c>
      <c r="Y438" s="218">
        <v>24.7</v>
      </c>
      <c r="Z438" s="203">
        <f t="shared" si="29"/>
        <v>31.02</v>
      </c>
      <c r="AA438" s="203">
        <f t="shared" si="28"/>
        <v>144.38</v>
      </c>
      <c r="AB438" s="218"/>
      <c r="AC438" s="218"/>
      <c r="AD438" s="218"/>
    </row>
    <row r="439" spans="1:30" x14ac:dyDescent="0.2">
      <c r="A439" s="200" t="s">
        <v>8689</v>
      </c>
      <c r="B439" s="201">
        <v>44740</v>
      </c>
      <c r="C439" s="202">
        <v>2</v>
      </c>
      <c r="D439" s="218" t="s">
        <v>196</v>
      </c>
      <c r="E439" s="218">
        <v>15</v>
      </c>
      <c r="F439" s="218">
        <v>62.9</v>
      </c>
      <c r="G439" s="218">
        <v>1.61</v>
      </c>
      <c r="H439" s="218">
        <v>78</v>
      </c>
      <c r="I439" s="218">
        <v>99</v>
      </c>
      <c r="J439" s="203">
        <f t="shared" si="26"/>
        <v>0.78787878787878785</v>
      </c>
      <c r="K439" s="218">
        <v>37.200000000000003</v>
      </c>
      <c r="L439" s="218"/>
      <c r="M439" s="218">
        <v>32.6</v>
      </c>
      <c r="N439" s="218"/>
      <c r="O439" s="214">
        <f t="shared" si="27"/>
        <v>24.266039118861151</v>
      </c>
      <c r="P439" s="218">
        <v>93</v>
      </c>
      <c r="Q439" s="218">
        <v>65</v>
      </c>
      <c r="R439" s="218"/>
      <c r="S439" s="218"/>
      <c r="T439" s="218"/>
      <c r="U439" s="218"/>
      <c r="V439" s="218"/>
      <c r="W439" s="218"/>
      <c r="X439" s="218"/>
      <c r="Y439" s="218"/>
      <c r="Z439" s="203">
        <f t="shared" si="29"/>
        <v>0</v>
      </c>
      <c r="AA439" s="203">
        <f t="shared" si="28"/>
        <v>0</v>
      </c>
      <c r="AB439" s="218"/>
      <c r="AC439" s="218"/>
      <c r="AD439" s="218"/>
    </row>
    <row r="440" spans="1:30" x14ac:dyDescent="0.2">
      <c r="A440" s="218"/>
      <c r="B440" s="201">
        <v>44785</v>
      </c>
      <c r="C440" s="202"/>
      <c r="D440" s="218" t="s">
        <v>196</v>
      </c>
      <c r="E440" s="218">
        <v>60</v>
      </c>
      <c r="F440" s="218">
        <v>69.3</v>
      </c>
      <c r="G440" s="218">
        <v>1.51</v>
      </c>
      <c r="H440" s="218">
        <v>95</v>
      </c>
      <c r="I440" s="218">
        <v>102</v>
      </c>
      <c r="J440" s="203">
        <f t="shared" si="26"/>
        <v>0.93137254901960786</v>
      </c>
      <c r="K440" s="218">
        <v>40.799999999999997</v>
      </c>
      <c r="L440" s="218">
        <v>10</v>
      </c>
      <c r="M440" s="218">
        <v>38.9</v>
      </c>
      <c r="N440" s="218"/>
      <c r="O440" s="214">
        <f t="shared" si="27"/>
        <v>30.393403798079031</v>
      </c>
      <c r="P440" s="218">
        <v>120</v>
      </c>
      <c r="Q440" s="218">
        <v>64</v>
      </c>
      <c r="R440" s="218"/>
      <c r="S440" s="218"/>
      <c r="T440" s="218"/>
      <c r="U440" s="218"/>
      <c r="V440" s="218"/>
      <c r="W440" s="218"/>
      <c r="X440" s="218"/>
      <c r="Y440" s="218"/>
      <c r="Z440" s="203">
        <f t="shared" si="29"/>
        <v>0</v>
      </c>
      <c r="AA440" s="203">
        <f t="shared" si="28"/>
        <v>0</v>
      </c>
      <c r="AB440" s="218"/>
      <c r="AC440" s="218"/>
      <c r="AD440" s="218"/>
    </row>
    <row r="441" spans="1:30" x14ac:dyDescent="0.2">
      <c r="A441" s="218"/>
      <c r="B441" s="201">
        <v>44785</v>
      </c>
      <c r="C441" s="202"/>
      <c r="D441" s="218" t="s">
        <v>675</v>
      </c>
      <c r="E441" s="218">
        <v>50</v>
      </c>
      <c r="F441" s="218">
        <v>69.599999999999994</v>
      </c>
      <c r="G441" s="218">
        <v>1.64</v>
      </c>
      <c r="H441" s="218">
        <v>84</v>
      </c>
      <c r="I441" s="218">
        <v>97.5</v>
      </c>
      <c r="J441" s="203">
        <f t="shared" si="26"/>
        <v>0.86153846153846159</v>
      </c>
      <c r="K441" s="218">
        <v>8.8000000000000007</v>
      </c>
      <c r="L441" s="218">
        <v>5</v>
      </c>
      <c r="M441" s="218">
        <v>60.4</v>
      </c>
      <c r="N441" s="218"/>
      <c r="O441" s="214">
        <f t="shared" si="27"/>
        <v>25.877453896490188</v>
      </c>
      <c r="P441" s="218">
        <v>115</v>
      </c>
      <c r="Q441" s="218">
        <v>79</v>
      </c>
      <c r="R441" s="218"/>
      <c r="S441" s="218"/>
      <c r="T441" s="218"/>
      <c r="U441" s="218"/>
      <c r="V441" s="218"/>
      <c r="W441" s="218"/>
      <c r="X441" s="218"/>
      <c r="Y441" s="218"/>
      <c r="Z441" s="203">
        <f t="shared" si="29"/>
        <v>0</v>
      </c>
      <c r="AA441" s="203">
        <f t="shared" si="28"/>
        <v>0</v>
      </c>
      <c r="AB441" s="218"/>
      <c r="AC441" s="218"/>
      <c r="AD441" s="218"/>
    </row>
    <row r="442" spans="1:30" x14ac:dyDescent="0.2">
      <c r="A442" s="218"/>
      <c r="B442" s="201">
        <v>44799</v>
      </c>
      <c r="C442" s="202"/>
      <c r="D442" s="218" t="s">
        <v>196</v>
      </c>
      <c r="E442" s="218">
        <v>50</v>
      </c>
      <c r="F442" s="218">
        <v>66.2</v>
      </c>
      <c r="G442" s="218">
        <v>1.69</v>
      </c>
      <c r="H442" s="218">
        <v>75</v>
      </c>
      <c r="I442" s="218">
        <v>95</v>
      </c>
      <c r="J442" s="203">
        <f t="shared" si="26"/>
        <v>0.78947368421052633</v>
      </c>
      <c r="K442" s="218">
        <v>26.2</v>
      </c>
      <c r="L442" s="218">
        <v>5</v>
      </c>
      <c r="M442" s="218">
        <v>43.4</v>
      </c>
      <c r="N442" s="218">
        <v>39</v>
      </c>
      <c r="O442" s="214">
        <f t="shared" si="27"/>
        <v>23.178460137950356</v>
      </c>
      <c r="P442" s="218">
        <v>98</v>
      </c>
      <c r="Q442" s="218">
        <v>70</v>
      </c>
      <c r="R442" s="218"/>
      <c r="S442" s="218"/>
      <c r="T442" s="218"/>
      <c r="U442" s="218"/>
      <c r="V442" s="218"/>
      <c r="W442" s="218"/>
      <c r="X442" s="218"/>
      <c r="Y442" s="218"/>
      <c r="Z442" s="203">
        <f t="shared" si="29"/>
        <v>0</v>
      </c>
      <c r="AA442" s="203">
        <f t="shared" si="28"/>
        <v>0</v>
      </c>
      <c r="AB442" s="218"/>
      <c r="AC442" s="218"/>
      <c r="AD442" s="218"/>
    </row>
    <row r="443" spans="1:30" x14ac:dyDescent="0.2">
      <c r="A443" s="218"/>
      <c r="B443" s="201">
        <v>44799</v>
      </c>
      <c r="C443" s="202"/>
      <c r="D443" s="218" t="s">
        <v>196</v>
      </c>
      <c r="E443" s="218">
        <v>25</v>
      </c>
      <c r="F443" s="218">
        <v>60</v>
      </c>
      <c r="G443" s="218">
        <v>1.62</v>
      </c>
      <c r="H443" s="218">
        <v>71</v>
      </c>
      <c r="I443" s="218">
        <v>100</v>
      </c>
      <c r="J443" s="203">
        <f t="shared" si="26"/>
        <v>0.71</v>
      </c>
      <c r="K443" s="218">
        <v>32</v>
      </c>
      <c r="L443" s="218">
        <v>3</v>
      </c>
      <c r="M443" s="218">
        <v>38</v>
      </c>
      <c r="N443" s="218">
        <v>33</v>
      </c>
      <c r="O443" s="214">
        <f t="shared" si="27"/>
        <v>22.862368541380881</v>
      </c>
      <c r="P443" s="218">
        <v>110</v>
      </c>
      <c r="Q443" s="218">
        <v>79</v>
      </c>
      <c r="R443" s="218"/>
      <c r="S443" s="218"/>
      <c r="T443" s="218"/>
      <c r="U443" s="218"/>
      <c r="V443" s="218"/>
      <c r="W443" s="218"/>
      <c r="X443" s="218"/>
      <c r="Y443" s="218"/>
      <c r="Z443" s="203">
        <f t="shared" si="29"/>
        <v>0</v>
      </c>
      <c r="AA443" s="203">
        <f t="shared" si="28"/>
        <v>0</v>
      </c>
      <c r="AB443" s="218"/>
      <c r="AC443" s="218"/>
      <c r="AD443" s="218"/>
    </row>
    <row r="444" spans="1:30" x14ac:dyDescent="0.2">
      <c r="A444" s="218"/>
      <c r="B444" s="201">
        <v>44799</v>
      </c>
      <c r="C444" s="202"/>
      <c r="D444" s="218" t="s">
        <v>196</v>
      </c>
      <c r="E444" s="218">
        <v>58</v>
      </c>
      <c r="F444" s="218">
        <v>65.3</v>
      </c>
      <c r="G444" s="218">
        <v>1.65</v>
      </c>
      <c r="H444" s="218">
        <v>81</v>
      </c>
      <c r="I444" s="218">
        <v>96</v>
      </c>
      <c r="J444" s="203">
        <f t="shared" si="26"/>
        <v>0.84375</v>
      </c>
      <c r="K444" s="218">
        <v>34</v>
      </c>
      <c r="L444" s="218">
        <v>8</v>
      </c>
      <c r="M444" s="218">
        <v>39</v>
      </c>
      <c r="N444" s="218"/>
      <c r="O444" s="214">
        <f t="shared" si="27"/>
        <v>23.985307621671261</v>
      </c>
      <c r="P444" s="218">
        <v>132</v>
      </c>
      <c r="Q444" s="218">
        <v>88</v>
      </c>
      <c r="R444" s="218"/>
      <c r="S444" s="218"/>
      <c r="T444" s="218"/>
      <c r="U444" s="218"/>
      <c r="V444" s="218"/>
      <c r="W444" s="218"/>
      <c r="X444" s="218"/>
      <c r="Y444" s="218"/>
      <c r="Z444" s="203">
        <f t="shared" si="29"/>
        <v>0</v>
      </c>
      <c r="AA444" s="203">
        <f t="shared" si="28"/>
        <v>0</v>
      </c>
      <c r="AB444" s="218"/>
      <c r="AC444" s="218"/>
      <c r="AD444" s="218"/>
    </row>
    <row r="445" spans="1:30" x14ac:dyDescent="0.2">
      <c r="B445" s="201">
        <v>44799</v>
      </c>
      <c r="C445" s="223"/>
      <c r="D445" s="206" t="s">
        <v>196</v>
      </c>
      <c r="E445" s="206">
        <v>35</v>
      </c>
      <c r="F445" s="206">
        <v>65</v>
      </c>
      <c r="G445" s="206">
        <v>1.59</v>
      </c>
      <c r="H445" s="206">
        <v>78.5</v>
      </c>
      <c r="I445" s="206">
        <v>103</v>
      </c>
      <c r="J445" s="206">
        <f t="shared" si="26"/>
        <v>0.76213592233009708</v>
      </c>
      <c r="K445" s="206">
        <v>37</v>
      </c>
      <c r="L445" s="206">
        <v>5</v>
      </c>
      <c r="M445" s="206">
        <v>38</v>
      </c>
      <c r="N445" s="206">
        <v>51</v>
      </c>
      <c r="O445" s="214">
        <f t="shared" si="27"/>
        <v>25.711008267078039</v>
      </c>
      <c r="P445" s="206">
        <v>89</v>
      </c>
      <c r="Q445" s="206">
        <v>60</v>
      </c>
      <c r="Z445" s="203">
        <f t="shared" si="29"/>
        <v>0</v>
      </c>
      <c r="AA445" s="203">
        <f t="shared" si="28"/>
        <v>0</v>
      </c>
    </row>
    <row r="446" spans="1:30" x14ac:dyDescent="0.2">
      <c r="B446" s="201">
        <v>44799</v>
      </c>
      <c r="C446" s="223"/>
      <c r="D446" s="206" t="s">
        <v>675</v>
      </c>
      <c r="E446" s="206">
        <v>17</v>
      </c>
      <c r="F446" s="206">
        <v>60</v>
      </c>
      <c r="G446" s="206">
        <v>1.73</v>
      </c>
      <c r="H446" s="206">
        <v>71</v>
      </c>
      <c r="I446" s="206">
        <v>91</v>
      </c>
      <c r="J446" s="206">
        <f t="shared" si="26"/>
        <v>0.78021978021978022</v>
      </c>
      <c r="O446" s="214">
        <f t="shared" si="27"/>
        <v>20.047445621303751</v>
      </c>
      <c r="P446" s="206">
        <v>118</v>
      </c>
      <c r="Q446" s="206">
        <v>72</v>
      </c>
      <c r="Z446" s="203">
        <f t="shared" si="29"/>
        <v>0</v>
      </c>
      <c r="AA446" s="203">
        <f t="shared" si="2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D46D-F2F0-2A42-B1A3-D7ED0C18B004}">
  <dimension ref="A1:AU167"/>
  <sheetViews>
    <sheetView workbookViewId="0">
      <selection activeCell="C1" sqref="C1:C1048576"/>
    </sheetView>
  </sheetViews>
  <sheetFormatPr baseColWidth="10" defaultColWidth="12.6640625" defaultRowHeight="15" x14ac:dyDescent="0.2"/>
  <cols>
    <col min="2" max="33" width="18.83203125" customWidth="1"/>
    <col min="34" max="34" width="29.1640625" customWidth="1"/>
    <col min="35" max="47" width="18.83203125" customWidth="1"/>
  </cols>
  <sheetData>
    <row r="1" spans="1:47" ht="15.75" customHeight="1" x14ac:dyDescent="0.2">
      <c r="B1" s="238" t="s">
        <v>9083</v>
      </c>
      <c r="C1" s="238" t="s">
        <v>12</v>
      </c>
      <c r="D1" s="238" t="s">
        <v>15</v>
      </c>
      <c r="E1" s="238" t="s">
        <v>9084</v>
      </c>
      <c r="F1" s="238" t="s">
        <v>9085</v>
      </c>
      <c r="G1" s="238" t="s">
        <v>9086</v>
      </c>
      <c r="H1" s="238" t="s">
        <v>9087</v>
      </c>
      <c r="I1" s="238" t="s">
        <v>9088</v>
      </c>
      <c r="J1" s="238" t="s">
        <v>9089</v>
      </c>
      <c r="K1" s="238" t="s">
        <v>9090</v>
      </c>
      <c r="L1" s="238" t="s">
        <v>9091</v>
      </c>
      <c r="M1" s="238" t="s">
        <v>9092</v>
      </c>
      <c r="N1" s="238" t="s">
        <v>9093</v>
      </c>
      <c r="O1" s="238" t="s">
        <v>9094</v>
      </c>
      <c r="P1" s="238" t="s">
        <v>9095</v>
      </c>
      <c r="Q1" s="238" t="s">
        <v>9096</v>
      </c>
      <c r="R1" s="238" t="s">
        <v>9097</v>
      </c>
      <c r="S1" s="238" t="s">
        <v>9098</v>
      </c>
      <c r="T1" s="238" t="s">
        <v>9099</v>
      </c>
      <c r="U1" s="238" t="s">
        <v>9100</v>
      </c>
      <c r="V1" s="238" t="s">
        <v>9101</v>
      </c>
      <c r="W1" s="238" t="s">
        <v>9102</v>
      </c>
      <c r="X1" s="238" t="s">
        <v>9103</v>
      </c>
      <c r="Y1" s="238" t="s">
        <v>9102</v>
      </c>
      <c r="Z1" s="238" t="s">
        <v>9104</v>
      </c>
      <c r="AA1" s="238" t="s">
        <v>9105</v>
      </c>
      <c r="AB1" s="238" t="s">
        <v>9106</v>
      </c>
      <c r="AC1" s="238" t="s">
        <v>9107</v>
      </c>
      <c r="AD1" s="238" t="s">
        <v>9106</v>
      </c>
      <c r="AE1" s="238" t="s">
        <v>9108</v>
      </c>
      <c r="AF1" s="238" t="s">
        <v>9109</v>
      </c>
      <c r="AG1" s="238" t="s">
        <v>9110</v>
      </c>
      <c r="AH1" s="238" t="s">
        <v>9111</v>
      </c>
      <c r="AI1" s="238" t="s">
        <v>9112</v>
      </c>
      <c r="AJ1" s="238" t="s">
        <v>9113</v>
      </c>
      <c r="AK1" s="238" t="s">
        <v>9114</v>
      </c>
      <c r="AL1" s="238" t="s">
        <v>9115</v>
      </c>
      <c r="AM1" s="238" t="s">
        <v>9116</v>
      </c>
      <c r="AN1" s="238" t="s">
        <v>9117</v>
      </c>
      <c r="AO1" s="238" t="s">
        <v>9118</v>
      </c>
    </row>
    <row r="2" spans="1:47" ht="15.75" customHeight="1" x14ac:dyDescent="0.2">
      <c r="A2" t="s">
        <v>8372</v>
      </c>
      <c r="B2" s="239">
        <v>44611.841353865741</v>
      </c>
      <c r="C2" s="238">
        <v>55</v>
      </c>
      <c r="D2" s="238" t="s">
        <v>1908</v>
      </c>
      <c r="E2" s="238">
        <v>3314445204</v>
      </c>
      <c r="F2" s="238" t="s">
        <v>95</v>
      </c>
      <c r="G2" s="238" t="s">
        <v>96</v>
      </c>
      <c r="H2" s="238" t="s">
        <v>100</v>
      </c>
      <c r="I2" s="238" t="s">
        <v>100</v>
      </c>
      <c r="J2" s="238" t="s">
        <v>100</v>
      </c>
      <c r="K2" s="238" t="s">
        <v>100</v>
      </c>
      <c r="N2" s="238" t="s">
        <v>26</v>
      </c>
      <c r="O2" s="238" t="s">
        <v>26</v>
      </c>
      <c r="P2" s="238" t="s">
        <v>9119</v>
      </c>
      <c r="Q2" s="238" t="s">
        <v>9120</v>
      </c>
      <c r="R2" s="238">
        <v>6</v>
      </c>
      <c r="S2" s="238" t="s">
        <v>263</v>
      </c>
      <c r="T2" s="238" t="s">
        <v>9121</v>
      </c>
      <c r="U2" s="238" t="s">
        <v>22</v>
      </c>
      <c r="V2" s="238" t="s">
        <v>9122</v>
      </c>
      <c r="W2" s="238" t="s">
        <v>9123</v>
      </c>
      <c r="X2" s="238" t="s">
        <v>9124</v>
      </c>
      <c r="Y2" s="238" t="s">
        <v>9123</v>
      </c>
      <c r="Z2" s="238" t="s">
        <v>9125</v>
      </c>
      <c r="AA2" s="238" t="s">
        <v>9126</v>
      </c>
      <c r="AB2" s="238" t="s">
        <v>9123</v>
      </c>
      <c r="AC2" s="238" t="s">
        <v>9127</v>
      </c>
      <c r="AD2" s="238" t="s">
        <v>9123</v>
      </c>
      <c r="AE2" s="238" t="s">
        <v>9128</v>
      </c>
      <c r="AF2" s="238">
        <v>3</v>
      </c>
      <c r="AH2" s="238">
        <v>1</v>
      </c>
      <c r="AI2" s="238">
        <v>0</v>
      </c>
      <c r="AJ2" s="238" t="s">
        <v>9129</v>
      </c>
      <c r="AK2" s="238" t="s">
        <v>263</v>
      </c>
      <c r="AL2" s="238" t="s">
        <v>9130</v>
      </c>
    </row>
    <row r="3" spans="1:47" ht="15.75" customHeight="1" x14ac:dyDescent="0.2">
      <c r="A3" s="200" t="s">
        <v>8249</v>
      </c>
      <c r="B3" s="239">
        <v>44612.400043113426</v>
      </c>
      <c r="C3" s="238">
        <v>31</v>
      </c>
      <c r="D3" s="238" t="s">
        <v>4268</v>
      </c>
      <c r="E3" s="238">
        <v>3311391282</v>
      </c>
      <c r="F3" s="238" t="s">
        <v>95</v>
      </c>
      <c r="G3" s="238" t="s">
        <v>96</v>
      </c>
      <c r="H3" s="238" t="s">
        <v>96</v>
      </c>
      <c r="I3" s="238" t="s">
        <v>96</v>
      </c>
      <c r="J3" s="238" t="s">
        <v>96</v>
      </c>
      <c r="K3" s="238" t="s">
        <v>96</v>
      </c>
      <c r="N3" s="238" t="s">
        <v>9123</v>
      </c>
      <c r="O3" s="238" t="s">
        <v>9131</v>
      </c>
      <c r="P3" s="238" t="s">
        <v>9132</v>
      </c>
      <c r="Q3" s="238" t="s">
        <v>9131</v>
      </c>
      <c r="R3" s="238" t="s">
        <v>9131</v>
      </c>
      <c r="S3" s="238" t="s">
        <v>285</v>
      </c>
      <c r="T3" s="238" t="s">
        <v>9133</v>
      </c>
      <c r="U3" s="238" t="s">
        <v>9134</v>
      </c>
      <c r="V3" s="238" t="s">
        <v>9135</v>
      </c>
      <c r="W3" s="238" t="s">
        <v>9136</v>
      </c>
      <c r="X3" s="238" t="s">
        <v>9137</v>
      </c>
      <c r="Y3" s="238" t="s">
        <v>9138</v>
      </c>
      <c r="Z3" s="238" t="s">
        <v>9139</v>
      </c>
      <c r="AA3" s="238" t="s">
        <v>9140</v>
      </c>
      <c r="AC3" s="238" t="s">
        <v>9141</v>
      </c>
      <c r="AE3" s="238" t="s">
        <v>4266</v>
      </c>
      <c r="AF3" s="238">
        <v>4</v>
      </c>
      <c r="AH3" s="238">
        <v>4</v>
      </c>
      <c r="AI3" s="238">
        <v>1</v>
      </c>
      <c r="AJ3" s="238" t="s">
        <v>9142</v>
      </c>
      <c r="AK3" s="238" t="s">
        <v>263</v>
      </c>
      <c r="AL3" s="238">
        <v>1</v>
      </c>
    </row>
    <row r="4" spans="1:47" ht="15.75" customHeight="1" x14ac:dyDescent="0.2">
      <c r="A4" t="s">
        <v>8250</v>
      </c>
      <c r="B4" s="239">
        <v>44614.627062280095</v>
      </c>
      <c r="C4" s="238">
        <v>27</v>
      </c>
      <c r="D4" s="238" t="s">
        <v>9143</v>
      </c>
      <c r="E4" s="238">
        <v>3316990474</v>
      </c>
      <c r="F4" s="238" t="s">
        <v>95</v>
      </c>
      <c r="G4" s="238" t="s">
        <v>96</v>
      </c>
      <c r="H4" s="238" t="s">
        <v>96</v>
      </c>
      <c r="I4" s="238" t="s">
        <v>96</v>
      </c>
      <c r="J4" s="238" t="s">
        <v>96</v>
      </c>
      <c r="K4" s="238" t="s">
        <v>96</v>
      </c>
      <c r="N4" s="238" t="s">
        <v>9123</v>
      </c>
      <c r="O4" s="238" t="s">
        <v>9131</v>
      </c>
      <c r="P4" s="238" t="s">
        <v>263</v>
      </c>
      <c r="Q4" s="238" t="s">
        <v>9144</v>
      </c>
      <c r="R4" s="238">
        <v>1</v>
      </c>
      <c r="S4" s="238" t="s">
        <v>285</v>
      </c>
      <c r="T4" s="238" t="s">
        <v>9145</v>
      </c>
      <c r="U4" s="238" t="s">
        <v>9146</v>
      </c>
      <c r="V4" s="238" t="s">
        <v>9147</v>
      </c>
      <c r="W4" s="238" t="s">
        <v>9148</v>
      </c>
      <c r="X4" s="238" t="s">
        <v>9149</v>
      </c>
      <c r="Y4" s="238" t="s">
        <v>9150</v>
      </c>
      <c r="Z4" s="238" t="s">
        <v>9151</v>
      </c>
      <c r="AF4" s="238">
        <v>4</v>
      </c>
      <c r="AH4" s="238">
        <v>4</v>
      </c>
      <c r="AI4" s="238">
        <v>3</v>
      </c>
      <c r="AJ4" s="238" t="s">
        <v>9152</v>
      </c>
      <c r="AK4" s="238" t="s">
        <v>263</v>
      </c>
      <c r="AL4" s="238" t="s">
        <v>9130</v>
      </c>
    </row>
    <row r="5" spans="1:47" ht="15.75" customHeight="1" x14ac:dyDescent="0.2">
      <c r="A5" t="s">
        <v>8248</v>
      </c>
      <c r="B5" s="239">
        <v>44616.526043437501</v>
      </c>
      <c r="C5" s="238">
        <v>31</v>
      </c>
      <c r="D5" s="238" t="s">
        <v>9153</v>
      </c>
      <c r="E5" s="238">
        <v>3312280638</v>
      </c>
      <c r="F5" s="238" t="s">
        <v>95</v>
      </c>
      <c r="G5" s="238" t="s">
        <v>9154</v>
      </c>
      <c r="H5" s="238" t="s">
        <v>9154</v>
      </c>
      <c r="I5" s="238" t="s">
        <v>9154</v>
      </c>
      <c r="J5" s="238" t="s">
        <v>9154</v>
      </c>
      <c r="K5" s="238" t="s">
        <v>9154</v>
      </c>
      <c r="N5" s="238" t="s">
        <v>9155</v>
      </c>
      <c r="O5" s="238" t="s">
        <v>9131</v>
      </c>
      <c r="P5" s="238" t="s">
        <v>263</v>
      </c>
      <c r="Q5" s="238" t="s">
        <v>9144</v>
      </c>
      <c r="R5" s="238">
        <v>0</v>
      </c>
      <c r="S5" s="238" t="s">
        <v>285</v>
      </c>
      <c r="T5" s="238" t="s">
        <v>9156</v>
      </c>
      <c r="U5" s="238" t="s">
        <v>9157</v>
      </c>
      <c r="V5" s="238" t="s">
        <v>9158</v>
      </c>
      <c r="W5" s="238" t="s">
        <v>9159</v>
      </c>
      <c r="X5" s="238" t="s">
        <v>9160</v>
      </c>
      <c r="Y5" s="238" t="s">
        <v>9161</v>
      </c>
      <c r="Z5" s="238" t="s">
        <v>9162</v>
      </c>
      <c r="AA5" s="238" t="s">
        <v>9163</v>
      </c>
      <c r="AB5" s="238" t="s">
        <v>9159</v>
      </c>
      <c r="AC5" s="238" t="s">
        <v>9164</v>
      </c>
      <c r="AD5" s="238" t="s">
        <v>9165</v>
      </c>
      <c r="AE5" s="238" t="s">
        <v>9166</v>
      </c>
      <c r="AF5" s="238">
        <v>4</v>
      </c>
      <c r="AH5" s="238">
        <v>5</v>
      </c>
      <c r="AI5" s="238">
        <v>1</v>
      </c>
      <c r="AJ5" s="238">
        <v>300</v>
      </c>
      <c r="AK5" s="238" t="s">
        <v>263</v>
      </c>
      <c r="AL5" s="238" t="s">
        <v>9130</v>
      </c>
      <c r="AM5" s="238" t="s">
        <v>263</v>
      </c>
      <c r="AN5" s="238" t="s">
        <v>263</v>
      </c>
      <c r="AO5" s="238" t="s">
        <v>1266</v>
      </c>
    </row>
    <row r="6" spans="1:47" ht="15.75" customHeight="1" x14ac:dyDescent="0.2">
      <c r="B6" s="239">
        <v>44618.457988692127</v>
      </c>
      <c r="C6" s="238">
        <v>34</v>
      </c>
      <c r="D6" s="238" t="s">
        <v>97</v>
      </c>
      <c r="E6" s="238">
        <v>332166852</v>
      </c>
      <c r="F6" s="238" t="s">
        <v>95</v>
      </c>
      <c r="G6" s="238" t="s">
        <v>9154</v>
      </c>
      <c r="H6" s="238" t="s">
        <v>96</v>
      </c>
      <c r="I6" s="238" t="s">
        <v>9167</v>
      </c>
      <c r="J6" s="238" t="s">
        <v>5024</v>
      </c>
      <c r="K6" s="238" t="s">
        <v>96</v>
      </c>
      <c r="M6" s="238" t="s">
        <v>368</v>
      </c>
      <c r="N6" s="238" t="s">
        <v>9123</v>
      </c>
      <c r="O6" s="238" t="s">
        <v>9131</v>
      </c>
      <c r="P6" s="238" t="s">
        <v>99</v>
      </c>
      <c r="Q6" s="238" t="s">
        <v>4691</v>
      </c>
      <c r="R6" s="238">
        <v>2</v>
      </c>
      <c r="S6" s="238" t="s">
        <v>285</v>
      </c>
      <c r="T6" s="238" t="s">
        <v>9133</v>
      </c>
      <c r="U6" s="238" t="s">
        <v>21</v>
      </c>
      <c r="V6" s="238" t="s">
        <v>3722</v>
      </c>
      <c r="W6" s="238" t="s">
        <v>9168</v>
      </c>
      <c r="X6" s="238" t="s">
        <v>9169</v>
      </c>
      <c r="Y6" s="238" t="s">
        <v>9170</v>
      </c>
      <c r="Z6" s="238" t="s">
        <v>9171</v>
      </c>
      <c r="AA6" s="238" t="s">
        <v>9172</v>
      </c>
      <c r="AB6" s="238" t="s">
        <v>9168</v>
      </c>
      <c r="AC6" s="238" t="s">
        <v>9173</v>
      </c>
      <c r="AD6" s="238" t="s">
        <v>9174</v>
      </c>
      <c r="AE6" s="238" t="s">
        <v>3722</v>
      </c>
      <c r="AF6" s="238">
        <v>4</v>
      </c>
      <c r="AH6" s="238" t="s">
        <v>9175</v>
      </c>
      <c r="AI6" s="238">
        <v>1</v>
      </c>
      <c r="AJ6" s="238">
        <v>100</v>
      </c>
      <c r="AK6" s="238" t="s">
        <v>285</v>
      </c>
      <c r="AL6" s="238">
        <v>4</v>
      </c>
      <c r="AM6" s="238" t="s">
        <v>483</v>
      </c>
      <c r="AN6" s="238" t="s">
        <v>483</v>
      </c>
      <c r="AO6" s="238" t="s">
        <v>9176</v>
      </c>
    </row>
    <row r="7" spans="1:47" ht="15.75" customHeight="1" x14ac:dyDescent="0.2">
      <c r="B7" s="239">
        <v>44618.45856219907</v>
      </c>
      <c r="C7" s="238">
        <v>21</v>
      </c>
      <c r="D7" s="238" t="s">
        <v>9177</v>
      </c>
      <c r="E7" s="238">
        <v>3741030845</v>
      </c>
      <c r="F7" s="238" t="s">
        <v>95</v>
      </c>
      <c r="G7" s="238" t="s">
        <v>9154</v>
      </c>
      <c r="H7" s="238" t="s">
        <v>9178</v>
      </c>
      <c r="I7" s="238" t="s">
        <v>9179</v>
      </c>
      <c r="J7" s="238" t="s">
        <v>9178</v>
      </c>
      <c r="K7" s="238" t="s">
        <v>9178</v>
      </c>
      <c r="M7" s="238" t="s">
        <v>368</v>
      </c>
      <c r="N7" s="238" t="s">
        <v>9123</v>
      </c>
      <c r="O7" s="238" t="s">
        <v>9131</v>
      </c>
      <c r="P7" s="238" t="s">
        <v>9180</v>
      </c>
      <c r="Q7" s="238" t="s">
        <v>9131</v>
      </c>
      <c r="R7" s="238">
        <v>1</v>
      </c>
      <c r="S7" s="238" t="s">
        <v>285</v>
      </c>
      <c r="T7" s="238" t="s">
        <v>21</v>
      </c>
      <c r="U7" s="238" t="s">
        <v>9181</v>
      </c>
      <c r="V7" s="238" t="s">
        <v>9182</v>
      </c>
      <c r="W7" s="238" t="s">
        <v>9183</v>
      </c>
      <c r="X7" s="238" t="s">
        <v>9184</v>
      </c>
      <c r="Y7" s="238" t="s">
        <v>9185</v>
      </c>
      <c r="Z7" s="238" t="s">
        <v>9186</v>
      </c>
      <c r="AA7" s="238" t="s">
        <v>9187</v>
      </c>
      <c r="AB7" s="238" t="s">
        <v>1869</v>
      </c>
      <c r="AC7" s="238" t="s">
        <v>9188</v>
      </c>
      <c r="AD7" s="238" t="s">
        <v>9189</v>
      </c>
      <c r="AE7" s="238" t="s">
        <v>9190</v>
      </c>
      <c r="AF7" s="238">
        <v>4</v>
      </c>
      <c r="AH7" s="238">
        <v>0</v>
      </c>
      <c r="AI7" s="238" t="s">
        <v>9191</v>
      </c>
      <c r="AJ7" s="238" t="s">
        <v>9192</v>
      </c>
      <c r="AK7" s="238" t="s">
        <v>263</v>
      </c>
      <c r="AL7" s="238" t="s">
        <v>9130</v>
      </c>
      <c r="AM7" s="238" t="s">
        <v>263</v>
      </c>
      <c r="AN7" s="238" t="s">
        <v>1534</v>
      </c>
      <c r="AO7" s="238" t="s">
        <v>1534</v>
      </c>
    </row>
    <row r="8" spans="1:47" ht="15.75" customHeight="1" x14ac:dyDescent="0.2">
      <c r="B8" s="239">
        <v>44618.458961712968</v>
      </c>
      <c r="C8" s="238">
        <v>22</v>
      </c>
      <c r="D8" s="238" t="s">
        <v>9193</v>
      </c>
      <c r="E8" s="238">
        <v>3741487773</v>
      </c>
      <c r="F8" s="238" t="s">
        <v>95</v>
      </c>
      <c r="G8" s="238" t="s">
        <v>96</v>
      </c>
      <c r="H8" s="238" t="s">
        <v>96</v>
      </c>
      <c r="I8" s="238" t="s">
        <v>96</v>
      </c>
      <c r="J8" s="238" t="s">
        <v>96</v>
      </c>
      <c r="K8" s="238" t="s">
        <v>96</v>
      </c>
      <c r="M8" s="238" t="s">
        <v>263</v>
      </c>
      <c r="N8" s="238" t="s">
        <v>9123</v>
      </c>
      <c r="O8" s="238" t="s">
        <v>9131</v>
      </c>
      <c r="P8" s="238" t="s">
        <v>9123</v>
      </c>
      <c r="Q8" s="238" t="s">
        <v>9131</v>
      </c>
      <c r="R8" s="238">
        <v>0</v>
      </c>
      <c r="S8" s="238" t="s">
        <v>285</v>
      </c>
      <c r="T8" s="238" t="s">
        <v>9194</v>
      </c>
      <c r="U8" s="238" t="s">
        <v>9195</v>
      </c>
      <c r="V8" s="238" t="s">
        <v>9196</v>
      </c>
      <c r="W8" s="238" t="s">
        <v>9197</v>
      </c>
      <c r="X8" s="238" t="s">
        <v>9198</v>
      </c>
      <c r="Y8" s="238" t="s">
        <v>9199</v>
      </c>
      <c r="Z8" s="238" t="s">
        <v>9200</v>
      </c>
      <c r="AA8" s="238" t="s">
        <v>9201</v>
      </c>
      <c r="AB8" s="238" t="s">
        <v>9202</v>
      </c>
      <c r="AC8" s="238" t="s">
        <v>9203</v>
      </c>
      <c r="AD8" s="238" t="s">
        <v>9204</v>
      </c>
      <c r="AE8" s="238" t="s">
        <v>9205</v>
      </c>
      <c r="AF8" s="238">
        <v>5</v>
      </c>
      <c r="AH8" s="238">
        <v>0</v>
      </c>
      <c r="AI8" s="238">
        <v>1</v>
      </c>
      <c r="AJ8" s="238" t="s">
        <v>9206</v>
      </c>
      <c r="AK8" s="238" t="s">
        <v>285</v>
      </c>
      <c r="AL8" s="238">
        <v>5</v>
      </c>
      <c r="AM8" s="238" t="s">
        <v>263</v>
      </c>
      <c r="AN8" s="238" t="s">
        <v>9207</v>
      </c>
      <c r="AO8" s="238" t="s">
        <v>9208</v>
      </c>
    </row>
    <row r="9" spans="1:47" ht="15.75" customHeight="1" x14ac:dyDescent="0.2">
      <c r="B9" s="239">
        <v>44618.459232141206</v>
      </c>
      <c r="C9" s="238">
        <v>22</v>
      </c>
      <c r="D9" s="238" t="s">
        <v>9209</v>
      </c>
      <c r="E9" s="238">
        <v>3741090558</v>
      </c>
      <c r="F9" s="238" t="s">
        <v>95</v>
      </c>
      <c r="G9" s="238" t="s">
        <v>9154</v>
      </c>
      <c r="H9" s="238" t="s">
        <v>9154</v>
      </c>
      <c r="I9" s="238" t="s">
        <v>9210</v>
      </c>
      <c r="J9" s="238" t="s">
        <v>9211</v>
      </c>
      <c r="K9" s="238" t="s">
        <v>9211</v>
      </c>
      <c r="M9" s="238" t="s">
        <v>263</v>
      </c>
      <c r="N9" s="238" t="s">
        <v>9123</v>
      </c>
      <c r="O9" s="238" t="s">
        <v>9131</v>
      </c>
      <c r="P9" s="238" t="s">
        <v>9212</v>
      </c>
      <c r="Q9" s="238" t="s">
        <v>9131</v>
      </c>
      <c r="R9" s="238">
        <v>1</v>
      </c>
      <c r="S9" s="238" t="s">
        <v>285</v>
      </c>
      <c r="T9" s="238" t="s">
        <v>21</v>
      </c>
      <c r="U9" s="238" t="s">
        <v>9123</v>
      </c>
      <c r="V9" s="238" t="s">
        <v>9213</v>
      </c>
      <c r="W9" s="238" t="s">
        <v>9214</v>
      </c>
      <c r="X9" s="238" t="s">
        <v>9215</v>
      </c>
      <c r="Y9" s="238" t="s">
        <v>9216</v>
      </c>
      <c r="Z9" s="238" t="s">
        <v>9217</v>
      </c>
      <c r="AA9" s="238" t="s">
        <v>9218</v>
      </c>
      <c r="AB9" s="238" t="s">
        <v>9219</v>
      </c>
      <c r="AC9" s="238" t="s">
        <v>9220</v>
      </c>
      <c r="AD9" s="238" t="s">
        <v>9221</v>
      </c>
      <c r="AE9" s="238" t="s">
        <v>9222</v>
      </c>
      <c r="AF9" s="238">
        <v>5</v>
      </c>
      <c r="AH9" s="238">
        <v>1</v>
      </c>
      <c r="AI9" s="238">
        <v>1</v>
      </c>
      <c r="AJ9" s="238" t="s">
        <v>9223</v>
      </c>
      <c r="AK9" s="238" t="s">
        <v>285</v>
      </c>
      <c r="AL9" s="238">
        <v>5</v>
      </c>
      <c r="AM9" s="238" t="s">
        <v>263</v>
      </c>
      <c r="AN9" s="238" t="s">
        <v>263</v>
      </c>
      <c r="AO9" s="238" t="s">
        <v>9224</v>
      </c>
    </row>
    <row r="10" spans="1:47" ht="15.75" customHeight="1" x14ac:dyDescent="0.2">
      <c r="B10" s="239">
        <v>44618.459470567133</v>
      </c>
      <c r="C10" s="238">
        <v>20</v>
      </c>
      <c r="D10" s="238" t="s">
        <v>9225</v>
      </c>
      <c r="E10" s="238">
        <v>3741020172</v>
      </c>
      <c r="F10" s="238" t="s">
        <v>107</v>
      </c>
      <c r="G10" s="238" t="s">
        <v>9226</v>
      </c>
      <c r="H10" s="238" t="s">
        <v>9227</v>
      </c>
      <c r="I10" s="238" t="s">
        <v>9228</v>
      </c>
      <c r="J10" s="238" t="s">
        <v>9229</v>
      </c>
      <c r="K10" s="238" t="s">
        <v>9229</v>
      </c>
      <c r="M10" s="238" t="s">
        <v>263</v>
      </c>
      <c r="N10" s="238" t="s">
        <v>9155</v>
      </c>
      <c r="O10" s="238" t="s">
        <v>9131</v>
      </c>
      <c r="P10" s="238" t="s">
        <v>9123</v>
      </c>
      <c r="Q10" s="238" t="s">
        <v>9230</v>
      </c>
      <c r="R10" s="238" t="s">
        <v>9131</v>
      </c>
      <c r="S10" s="238" t="s">
        <v>263</v>
      </c>
      <c r="T10" s="238" t="s">
        <v>9231</v>
      </c>
      <c r="U10" s="238" t="s">
        <v>21</v>
      </c>
      <c r="V10" s="238" t="s">
        <v>9232</v>
      </c>
      <c r="W10" s="238" t="s">
        <v>9233</v>
      </c>
      <c r="X10" s="238" t="s">
        <v>9234</v>
      </c>
      <c r="Y10" s="238" t="s">
        <v>9204</v>
      </c>
      <c r="Z10" s="238" t="s">
        <v>9235</v>
      </c>
      <c r="AA10" s="238" t="s">
        <v>9236</v>
      </c>
      <c r="AB10" s="238" t="s">
        <v>9237</v>
      </c>
      <c r="AC10" s="238" t="s">
        <v>9238</v>
      </c>
      <c r="AD10" s="238" t="s">
        <v>9239</v>
      </c>
      <c r="AE10" s="238" t="s">
        <v>9204</v>
      </c>
      <c r="AF10" s="238">
        <v>4</v>
      </c>
      <c r="AH10" s="238" t="s">
        <v>9240</v>
      </c>
      <c r="AI10" s="238" t="s">
        <v>9131</v>
      </c>
      <c r="AJ10" s="238" t="s">
        <v>9229</v>
      </c>
      <c r="AK10" s="238" t="s">
        <v>263</v>
      </c>
      <c r="AL10" s="238" t="s">
        <v>9130</v>
      </c>
      <c r="AM10" s="238" t="s">
        <v>9241</v>
      </c>
      <c r="AN10" s="238" t="s">
        <v>9242</v>
      </c>
      <c r="AO10" s="238" t="s">
        <v>9243</v>
      </c>
    </row>
    <row r="11" spans="1:47" ht="15.75" customHeight="1" x14ac:dyDescent="0.2">
      <c r="B11" s="239">
        <v>44618.460756562505</v>
      </c>
      <c r="C11" s="238">
        <v>22</v>
      </c>
      <c r="D11" s="238" t="s">
        <v>9244</v>
      </c>
      <c r="E11" s="238">
        <v>3741033526</v>
      </c>
      <c r="F11" s="238" t="s">
        <v>95</v>
      </c>
      <c r="G11" s="238" t="s">
        <v>9245</v>
      </c>
      <c r="H11" s="238" t="s">
        <v>9245</v>
      </c>
      <c r="I11" s="238" t="s">
        <v>9246</v>
      </c>
      <c r="J11" s="238" t="s">
        <v>9247</v>
      </c>
      <c r="K11" s="238" t="s">
        <v>9248</v>
      </c>
      <c r="M11" s="238" t="s">
        <v>263</v>
      </c>
      <c r="N11" s="238" t="s">
        <v>9249</v>
      </c>
      <c r="O11" s="238" t="s">
        <v>9131</v>
      </c>
      <c r="P11" s="238" t="s">
        <v>483</v>
      </c>
      <c r="Q11" s="238" t="s">
        <v>9250</v>
      </c>
      <c r="R11" s="238" t="s">
        <v>9251</v>
      </c>
      <c r="S11" s="238" t="s">
        <v>285</v>
      </c>
      <c r="T11" s="238" t="s">
        <v>21</v>
      </c>
      <c r="U11" s="238" t="s">
        <v>22</v>
      </c>
      <c r="V11" s="238" t="s">
        <v>9252</v>
      </c>
      <c r="W11" s="238" t="s">
        <v>9253</v>
      </c>
      <c r="X11" s="238" t="s">
        <v>9254</v>
      </c>
      <c r="Y11" s="238" t="s">
        <v>9255</v>
      </c>
      <c r="Z11" s="238" t="s">
        <v>9256</v>
      </c>
      <c r="AA11" s="238" t="s">
        <v>9257</v>
      </c>
      <c r="AB11" s="238" t="s">
        <v>9258</v>
      </c>
      <c r="AC11" s="238" t="s">
        <v>9259</v>
      </c>
      <c r="AE11" s="238" t="s">
        <v>9260</v>
      </c>
      <c r="AF11" s="238">
        <v>4</v>
      </c>
      <c r="AH11" s="238" t="s">
        <v>9261</v>
      </c>
      <c r="AI11" s="238" t="s">
        <v>9262</v>
      </c>
      <c r="AJ11" s="238">
        <v>120</v>
      </c>
      <c r="AK11" s="238" t="s">
        <v>285</v>
      </c>
      <c r="AL11" s="238">
        <v>4</v>
      </c>
      <c r="AM11" s="238" t="s">
        <v>483</v>
      </c>
      <c r="AN11" s="238" t="s">
        <v>483</v>
      </c>
      <c r="AO11" s="238" t="s">
        <v>9263</v>
      </c>
    </row>
    <row r="12" spans="1:47" ht="15.75" customHeight="1" x14ac:dyDescent="0.2">
      <c r="B12" s="239">
        <v>44618.461388124997</v>
      </c>
      <c r="C12" s="238">
        <v>23</v>
      </c>
      <c r="D12" s="238" t="s">
        <v>9264</v>
      </c>
      <c r="E12" s="238">
        <v>3741036753</v>
      </c>
      <c r="F12" s="238" t="s">
        <v>95</v>
      </c>
      <c r="G12" s="238" t="s">
        <v>9265</v>
      </c>
      <c r="H12" s="238" t="s">
        <v>9266</v>
      </c>
      <c r="I12" s="238" t="s">
        <v>9267</v>
      </c>
      <c r="J12" s="238" t="s">
        <v>9268</v>
      </c>
      <c r="K12" s="238" t="s">
        <v>9267</v>
      </c>
      <c r="M12" s="238" t="s">
        <v>368</v>
      </c>
      <c r="N12" s="238" t="s">
        <v>9155</v>
      </c>
      <c r="O12" s="238" t="s">
        <v>9131</v>
      </c>
      <c r="P12" s="238" t="s">
        <v>9212</v>
      </c>
      <c r="Q12" s="238" t="s">
        <v>9144</v>
      </c>
      <c r="R12" s="238" t="s">
        <v>9144</v>
      </c>
      <c r="S12" s="238" t="s">
        <v>285</v>
      </c>
      <c r="T12" s="238" t="s">
        <v>9269</v>
      </c>
      <c r="U12" s="238" t="s">
        <v>21</v>
      </c>
      <c r="V12" s="238" t="s">
        <v>9270</v>
      </c>
      <c r="W12" s="238" t="s">
        <v>9159</v>
      </c>
      <c r="X12" s="238" t="s">
        <v>9271</v>
      </c>
      <c r="Y12" s="238" t="s">
        <v>9272</v>
      </c>
      <c r="Z12" s="238" t="s">
        <v>9273</v>
      </c>
      <c r="AA12" s="238" t="s">
        <v>9274</v>
      </c>
      <c r="AB12" s="238" t="s">
        <v>9275</v>
      </c>
      <c r="AC12" s="238" t="s">
        <v>9276</v>
      </c>
      <c r="AD12" s="238" t="s">
        <v>9277</v>
      </c>
      <c r="AE12" s="238" t="s">
        <v>9278</v>
      </c>
      <c r="AF12" s="238" t="s">
        <v>9279</v>
      </c>
      <c r="AH12" s="238">
        <v>3</v>
      </c>
      <c r="AI12" s="238">
        <v>3</v>
      </c>
      <c r="AJ12" s="238">
        <v>200</v>
      </c>
      <c r="AK12" s="238" t="s">
        <v>285</v>
      </c>
      <c r="AL12" s="238">
        <v>3</v>
      </c>
      <c r="AM12" s="238" t="s">
        <v>9144</v>
      </c>
      <c r="AN12" s="238" t="s">
        <v>9144</v>
      </c>
      <c r="AO12" s="238" t="s">
        <v>9280</v>
      </c>
    </row>
    <row r="13" spans="1:47" ht="15.75" customHeight="1" x14ac:dyDescent="0.2">
      <c r="A13" t="s">
        <v>8254</v>
      </c>
      <c r="B13" s="239">
        <v>44623.474726145832</v>
      </c>
      <c r="C13" s="238">
        <v>62</v>
      </c>
      <c r="D13" s="238" t="s">
        <v>9281</v>
      </c>
      <c r="E13" s="238">
        <v>3332411156</v>
      </c>
      <c r="F13" s="238" t="s">
        <v>95</v>
      </c>
      <c r="G13" s="238" t="s">
        <v>9282</v>
      </c>
      <c r="H13" s="238" t="s">
        <v>9283</v>
      </c>
      <c r="I13" s="238" t="s">
        <v>9284</v>
      </c>
      <c r="J13" s="238" t="s">
        <v>9285</v>
      </c>
      <c r="K13" s="238" t="s">
        <v>9285</v>
      </c>
      <c r="M13" s="238" t="s">
        <v>368</v>
      </c>
      <c r="N13" s="238" t="s">
        <v>9286</v>
      </c>
      <c r="O13" s="238" t="s">
        <v>9287</v>
      </c>
      <c r="P13" s="238" t="s">
        <v>9288</v>
      </c>
      <c r="Q13" s="238" t="s">
        <v>9289</v>
      </c>
      <c r="R13" s="238" t="s">
        <v>9290</v>
      </c>
      <c r="S13" s="238" t="s">
        <v>263</v>
      </c>
      <c r="T13" s="238" t="s">
        <v>9123</v>
      </c>
      <c r="U13" s="238" t="s">
        <v>9123</v>
      </c>
      <c r="V13" s="238" t="s">
        <v>9291</v>
      </c>
      <c r="W13" s="238" t="s">
        <v>9292</v>
      </c>
      <c r="X13" s="238" t="s">
        <v>9293</v>
      </c>
      <c r="Y13" s="238" t="s">
        <v>9204</v>
      </c>
      <c r="Z13" s="238" t="s">
        <v>9204</v>
      </c>
      <c r="AF13" s="238">
        <v>3</v>
      </c>
      <c r="AH13" s="238" t="s">
        <v>9294</v>
      </c>
      <c r="AI13" s="238" t="s">
        <v>9123</v>
      </c>
      <c r="AJ13" s="238">
        <v>150</v>
      </c>
      <c r="AK13" s="238" t="s">
        <v>263</v>
      </c>
      <c r="AL13" s="238" t="s">
        <v>9130</v>
      </c>
      <c r="AM13" s="238" t="s">
        <v>1072</v>
      </c>
      <c r="AN13" s="238" t="s">
        <v>9295</v>
      </c>
    </row>
    <row r="14" spans="1:47" ht="15.75" customHeight="1" x14ac:dyDescent="0.2">
      <c r="A14" t="s">
        <v>8253</v>
      </c>
      <c r="B14" s="239">
        <v>44623.602966099541</v>
      </c>
      <c r="C14" s="238">
        <v>57</v>
      </c>
      <c r="D14" s="238" t="s">
        <v>9296</v>
      </c>
      <c r="E14" s="238">
        <v>3325060400</v>
      </c>
      <c r="F14" s="238" t="s">
        <v>107</v>
      </c>
      <c r="G14" s="238" t="s">
        <v>96</v>
      </c>
      <c r="H14" s="238" t="s">
        <v>96</v>
      </c>
      <c r="I14" s="238" t="s">
        <v>96</v>
      </c>
      <c r="J14" s="238" t="s">
        <v>96</v>
      </c>
      <c r="K14" s="238" t="s">
        <v>96</v>
      </c>
      <c r="M14" s="238" t="s">
        <v>368</v>
      </c>
      <c r="N14" s="238" t="s">
        <v>9297</v>
      </c>
      <c r="O14" s="238" t="s">
        <v>22</v>
      </c>
      <c r="P14" s="238" t="s">
        <v>9298</v>
      </c>
      <c r="Q14" s="238" t="s">
        <v>9299</v>
      </c>
      <c r="R14" s="238" t="s">
        <v>9131</v>
      </c>
      <c r="S14" s="238" t="s">
        <v>263</v>
      </c>
      <c r="T14" s="238" t="s">
        <v>9300</v>
      </c>
      <c r="U14" s="238" t="s">
        <v>9133</v>
      </c>
      <c r="V14" s="238" t="s">
        <v>9204</v>
      </c>
      <c r="W14" s="238" t="s">
        <v>9204</v>
      </c>
      <c r="X14" s="238" t="s">
        <v>9301</v>
      </c>
      <c r="Y14" s="238" t="s">
        <v>9204</v>
      </c>
      <c r="Z14" s="238" t="s">
        <v>9302</v>
      </c>
      <c r="AF14" s="238">
        <v>2</v>
      </c>
      <c r="AH14" s="238" t="s">
        <v>9123</v>
      </c>
      <c r="AI14" s="238">
        <v>2</v>
      </c>
      <c r="AJ14" s="238" t="s">
        <v>9142</v>
      </c>
      <c r="AK14" s="238" t="s">
        <v>263</v>
      </c>
      <c r="AL14" s="238" t="s">
        <v>9130</v>
      </c>
      <c r="AM14" s="238" t="s">
        <v>263</v>
      </c>
      <c r="AN14" s="238" t="s">
        <v>59</v>
      </c>
      <c r="AO14" s="238" t="s">
        <v>9303</v>
      </c>
    </row>
    <row r="15" spans="1:47" ht="15.75" customHeight="1" x14ac:dyDescent="0.2">
      <c r="A15" t="s">
        <v>8257</v>
      </c>
      <c r="B15" s="240">
        <v>44632.567777870368</v>
      </c>
      <c r="C15" s="241">
        <v>19</v>
      </c>
      <c r="D15" s="241" t="s">
        <v>97</v>
      </c>
      <c r="E15" s="241">
        <v>3312187608</v>
      </c>
      <c r="F15" s="241" t="s">
        <v>95</v>
      </c>
      <c r="G15" s="241" t="s">
        <v>96</v>
      </c>
      <c r="H15" s="241" t="s">
        <v>96</v>
      </c>
      <c r="I15" s="241" t="s">
        <v>96</v>
      </c>
      <c r="J15" s="241" t="s">
        <v>96</v>
      </c>
      <c r="K15" s="241" t="s">
        <v>96</v>
      </c>
      <c r="L15" s="241" t="s">
        <v>9304</v>
      </c>
      <c r="M15" s="241" t="s">
        <v>368</v>
      </c>
      <c r="N15" s="241" t="s">
        <v>9155</v>
      </c>
      <c r="O15" s="241" t="s">
        <v>9131</v>
      </c>
      <c r="P15" s="241" t="s">
        <v>263</v>
      </c>
      <c r="Q15" s="241" t="s">
        <v>9131</v>
      </c>
      <c r="R15" s="241" t="s">
        <v>9131</v>
      </c>
      <c r="S15" s="241" t="s">
        <v>285</v>
      </c>
      <c r="T15" s="241" t="s">
        <v>9269</v>
      </c>
      <c r="U15" s="241" t="s">
        <v>9269</v>
      </c>
      <c r="V15" s="241" t="s">
        <v>9305</v>
      </c>
      <c r="W15" s="241" t="s">
        <v>9306</v>
      </c>
      <c r="X15" s="241" t="s">
        <v>9307</v>
      </c>
      <c r="Y15" s="241" t="s">
        <v>9308</v>
      </c>
      <c r="Z15" s="241" t="s">
        <v>9309</v>
      </c>
      <c r="AA15" s="241" t="s">
        <v>9310</v>
      </c>
      <c r="AB15" s="241" t="s">
        <v>9311</v>
      </c>
      <c r="AC15" s="241" t="s">
        <v>9312</v>
      </c>
      <c r="AD15" s="241" t="s">
        <v>9313</v>
      </c>
      <c r="AE15" s="241" t="s">
        <v>9314</v>
      </c>
      <c r="AF15" s="241">
        <v>4</v>
      </c>
      <c r="AG15" s="241" t="s">
        <v>263</v>
      </c>
      <c r="AH15" s="241" t="s">
        <v>1890</v>
      </c>
      <c r="AI15" s="241">
        <v>2</v>
      </c>
      <c r="AJ15" s="241" t="s">
        <v>9315</v>
      </c>
      <c r="AK15" s="241" t="s">
        <v>285</v>
      </c>
      <c r="AL15" s="241">
        <v>2</v>
      </c>
      <c r="AM15" s="241" t="s">
        <v>263</v>
      </c>
      <c r="AN15" s="241" t="s">
        <v>263</v>
      </c>
      <c r="AO15" s="241" t="s">
        <v>9316</v>
      </c>
      <c r="AP15" s="241"/>
      <c r="AQ15" s="241"/>
      <c r="AR15" s="241"/>
      <c r="AS15" s="241"/>
      <c r="AT15" s="241"/>
      <c r="AU15" s="241"/>
    </row>
    <row r="16" spans="1:47" ht="15.75" customHeight="1" x14ac:dyDescent="0.2">
      <c r="A16" t="s">
        <v>8255</v>
      </c>
      <c r="B16" s="239">
        <v>44633.698845162042</v>
      </c>
      <c r="C16" s="238">
        <v>25</v>
      </c>
      <c r="D16" s="238" t="s">
        <v>9317</v>
      </c>
      <c r="E16" s="238">
        <v>3312854940</v>
      </c>
      <c r="F16" s="238" t="s">
        <v>95</v>
      </c>
      <c r="G16" s="238" t="s">
        <v>96</v>
      </c>
      <c r="H16" s="238" t="s">
        <v>96</v>
      </c>
      <c r="I16" s="238" t="s">
        <v>96</v>
      </c>
      <c r="J16" s="238" t="s">
        <v>96</v>
      </c>
      <c r="K16" s="238" t="s">
        <v>96</v>
      </c>
      <c r="L16" s="238" t="s">
        <v>9318</v>
      </c>
      <c r="M16" s="238" t="s">
        <v>368</v>
      </c>
      <c r="N16" s="238" t="s">
        <v>9123</v>
      </c>
      <c r="O16" s="238" t="s">
        <v>9131</v>
      </c>
      <c r="P16" s="238" t="s">
        <v>263</v>
      </c>
      <c r="Q16" s="238" t="s">
        <v>9131</v>
      </c>
      <c r="R16" s="238" t="s">
        <v>9131</v>
      </c>
      <c r="S16" s="238" t="s">
        <v>285</v>
      </c>
      <c r="T16" s="238" t="s">
        <v>9319</v>
      </c>
      <c r="U16" s="238" t="s">
        <v>9320</v>
      </c>
      <c r="V16" s="238" t="s">
        <v>9321</v>
      </c>
      <c r="W16" s="238" t="s">
        <v>9322</v>
      </c>
      <c r="X16" s="238" t="s">
        <v>9323</v>
      </c>
      <c r="Y16" s="238" t="s">
        <v>4416</v>
      </c>
      <c r="Z16" s="238" t="s">
        <v>9324</v>
      </c>
      <c r="AA16" s="238" t="s">
        <v>9325</v>
      </c>
      <c r="AB16" s="238" t="s">
        <v>9326</v>
      </c>
      <c r="AC16" s="238" t="s">
        <v>9327</v>
      </c>
      <c r="AD16" s="238" t="s">
        <v>9328</v>
      </c>
      <c r="AE16" s="238" t="s">
        <v>9329</v>
      </c>
      <c r="AF16" s="238">
        <v>5</v>
      </c>
      <c r="AG16" s="238" t="s">
        <v>285</v>
      </c>
      <c r="AH16" s="238">
        <v>1</v>
      </c>
      <c r="AI16" s="238">
        <v>0</v>
      </c>
      <c r="AJ16" s="238">
        <v>150</v>
      </c>
      <c r="AK16" s="238" t="s">
        <v>285</v>
      </c>
      <c r="AL16" s="238">
        <v>5</v>
      </c>
      <c r="AM16" s="238" t="s">
        <v>263</v>
      </c>
      <c r="AN16" s="238" t="s">
        <v>3583</v>
      </c>
      <c r="AO16" s="238" t="s">
        <v>9131</v>
      </c>
    </row>
    <row r="17" spans="1:41" ht="15.75" customHeight="1" x14ac:dyDescent="0.2">
      <c r="B17" s="239">
        <v>44635.414485694448</v>
      </c>
      <c r="C17" s="238">
        <v>21</v>
      </c>
      <c r="D17" s="238" t="s">
        <v>9330</v>
      </c>
      <c r="E17" s="238">
        <v>3318773507</v>
      </c>
      <c r="F17" s="238" t="s">
        <v>107</v>
      </c>
      <c r="G17" s="238" t="s">
        <v>9154</v>
      </c>
      <c r="H17" s="238" t="s">
        <v>9154</v>
      </c>
      <c r="I17" s="238" t="s">
        <v>9154</v>
      </c>
      <c r="J17" s="238" t="s">
        <v>9154</v>
      </c>
      <c r="K17" s="238" t="s">
        <v>9154</v>
      </c>
      <c r="L17" s="238" t="s">
        <v>9331</v>
      </c>
      <c r="M17" s="238" t="s">
        <v>263</v>
      </c>
      <c r="N17" s="238" t="s">
        <v>9123</v>
      </c>
      <c r="O17" s="238" t="s">
        <v>9131</v>
      </c>
      <c r="P17" s="238" t="s">
        <v>9123</v>
      </c>
      <c r="Q17" s="238" t="s">
        <v>9144</v>
      </c>
      <c r="R17" s="238" t="s">
        <v>9131</v>
      </c>
      <c r="T17" s="238" t="s">
        <v>9332</v>
      </c>
      <c r="U17" s="238" t="s">
        <v>9333</v>
      </c>
      <c r="V17" s="238" t="s">
        <v>9334</v>
      </c>
      <c r="W17" s="238" t="s">
        <v>9335</v>
      </c>
      <c r="X17" s="238" t="s">
        <v>9336</v>
      </c>
      <c r="Y17" s="238" t="s">
        <v>9337</v>
      </c>
      <c r="Z17" s="238" t="s">
        <v>9338</v>
      </c>
      <c r="AA17" s="238" t="s">
        <v>9339</v>
      </c>
      <c r="AB17" s="238" t="s">
        <v>9340</v>
      </c>
      <c r="AC17" s="238" t="s">
        <v>9341</v>
      </c>
      <c r="AD17" s="238" t="s">
        <v>9342</v>
      </c>
      <c r="AE17" s="238" t="s">
        <v>9343</v>
      </c>
      <c r="AF17" s="238">
        <v>5</v>
      </c>
      <c r="AG17" s="238" t="s">
        <v>285</v>
      </c>
      <c r="AH17" s="238">
        <v>1</v>
      </c>
      <c r="AI17" s="238">
        <v>1</v>
      </c>
      <c r="AJ17" s="238" t="s">
        <v>9344</v>
      </c>
      <c r="AK17" s="238" t="s">
        <v>263</v>
      </c>
      <c r="AL17" s="238" t="s">
        <v>9130</v>
      </c>
      <c r="AM17" s="238" t="s">
        <v>9345</v>
      </c>
      <c r="AN17" s="238" t="s">
        <v>9241</v>
      </c>
      <c r="AO17" s="238" t="s">
        <v>9346</v>
      </c>
    </row>
    <row r="18" spans="1:41" ht="15.75" customHeight="1" x14ac:dyDescent="0.2">
      <c r="A18" t="s">
        <v>8279</v>
      </c>
      <c r="B18" s="239">
        <v>44635.722608333337</v>
      </c>
      <c r="C18" s="238">
        <v>24</v>
      </c>
      <c r="D18" s="238" t="s">
        <v>2313</v>
      </c>
      <c r="E18" s="238">
        <v>3333877121</v>
      </c>
      <c r="F18" s="238" t="s">
        <v>95</v>
      </c>
      <c r="G18" s="238" t="s">
        <v>96</v>
      </c>
      <c r="H18" s="238" t="s">
        <v>96</v>
      </c>
      <c r="I18" s="238" t="s">
        <v>96</v>
      </c>
      <c r="J18" s="238" t="s">
        <v>96</v>
      </c>
      <c r="K18" s="238" t="s">
        <v>949</v>
      </c>
      <c r="L18" s="238" t="s">
        <v>9347</v>
      </c>
      <c r="M18" s="238" t="s">
        <v>263</v>
      </c>
      <c r="N18" s="238" t="s">
        <v>9348</v>
      </c>
      <c r="O18" s="238" t="s">
        <v>9131</v>
      </c>
      <c r="P18" s="238" t="s">
        <v>263</v>
      </c>
      <c r="Q18" s="238" t="s">
        <v>9349</v>
      </c>
      <c r="R18" s="238" t="s">
        <v>1103</v>
      </c>
      <c r="S18" s="238" t="s">
        <v>285</v>
      </c>
      <c r="T18" s="238" t="s">
        <v>9332</v>
      </c>
      <c r="U18" s="238" t="s">
        <v>9269</v>
      </c>
      <c r="V18" s="238" t="s">
        <v>9350</v>
      </c>
      <c r="W18" s="238" t="s">
        <v>9351</v>
      </c>
      <c r="X18" s="238" t="s">
        <v>9352</v>
      </c>
      <c r="Y18" s="238" t="s">
        <v>9353</v>
      </c>
      <c r="Z18" s="238" t="s">
        <v>9354</v>
      </c>
      <c r="AA18" s="238" t="s">
        <v>9355</v>
      </c>
      <c r="AB18" s="238" t="s">
        <v>9356</v>
      </c>
      <c r="AC18" s="238" t="s">
        <v>9357</v>
      </c>
      <c r="AD18" s="238" t="s">
        <v>9358</v>
      </c>
      <c r="AE18" s="238" t="s">
        <v>9359</v>
      </c>
      <c r="AF18" s="238">
        <v>5</v>
      </c>
      <c r="AG18" s="238" t="s">
        <v>263</v>
      </c>
      <c r="AH18" s="238" t="s">
        <v>9360</v>
      </c>
      <c r="AI18" s="238">
        <v>1</v>
      </c>
      <c r="AJ18" s="238" t="s">
        <v>9142</v>
      </c>
      <c r="AK18" s="238" t="s">
        <v>285</v>
      </c>
      <c r="AL18" s="238">
        <v>2</v>
      </c>
      <c r="AM18" s="238" t="s">
        <v>9361</v>
      </c>
      <c r="AN18" s="238" t="s">
        <v>263</v>
      </c>
      <c r="AO18" s="238" t="s">
        <v>9362</v>
      </c>
    </row>
    <row r="19" spans="1:41" ht="15.75" customHeight="1" x14ac:dyDescent="0.2">
      <c r="B19" s="239">
        <v>44640.638861655098</v>
      </c>
      <c r="C19" s="238">
        <v>35</v>
      </c>
      <c r="D19" s="238" t="s">
        <v>9209</v>
      </c>
      <c r="E19" s="238">
        <v>3322982670</v>
      </c>
      <c r="F19" s="238" t="s">
        <v>95</v>
      </c>
      <c r="G19" s="238" t="s">
        <v>9154</v>
      </c>
      <c r="H19" s="238" t="s">
        <v>96</v>
      </c>
      <c r="I19" s="238" t="s">
        <v>9154</v>
      </c>
      <c r="J19" s="238" t="s">
        <v>9154</v>
      </c>
      <c r="K19" s="238" t="s">
        <v>96</v>
      </c>
      <c r="L19" s="238" t="s">
        <v>9363</v>
      </c>
      <c r="M19" s="238" t="s">
        <v>263</v>
      </c>
      <c r="N19" s="238" t="s">
        <v>9155</v>
      </c>
      <c r="O19" s="238" t="s">
        <v>9131</v>
      </c>
      <c r="P19" s="238" t="s">
        <v>263</v>
      </c>
      <c r="Q19" s="238" t="s">
        <v>9131</v>
      </c>
      <c r="R19" s="238">
        <v>2</v>
      </c>
      <c r="S19" s="238" t="s">
        <v>285</v>
      </c>
      <c r="T19" s="238" t="s">
        <v>21</v>
      </c>
      <c r="U19" s="238" t="s">
        <v>21</v>
      </c>
      <c r="V19" s="238" t="s">
        <v>9364</v>
      </c>
      <c r="W19" s="238" t="s">
        <v>9364</v>
      </c>
      <c r="X19" s="238" t="s">
        <v>9364</v>
      </c>
      <c r="Y19" s="238" t="s">
        <v>9364</v>
      </c>
      <c r="Z19" s="238" t="s">
        <v>9364</v>
      </c>
      <c r="AA19" s="238" t="s">
        <v>9364</v>
      </c>
      <c r="AB19" s="238" t="s">
        <v>9364</v>
      </c>
      <c r="AC19" s="238" t="s">
        <v>9364</v>
      </c>
      <c r="AD19" s="238" t="s">
        <v>9364</v>
      </c>
      <c r="AE19" s="238" t="s">
        <v>9364</v>
      </c>
      <c r="AF19" s="238">
        <v>3</v>
      </c>
      <c r="AG19" s="238" t="s">
        <v>263</v>
      </c>
      <c r="AH19" s="238" t="s">
        <v>9131</v>
      </c>
      <c r="AI19" s="238" t="s">
        <v>9131</v>
      </c>
      <c r="AJ19" s="238" t="s">
        <v>9365</v>
      </c>
      <c r="AK19" s="238" t="s">
        <v>285</v>
      </c>
      <c r="AL19" s="238">
        <v>5</v>
      </c>
      <c r="AM19" s="238" t="s">
        <v>263</v>
      </c>
      <c r="AN19" s="238" t="s">
        <v>263</v>
      </c>
    </row>
    <row r="20" spans="1:41" ht="15.75" customHeight="1" x14ac:dyDescent="0.2">
      <c r="B20" s="239">
        <v>44640.83985989583</v>
      </c>
      <c r="C20" s="238">
        <v>43</v>
      </c>
      <c r="D20" s="238" t="s">
        <v>1892</v>
      </c>
      <c r="E20" s="238">
        <v>3319421053</v>
      </c>
      <c r="F20" s="238" t="s">
        <v>95</v>
      </c>
      <c r="G20" s="238" t="s">
        <v>3702</v>
      </c>
      <c r="H20" s="238" t="s">
        <v>3702</v>
      </c>
      <c r="I20" s="238" t="s">
        <v>9366</v>
      </c>
      <c r="J20" s="238" t="s">
        <v>1552</v>
      </c>
      <c r="K20" s="238" t="s">
        <v>9367</v>
      </c>
      <c r="L20" s="238" t="s">
        <v>9368</v>
      </c>
      <c r="M20" s="238" t="s">
        <v>263</v>
      </c>
      <c r="N20" s="238" t="s">
        <v>9369</v>
      </c>
      <c r="O20" s="238" t="s">
        <v>9370</v>
      </c>
      <c r="P20" s="238" t="s">
        <v>263</v>
      </c>
      <c r="Q20" s="238" t="s">
        <v>9371</v>
      </c>
      <c r="R20" s="238">
        <v>3</v>
      </c>
      <c r="S20" s="238" t="s">
        <v>285</v>
      </c>
      <c r="T20" s="238" t="s">
        <v>9133</v>
      </c>
      <c r="U20" s="238" t="s">
        <v>9333</v>
      </c>
      <c r="V20" s="238" t="s">
        <v>9372</v>
      </c>
      <c r="W20" s="238" t="s">
        <v>9373</v>
      </c>
      <c r="X20" s="238" t="s">
        <v>9374</v>
      </c>
      <c r="Y20" s="238" t="s">
        <v>9375</v>
      </c>
      <c r="Z20" s="238" t="s">
        <v>9376</v>
      </c>
      <c r="AA20" s="238" t="s">
        <v>9377</v>
      </c>
      <c r="AB20" s="238" t="s">
        <v>9378</v>
      </c>
      <c r="AC20" s="238" t="s">
        <v>9379</v>
      </c>
      <c r="AD20" s="238" t="s">
        <v>9380</v>
      </c>
      <c r="AE20" s="238" t="s">
        <v>9381</v>
      </c>
      <c r="AF20" s="238">
        <v>5</v>
      </c>
      <c r="AG20" s="238" t="s">
        <v>285</v>
      </c>
      <c r="AH20" s="238">
        <v>2</v>
      </c>
      <c r="AI20" s="238" t="s">
        <v>9382</v>
      </c>
      <c r="AJ20" s="238" t="s">
        <v>9383</v>
      </c>
      <c r="AK20" s="238" t="s">
        <v>285</v>
      </c>
      <c r="AL20" s="238">
        <v>3</v>
      </c>
      <c r="AM20" s="238" t="s">
        <v>263</v>
      </c>
      <c r="AN20" s="238" t="s">
        <v>263</v>
      </c>
      <c r="AO20" s="238" t="s">
        <v>9384</v>
      </c>
    </row>
    <row r="21" spans="1:41" ht="15.75" customHeight="1" x14ac:dyDescent="0.2">
      <c r="B21" s="239">
        <v>44641.039759583335</v>
      </c>
      <c r="C21" s="238">
        <v>38</v>
      </c>
      <c r="D21" s="238" t="s">
        <v>1892</v>
      </c>
      <c r="E21" s="238">
        <v>3328324704</v>
      </c>
      <c r="F21" s="238" t="s">
        <v>95</v>
      </c>
      <c r="G21" s="238" t="s">
        <v>9154</v>
      </c>
      <c r="H21" s="238" t="s">
        <v>1752</v>
      </c>
      <c r="I21" s="238" t="s">
        <v>9385</v>
      </c>
      <c r="J21" s="238" t="s">
        <v>9385</v>
      </c>
      <c r="K21" s="238" t="s">
        <v>9386</v>
      </c>
      <c r="L21" s="238" t="s">
        <v>9387</v>
      </c>
      <c r="M21" s="238" t="s">
        <v>263</v>
      </c>
      <c r="N21" s="238" t="s">
        <v>9155</v>
      </c>
      <c r="O21" s="238" t="s">
        <v>9131</v>
      </c>
      <c r="P21" s="238" t="s">
        <v>263</v>
      </c>
      <c r="Q21" s="238" t="s">
        <v>9388</v>
      </c>
      <c r="R21" s="238">
        <v>2</v>
      </c>
      <c r="S21" s="238" t="s">
        <v>285</v>
      </c>
      <c r="T21" s="238" t="s">
        <v>22</v>
      </c>
      <c r="U21" s="238" t="s">
        <v>9389</v>
      </c>
      <c r="V21" s="238" t="s">
        <v>9390</v>
      </c>
      <c r="W21" s="238" t="s">
        <v>9204</v>
      </c>
      <c r="X21" s="238" t="s">
        <v>9391</v>
      </c>
      <c r="Y21" s="238" t="s">
        <v>9392</v>
      </c>
      <c r="Z21" s="238" t="s">
        <v>9393</v>
      </c>
      <c r="AA21" s="238" t="s">
        <v>9394</v>
      </c>
      <c r="AB21" s="238" t="s">
        <v>9204</v>
      </c>
      <c r="AC21" s="238" t="s">
        <v>9395</v>
      </c>
      <c r="AD21" s="238" t="s">
        <v>9396</v>
      </c>
      <c r="AE21" s="238" t="s">
        <v>9397</v>
      </c>
      <c r="AF21" s="238">
        <v>4</v>
      </c>
      <c r="AG21" s="238" t="s">
        <v>285</v>
      </c>
      <c r="AH21" s="238">
        <v>0</v>
      </c>
      <c r="AI21" s="238">
        <v>0</v>
      </c>
      <c r="AJ21" s="238" t="s">
        <v>9398</v>
      </c>
      <c r="AK21" s="238" t="s">
        <v>263</v>
      </c>
      <c r="AL21" s="238" t="s">
        <v>9130</v>
      </c>
      <c r="AM21" s="238" t="s">
        <v>263</v>
      </c>
      <c r="AN21" s="238" t="s">
        <v>263</v>
      </c>
      <c r="AO21" s="238" t="s">
        <v>9399</v>
      </c>
    </row>
    <row r="22" spans="1:41" ht="15.75" customHeight="1" x14ac:dyDescent="0.2">
      <c r="B22" s="239">
        <v>44642.53926824074</v>
      </c>
      <c r="C22" s="238">
        <v>22</v>
      </c>
      <c r="D22" s="238" t="s">
        <v>97</v>
      </c>
      <c r="E22" s="238">
        <v>3325775535</v>
      </c>
      <c r="F22" s="238" t="s">
        <v>95</v>
      </c>
      <c r="G22" s="238" t="s">
        <v>9154</v>
      </c>
      <c r="H22" s="238" t="s">
        <v>9154</v>
      </c>
      <c r="I22" s="238" t="s">
        <v>9154</v>
      </c>
      <c r="J22" s="238" t="s">
        <v>9400</v>
      </c>
      <c r="K22" s="238" t="s">
        <v>9154</v>
      </c>
      <c r="L22" s="238" t="s">
        <v>9401</v>
      </c>
      <c r="M22" s="238" t="s">
        <v>263</v>
      </c>
      <c r="N22" s="238" t="s">
        <v>9155</v>
      </c>
      <c r="O22" s="238" t="s">
        <v>9131</v>
      </c>
      <c r="P22" s="238" t="s">
        <v>285</v>
      </c>
      <c r="Q22" s="238" t="s">
        <v>9402</v>
      </c>
      <c r="R22" s="238">
        <v>0</v>
      </c>
      <c r="S22" s="238" t="s">
        <v>263</v>
      </c>
      <c r="T22" s="238" t="s">
        <v>9319</v>
      </c>
      <c r="U22" s="238" t="s">
        <v>9403</v>
      </c>
      <c r="V22" s="238" t="s">
        <v>9404</v>
      </c>
      <c r="W22" s="238" t="s">
        <v>9405</v>
      </c>
      <c r="X22" s="238" t="s">
        <v>9406</v>
      </c>
      <c r="Y22" s="238" t="s">
        <v>9407</v>
      </c>
      <c r="Z22" s="238" t="s">
        <v>9408</v>
      </c>
      <c r="AA22" s="238" t="s">
        <v>9409</v>
      </c>
      <c r="AB22" s="238">
        <v>0</v>
      </c>
      <c r="AC22" s="238" t="s">
        <v>9410</v>
      </c>
      <c r="AD22" s="238">
        <v>0</v>
      </c>
      <c r="AE22" s="238" t="s">
        <v>9411</v>
      </c>
      <c r="AF22" s="238">
        <v>2</v>
      </c>
      <c r="AG22" s="238" t="s">
        <v>263</v>
      </c>
      <c r="AH22" s="238">
        <v>0</v>
      </c>
      <c r="AI22" s="238">
        <v>2</v>
      </c>
      <c r="AJ22" s="238">
        <v>50</v>
      </c>
      <c r="AK22" s="238" t="s">
        <v>263</v>
      </c>
      <c r="AL22" s="238" t="s">
        <v>9130</v>
      </c>
      <c r="AM22" s="238" t="s">
        <v>263</v>
      </c>
      <c r="AN22" s="238" t="s">
        <v>263</v>
      </c>
      <c r="AO22" s="238" t="s">
        <v>9412</v>
      </c>
    </row>
    <row r="23" spans="1:41" ht="15.75" customHeight="1" x14ac:dyDescent="0.2">
      <c r="B23" s="239">
        <v>44642.857004432866</v>
      </c>
      <c r="C23" s="238">
        <v>32</v>
      </c>
      <c r="D23" s="238" t="s">
        <v>9413</v>
      </c>
      <c r="E23" s="238">
        <v>3121559805</v>
      </c>
      <c r="F23" s="238" t="s">
        <v>95</v>
      </c>
      <c r="G23" s="238" t="s">
        <v>5024</v>
      </c>
      <c r="H23" s="238" t="s">
        <v>96</v>
      </c>
      <c r="I23" s="238" t="s">
        <v>96</v>
      </c>
      <c r="J23" s="238" t="s">
        <v>96</v>
      </c>
      <c r="K23" s="238" t="s">
        <v>96</v>
      </c>
      <c r="L23" s="238" t="s">
        <v>9414</v>
      </c>
      <c r="M23" s="238" t="s">
        <v>263</v>
      </c>
      <c r="N23" s="238" t="s">
        <v>9155</v>
      </c>
      <c r="O23" s="238" t="s">
        <v>9131</v>
      </c>
      <c r="P23" s="238" t="s">
        <v>9415</v>
      </c>
      <c r="Q23" s="238" t="s">
        <v>9131</v>
      </c>
      <c r="R23" s="238">
        <v>1</v>
      </c>
      <c r="S23" s="238" t="s">
        <v>285</v>
      </c>
      <c r="T23" s="238" t="s">
        <v>9157</v>
      </c>
      <c r="U23" s="238" t="s">
        <v>9231</v>
      </c>
      <c r="V23" s="238" t="s">
        <v>9416</v>
      </c>
      <c r="W23" s="238" t="s">
        <v>9417</v>
      </c>
      <c r="X23" s="238" t="s">
        <v>9418</v>
      </c>
      <c r="Y23" s="238" t="s">
        <v>9419</v>
      </c>
      <c r="Z23" s="238" t="s">
        <v>9420</v>
      </c>
      <c r="AA23" s="238" t="s">
        <v>9421</v>
      </c>
      <c r="AB23" s="238" t="s">
        <v>9422</v>
      </c>
      <c r="AC23" s="238" t="s">
        <v>9423</v>
      </c>
      <c r="AD23" s="238" t="s">
        <v>9424</v>
      </c>
      <c r="AE23" s="238" t="s">
        <v>9425</v>
      </c>
      <c r="AF23" s="238">
        <v>5</v>
      </c>
      <c r="AG23" s="238" t="s">
        <v>285</v>
      </c>
      <c r="AH23" s="238">
        <v>2</v>
      </c>
      <c r="AI23" s="238">
        <v>1</v>
      </c>
      <c r="AJ23" s="238" t="s">
        <v>9426</v>
      </c>
      <c r="AK23" s="238" t="s">
        <v>263</v>
      </c>
      <c r="AL23" s="238" t="s">
        <v>9130</v>
      </c>
      <c r="AM23" s="238" t="s">
        <v>263</v>
      </c>
      <c r="AN23" s="238" t="s">
        <v>263</v>
      </c>
      <c r="AO23" s="238" t="s">
        <v>1150</v>
      </c>
    </row>
    <row r="24" spans="1:41" ht="15.75" customHeight="1" x14ac:dyDescent="0.2">
      <c r="B24" s="239">
        <v>44643.512595555556</v>
      </c>
      <c r="C24" s="238">
        <v>34</v>
      </c>
      <c r="D24" s="238" t="s">
        <v>9427</v>
      </c>
      <c r="E24" s="238">
        <v>3318727808</v>
      </c>
      <c r="F24" s="238" t="s">
        <v>95</v>
      </c>
      <c r="G24" s="238" t="s">
        <v>96</v>
      </c>
      <c r="H24" s="238" t="s">
        <v>96</v>
      </c>
      <c r="I24" s="238" t="s">
        <v>96</v>
      </c>
      <c r="J24" s="238" t="s">
        <v>96</v>
      </c>
      <c r="K24" s="238" t="s">
        <v>96</v>
      </c>
      <c r="L24" s="238" t="s">
        <v>9144</v>
      </c>
      <c r="M24" s="238" t="s">
        <v>263</v>
      </c>
      <c r="N24" s="238" t="s">
        <v>9155</v>
      </c>
      <c r="O24" s="238" t="s">
        <v>9155</v>
      </c>
      <c r="P24" s="238" t="s">
        <v>263</v>
      </c>
      <c r="Q24" s="238" t="s">
        <v>9428</v>
      </c>
      <c r="R24" s="238" t="s">
        <v>9144</v>
      </c>
      <c r="S24" s="238" t="s">
        <v>285</v>
      </c>
      <c r="T24" s="238" t="s">
        <v>9429</v>
      </c>
      <c r="U24" s="238" t="s">
        <v>9231</v>
      </c>
      <c r="V24" s="238" t="s">
        <v>9430</v>
      </c>
      <c r="W24" s="238" t="s">
        <v>9159</v>
      </c>
      <c r="X24" s="238" t="s">
        <v>9431</v>
      </c>
      <c r="Y24" s="238" t="s">
        <v>9159</v>
      </c>
      <c r="Z24" s="238" t="s">
        <v>9432</v>
      </c>
      <c r="AA24" s="238" t="s">
        <v>9433</v>
      </c>
      <c r="AB24" s="238" t="s">
        <v>9159</v>
      </c>
      <c r="AC24" s="238" t="s">
        <v>9434</v>
      </c>
      <c r="AD24" s="238" t="s">
        <v>9159</v>
      </c>
      <c r="AE24" s="238" t="s">
        <v>9204</v>
      </c>
      <c r="AF24" s="238">
        <v>2</v>
      </c>
      <c r="AG24" s="238" t="s">
        <v>263</v>
      </c>
      <c r="AH24" s="238" t="s">
        <v>9212</v>
      </c>
      <c r="AI24" s="238" t="s">
        <v>9123</v>
      </c>
      <c r="AJ24" s="238">
        <v>100</v>
      </c>
      <c r="AK24" s="238" t="s">
        <v>285</v>
      </c>
      <c r="AL24" s="238">
        <v>5</v>
      </c>
      <c r="AM24" s="238" t="s">
        <v>263</v>
      </c>
      <c r="AN24" s="238" t="s">
        <v>5205</v>
      </c>
      <c r="AO24" s="238" t="s">
        <v>9435</v>
      </c>
    </row>
    <row r="25" spans="1:41" ht="15.75" customHeight="1" x14ac:dyDescent="0.2">
      <c r="B25" s="239">
        <v>44643.528519143518</v>
      </c>
      <c r="C25" s="238">
        <v>43</v>
      </c>
      <c r="D25" s="238" t="s">
        <v>9436</v>
      </c>
      <c r="E25" s="238">
        <v>3313411196</v>
      </c>
      <c r="F25" s="238" t="s">
        <v>95</v>
      </c>
      <c r="G25" s="238" t="s">
        <v>96</v>
      </c>
      <c r="H25" s="238" t="s">
        <v>96</v>
      </c>
      <c r="I25" s="238" t="s">
        <v>96</v>
      </c>
      <c r="J25" s="238" t="s">
        <v>9154</v>
      </c>
      <c r="K25" s="238" t="s">
        <v>9154</v>
      </c>
      <c r="L25" s="238" t="s">
        <v>263</v>
      </c>
      <c r="M25" s="238" t="s">
        <v>263</v>
      </c>
      <c r="N25" s="238" t="s">
        <v>9155</v>
      </c>
      <c r="O25" s="238" t="s">
        <v>9131</v>
      </c>
      <c r="P25" s="238" t="s">
        <v>9212</v>
      </c>
      <c r="Q25" s="238" t="s">
        <v>9437</v>
      </c>
      <c r="R25" s="238">
        <v>2</v>
      </c>
      <c r="S25" s="238" t="s">
        <v>285</v>
      </c>
      <c r="T25" s="238" t="s">
        <v>9429</v>
      </c>
      <c r="U25" s="238" t="s">
        <v>9231</v>
      </c>
      <c r="V25" s="238" t="s">
        <v>9438</v>
      </c>
      <c r="W25" s="238" t="s">
        <v>9123</v>
      </c>
      <c r="X25" s="238" t="s">
        <v>9439</v>
      </c>
      <c r="Y25" s="238" t="s">
        <v>9212</v>
      </c>
      <c r="Z25" s="238" t="s">
        <v>9204</v>
      </c>
      <c r="AA25" s="238" t="s">
        <v>9440</v>
      </c>
      <c r="AC25" s="238" t="s">
        <v>9441</v>
      </c>
      <c r="AD25" s="238" t="s">
        <v>9159</v>
      </c>
      <c r="AE25" s="238" t="s">
        <v>9159</v>
      </c>
      <c r="AF25" s="238">
        <v>2</v>
      </c>
      <c r="AG25" s="238" t="s">
        <v>263</v>
      </c>
      <c r="AH25" s="238" t="s">
        <v>9442</v>
      </c>
      <c r="AI25" s="238" t="s">
        <v>9144</v>
      </c>
      <c r="AJ25" s="238">
        <v>100</v>
      </c>
      <c r="AK25" s="238" t="s">
        <v>263</v>
      </c>
      <c r="AL25" s="238" t="s">
        <v>9130</v>
      </c>
      <c r="AM25" s="238" t="s">
        <v>263</v>
      </c>
      <c r="AN25" s="238" t="s">
        <v>263</v>
      </c>
      <c r="AO25" s="238" t="s">
        <v>9443</v>
      </c>
    </row>
    <row r="26" spans="1:41" ht="15.75" customHeight="1" x14ac:dyDescent="0.2">
      <c r="B26" s="239">
        <v>44643.535073402774</v>
      </c>
      <c r="C26" s="238">
        <v>31</v>
      </c>
      <c r="D26" s="238" t="s">
        <v>9264</v>
      </c>
      <c r="E26" s="238">
        <v>3310391285</v>
      </c>
      <c r="F26" s="238" t="s">
        <v>95</v>
      </c>
      <c r="G26" s="238" t="s">
        <v>9154</v>
      </c>
      <c r="H26" s="238" t="s">
        <v>96</v>
      </c>
      <c r="I26" s="238" t="s">
        <v>9154</v>
      </c>
      <c r="J26" s="238" t="s">
        <v>9154</v>
      </c>
      <c r="K26" s="238" t="s">
        <v>9154</v>
      </c>
      <c r="L26" s="238" t="s">
        <v>9444</v>
      </c>
      <c r="M26" s="238" t="s">
        <v>368</v>
      </c>
      <c r="N26" s="238" t="s">
        <v>9155</v>
      </c>
      <c r="O26" s="238" t="s">
        <v>9131</v>
      </c>
      <c r="P26" s="238" t="s">
        <v>5205</v>
      </c>
      <c r="Q26" s="238" t="s">
        <v>9144</v>
      </c>
      <c r="R26" s="238">
        <v>0</v>
      </c>
      <c r="S26" s="238" t="s">
        <v>285</v>
      </c>
      <c r="T26" s="238" t="s">
        <v>9445</v>
      </c>
      <c r="U26" s="238" t="s">
        <v>9269</v>
      </c>
      <c r="V26" s="238" t="s">
        <v>9446</v>
      </c>
      <c r="W26" s="238" t="s">
        <v>9159</v>
      </c>
      <c r="X26" s="238" t="s">
        <v>9447</v>
      </c>
      <c r="Y26" s="238" t="s">
        <v>9159</v>
      </c>
      <c r="Z26" s="238" t="s">
        <v>9448</v>
      </c>
      <c r="AA26" s="238" t="s">
        <v>9449</v>
      </c>
      <c r="AB26" s="238" t="s">
        <v>9159</v>
      </c>
      <c r="AC26" s="238" t="s">
        <v>9450</v>
      </c>
      <c r="AD26" s="238" t="s">
        <v>9159</v>
      </c>
      <c r="AE26" s="238" t="s">
        <v>9451</v>
      </c>
      <c r="AF26" s="238">
        <v>3</v>
      </c>
      <c r="AG26" s="238" t="s">
        <v>263</v>
      </c>
      <c r="AH26" s="242" t="s">
        <v>9452</v>
      </c>
      <c r="AI26" s="242" t="s">
        <v>9453</v>
      </c>
      <c r="AJ26" s="238" t="s">
        <v>9454</v>
      </c>
      <c r="AK26" s="238" t="s">
        <v>263</v>
      </c>
      <c r="AL26" s="238" t="s">
        <v>9130</v>
      </c>
      <c r="AM26" s="238" t="s">
        <v>9455</v>
      </c>
      <c r="AN26" s="238" t="s">
        <v>9456</v>
      </c>
      <c r="AO26" s="238" t="s">
        <v>9457</v>
      </c>
    </row>
    <row r="27" spans="1:41" ht="15.75" customHeight="1" x14ac:dyDescent="0.2">
      <c r="B27" s="239">
        <v>44644.035767962967</v>
      </c>
      <c r="C27" s="238">
        <v>31</v>
      </c>
      <c r="D27" s="238" t="s">
        <v>97</v>
      </c>
      <c r="E27" s="238">
        <v>3310695288</v>
      </c>
      <c r="F27" s="238" t="s">
        <v>107</v>
      </c>
      <c r="G27" s="238" t="s">
        <v>96</v>
      </c>
      <c r="H27" s="238" t="s">
        <v>96</v>
      </c>
      <c r="I27" s="238" t="s">
        <v>151</v>
      </c>
      <c r="J27" s="238" t="s">
        <v>151</v>
      </c>
      <c r="K27" s="238" t="s">
        <v>96</v>
      </c>
      <c r="L27" s="238" t="s">
        <v>9458</v>
      </c>
      <c r="M27" s="238" t="s">
        <v>263</v>
      </c>
      <c r="N27" s="238" t="s">
        <v>9123</v>
      </c>
      <c r="O27" s="238" t="s">
        <v>9131</v>
      </c>
      <c r="P27" s="238" t="s">
        <v>9459</v>
      </c>
      <c r="Q27" s="238" t="s">
        <v>9460</v>
      </c>
      <c r="R27" s="238">
        <v>0</v>
      </c>
      <c r="S27" s="238" t="s">
        <v>285</v>
      </c>
      <c r="T27" s="238" t="s">
        <v>9461</v>
      </c>
      <c r="U27" s="238" t="s">
        <v>9155</v>
      </c>
      <c r="V27" s="238" t="s">
        <v>9462</v>
      </c>
      <c r="W27" s="238" t="s">
        <v>9204</v>
      </c>
      <c r="X27" s="238" t="s">
        <v>9463</v>
      </c>
      <c r="Y27" s="238" t="s">
        <v>9464</v>
      </c>
      <c r="Z27" s="238" t="s">
        <v>9465</v>
      </c>
      <c r="AA27" s="238" t="s">
        <v>9466</v>
      </c>
      <c r="AB27" s="238" t="s">
        <v>9467</v>
      </c>
      <c r="AC27" s="238" t="s">
        <v>9467</v>
      </c>
      <c r="AD27" s="238" t="s">
        <v>9467</v>
      </c>
      <c r="AE27" s="238" t="s">
        <v>9467</v>
      </c>
      <c r="AF27" s="238">
        <v>4</v>
      </c>
      <c r="AG27" s="238" t="s">
        <v>263</v>
      </c>
      <c r="AH27" s="238">
        <v>0</v>
      </c>
      <c r="AI27" s="238">
        <v>0</v>
      </c>
      <c r="AJ27" s="238" t="s">
        <v>9468</v>
      </c>
      <c r="AK27" s="238" t="s">
        <v>285</v>
      </c>
      <c r="AL27" s="238">
        <v>3</v>
      </c>
      <c r="AM27" s="238" t="s">
        <v>9469</v>
      </c>
      <c r="AN27" s="238" t="s">
        <v>9470</v>
      </c>
      <c r="AO27" s="238" t="s">
        <v>9471</v>
      </c>
    </row>
    <row r="28" spans="1:41" ht="15.75" customHeight="1" x14ac:dyDescent="0.2">
      <c r="B28" s="239">
        <v>44644.109489432871</v>
      </c>
      <c r="C28" s="238">
        <v>30</v>
      </c>
      <c r="D28" s="238" t="s">
        <v>9472</v>
      </c>
      <c r="E28" s="238">
        <v>3311299620</v>
      </c>
      <c r="F28" s="238" t="s">
        <v>95</v>
      </c>
      <c r="G28" s="238" t="s">
        <v>9473</v>
      </c>
      <c r="H28" s="238" t="s">
        <v>9474</v>
      </c>
      <c r="I28" s="238" t="s">
        <v>9473</v>
      </c>
      <c r="J28" s="238" t="s">
        <v>9473</v>
      </c>
      <c r="K28" s="238" t="s">
        <v>9473</v>
      </c>
      <c r="L28" s="238" t="s">
        <v>9401</v>
      </c>
      <c r="M28" s="238" t="s">
        <v>368</v>
      </c>
      <c r="N28" s="238" t="s">
        <v>9155</v>
      </c>
      <c r="O28" s="238" t="s">
        <v>9131</v>
      </c>
      <c r="P28" s="238" t="s">
        <v>263</v>
      </c>
      <c r="Q28" s="238" t="s">
        <v>9131</v>
      </c>
      <c r="R28" s="238">
        <v>1</v>
      </c>
      <c r="S28" s="238" t="s">
        <v>285</v>
      </c>
      <c r="T28" s="238" t="s">
        <v>9333</v>
      </c>
      <c r="U28" s="238" t="s">
        <v>9475</v>
      </c>
      <c r="V28" s="238" t="s">
        <v>9476</v>
      </c>
      <c r="W28" s="238" t="s">
        <v>9204</v>
      </c>
      <c r="X28" s="238" t="s">
        <v>9477</v>
      </c>
      <c r="Y28" s="238" t="s">
        <v>9204</v>
      </c>
      <c r="Z28" s="238" t="s">
        <v>9478</v>
      </c>
      <c r="AA28" s="238" t="s">
        <v>9479</v>
      </c>
      <c r="AB28" s="238" t="s">
        <v>9204</v>
      </c>
      <c r="AC28" s="238" t="s">
        <v>9480</v>
      </c>
      <c r="AD28" s="238" t="s">
        <v>9204</v>
      </c>
      <c r="AE28" s="238" t="s">
        <v>9457</v>
      </c>
      <c r="AF28" s="238">
        <v>2</v>
      </c>
      <c r="AG28" s="238" t="s">
        <v>263</v>
      </c>
      <c r="AH28" s="242" t="s">
        <v>9481</v>
      </c>
      <c r="AI28" s="242" t="s">
        <v>9482</v>
      </c>
      <c r="AJ28" s="238" t="s">
        <v>9383</v>
      </c>
      <c r="AK28" s="238" t="s">
        <v>263</v>
      </c>
      <c r="AL28" s="238">
        <v>6</v>
      </c>
      <c r="AM28" s="238" t="s">
        <v>9483</v>
      </c>
      <c r="AN28" s="238" t="s">
        <v>9484</v>
      </c>
    </row>
    <row r="29" spans="1:41" ht="15.75" customHeight="1" x14ac:dyDescent="0.2">
      <c r="B29" s="239">
        <v>44644.744469050929</v>
      </c>
      <c r="C29" s="238">
        <v>19</v>
      </c>
      <c r="D29" s="238" t="s">
        <v>9264</v>
      </c>
      <c r="E29" s="238" t="s">
        <v>9485</v>
      </c>
      <c r="F29" s="238" t="s">
        <v>107</v>
      </c>
      <c r="G29" s="238" t="s">
        <v>9486</v>
      </c>
      <c r="H29" s="238" t="s">
        <v>9486</v>
      </c>
      <c r="I29" s="238" t="s">
        <v>9486</v>
      </c>
      <c r="J29" s="238" t="s">
        <v>9486</v>
      </c>
      <c r="K29" s="238" t="s">
        <v>9486</v>
      </c>
      <c r="L29" s="238" t="s">
        <v>9144</v>
      </c>
      <c r="M29" s="238" t="s">
        <v>263</v>
      </c>
      <c r="N29" s="238" t="s">
        <v>9123</v>
      </c>
      <c r="O29" s="238" t="s">
        <v>9131</v>
      </c>
      <c r="P29" s="238" t="s">
        <v>263</v>
      </c>
      <c r="Q29" s="238" t="s">
        <v>9144</v>
      </c>
      <c r="R29" s="238" t="s">
        <v>9144</v>
      </c>
      <c r="S29" s="238" t="s">
        <v>263</v>
      </c>
      <c r="T29" s="238" t="s">
        <v>9487</v>
      </c>
      <c r="U29" s="238" t="s">
        <v>9488</v>
      </c>
      <c r="V29" s="238" t="s">
        <v>9489</v>
      </c>
      <c r="W29" s="238" t="s">
        <v>9490</v>
      </c>
      <c r="X29" s="238" t="s">
        <v>9491</v>
      </c>
      <c r="Y29" s="238" t="s">
        <v>9492</v>
      </c>
      <c r="Z29" s="238" t="s">
        <v>9493</v>
      </c>
      <c r="AA29" s="238" t="s">
        <v>9494</v>
      </c>
      <c r="AB29" s="238" t="s">
        <v>9495</v>
      </c>
      <c r="AC29" s="238" t="s">
        <v>9496</v>
      </c>
      <c r="AD29" s="238" t="s">
        <v>9497</v>
      </c>
      <c r="AE29" s="238" t="s">
        <v>9498</v>
      </c>
      <c r="AF29" s="238">
        <v>5</v>
      </c>
      <c r="AG29" s="238" t="s">
        <v>285</v>
      </c>
      <c r="AH29" s="238">
        <v>2</v>
      </c>
      <c r="AI29" s="238" t="s">
        <v>9499</v>
      </c>
      <c r="AJ29" s="238">
        <v>100</v>
      </c>
      <c r="AK29" s="238" t="s">
        <v>285</v>
      </c>
      <c r="AL29" s="238">
        <v>5</v>
      </c>
      <c r="AM29" s="238" t="s">
        <v>263</v>
      </c>
      <c r="AN29" s="238" t="s">
        <v>263</v>
      </c>
      <c r="AO29" s="238" t="s">
        <v>9500</v>
      </c>
    </row>
    <row r="30" spans="1:41" ht="15.75" customHeight="1" x14ac:dyDescent="0.2">
      <c r="A30" t="s">
        <v>8251</v>
      </c>
      <c r="B30" s="239">
        <v>44644.85386077546</v>
      </c>
      <c r="C30" s="238">
        <v>34</v>
      </c>
      <c r="D30" s="238" t="s">
        <v>9501</v>
      </c>
      <c r="E30" s="238">
        <v>3311973155</v>
      </c>
      <c r="F30" s="238" t="s">
        <v>95</v>
      </c>
      <c r="G30" s="238" t="s">
        <v>96</v>
      </c>
      <c r="H30" s="238" t="s">
        <v>96</v>
      </c>
      <c r="I30" s="238" t="s">
        <v>96</v>
      </c>
      <c r="J30" s="238" t="s">
        <v>96</v>
      </c>
      <c r="K30" s="238" t="s">
        <v>96</v>
      </c>
      <c r="L30" s="238" t="s">
        <v>9502</v>
      </c>
      <c r="M30" s="238" t="s">
        <v>368</v>
      </c>
      <c r="N30" s="238" t="s">
        <v>9503</v>
      </c>
      <c r="O30" s="238" t="s">
        <v>9504</v>
      </c>
      <c r="P30" s="238" t="s">
        <v>263</v>
      </c>
      <c r="Q30" s="238" t="s">
        <v>9505</v>
      </c>
      <c r="R30" s="238">
        <v>0</v>
      </c>
      <c r="S30" s="238" t="s">
        <v>285</v>
      </c>
      <c r="T30" s="238" t="s">
        <v>9333</v>
      </c>
      <c r="U30" s="238" t="s">
        <v>9157</v>
      </c>
      <c r="V30" s="238" t="s">
        <v>9506</v>
      </c>
      <c r="W30" s="238" t="s">
        <v>9159</v>
      </c>
      <c r="X30" s="238" t="s">
        <v>9507</v>
      </c>
      <c r="Y30" s="238" t="s">
        <v>9204</v>
      </c>
      <c r="Z30" s="238" t="s">
        <v>9508</v>
      </c>
      <c r="AF30" s="238">
        <v>3</v>
      </c>
      <c r="AG30" s="238" t="s">
        <v>263</v>
      </c>
      <c r="AH30" s="238" t="s">
        <v>5182</v>
      </c>
      <c r="AI30" s="238">
        <v>2</v>
      </c>
      <c r="AJ30" s="238">
        <v>200</v>
      </c>
      <c r="AK30" s="238" t="s">
        <v>263</v>
      </c>
      <c r="AL30" s="238" t="s">
        <v>9130</v>
      </c>
      <c r="AM30" s="238" t="s">
        <v>9509</v>
      </c>
      <c r="AN30" s="238" t="s">
        <v>263</v>
      </c>
      <c r="AO30" s="238" t="s">
        <v>9510</v>
      </c>
    </row>
    <row r="31" spans="1:41" ht="15.75" customHeight="1" x14ac:dyDescent="0.2">
      <c r="B31" s="239">
        <v>44644.868744340274</v>
      </c>
      <c r="C31" s="238">
        <v>19</v>
      </c>
      <c r="D31" s="238" t="s">
        <v>97</v>
      </c>
      <c r="E31" s="238">
        <v>3841009746</v>
      </c>
      <c r="F31" s="238" t="s">
        <v>95</v>
      </c>
      <c r="G31" s="238" t="s">
        <v>96</v>
      </c>
      <c r="H31" s="238" t="s">
        <v>9154</v>
      </c>
      <c r="I31" s="238" t="s">
        <v>96</v>
      </c>
      <c r="J31" s="238" t="s">
        <v>96</v>
      </c>
      <c r="K31" s="238" t="s">
        <v>9511</v>
      </c>
      <c r="L31" s="238" t="s">
        <v>9512</v>
      </c>
      <c r="M31" s="238" t="s">
        <v>263</v>
      </c>
      <c r="N31" s="238" t="s">
        <v>4522</v>
      </c>
      <c r="O31" s="238" t="s">
        <v>9131</v>
      </c>
      <c r="P31" s="238" t="s">
        <v>263</v>
      </c>
      <c r="Q31" s="238" t="s">
        <v>9513</v>
      </c>
      <c r="R31" s="238">
        <v>0</v>
      </c>
      <c r="S31" s="238" t="s">
        <v>285</v>
      </c>
      <c r="T31" s="238" t="s">
        <v>9514</v>
      </c>
      <c r="U31" s="238" t="s">
        <v>9515</v>
      </c>
      <c r="V31" s="238" t="s">
        <v>9516</v>
      </c>
      <c r="W31" s="238" t="s">
        <v>9517</v>
      </c>
      <c r="X31" s="238" t="s">
        <v>9518</v>
      </c>
      <c r="Y31" s="238" t="s">
        <v>9517</v>
      </c>
      <c r="Z31" s="238" t="s">
        <v>9519</v>
      </c>
      <c r="AA31" s="238" t="s">
        <v>9520</v>
      </c>
      <c r="AF31" s="238">
        <v>3</v>
      </c>
      <c r="AG31" s="238" t="s">
        <v>263</v>
      </c>
      <c r="AH31" s="238">
        <v>1</v>
      </c>
      <c r="AI31" s="238">
        <v>1</v>
      </c>
      <c r="AJ31" s="238" t="s">
        <v>9521</v>
      </c>
      <c r="AK31" s="238" t="s">
        <v>285</v>
      </c>
      <c r="AL31" s="238">
        <v>3</v>
      </c>
      <c r="AM31" s="238" t="s">
        <v>9522</v>
      </c>
      <c r="AN31" s="238" t="s">
        <v>9523</v>
      </c>
      <c r="AO31" s="238" t="s">
        <v>9524</v>
      </c>
    </row>
    <row r="32" spans="1:41" ht="15.75" customHeight="1" x14ac:dyDescent="0.2">
      <c r="B32" s="239">
        <v>44646.766628773148</v>
      </c>
      <c r="C32" s="238">
        <v>20</v>
      </c>
      <c r="D32" s="238" t="s">
        <v>9264</v>
      </c>
      <c r="E32" s="238">
        <v>3323855600</v>
      </c>
      <c r="F32" s="238" t="s">
        <v>107</v>
      </c>
      <c r="G32" s="238" t="s">
        <v>96</v>
      </c>
      <c r="H32" s="238" t="s">
        <v>96</v>
      </c>
      <c r="I32" s="238" t="s">
        <v>9154</v>
      </c>
      <c r="J32" s="238" t="s">
        <v>96</v>
      </c>
      <c r="K32" s="238" t="s">
        <v>96</v>
      </c>
      <c r="L32" s="238" t="s">
        <v>9525</v>
      </c>
      <c r="M32" s="238" t="s">
        <v>368</v>
      </c>
      <c r="N32" s="238" t="s">
        <v>9123</v>
      </c>
      <c r="O32" s="238" t="s">
        <v>9131</v>
      </c>
      <c r="P32" s="238" t="s">
        <v>263</v>
      </c>
      <c r="Q32" s="238" t="s">
        <v>9131</v>
      </c>
      <c r="R32" s="238" t="s">
        <v>9131</v>
      </c>
      <c r="S32" s="238" t="s">
        <v>263</v>
      </c>
      <c r="T32" s="238" t="s">
        <v>9333</v>
      </c>
      <c r="U32" s="238" t="s">
        <v>9514</v>
      </c>
      <c r="V32" s="238" t="s">
        <v>9526</v>
      </c>
      <c r="W32" s="238" t="s">
        <v>9527</v>
      </c>
      <c r="X32" s="238" t="s">
        <v>9528</v>
      </c>
      <c r="Y32" s="238" t="s">
        <v>9212</v>
      </c>
      <c r="Z32" s="238" t="s">
        <v>9529</v>
      </c>
      <c r="AA32" s="238" t="s">
        <v>9530</v>
      </c>
      <c r="AB32" s="238" t="s">
        <v>9123</v>
      </c>
      <c r="AC32" s="238" t="s">
        <v>9531</v>
      </c>
      <c r="AD32" s="238" t="s">
        <v>4222</v>
      </c>
      <c r="AE32" s="238" t="s">
        <v>9532</v>
      </c>
      <c r="AF32" s="238">
        <v>3</v>
      </c>
      <c r="AG32" s="238" t="s">
        <v>263</v>
      </c>
      <c r="AH32" s="238" t="s">
        <v>9533</v>
      </c>
      <c r="AI32" s="238" t="s">
        <v>9534</v>
      </c>
      <c r="AJ32" s="238" t="s">
        <v>9365</v>
      </c>
      <c r="AK32" s="238" t="s">
        <v>285</v>
      </c>
      <c r="AL32" s="238">
        <v>5</v>
      </c>
      <c r="AM32" s="238" t="s">
        <v>263</v>
      </c>
      <c r="AN32" s="238" t="s">
        <v>9535</v>
      </c>
      <c r="AO32" s="238" t="s">
        <v>9536</v>
      </c>
    </row>
    <row r="33" spans="1:47" ht="15.75" customHeight="1" x14ac:dyDescent="0.2">
      <c r="B33" s="239">
        <v>44649.42183511574</v>
      </c>
      <c r="C33" s="238">
        <v>19</v>
      </c>
      <c r="D33" s="238" t="s">
        <v>97</v>
      </c>
      <c r="E33" s="238">
        <v>3321465677</v>
      </c>
      <c r="F33" s="238" t="s">
        <v>95</v>
      </c>
      <c r="G33" s="238" t="s">
        <v>96</v>
      </c>
      <c r="H33" s="238" t="s">
        <v>96</v>
      </c>
      <c r="I33" s="238" t="s">
        <v>9537</v>
      </c>
      <c r="J33" s="238" t="s">
        <v>96</v>
      </c>
      <c r="K33" s="238" t="s">
        <v>96</v>
      </c>
      <c r="L33" s="238" t="s">
        <v>9538</v>
      </c>
      <c r="M33" s="238" t="s">
        <v>263</v>
      </c>
      <c r="N33" s="238" t="s">
        <v>9123</v>
      </c>
      <c r="O33" s="238" t="s">
        <v>9131</v>
      </c>
      <c r="P33" s="238" t="s">
        <v>263</v>
      </c>
      <c r="Q33" s="238" t="s">
        <v>9131</v>
      </c>
      <c r="R33" s="238">
        <v>0</v>
      </c>
      <c r="S33" s="238" t="s">
        <v>285</v>
      </c>
      <c r="T33" s="238" t="s">
        <v>9539</v>
      </c>
      <c r="U33" s="238" t="s">
        <v>9133</v>
      </c>
      <c r="V33" s="238" t="s">
        <v>9540</v>
      </c>
      <c r="W33" s="238" t="s">
        <v>6908</v>
      </c>
      <c r="X33" s="238" t="s">
        <v>6908</v>
      </c>
      <c r="Y33" s="238" t="s">
        <v>9541</v>
      </c>
      <c r="Z33" s="238" t="s">
        <v>9542</v>
      </c>
      <c r="AA33" s="238" t="s">
        <v>6908</v>
      </c>
      <c r="AB33" s="238" t="s">
        <v>6908</v>
      </c>
      <c r="AC33" s="238" t="s">
        <v>9543</v>
      </c>
      <c r="AD33" s="238" t="s">
        <v>9544</v>
      </c>
      <c r="AE33" s="238" t="s">
        <v>9545</v>
      </c>
      <c r="AF33" s="238">
        <v>2</v>
      </c>
      <c r="AG33" s="238" t="s">
        <v>263</v>
      </c>
      <c r="AH33" s="238">
        <v>2</v>
      </c>
      <c r="AI33" s="238">
        <v>4</v>
      </c>
      <c r="AJ33" s="238" t="s">
        <v>9426</v>
      </c>
      <c r="AK33" s="238" t="s">
        <v>263</v>
      </c>
      <c r="AL33" s="238" t="s">
        <v>9130</v>
      </c>
      <c r="AM33" s="238" t="s">
        <v>263</v>
      </c>
      <c r="AN33" s="238" t="s">
        <v>263</v>
      </c>
      <c r="AO33" s="238" t="s">
        <v>63</v>
      </c>
    </row>
    <row r="34" spans="1:47" ht="15.75" customHeight="1" x14ac:dyDescent="0.2">
      <c r="B34" s="239">
        <v>44649.423538344912</v>
      </c>
      <c r="C34" s="238" t="s">
        <v>9546</v>
      </c>
      <c r="D34" s="238" t="s">
        <v>9264</v>
      </c>
      <c r="E34" s="238">
        <v>3313543088</v>
      </c>
      <c r="F34" s="238" t="s">
        <v>95</v>
      </c>
      <c r="G34" s="238" t="s">
        <v>9154</v>
      </c>
      <c r="H34" s="238" t="s">
        <v>9154</v>
      </c>
      <c r="I34" s="238" t="s">
        <v>9154</v>
      </c>
      <c r="J34" s="238" t="s">
        <v>9547</v>
      </c>
      <c r="K34" s="238" t="s">
        <v>9154</v>
      </c>
      <c r="L34" s="238" t="s">
        <v>6303</v>
      </c>
      <c r="M34" s="238" t="s">
        <v>368</v>
      </c>
      <c r="N34" s="238" t="s">
        <v>9123</v>
      </c>
      <c r="O34" s="238" t="s">
        <v>9131</v>
      </c>
      <c r="P34" s="238" t="s">
        <v>263</v>
      </c>
      <c r="Q34" s="238" t="s">
        <v>9144</v>
      </c>
      <c r="S34" s="238" t="s">
        <v>285</v>
      </c>
      <c r="T34" s="238" t="s">
        <v>9333</v>
      </c>
      <c r="U34" s="238" t="s">
        <v>9548</v>
      </c>
      <c r="V34" s="238" t="s">
        <v>9549</v>
      </c>
      <c r="W34" s="238" t="s">
        <v>9550</v>
      </c>
      <c r="X34" s="238" t="s">
        <v>9551</v>
      </c>
      <c r="Y34" s="238" t="s">
        <v>9552</v>
      </c>
      <c r="Z34" s="238" t="s">
        <v>9553</v>
      </c>
      <c r="AF34" s="238">
        <v>5</v>
      </c>
      <c r="AG34" s="238" t="s">
        <v>263</v>
      </c>
      <c r="AH34" s="238" t="s">
        <v>9554</v>
      </c>
      <c r="AI34" s="238" t="s">
        <v>9554</v>
      </c>
      <c r="AJ34" s="238">
        <v>500</v>
      </c>
      <c r="AK34" s="238" t="s">
        <v>285</v>
      </c>
      <c r="AL34" s="238">
        <v>2</v>
      </c>
      <c r="AM34" s="238" t="s">
        <v>263</v>
      </c>
      <c r="AN34" s="238" t="s">
        <v>263</v>
      </c>
      <c r="AO34" s="238" t="s">
        <v>9555</v>
      </c>
    </row>
    <row r="35" spans="1:47" ht="15.75" customHeight="1" x14ac:dyDescent="0.2">
      <c r="B35" s="239">
        <v>44649.675632372688</v>
      </c>
      <c r="C35" s="238">
        <v>20</v>
      </c>
      <c r="D35" s="238" t="s">
        <v>97</v>
      </c>
      <c r="E35" s="238">
        <v>6624112130</v>
      </c>
      <c r="F35" s="238" t="s">
        <v>95</v>
      </c>
      <c r="G35" s="238" t="s">
        <v>9556</v>
      </c>
      <c r="H35" s="238" t="s">
        <v>533</v>
      </c>
      <c r="I35" s="238" t="s">
        <v>3535</v>
      </c>
      <c r="J35" s="238" t="s">
        <v>3535</v>
      </c>
      <c r="K35" s="238" t="s">
        <v>6499</v>
      </c>
      <c r="L35" s="238" t="s">
        <v>9557</v>
      </c>
      <c r="M35" s="238" t="s">
        <v>263</v>
      </c>
      <c r="N35" s="238" t="s">
        <v>9123</v>
      </c>
      <c r="O35" s="238" t="s">
        <v>9131</v>
      </c>
      <c r="P35" s="238" t="s">
        <v>263</v>
      </c>
      <c r="Q35" s="238" t="s">
        <v>9131</v>
      </c>
      <c r="R35" s="238">
        <v>0</v>
      </c>
      <c r="S35" s="238" t="s">
        <v>285</v>
      </c>
      <c r="T35" s="238" t="s">
        <v>9332</v>
      </c>
      <c r="U35" s="238" t="s">
        <v>9123</v>
      </c>
      <c r="V35" s="238" t="s">
        <v>9558</v>
      </c>
      <c r="W35" s="238" t="s">
        <v>9559</v>
      </c>
      <c r="X35" s="238" t="s">
        <v>9560</v>
      </c>
      <c r="Y35" s="238" t="s">
        <v>9561</v>
      </c>
      <c r="Z35" s="238" t="s">
        <v>9562</v>
      </c>
      <c r="AA35" s="238" t="s">
        <v>9563</v>
      </c>
      <c r="AB35" s="238" t="s">
        <v>2434</v>
      </c>
      <c r="AC35" s="238" t="s">
        <v>9564</v>
      </c>
      <c r="AD35" s="238" t="s">
        <v>9565</v>
      </c>
      <c r="AE35" s="238" t="s">
        <v>9566</v>
      </c>
      <c r="AF35" s="238">
        <v>5</v>
      </c>
      <c r="AG35" s="238" t="s">
        <v>263</v>
      </c>
      <c r="AH35" s="242" t="s">
        <v>9567</v>
      </c>
      <c r="AI35" s="242" t="s">
        <v>9567</v>
      </c>
      <c r="AJ35" s="238">
        <v>200</v>
      </c>
      <c r="AK35" s="238" t="s">
        <v>263</v>
      </c>
      <c r="AL35" s="238" t="s">
        <v>9130</v>
      </c>
      <c r="AM35" s="238" t="s">
        <v>263</v>
      </c>
      <c r="AN35" s="238" t="s">
        <v>9568</v>
      </c>
      <c r="AO35" s="238" t="s">
        <v>1073</v>
      </c>
    </row>
    <row r="36" spans="1:47" ht="15.75" customHeight="1" x14ac:dyDescent="0.2">
      <c r="B36" s="239">
        <v>44649.677180613427</v>
      </c>
      <c r="C36" s="238">
        <v>20</v>
      </c>
      <c r="D36" s="238" t="s">
        <v>2313</v>
      </c>
      <c r="E36" s="238">
        <v>3312231703</v>
      </c>
      <c r="F36" s="238" t="s">
        <v>95</v>
      </c>
      <c r="G36" s="238" t="s">
        <v>9569</v>
      </c>
      <c r="H36" s="238" t="s">
        <v>9570</v>
      </c>
      <c r="I36" s="238" t="s">
        <v>9569</v>
      </c>
      <c r="J36" s="238" t="s">
        <v>9570</v>
      </c>
      <c r="K36" s="238" t="s">
        <v>9571</v>
      </c>
      <c r="L36" s="238" t="s">
        <v>6883</v>
      </c>
      <c r="M36" s="238" t="s">
        <v>263</v>
      </c>
      <c r="N36" s="238" t="s">
        <v>9123</v>
      </c>
      <c r="O36" s="238" t="s">
        <v>9131</v>
      </c>
      <c r="P36" s="238" t="s">
        <v>6793</v>
      </c>
      <c r="Q36" s="238" t="s">
        <v>9572</v>
      </c>
      <c r="R36" s="238">
        <v>1</v>
      </c>
      <c r="S36" s="238" t="s">
        <v>263</v>
      </c>
      <c r="T36" s="238" t="s">
        <v>9488</v>
      </c>
      <c r="U36" s="238" t="s">
        <v>9573</v>
      </c>
      <c r="V36" s="238" t="s">
        <v>9574</v>
      </c>
      <c r="W36" s="238" t="s">
        <v>9575</v>
      </c>
      <c r="X36" s="238" t="s">
        <v>9576</v>
      </c>
      <c r="Y36" s="238" t="s">
        <v>9577</v>
      </c>
      <c r="Z36" s="238" t="s">
        <v>9577</v>
      </c>
      <c r="AA36" s="238" t="s">
        <v>9578</v>
      </c>
      <c r="AB36" s="238" t="s">
        <v>9579</v>
      </c>
      <c r="AC36" s="238" t="s">
        <v>9580</v>
      </c>
      <c r="AD36" s="238" t="s">
        <v>9581</v>
      </c>
      <c r="AE36" s="238" t="s">
        <v>9582</v>
      </c>
      <c r="AF36" s="238">
        <v>3</v>
      </c>
      <c r="AG36" s="238" t="s">
        <v>263</v>
      </c>
      <c r="AH36" s="238">
        <v>1</v>
      </c>
      <c r="AI36" s="238">
        <v>2</v>
      </c>
      <c r="AJ36" s="238" t="s">
        <v>9583</v>
      </c>
      <c r="AK36" s="238" t="s">
        <v>263</v>
      </c>
      <c r="AL36" s="238" t="s">
        <v>9130</v>
      </c>
      <c r="AM36" s="238" t="s">
        <v>9584</v>
      </c>
      <c r="AN36" s="238" t="s">
        <v>9585</v>
      </c>
      <c r="AO36" s="238" t="s">
        <v>9586</v>
      </c>
    </row>
    <row r="37" spans="1:47" ht="15.75" customHeight="1" x14ac:dyDescent="0.2">
      <c r="A37" t="s">
        <v>8260</v>
      </c>
      <c r="B37" s="243">
        <v>44649.677447800925</v>
      </c>
      <c r="C37" s="244">
        <v>20</v>
      </c>
      <c r="D37" s="244" t="s">
        <v>97</v>
      </c>
      <c r="E37" s="244">
        <v>3481233696</v>
      </c>
      <c r="F37" s="244" t="s">
        <v>107</v>
      </c>
      <c r="G37" s="244" t="s">
        <v>9587</v>
      </c>
      <c r="H37" s="244" t="s">
        <v>9587</v>
      </c>
      <c r="I37" s="244" t="s">
        <v>9587</v>
      </c>
      <c r="J37" s="244" t="s">
        <v>9587</v>
      </c>
      <c r="K37" s="244" t="s">
        <v>9587</v>
      </c>
      <c r="L37" s="244" t="s">
        <v>9588</v>
      </c>
      <c r="M37" s="244" t="s">
        <v>368</v>
      </c>
      <c r="N37" s="244" t="s">
        <v>9123</v>
      </c>
      <c r="O37" s="244" t="s">
        <v>9131</v>
      </c>
      <c r="P37" s="244" t="s">
        <v>99</v>
      </c>
      <c r="Q37" s="244" t="s">
        <v>9589</v>
      </c>
      <c r="R37" s="244">
        <v>0</v>
      </c>
      <c r="S37" s="244" t="s">
        <v>263</v>
      </c>
      <c r="T37" s="244" t="s">
        <v>9194</v>
      </c>
      <c r="U37" s="244" t="s">
        <v>9269</v>
      </c>
      <c r="V37" s="244" t="s">
        <v>9590</v>
      </c>
      <c r="W37" s="244" t="s">
        <v>9577</v>
      </c>
      <c r="X37" s="244" t="s">
        <v>9591</v>
      </c>
      <c r="Y37" s="244" t="s">
        <v>9204</v>
      </c>
      <c r="Z37" s="244" t="s">
        <v>9592</v>
      </c>
      <c r="AA37" s="244" t="s">
        <v>9577</v>
      </c>
      <c r="AB37" s="244" t="s">
        <v>9593</v>
      </c>
      <c r="AC37" s="244" t="s">
        <v>9594</v>
      </c>
      <c r="AD37" s="244" t="s">
        <v>9595</v>
      </c>
      <c r="AE37" s="244" t="s">
        <v>9577</v>
      </c>
      <c r="AF37" s="244">
        <v>3</v>
      </c>
      <c r="AG37" s="244" t="s">
        <v>263</v>
      </c>
      <c r="AH37" s="244" t="s">
        <v>9596</v>
      </c>
      <c r="AI37" s="244" t="s">
        <v>9597</v>
      </c>
      <c r="AJ37" s="244" t="s">
        <v>9598</v>
      </c>
      <c r="AK37" s="244" t="s">
        <v>263</v>
      </c>
      <c r="AL37" s="244" t="s">
        <v>9130</v>
      </c>
      <c r="AM37" s="244" t="s">
        <v>483</v>
      </c>
      <c r="AN37" s="244" t="s">
        <v>483</v>
      </c>
      <c r="AO37" s="244" t="s">
        <v>1148</v>
      </c>
      <c r="AP37" s="244"/>
      <c r="AQ37" s="244"/>
      <c r="AR37" s="244"/>
      <c r="AS37" s="244"/>
      <c r="AT37" s="244"/>
      <c r="AU37" s="244"/>
    </row>
    <row r="38" spans="1:47" ht="15.75" customHeight="1" x14ac:dyDescent="0.2">
      <c r="A38" t="s">
        <v>8258</v>
      </c>
      <c r="B38" s="245">
        <v>44651.474645925926</v>
      </c>
      <c r="C38" s="246">
        <v>19</v>
      </c>
      <c r="D38" s="246" t="s">
        <v>97</v>
      </c>
      <c r="E38" s="246">
        <v>3312700006</v>
      </c>
      <c r="F38" s="246" t="s">
        <v>95</v>
      </c>
      <c r="G38" s="246" t="s">
        <v>9154</v>
      </c>
      <c r="H38" s="246" t="s">
        <v>9154</v>
      </c>
      <c r="I38" s="246" t="s">
        <v>9154</v>
      </c>
      <c r="J38" s="246" t="s">
        <v>9154</v>
      </c>
      <c r="K38" s="246" t="s">
        <v>9154</v>
      </c>
      <c r="L38" s="246" t="s">
        <v>9131</v>
      </c>
      <c r="M38" s="246" t="s">
        <v>368</v>
      </c>
      <c r="N38" s="246" t="s">
        <v>9123</v>
      </c>
      <c r="O38" s="246" t="s">
        <v>9131</v>
      </c>
      <c r="P38" s="246" t="s">
        <v>9212</v>
      </c>
      <c r="Q38" s="246" t="s">
        <v>9144</v>
      </c>
      <c r="R38" s="246" t="s">
        <v>9144</v>
      </c>
      <c r="S38" s="246" t="s">
        <v>285</v>
      </c>
      <c r="T38" s="246" t="s">
        <v>9333</v>
      </c>
      <c r="U38" s="246" t="s">
        <v>9332</v>
      </c>
      <c r="V38" s="246" t="s">
        <v>9599</v>
      </c>
      <c r="W38" s="246" t="s">
        <v>9396</v>
      </c>
      <c r="X38" s="246" t="s">
        <v>9600</v>
      </c>
      <c r="Y38" s="246" t="s">
        <v>9601</v>
      </c>
      <c r="Z38" s="246" t="s">
        <v>9602</v>
      </c>
      <c r="AA38" s="246" t="s">
        <v>9603</v>
      </c>
      <c r="AB38" s="246" t="s">
        <v>9604</v>
      </c>
      <c r="AC38" s="246" t="s">
        <v>9605</v>
      </c>
      <c r="AD38" s="246" t="s">
        <v>9606</v>
      </c>
      <c r="AE38" s="246" t="s">
        <v>9607</v>
      </c>
      <c r="AF38" s="246">
        <v>5</v>
      </c>
      <c r="AG38" s="246" t="s">
        <v>263</v>
      </c>
      <c r="AH38" s="246" t="s">
        <v>9123</v>
      </c>
      <c r="AI38" s="246" t="s">
        <v>9123</v>
      </c>
      <c r="AJ38" s="246" t="s">
        <v>9229</v>
      </c>
      <c r="AK38" s="246" t="s">
        <v>285</v>
      </c>
      <c r="AL38" s="246">
        <v>5</v>
      </c>
      <c r="AM38" s="246" t="s">
        <v>9144</v>
      </c>
      <c r="AN38" s="246" t="s">
        <v>263</v>
      </c>
      <c r="AO38" s="246" t="s">
        <v>9608</v>
      </c>
      <c r="AP38" s="246"/>
      <c r="AQ38" s="246"/>
      <c r="AR38" s="246"/>
      <c r="AS38" s="246"/>
      <c r="AT38" s="246"/>
      <c r="AU38" s="246"/>
    </row>
    <row r="39" spans="1:47" ht="15.75" customHeight="1" x14ac:dyDescent="0.2">
      <c r="B39" s="247">
        <v>44652.023911770833</v>
      </c>
      <c r="C39" s="248">
        <v>20</v>
      </c>
      <c r="D39" s="248" t="s">
        <v>97</v>
      </c>
      <c r="E39" s="248">
        <v>3312502930</v>
      </c>
      <c r="F39" s="248" t="s">
        <v>95</v>
      </c>
      <c r="G39" s="248" t="s">
        <v>96</v>
      </c>
      <c r="H39" s="248" t="s">
        <v>96</v>
      </c>
      <c r="I39" s="248" t="s">
        <v>96</v>
      </c>
      <c r="J39" s="248" t="s">
        <v>96</v>
      </c>
      <c r="K39" s="248" t="s">
        <v>96</v>
      </c>
      <c r="L39" s="248" t="s">
        <v>9609</v>
      </c>
      <c r="M39" s="248" t="s">
        <v>263</v>
      </c>
      <c r="N39" s="248" t="s">
        <v>9123</v>
      </c>
      <c r="O39" s="248" t="s">
        <v>9131</v>
      </c>
      <c r="P39" s="248" t="s">
        <v>9294</v>
      </c>
      <c r="Q39" s="248" t="s">
        <v>9525</v>
      </c>
      <c r="R39" s="248">
        <v>0</v>
      </c>
      <c r="S39" s="248" t="s">
        <v>285</v>
      </c>
      <c r="T39" s="248" t="s">
        <v>9610</v>
      </c>
      <c r="U39" s="248" t="s">
        <v>9514</v>
      </c>
      <c r="V39" s="248" t="s">
        <v>9611</v>
      </c>
      <c r="W39" s="248" t="s">
        <v>9204</v>
      </c>
      <c r="X39" s="248" t="s">
        <v>9612</v>
      </c>
      <c r="Y39" s="248" t="s">
        <v>9204</v>
      </c>
      <c r="Z39" s="248" t="s">
        <v>9613</v>
      </c>
      <c r="AA39" s="248" t="s">
        <v>9204</v>
      </c>
      <c r="AB39" s="248" t="s">
        <v>9204</v>
      </c>
      <c r="AC39" s="248" t="s">
        <v>9614</v>
      </c>
      <c r="AD39" s="248" t="s">
        <v>9204</v>
      </c>
      <c r="AE39" s="248" t="s">
        <v>9615</v>
      </c>
      <c r="AF39" s="248">
        <v>3</v>
      </c>
      <c r="AG39" s="248" t="s">
        <v>263</v>
      </c>
      <c r="AH39" s="248" t="s">
        <v>9382</v>
      </c>
      <c r="AI39" s="248" t="s">
        <v>9616</v>
      </c>
      <c r="AJ39" s="248" t="s">
        <v>9617</v>
      </c>
      <c r="AK39" s="248" t="s">
        <v>263</v>
      </c>
      <c r="AL39" s="248" t="s">
        <v>9130</v>
      </c>
      <c r="AM39" s="248" t="s">
        <v>1550</v>
      </c>
      <c r="AN39" s="248" t="s">
        <v>263</v>
      </c>
      <c r="AO39" s="248" t="s">
        <v>9618</v>
      </c>
      <c r="AP39" s="248"/>
      <c r="AQ39" s="248"/>
      <c r="AR39" s="248"/>
      <c r="AS39" s="248"/>
      <c r="AT39" s="248"/>
      <c r="AU39" s="248"/>
    </row>
    <row r="40" spans="1:47" ht="15.75" customHeight="1" x14ac:dyDescent="0.2">
      <c r="A40" t="s">
        <v>8278</v>
      </c>
      <c r="B40" s="239">
        <v>44700.675671203702</v>
      </c>
      <c r="C40" s="238">
        <v>65</v>
      </c>
      <c r="D40" s="238" t="s">
        <v>9619</v>
      </c>
      <c r="E40" s="238">
        <v>3311552962</v>
      </c>
      <c r="F40" s="238" t="s">
        <v>95</v>
      </c>
      <c r="G40" s="238" t="s">
        <v>3702</v>
      </c>
      <c r="H40" s="238" t="s">
        <v>96</v>
      </c>
      <c r="I40" s="238" t="s">
        <v>96</v>
      </c>
      <c r="J40" s="238" t="s">
        <v>96</v>
      </c>
      <c r="K40" s="238" t="s">
        <v>96</v>
      </c>
      <c r="L40" s="238" t="s">
        <v>9620</v>
      </c>
      <c r="M40" s="238" t="s">
        <v>368</v>
      </c>
      <c r="N40" s="238" t="s">
        <v>9621</v>
      </c>
      <c r="O40" s="238" t="s">
        <v>9622</v>
      </c>
      <c r="P40" s="238" t="s">
        <v>263</v>
      </c>
      <c r="Q40" s="238" t="s">
        <v>9623</v>
      </c>
      <c r="R40" s="238">
        <v>5</v>
      </c>
      <c r="S40" s="238" t="s">
        <v>263</v>
      </c>
      <c r="T40" s="238" t="s">
        <v>9134</v>
      </c>
      <c r="U40" s="238" t="s">
        <v>9133</v>
      </c>
      <c r="V40" s="238" t="s">
        <v>9624</v>
      </c>
      <c r="W40" s="238" t="s">
        <v>9136</v>
      </c>
      <c r="X40" s="238" t="s">
        <v>9625</v>
      </c>
      <c r="Y40" s="238" t="s">
        <v>9626</v>
      </c>
      <c r="Z40" s="238" t="s">
        <v>9627</v>
      </c>
      <c r="AA40" s="238" t="s">
        <v>9628</v>
      </c>
      <c r="AB40" s="238" t="s">
        <v>1238</v>
      </c>
      <c r="AC40" s="238" t="s">
        <v>9629</v>
      </c>
      <c r="AD40" s="238" t="s">
        <v>9136</v>
      </c>
      <c r="AE40" s="238" t="s">
        <v>9630</v>
      </c>
      <c r="AF40" s="238">
        <v>3</v>
      </c>
      <c r="AG40" s="238" t="s">
        <v>263</v>
      </c>
      <c r="AH40" s="238" t="s">
        <v>368</v>
      </c>
      <c r="AI40" s="238" t="s">
        <v>9191</v>
      </c>
      <c r="AJ40" s="238" t="s">
        <v>9631</v>
      </c>
      <c r="AK40" s="238" t="s">
        <v>263</v>
      </c>
      <c r="AL40" s="238" t="s">
        <v>9130</v>
      </c>
      <c r="AM40" s="238" t="s">
        <v>263</v>
      </c>
      <c r="AN40" s="238" t="s">
        <v>263</v>
      </c>
      <c r="AO40" s="238" t="s">
        <v>9131</v>
      </c>
    </row>
    <row r="41" spans="1:47" ht="15.75" customHeight="1" x14ac:dyDescent="0.2">
      <c r="B41" s="239">
        <v>44704.532858877312</v>
      </c>
      <c r="C41" s="238">
        <v>20</v>
      </c>
      <c r="D41" s="238" t="s">
        <v>97</v>
      </c>
      <c r="E41" s="238">
        <v>3312231703</v>
      </c>
      <c r="F41" s="238" t="s">
        <v>95</v>
      </c>
      <c r="G41" s="238" t="s">
        <v>9632</v>
      </c>
      <c r="H41" s="238" t="s">
        <v>9633</v>
      </c>
      <c r="I41" s="238" t="s">
        <v>9632</v>
      </c>
      <c r="J41" s="238" t="s">
        <v>9634</v>
      </c>
      <c r="K41" s="238" t="s">
        <v>9633</v>
      </c>
      <c r="L41" s="238" t="s">
        <v>9635</v>
      </c>
      <c r="M41" s="238" t="s">
        <v>263</v>
      </c>
      <c r="N41" s="238" t="s">
        <v>9123</v>
      </c>
      <c r="O41" s="238" t="s">
        <v>9131</v>
      </c>
      <c r="P41" s="238" t="s">
        <v>9636</v>
      </c>
      <c r="Q41" s="238" t="s">
        <v>9637</v>
      </c>
      <c r="R41" s="238">
        <v>1</v>
      </c>
      <c r="S41" s="238" t="s">
        <v>285</v>
      </c>
      <c r="T41" s="238" t="s">
        <v>9133</v>
      </c>
      <c r="U41" s="238" t="s">
        <v>41</v>
      </c>
      <c r="V41" s="238" t="s">
        <v>9638</v>
      </c>
      <c r="W41" s="238" t="s">
        <v>9639</v>
      </c>
      <c r="X41" s="238" t="s">
        <v>9640</v>
      </c>
      <c r="Y41" s="238" t="s">
        <v>9159</v>
      </c>
      <c r="Z41" s="238" t="s">
        <v>9641</v>
      </c>
      <c r="AA41" s="238" t="s">
        <v>9642</v>
      </c>
      <c r="AB41" s="238" t="s">
        <v>9204</v>
      </c>
      <c r="AC41" s="238" t="s">
        <v>9643</v>
      </c>
      <c r="AD41" s="238" t="s">
        <v>9644</v>
      </c>
      <c r="AE41" s="238" t="s">
        <v>9204</v>
      </c>
      <c r="AF41" s="238">
        <v>1</v>
      </c>
      <c r="AG41" s="238" t="s">
        <v>263</v>
      </c>
      <c r="AH41" s="238">
        <v>2</v>
      </c>
      <c r="AI41" s="238">
        <v>1</v>
      </c>
      <c r="AJ41" s="238">
        <v>100</v>
      </c>
      <c r="AK41" s="238" t="s">
        <v>263</v>
      </c>
      <c r="AL41" s="238" t="s">
        <v>9130</v>
      </c>
      <c r="AM41" s="238" t="s">
        <v>9645</v>
      </c>
      <c r="AN41" s="238" t="s">
        <v>9646</v>
      </c>
      <c r="AO41" s="238" t="s">
        <v>9647</v>
      </c>
    </row>
    <row r="42" spans="1:47" ht="15.75" customHeight="1" x14ac:dyDescent="0.2">
      <c r="B42" s="239">
        <v>44706.798066087962</v>
      </c>
      <c r="C42" s="238" t="s">
        <v>1845</v>
      </c>
      <c r="D42" s="238" t="s">
        <v>97</v>
      </c>
      <c r="E42" s="238">
        <v>3334509789</v>
      </c>
      <c r="F42" s="238" t="s">
        <v>95</v>
      </c>
      <c r="G42" s="238" t="s">
        <v>9154</v>
      </c>
      <c r="H42" s="238" t="s">
        <v>96</v>
      </c>
      <c r="I42" s="238" t="s">
        <v>96</v>
      </c>
      <c r="J42" s="238" t="s">
        <v>96</v>
      </c>
      <c r="K42" s="238" t="s">
        <v>96</v>
      </c>
      <c r="L42" s="238" t="s">
        <v>6848</v>
      </c>
      <c r="M42" s="238" t="s">
        <v>263</v>
      </c>
      <c r="N42" s="238" t="s">
        <v>9123</v>
      </c>
      <c r="O42" s="238" t="s">
        <v>9131</v>
      </c>
      <c r="P42" s="238" t="s">
        <v>263</v>
      </c>
      <c r="Q42" s="238" t="s">
        <v>9648</v>
      </c>
      <c r="R42" s="238">
        <v>0</v>
      </c>
      <c r="S42" s="238" t="s">
        <v>285</v>
      </c>
      <c r="T42" s="238" t="s">
        <v>9488</v>
      </c>
      <c r="U42" s="238" t="s">
        <v>9269</v>
      </c>
      <c r="V42" s="238" t="s">
        <v>9649</v>
      </c>
      <c r="W42" s="238" t="s">
        <v>9650</v>
      </c>
      <c r="X42" s="238" t="s">
        <v>9649</v>
      </c>
      <c r="Y42" s="238" t="s">
        <v>9651</v>
      </c>
      <c r="Z42" s="238" t="s">
        <v>9649</v>
      </c>
      <c r="AA42" s="238" t="s">
        <v>9652</v>
      </c>
      <c r="AB42" s="238" t="s">
        <v>9653</v>
      </c>
      <c r="AC42" s="238" t="s">
        <v>9654</v>
      </c>
      <c r="AD42" s="238" t="s">
        <v>9651</v>
      </c>
      <c r="AE42" s="238" t="s">
        <v>9649</v>
      </c>
      <c r="AF42" s="238">
        <v>5</v>
      </c>
      <c r="AG42" s="238" t="s">
        <v>263</v>
      </c>
      <c r="AH42" s="238">
        <v>6</v>
      </c>
      <c r="AI42" s="238">
        <v>1</v>
      </c>
      <c r="AJ42" s="238" t="s">
        <v>9383</v>
      </c>
      <c r="AK42" s="238" t="s">
        <v>285</v>
      </c>
      <c r="AL42" s="238">
        <v>4</v>
      </c>
      <c r="AM42" s="238" t="s">
        <v>263</v>
      </c>
      <c r="AN42" s="238" t="s">
        <v>9655</v>
      </c>
      <c r="AO42" s="238" t="s">
        <v>9656</v>
      </c>
    </row>
    <row r="43" spans="1:47" ht="15.75" customHeight="1" x14ac:dyDescent="0.2">
      <c r="B43" s="239">
        <v>44719.565352696758</v>
      </c>
      <c r="C43" s="238">
        <v>26</v>
      </c>
      <c r="D43" s="238" t="s">
        <v>9264</v>
      </c>
      <c r="E43" s="238">
        <v>3325388298</v>
      </c>
      <c r="F43" s="238" t="s">
        <v>95</v>
      </c>
      <c r="G43" s="238" t="s">
        <v>9154</v>
      </c>
      <c r="H43" s="238" t="s">
        <v>9657</v>
      </c>
      <c r="I43" s="238" t="s">
        <v>100</v>
      </c>
      <c r="J43" s="238" t="s">
        <v>9154</v>
      </c>
      <c r="K43" s="238" t="s">
        <v>9657</v>
      </c>
      <c r="L43" s="238" t="s">
        <v>9658</v>
      </c>
      <c r="M43" s="238" t="s">
        <v>263</v>
      </c>
      <c r="N43" s="238" t="s">
        <v>9123</v>
      </c>
      <c r="O43" s="238" t="s">
        <v>9131</v>
      </c>
      <c r="P43" s="238" t="s">
        <v>263</v>
      </c>
      <c r="Q43" s="238" t="s">
        <v>9659</v>
      </c>
      <c r="R43" s="238">
        <v>0</v>
      </c>
      <c r="S43" s="238" t="s">
        <v>285</v>
      </c>
      <c r="T43" s="238" t="s">
        <v>9133</v>
      </c>
      <c r="U43" s="238" t="s">
        <v>21</v>
      </c>
      <c r="V43" s="238" t="s">
        <v>9660</v>
      </c>
      <c r="W43" s="238" t="s">
        <v>9661</v>
      </c>
      <c r="X43" s="238" t="s">
        <v>9662</v>
      </c>
      <c r="Y43" s="238" t="s">
        <v>278</v>
      </c>
      <c r="Z43" s="238" t="s">
        <v>9644</v>
      </c>
      <c r="AA43" s="238" t="s">
        <v>59</v>
      </c>
      <c r="AB43" s="238" t="s">
        <v>277</v>
      </c>
      <c r="AC43" s="238" t="s">
        <v>9663</v>
      </c>
      <c r="AD43" s="238" t="s">
        <v>9664</v>
      </c>
      <c r="AE43" s="238" t="s">
        <v>9644</v>
      </c>
      <c r="AF43" s="238">
        <v>5</v>
      </c>
      <c r="AG43" s="238" t="s">
        <v>263</v>
      </c>
      <c r="AH43" s="238">
        <v>0</v>
      </c>
      <c r="AI43" s="238">
        <v>0</v>
      </c>
      <c r="AJ43" s="238">
        <v>150</v>
      </c>
      <c r="AK43" s="238" t="s">
        <v>263</v>
      </c>
      <c r="AL43" s="238" t="s">
        <v>9130</v>
      </c>
      <c r="AM43" s="238" t="s">
        <v>263</v>
      </c>
      <c r="AN43" s="238" t="s">
        <v>3583</v>
      </c>
      <c r="AO43" s="238" t="s">
        <v>9665</v>
      </c>
    </row>
    <row r="44" spans="1:47" ht="15.75" customHeight="1" x14ac:dyDescent="0.2">
      <c r="A44" t="s">
        <v>8291</v>
      </c>
      <c r="B44" s="239">
        <v>44720.530945497681</v>
      </c>
      <c r="C44" s="238" t="s">
        <v>9666</v>
      </c>
      <c r="D44" s="238" t="s">
        <v>9667</v>
      </c>
      <c r="E44" s="238">
        <v>3312819856</v>
      </c>
      <c r="F44" s="238" t="s">
        <v>95</v>
      </c>
      <c r="G44" s="238" t="s">
        <v>9668</v>
      </c>
      <c r="H44" s="238" t="s">
        <v>9668</v>
      </c>
      <c r="I44" s="238" t="s">
        <v>9669</v>
      </c>
      <c r="J44" s="238" t="s">
        <v>5024</v>
      </c>
      <c r="K44" s="238" t="s">
        <v>96</v>
      </c>
      <c r="L44" s="238" t="s">
        <v>9670</v>
      </c>
      <c r="M44" s="238" t="s">
        <v>263</v>
      </c>
      <c r="N44" s="238" t="s">
        <v>9369</v>
      </c>
      <c r="O44" s="238" t="s">
        <v>9622</v>
      </c>
      <c r="P44" s="238" t="s">
        <v>9671</v>
      </c>
      <c r="Q44" s="238" t="s">
        <v>9672</v>
      </c>
      <c r="R44" s="238">
        <v>5</v>
      </c>
      <c r="S44" s="238" t="s">
        <v>263</v>
      </c>
      <c r="T44" s="238" t="s">
        <v>9123</v>
      </c>
      <c r="U44" s="238" t="s">
        <v>9673</v>
      </c>
      <c r="V44" s="238" t="s">
        <v>9457</v>
      </c>
      <c r="W44" s="238" t="s">
        <v>9136</v>
      </c>
      <c r="X44" s="238" t="s">
        <v>9674</v>
      </c>
      <c r="Y44" s="238" t="s">
        <v>9204</v>
      </c>
      <c r="Z44" s="238" t="s">
        <v>9675</v>
      </c>
      <c r="AA44" s="238" t="s">
        <v>9676</v>
      </c>
      <c r="AB44" s="238" t="s">
        <v>9136</v>
      </c>
      <c r="AC44" s="238" t="s">
        <v>1534</v>
      </c>
      <c r="AD44" s="238" t="s">
        <v>9204</v>
      </c>
      <c r="AE44" s="238" t="s">
        <v>9354</v>
      </c>
      <c r="AF44" s="238">
        <v>4</v>
      </c>
      <c r="AG44" s="238" t="s">
        <v>263</v>
      </c>
      <c r="AH44" s="238" t="s">
        <v>9123</v>
      </c>
      <c r="AI44" s="238">
        <v>5</v>
      </c>
      <c r="AJ44" s="238" t="s">
        <v>9677</v>
      </c>
      <c r="AK44" s="238" t="s">
        <v>263</v>
      </c>
      <c r="AL44" s="238" t="s">
        <v>9130</v>
      </c>
      <c r="AM44" s="238" t="s">
        <v>263</v>
      </c>
      <c r="AN44" s="238" t="s">
        <v>263</v>
      </c>
      <c r="AO44" s="238" t="s">
        <v>9131</v>
      </c>
    </row>
    <row r="45" spans="1:47" ht="15.75" customHeight="1" x14ac:dyDescent="0.2">
      <c r="B45" s="239">
        <v>44720.602881481478</v>
      </c>
      <c r="C45" s="238">
        <v>45</v>
      </c>
      <c r="D45" s="238" t="s">
        <v>9678</v>
      </c>
      <c r="E45" s="238">
        <v>3311422841</v>
      </c>
      <c r="F45" s="238" t="s">
        <v>95</v>
      </c>
      <c r="G45" s="238" t="s">
        <v>9154</v>
      </c>
      <c r="H45" s="238" t="s">
        <v>155</v>
      </c>
      <c r="I45" s="238" t="s">
        <v>9154</v>
      </c>
      <c r="J45" s="238" t="s">
        <v>9154</v>
      </c>
      <c r="K45" s="238" t="s">
        <v>155</v>
      </c>
      <c r="L45" s="238" t="s">
        <v>9679</v>
      </c>
      <c r="M45" s="238" t="s">
        <v>263</v>
      </c>
      <c r="N45" s="238" t="s">
        <v>9155</v>
      </c>
      <c r="O45" s="238" t="s">
        <v>9131</v>
      </c>
      <c r="P45" s="238" t="s">
        <v>9680</v>
      </c>
      <c r="Q45" s="238" t="s">
        <v>9681</v>
      </c>
      <c r="R45" s="238">
        <v>1</v>
      </c>
      <c r="S45" s="238" t="s">
        <v>285</v>
      </c>
      <c r="T45" s="238" t="s">
        <v>39</v>
      </c>
      <c r="U45" s="238" t="s">
        <v>9682</v>
      </c>
      <c r="V45" s="238" t="s">
        <v>9683</v>
      </c>
      <c r="W45" s="238" t="s">
        <v>9684</v>
      </c>
      <c r="X45" s="238" t="s">
        <v>9684</v>
      </c>
      <c r="Y45" s="238" t="s">
        <v>9685</v>
      </c>
      <c r="Z45" s="238" t="s">
        <v>9686</v>
      </c>
      <c r="AA45" s="238" t="s">
        <v>9687</v>
      </c>
      <c r="AC45" s="238" t="s">
        <v>9684</v>
      </c>
      <c r="AD45" s="238" t="s">
        <v>9688</v>
      </c>
      <c r="AE45" s="238" t="s">
        <v>9689</v>
      </c>
      <c r="AF45" s="238">
        <v>3</v>
      </c>
      <c r="AG45" s="238" t="s">
        <v>263</v>
      </c>
      <c r="AH45" s="238" t="s">
        <v>9690</v>
      </c>
      <c r="AI45" s="238">
        <v>2</v>
      </c>
      <c r="AJ45" s="238">
        <v>200</v>
      </c>
      <c r="AK45" s="238" t="s">
        <v>285</v>
      </c>
      <c r="AL45" s="238">
        <v>3</v>
      </c>
      <c r="AM45" s="238" t="s">
        <v>5694</v>
      </c>
      <c r="AN45" s="238" t="s">
        <v>5694</v>
      </c>
      <c r="AO45" s="238" t="s">
        <v>9691</v>
      </c>
    </row>
    <row r="46" spans="1:47" ht="15.75" customHeight="1" x14ac:dyDescent="0.2">
      <c r="B46" s="239">
        <v>44721.417049282405</v>
      </c>
      <c r="C46" s="238">
        <v>54</v>
      </c>
      <c r="D46" s="238" t="s">
        <v>4268</v>
      </c>
      <c r="E46" s="238">
        <v>3316974122</v>
      </c>
      <c r="F46" s="238" t="s">
        <v>95</v>
      </c>
      <c r="G46" s="238" t="s">
        <v>96</v>
      </c>
      <c r="H46" s="238" t="s">
        <v>96</v>
      </c>
      <c r="I46" s="238" t="s">
        <v>96</v>
      </c>
      <c r="J46" s="238" t="s">
        <v>96</v>
      </c>
      <c r="K46" s="238" t="s">
        <v>96</v>
      </c>
      <c r="L46" s="238" t="s">
        <v>9692</v>
      </c>
      <c r="M46" s="238" t="s">
        <v>263</v>
      </c>
      <c r="N46" s="238" t="s">
        <v>9123</v>
      </c>
      <c r="O46" s="238" t="s">
        <v>9131</v>
      </c>
      <c r="P46" s="238" t="s">
        <v>9693</v>
      </c>
      <c r="Q46" s="238" t="s">
        <v>9694</v>
      </c>
      <c r="R46" s="238" t="s">
        <v>9131</v>
      </c>
      <c r="S46" s="238" t="s">
        <v>263</v>
      </c>
      <c r="T46" s="238" t="s">
        <v>9134</v>
      </c>
      <c r="U46" s="238" t="s">
        <v>9695</v>
      </c>
      <c r="V46" s="238" t="s">
        <v>9696</v>
      </c>
      <c r="W46" s="238" t="s">
        <v>9697</v>
      </c>
      <c r="X46" s="238" t="s">
        <v>9698</v>
      </c>
      <c r="Y46" s="238" t="s">
        <v>9136</v>
      </c>
      <c r="Z46" s="238" t="s">
        <v>9699</v>
      </c>
      <c r="AA46" s="238" t="s">
        <v>9700</v>
      </c>
      <c r="AB46" s="238" t="s">
        <v>9701</v>
      </c>
      <c r="AC46" s="238" t="s">
        <v>9702</v>
      </c>
      <c r="AD46" s="238" t="s">
        <v>9136</v>
      </c>
      <c r="AE46" s="238" t="s">
        <v>9703</v>
      </c>
      <c r="AF46" s="238">
        <v>5</v>
      </c>
      <c r="AG46" s="238" t="s">
        <v>263</v>
      </c>
      <c r="AH46" s="238" t="s">
        <v>9704</v>
      </c>
      <c r="AI46" s="238" t="s">
        <v>9705</v>
      </c>
      <c r="AJ46" s="238" t="s">
        <v>9706</v>
      </c>
      <c r="AK46" s="238" t="s">
        <v>285</v>
      </c>
      <c r="AL46" s="238">
        <v>3</v>
      </c>
      <c r="AM46" s="238" t="s">
        <v>263</v>
      </c>
      <c r="AN46" s="238" t="s">
        <v>9707</v>
      </c>
      <c r="AO46" s="238" t="s">
        <v>9708</v>
      </c>
    </row>
    <row r="47" spans="1:47" ht="15.75" customHeight="1" x14ac:dyDescent="0.2">
      <c r="A47" t="s">
        <v>8290</v>
      </c>
      <c r="B47" s="239">
        <v>44723.484197129626</v>
      </c>
      <c r="C47" s="238">
        <v>40</v>
      </c>
      <c r="D47" s="238" t="s">
        <v>9709</v>
      </c>
      <c r="E47" s="238">
        <v>3332325827</v>
      </c>
      <c r="F47" s="238" t="s">
        <v>95</v>
      </c>
      <c r="G47" s="238" t="s">
        <v>96</v>
      </c>
      <c r="H47" s="238" t="s">
        <v>96</v>
      </c>
      <c r="I47" s="238" t="s">
        <v>9154</v>
      </c>
      <c r="J47" s="238" t="s">
        <v>9710</v>
      </c>
      <c r="K47" s="238" t="s">
        <v>9711</v>
      </c>
      <c r="L47" s="238" t="s">
        <v>9212</v>
      </c>
      <c r="M47" s="238" t="s">
        <v>263</v>
      </c>
      <c r="N47" s="238" t="s">
        <v>9155</v>
      </c>
      <c r="O47" s="238" t="s">
        <v>9131</v>
      </c>
      <c r="P47" s="238" t="s">
        <v>263</v>
      </c>
      <c r="Q47" s="238" t="s">
        <v>9712</v>
      </c>
      <c r="R47" s="238">
        <v>3</v>
      </c>
      <c r="S47" s="238" t="s">
        <v>285</v>
      </c>
      <c r="T47" s="238" t="s">
        <v>9713</v>
      </c>
      <c r="U47" s="238" t="s">
        <v>9714</v>
      </c>
      <c r="V47" s="238" t="s">
        <v>9715</v>
      </c>
      <c r="W47" s="238" t="s">
        <v>9716</v>
      </c>
      <c r="X47" s="238" t="s">
        <v>9717</v>
      </c>
      <c r="Y47" s="238" t="s">
        <v>9718</v>
      </c>
      <c r="Z47" s="238" t="s">
        <v>9719</v>
      </c>
      <c r="AA47" s="238" t="s">
        <v>9720</v>
      </c>
      <c r="AB47" s="238" t="s">
        <v>6629</v>
      </c>
      <c r="AC47" s="238" t="s">
        <v>9721</v>
      </c>
      <c r="AD47" s="238" t="s">
        <v>9718</v>
      </c>
      <c r="AE47" s="238" t="s">
        <v>9722</v>
      </c>
      <c r="AF47" s="238">
        <v>3</v>
      </c>
      <c r="AG47" s="238" t="s">
        <v>285</v>
      </c>
      <c r="AH47" s="238">
        <v>1</v>
      </c>
      <c r="AI47" s="238" t="s">
        <v>9723</v>
      </c>
      <c r="AJ47" s="238">
        <v>100</v>
      </c>
      <c r="AK47" s="238" t="s">
        <v>263</v>
      </c>
      <c r="AL47" s="238" t="s">
        <v>9130</v>
      </c>
      <c r="AM47" s="238" t="s">
        <v>9724</v>
      </c>
      <c r="AN47" s="238" t="s">
        <v>263</v>
      </c>
      <c r="AO47" s="238" t="s">
        <v>9725</v>
      </c>
    </row>
    <row r="48" spans="1:47" ht="15.75" customHeight="1" x14ac:dyDescent="0.2">
      <c r="A48" t="s">
        <v>8283</v>
      </c>
      <c r="B48" s="239">
        <v>44724.522180891203</v>
      </c>
      <c r="C48" s="238">
        <v>45</v>
      </c>
      <c r="D48" s="238" t="s">
        <v>9726</v>
      </c>
      <c r="E48" s="238">
        <v>3313258536</v>
      </c>
      <c r="F48" s="238" t="s">
        <v>95</v>
      </c>
      <c r="G48" s="238" t="s">
        <v>96</v>
      </c>
      <c r="H48" s="238" t="s">
        <v>96</v>
      </c>
      <c r="I48" s="238" t="s">
        <v>96</v>
      </c>
      <c r="J48" s="238" t="s">
        <v>96</v>
      </c>
      <c r="K48" s="238" t="s">
        <v>318</v>
      </c>
      <c r="L48" s="238" t="s">
        <v>9401</v>
      </c>
      <c r="M48" s="238" t="s">
        <v>368</v>
      </c>
      <c r="N48" s="238" t="s">
        <v>9155</v>
      </c>
      <c r="O48" s="238" t="s">
        <v>9131</v>
      </c>
      <c r="P48" s="238" t="s">
        <v>9727</v>
      </c>
      <c r="Q48" s="238" t="s">
        <v>9131</v>
      </c>
      <c r="R48" s="238">
        <v>3</v>
      </c>
      <c r="S48" s="238" t="s">
        <v>285</v>
      </c>
      <c r="T48" s="238" t="s">
        <v>9728</v>
      </c>
      <c r="U48" s="238" t="s">
        <v>9682</v>
      </c>
      <c r="V48" s="238" t="s">
        <v>1437</v>
      </c>
      <c r="W48" s="238" t="s">
        <v>9204</v>
      </c>
      <c r="X48" s="238" t="s">
        <v>9204</v>
      </c>
      <c r="Y48" s="238" t="s">
        <v>9204</v>
      </c>
      <c r="Z48" s="238" t="s">
        <v>9729</v>
      </c>
      <c r="AA48" s="238" t="s">
        <v>1437</v>
      </c>
      <c r="AB48" s="238" t="s">
        <v>9204</v>
      </c>
      <c r="AC48" s="238" t="s">
        <v>9204</v>
      </c>
      <c r="AD48" s="238" t="s">
        <v>9204</v>
      </c>
      <c r="AE48" s="238" t="s">
        <v>9730</v>
      </c>
      <c r="AF48" s="238">
        <v>2</v>
      </c>
      <c r="AG48" s="238" t="s">
        <v>263</v>
      </c>
      <c r="AH48" s="238" t="s">
        <v>9723</v>
      </c>
      <c r="AI48" s="238" t="s">
        <v>9731</v>
      </c>
      <c r="AJ48" s="238">
        <v>150</v>
      </c>
      <c r="AK48" s="238" t="s">
        <v>285</v>
      </c>
      <c r="AL48" s="238">
        <v>6</v>
      </c>
      <c r="AM48" s="238" t="s">
        <v>263</v>
      </c>
      <c r="AN48" s="238" t="s">
        <v>263</v>
      </c>
      <c r="AO48" s="238" t="s">
        <v>9732</v>
      </c>
    </row>
    <row r="49" spans="1:41" ht="15.75" customHeight="1" x14ac:dyDescent="0.2">
      <c r="A49" t="s">
        <v>8306</v>
      </c>
      <c r="B49" s="239">
        <v>44724.537297511575</v>
      </c>
      <c r="C49" s="238">
        <v>22</v>
      </c>
      <c r="D49" s="238" t="s">
        <v>9264</v>
      </c>
      <c r="E49" s="238">
        <v>3314791679</v>
      </c>
      <c r="F49" s="238" t="s">
        <v>95</v>
      </c>
      <c r="G49" s="238" t="s">
        <v>96</v>
      </c>
      <c r="H49" s="238" t="s">
        <v>96</v>
      </c>
      <c r="I49" s="238" t="s">
        <v>96</v>
      </c>
      <c r="J49" s="238" t="s">
        <v>96</v>
      </c>
      <c r="K49" s="238" t="s">
        <v>96</v>
      </c>
      <c r="L49" s="238" t="s">
        <v>5205</v>
      </c>
      <c r="M49" s="238" t="s">
        <v>263</v>
      </c>
      <c r="N49" s="238" t="s">
        <v>9123</v>
      </c>
      <c r="O49" s="238" t="s">
        <v>9131</v>
      </c>
      <c r="P49" s="238" t="s">
        <v>9733</v>
      </c>
      <c r="Q49" s="238" t="s">
        <v>9734</v>
      </c>
      <c r="R49" s="238">
        <v>0</v>
      </c>
      <c r="S49" s="238" t="s">
        <v>285</v>
      </c>
      <c r="T49" s="238" t="s">
        <v>9133</v>
      </c>
      <c r="U49" s="238" t="s">
        <v>9133</v>
      </c>
      <c r="V49" s="238" t="s">
        <v>9735</v>
      </c>
      <c r="W49" s="238" t="s">
        <v>9131</v>
      </c>
      <c r="X49" s="238" t="s">
        <v>9736</v>
      </c>
      <c r="Y49" s="238" t="s">
        <v>9131</v>
      </c>
      <c r="Z49" s="238" t="s">
        <v>9354</v>
      </c>
      <c r="AA49" s="238" t="s">
        <v>9737</v>
      </c>
      <c r="AB49" s="238" t="s">
        <v>9159</v>
      </c>
      <c r="AC49" s="238" t="s">
        <v>9159</v>
      </c>
      <c r="AD49" s="238" t="s">
        <v>9204</v>
      </c>
      <c r="AE49" s="238" t="s">
        <v>9738</v>
      </c>
      <c r="AF49" s="238">
        <v>2</v>
      </c>
      <c r="AG49" s="238" t="s">
        <v>263</v>
      </c>
      <c r="AH49" s="238">
        <v>0</v>
      </c>
      <c r="AI49" s="238">
        <v>0</v>
      </c>
      <c r="AJ49" s="238">
        <v>200</v>
      </c>
      <c r="AK49" s="238" t="s">
        <v>285</v>
      </c>
      <c r="AL49" s="238">
        <v>5</v>
      </c>
      <c r="AM49" s="238" t="s">
        <v>60</v>
      </c>
      <c r="AN49" s="238" t="s">
        <v>263</v>
      </c>
      <c r="AO49" s="238" t="s">
        <v>6948</v>
      </c>
    </row>
    <row r="50" spans="1:41" x14ac:dyDescent="0.2">
      <c r="A50" t="s">
        <v>8308</v>
      </c>
      <c r="B50" s="239">
        <v>44729.591096192133</v>
      </c>
      <c r="C50" s="238">
        <v>22</v>
      </c>
      <c r="D50" s="238" t="s">
        <v>9264</v>
      </c>
      <c r="E50" s="238">
        <v>3325375050</v>
      </c>
      <c r="F50" s="238" t="s">
        <v>95</v>
      </c>
      <c r="G50" s="238" t="s">
        <v>96</v>
      </c>
      <c r="H50" s="238" t="s">
        <v>9154</v>
      </c>
      <c r="I50" s="238" t="s">
        <v>9154</v>
      </c>
      <c r="J50" s="238" t="s">
        <v>9739</v>
      </c>
      <c r="K50" s="238" t="s">
        <v>9154</v>
      </c>
      <c r="L50" s="238" t="s">
        <v>162</v>
      </c>
      <c r="M50" s="238" t="s">
        <v>368</v>
      </c>
      <c r="N50" s="238" t="s">
        <v>9123</v>
      </c>
      <c r="O50" s="238" t="s">
        <v>9131</v>
      </c>
      <c r="P50" s="238" t="s">
        <v>162</v>
      </c>
      <c r="Q50" s="238" t="s">
        <v>9740</v>
      </c>
      <c r="R50" s="238">
        <v>0</v>
      </c>
      <c r="S50" s="238" t="s">
        <v>285</v>
      </c>
      <c r="T50" s="238" t="s">
        <v>9741</v>
      </c>
      <c r="U50" s="238" t="s">
        <v>9181</v>
      </c>
      <c r="V50" s="238" t="s">
        <v>9742</v>
      </c>
      <c r="W50" s="238" t="s">
        <v>9743</v>
      </c>
      <c r="X50" s="238" t="s">
        <v>9744</v>
      </c>
      <c r="Y50" s="238" t="s">
        <v>9745</v>
      </c>
      <c r="Z50" s="238" t="s">
        <v>162</v>
      </c>
      <c r="AA50" s="238" t="s">
        <v>9746</v>
      </c>
      <c r="AB50" s="238" t="s">
        <v>9747</v>
      </c>
      <c r="AC50" s="238" t="s">
        <v>9748</v>
      </c>
      <c r="AD50" s="238" t="s">
        <v>9749</v>
      </c>
      <c r="AE50" s="238" t="s">
        <v>162</v>
      </c>
      <c r="AF50" s="238">
        <v>4</v>
      </c>
      <c r="AG50" s="238" t="s">
        <v>263</v>
      </c>
      <c r="AH50" s="238">
        <v>0</v>
      </c>
      <c r="AI50" s="238">
        <v>0</v>
      </c>
      <c r="AJ50" s="238">
        <v>0</v>
      </c>
      <c r="AK50" s="238" t="s">
        <v>285</v>
      </c>
      <c r="AL50" s="238">
        <v>6</v>
      </c>
      <c r="AM50" s="238" t="s">
        <v>263</v>
      </c>
      <c r="AN50" s="238" t="s">
        <v>9750</v>
      </c>
      <c r="AO50" s="238" t="s">
        <v>162</v>
      </c>
    </row>
    <row r="51" spans="1:41" x14ac:dyDescent="0.2">
      <c r="A51" t="s">
        <v>8288</v>
      </c>
      <c r="B51" s="239">
        <v>44734.541014918985</v>
      </c>
      <c r="C51" s="238" t="s">
        <v>5119</v>
      </c>
      <c r="D51" s="238" t="s">
        <v>1308</v>
      </c>
      <c r="E51" s="238" t="s">
        <v>9751</v>
      </c>
      <c r="F51" s="238" t="s">
        <v>95</v>
      </c>
      <c r="G51" s="238" t="s">
        <v>96</v>
      </c>
      <c r="H51" s="238" t="s">
        <v>5024</v>
      </c>
      <c r="I51" s="238" t="s">
        <v>96</v>
      </c>
      <c r="J51" s="238" t="s">
        <v>96</v>
      </c>
      <c r="K51" s="238" t="s">
        <v>96</v>
      </c>
      <c r="L51" s="238" t="s">
        <v>9752</v>
      </c>
      <c r="M51" s="238" t="s">
        <v>368</v>
      </c>
      <c r="N51" s="238" t="s">
        <v>9741</v>
      </c>
      <c r="O51" s="238" t="s">
        <v>22</v>
      </c>
      <c r="P51" s="238" t="s">
        <v>483</v>
      </c>
      <c r="Q51" s="238" t="s">
        <v>9753</v>
      </c>
      <c r="R51" s="238">
        <v>2</v>
      </c>
      <c r="S51" s="238" t="s">
        <v>263</v>
      </c>
      <c r="T51" s="238" t="s">
        <v>9754</v>
      </c>
      <c r="U51" s="238" t="s">
        <v>9123</v>
      </c>
      <c r="V51" s="238" t="s">
        <v>9755</v>
      </c>
      <c r="W51" s="238" t="s">
        <v>9756</v>
      </c>
      <c r="X51" s="238" t="s">
        <v>9757</v>
      </c>
      <c r="Y51" s="238" t="s">
        <v>9758</v>
      </c>
      <c r="Z51" s="238" t="s">
        <v>9759</v>
      </c>
      <c r="AA51" s="238" t="s">
        <v>9760</v>
      </c>
      <c r="AB51" s="238" t="s">
        <v>9761</v>
      </c>
      <c r="AC51" s="238" t="s">
        <v>9762</v>
      </c>
      <c r="AD51" s="238" t="s">
        <v>9577</v>
      </c>
      <c r="AE51" s="238" t="s">
        <v>9763</v>
      </c>
      <c r="AF51" s="238">
        <v>4</v>
      </c>
      <c r="AG51" s="238" t="s">
        <v>263</v>
      </c>
      <c r="AH51" s="238" t="s">
        <v>9175</v>
      </c>
      <c r="AI51" s="238" t="s">
        <v>9764</v>
      </c>
      <c r="AJ51" s="238" t="s">
        <v>9765</v>
      </c>
      <c r="AK51" s="238" t="s">
        <v>263</v>
      </c>
      <c r="AL51" s="238" t="s">
        <v>9130</v>
      </c>
      <c r="AM51" s="238" t="s">
        <v>9766</v>
      </c>
      <c r="AN51" s="238" t="s">
        <v>9767</v>
      </c>
      <c r="AO51" s="238" t="s">
        <v>9768</v>
      </c>
    </row>
    <row r="52" spans="1:41" x14ac:dyDescent="0.2">
      <c r="A52" t="s">
        <v>8298</v>
      </c>
      <c r="B52" s="239">
        <v>44734.728503703707</v>
      </c>
      <c r="C52" s="238">
        <v>58</v>
      </c>
      <c r="D52" s="238" t="s">
        <v>9769</v>
      </c>
      <c r="E52" s="238">
        <v>3339552060</v>
      </c>
      <c r="F52" s="238" t="s">
        <v>107</v>
      </c>
      <c r="G52" s="238" t="s">
        <v>1697</v>
      </c>
      <c r="H52" s="238" t="s">
        <v>1697</v>
      </c>
      <c r="I52" s="238" t="s">
        <v>96</v>
      </c>
      <c r="J52" s="238" t="s">
        <v>96</v>
      </c>
      <c r="K52" s="238" t="s">
        <v>1697</v>
      </c>
      <c r="L52" s="238" t="s">
        <v>9770</v>
      </c>
      <c r="M52" s="238" t="s">
        <v>368</v>
      </c>
      <c r="N52" s="238" t="s">
        <v>22</v>
      </c>
      <c r="O52" s="238" t="s">
        <v>22</v>
      </c>
      <c r="P52" s="238" t="s">
        <v>9175</v>
      </c>
      <c r="Q52" s="238" t="s">
        <v>9771</v>
      </c>
      <c r="R52" s="238" t="s">
        <v>9131</v>
      </c>
      <c r="S52" s="238" t="s">
        <v>263</v>
      </c>
      <c r="T52" s="238" t="s">
        <v>9772</v>
      </c>
      <c r="U52" s="238" t="s">
        <v>9773</v>
      </c>
      <c r="V52" s="238" t="s">
        <v>9774</v>
      </c>
      <c r="W52" s="238" t="s">
        <v>9775</v>
      </c>
      <c r="X52" s="238" t="s">
        <v>9776</v>
      </c>
      <c r="Y52" s="238" t="s">
        <v>9777</v>
      </c>
      <c r="Z52" s="238" t="s">
        <v>4158</v>
      </c>
      <c r="AA52" s="238" t="s">
        <v>9778</v>
      </c>
      <c r="AB52" s="238" t="s">
        <v>9779</v>
      </c>
      <c r="AC52" s="238" t="s">
        <v>9780</v>
      </c>
      <c r="AD52" s="238" t="s">
        <v>9781</v>
      </c>
      <c r="AE52" s="238" t="s">
        <v>9782</v>
      </c>
      <c r="AF52" s="238">
        <v>4</v>
      </c>
      <c r="AG52" s="238" t="s">
        <v>263</v>
      </c>
      <c r="AH52" s="238">
        <v>2</v>
      </c>
      <c r="AI52" s="238">
        <v>0</v>
      </c>
      <c r="AJ52" s="238">
        <v>200</v>
      </c>
      <c r="AK52" s="238" t="s">
        <v>285</v>
      </c>
      <c r="AL52" s="238">
        <v>4</v>
      </c>
      <c r="AM52" s="238" t="s">
        <v>483</v>
      </c>
      <c r="AN52" s="238" t="s">
        <v>483</v>
      </c>
      <c r="AO52" s="238" t="s">
        <v>9783</v>
      </c>
    </row>
    <row r="53" spans="1:41" x14ac:dyDescent="0.2">
      <c r="B53" s="239">
        <v>44735.445682673613</v>
      </c>
      <c r="C53" s="238" t="s">
        <v>9784</v>
      </c>
      <c r="D53" s="238" t="s">
        <v>9785</v>
      </c>
      <c r="E53" s="238">
        <v>3319514265</v>
      </c>
      <c r="F53" s="238" t="s">
        <v>95</v>
      </c>
      <c r="G53" s="238" t="s">
        <v>96</v>
      </c>
      <c r="H53" s="238" t="s">
        <v>96</v>
      </c>
      <c r="I53" s="238" t="s">
        <v>96</v>
      </c>
      <c r="J53" s="238" t="s">
        <v>96</v>
      </c>
      <c r="K53" s="238" t="s">
        <v>96</v>
      </c>
      <c r="L53" s="238" t="s">
        <v>7444</v>
      </c>
      <c r="M53" s="238" t="s">
        <v>263</v>
      </c>
      <c r="N53" s="238" t="s">
        <v>9123</v>
      </c>
      <c r="O53" s="238" t="s">
        <v>9131</v>
      </c>
      <c r="P53" s="238" t="s">
        <v>99</v>
      </c>
      <c r="Q53" s="238" t="s">
        <v>4691</v>
      </c>
      <c r="R53" s="238" t="s">
        <v>4691</v>
      </c>
      <c r="S53" s="238" t="s">
        <v>263</v>
      </c>
      <c r="T53" s="238" t="s">
        <v>21</v>
      </c>
      <c r="U53" s="238" t="s">
        <v>39</v>
      </c>
      <c r="V53" s="238" t="s">
        <v>9786</v>
      </c>
      <c r="W53" s="238" t="s">
        <v>9787</v>
      </c>
      <c r="X53" s="238" t="s">
        <v>9788</v>
      </c>
      <c r="Y53" s="238" t="s">
        <v>2487</v>
      </c>
      <c r="Z53" s="238" t="s">
        <v>9789</v>
      </c>
      <c r="AF53" s="238">
        <v>5</v>
      </c>
      <c r="AG53" s="238" t="s">
        <v>285</v>
      </c>
      <c r="AH53" s="238" t="s">
        <v>9790</v>
      </c>
      <c r="AI53" s="238" t="s">
        <v>9790</v>
      </c>
      <c r="AJ53" s="238" t="s">
        <v>9791</v>
      </c>
      <c r="AK53" s="238" t="s">
        <v>263</v>
      </c>
      <c r="AL53" s="238" t="s">
        <v>9130</v>
      </c>
      <c r="AM53" s="238" t="s">
        <v>99</v>
      </c>
      <c r="AN53" s="238" t="s">
        <v>99</v>
      </c>
      <c r="AO53" s="238" t="s">
        <v>8107</v>
      </c>
    </row>
    <row r="54" spans="1:41" x14ac:dyDescent="0.2">
      <c r="A54" t="s">
        <v>8296</v>
      </c>
      <c r="B54" s="239">
        <v>44735.782137870367</v>
      </c>
      <c r="C54" s="238">
        <v>56</v>
      </c>
      <c r="D54" s="238" t="s">
        <v>9792</v>
      </c>
      <c r="E54" s="238">
        <v>3334410415</v>
      </c>
      <c r="F54" s="238" t="s">
        <v>95</v>
      </c>
      <c r="G54" s="238" t="s">
        <v>96</v>
      </c>
      <c r="H54" s="238" t="s">
        <v>96</v>
      </c>
      <c r="I54" s="238" t="s">
        <v>3535</v>
      </c>
      <c r="J54" s="238" t="s">
        <v>3535</v>
      </c>
      <c r="K54" s="238" t="s">
        <v>96</v>
      </c>
      <c r="L54" s="238" t="s">
        <v>9793</v>
      </c>
      <c r="M54" s="238" t="s">
        <v>263</v>
      </c>
      <c r="N54" s="238" t="s">
        <v>9794</v>
      </c>
      <c r="O54" s="238" t="s">
        <v>9131</v>
      </c>
      <c r="P54" s="238" t="s">
        <v>9795</v>
      </c>
      <c r="Q54" s="238" t="s">
        <v>9796</v>
      </c>
      <c r="R54" s="238" t="s">
        <v>9797</v>
      </c>
      <c r="S54" s="238" t="s">
        <v>263</v>
      </c>
      <c r="T54" s="238" t="s">
        <v>9231</v>
      </c>
      <c r="U54" s="238" t="s">
        <v>9798</v>
      </c>
      <c r="V54" s="238" t="s">
        <v>9799</v>
      </c>
      <c r="W54" s="238" t="s">
        <v>9800</v>
      </c>
      <c r="X54" s="238" t="s">
        <v>9801</v>
      </c>
      <c r="Y54" s="238" t="s">
        <v>9802</v>
      </c>
      <c r="Z54" s="238" t="s">
        <v>9803</v>
      </c>
      <c r="AA54" s="238" t="s">
        <v>9804</v>
      </c>
      <c r="AB54" s="238" t="s">
        <v>9805</v>
      </c>
      <c r="AC54" s="238" t="s">
        <v>9805</v>
      </c>
      <c r="AD54" s="238" t="s">
        <v>9805</v>
      </c>
      <c r="AE54" s="238" t="s">
        <v>9805</v>
      </c>
      <c r="AF54" s="238">
        <v>2</v>
      </c>
      <c r="AG54" s="238" t="s">
        <v>263</v>
      </c>
      <c r="AH54" s="238" t="s">
        <v>9806</v>
      </c>
      <c r="AI54" s="238" t="s">
        <v>9807</v>
      </c>
      <c r="AJ54" s="238" t="s">
        <v>9808</v>
      </c>
      <c r="AK54" s="238" t="s">
        <v>285</v>
      </c>
      <c r="AL54" s="238">
        <v>5</v>
      </c>
      <c r="AM54" s="238" t="s">
        <v>9809</v>
      </c>
      <c r="AN54" s="238" t="s">
        <v>9810</v>
      </c>
      <c r="AO54" s="238" t="s">
        <v>9811</v>
      </c>
    </row>
    <row r="55" spans="1:41" x14ac:dyDescent="0.2">
      <c r="A55" t="s">
        <v>8358</v>
      </c>
      <c r="B55" s="239">
        <v>44736.32396454861</v>
      </c>
      <c r="C55" s="238">
        <v>62</v>
      </c>
      <c r="D55" s="238" t="s">
        <v>9812</v>
      </c>
      <c r="E55" s="238">
        <v>3312665532</v>
      </c>
      <c r="F55" s="238" t="s">
        <v>95</v>
      </c>
      <c r="G55" s="238" t="s">
        <v>9813</v>
      </c>
      <c r="H55" s="238" t="s">
        <v>9473</v>
      </c>
      <c r="I55" s="238" t="s">
        <v>3702</v>
      </c>
      <c r="J55" s="238" t="s">
        <v>9473</v>
      </c>
      <c r="K55" s="238" t="s">
        <v>9473</v>
      </c>
      <c r="L55" s="238" t="s">
        <v>9204</v>
      </c>
      <c r="M55" s="238" t="s">
        <v>263</v>
      </c>
      <c r="N55" s="238" t="s">
        <v>9814</v>
      </c>
      <c r="O55" s="238" t="s">
        <v>9815</v>
      </c>
      <c r="P55" s="238" t="s">
        <v>5205</v>
      </c>
      <c r="Q55" s="238" t="s">
        <v>402</v>
      </c>
      <c r="R55" s="238">
        <v>3</v>
      </c>
      <c r="S55" s="238" t="s">
        <v>263</v>
      </c>
      <c r="T55" s="238" t="s">
        <v>21</v>
      </c>
      <c r="U55" s="238" t="s">
        <v>21</v>
      </c>
      <c r="V55" s="238" t="s">
        <v>9816</v>
      </c>
      <c r="W55" s="238" t="s">
        <v>9817</v>
      </c>
      <c r="X55" s="238" t="s">
        <v>9818</v>
      </c>
      <c r="Y55" s="238" t="s">
        <v>9165</v>
      </c>
      <c r="Z55" s="238" t="s">
        <v>9819</v>
      </c>
      <c r="AA55" s="238" t="s">
        <v>9820</v>
      </c>
      <c r="AB55" s="238" t="s">
        <v>9165</v>
      </c>
      <c r="AC55" s="238" t="s">
        <v>9663</v>
      </c>
      <c r="AD55" s="238" t="s">
        <v>9165</v>
      </c>
      <c r="AE55" s="238" t="s">
        <v>9821</v>
      </c>
      <c r="AF55" s="238">
        <v>5</v>
      </c>
      <c r="AG55" s="238" t="s">
        <v>285</v>
      </c>
      <c r="AH55" s="238" t="s">
        <v>9822</v>
      </c>
      <c r="AI55" s="238" t="s">
        <v>9823</v>
      </c>
      <c r="AJ55" s="238">
        <v>100</v>
      </c>
      <c r="AK55" s="238" t="s">
        <v>263</v>
      </c>
      <c r="AL55" s="238" t="s">
        <v>9130</v>
      </c>
      <c r="AM55" s="238" t="s">
        <v>5205</v>
      </c>
      <c r="AN55" s="238" t="s">
        <v>5205</v>
      </c>
      <c r="AO55" s="238" t="s">
        <v>5205</v>
      </c>
    </row>
    <row r="56" spans="1:41" x14ac:dyDescent="0.2">
      <c r="A56" t="s">
        <v>8289</v>
      </c>
      <c r="B56" s="239">
        <v>44740.642329791663</v>
      </c>
      <c r="C56" s="238">
        <v>32</v>
      </c>
      <c r="D56" s="238" t="s">
        <v>9824</v>
      </c>
      <c r="E56" s="238">
        <v>3313607817</v>
      </c>
      <c r="F56" s="238" t="s">
        <v>95</v>
      </c>
      <c r="G56" s="238" t="s">
        <v>96</v>
      </c>
      <c r="H56" s="238" t="s">
        <v>96</v>
      </c>
      <c r="I56" s="238" t="s">
        <v>96</v>
      </c>
      <c r="J56" s="238" t="s">
        <v>605</v>
      </c>
      <c r="K56" s="238" t="s">
        <v>96</v>
      </c>
      <c r="L56" s="238" t="s">
        <v>9825</v>
      </c>
      <c r="M56" s="238" t="s">
        <v>368</v>
      </c>
      <c r="N56" s="238" t="s">
        <v>9155</v>
      </c>
      <c r="O56" s="238" t="s">
        <v>9131</v>
      </c>
      <c r="P56" s="238" t="s">
        <v>9826</v>
      </c>
      <c r="Q56" s="238" t="s">
        <v>9827</v>
      </c>
      <c r="R56" s="238" t="s">
        <v>1103</v>
      </c>
      <c r="S56" s="238" t="s">
        <v>285</v>
      </c>
      <c r="T56" s="238" t="s">
        <v>9269</v>
      </c>
      <c r="U56" s="238" t="s">
        <v>9300</v>
      </c>
      <c r="V56" s="238" t="s">
        <v>9828</v>
      </c>
      <c r="W56" s="238" t="s">
        <v>9829</v>
      </c>
      <c r="X56" s="238" t="s">
        <v>9830</v>
      </c>
      <c r="Y56" s="238" t="s">
        <v>9831</v>
      </c>
      <c r="Z56" s="238" t="s">
        <v>4158</v>
      </c>
      <c r="AA56" s="238" t="s">
        <v>9832</v>
      </c>
      <c r="AB56" s="238" t="s">
        <v>9833</v>
      </c>
      <c r="AC56" s="238" t="s">
        <v>9834</v>
      </c>
      <c r="AD56" s="238" t="s">
        <v>9835</v>
      </c>
      <c r="AE56" s="238" t="s">
        <v>9836</v>
      </c>
      <c r="AF56" s="238">
        <v>5</v>
      </c>
      <c r="AG56" s="238" t="s">
        <v>263</v>
      </c>
      <c r="AH56" s="242" t="s">
        <v>9837</v>
      </c>
      <c r="AI56" s="242" t="s">
        <v>9567</v>
      </c>
      <c r="AJ56" s="238">
        <v>150</v>
      </c>
      <c r="AK56" s="238" t="s">
        <v>263</v>
      </c>
      <c r="AL56" s="238">
        <v>3</v>
      </c>
      <c r="AM56" s="238" t="s">
        <v>483</v>
      </c>
      <c r="AN56" s="238" t="s">
        <v>483</v>
      </c>
      <c r="AO56" s="238" t="s">
        <v>9838</v>
      </c>
    </row>
    <row r="57" spans="1:41" x14ac:dyDescent="0.2">
      <c r="A57" t="s">
        <v>8332</v>
      </c>
      <c r="B57" s="239">
        <v>44740.652223333338</v>
      </c>
      <c r="C57" s="238">
        <v>66</v>
      </c>
      <c r="D57" s="238" t="s">
        <v>314</v>
      </c>
      <c r="E57" s="238" t="s">
        <v>9839</v>
      </c>
      <c r="F57" s="238" t="s">
        <v>107</v>
      </c>
      <c r="G57" s="238" t="s">
        <v>9154</v>
      </c>
      <c r="H57" s="238" t="s">
        <v>96</v>
      </c>
      <c r="I57" s="238" t="s">
        <v>96</v>
      </c>
      <c r="J57" s="238" t="s">
        <v>96</v>
      </c>
      <c r="K57" s="238" t="s">
        <v>96</v>
      </c>
      <c r="L57" s="238" t="s">
        <v>9840</v>
      </c>
      <c r="M57" s="238" t="s">
        <v>368</v>
      </c>
      <c r="N57" s="238" t="s">
        <v>22</v>
      </c>
      <c r="O57" s="238" t="s">
        <v>22</v>
      </c>
      <c r="P57" s="238" t="s">
        <v>263</v>
      </c>
      <c r="Q57" s="238" t="s">
        <v>9841</v>
      </c>
      <c r="T57" s="238" t="s">
        <v>21</v>
      </c>
      <c r="U57" s="238" t="s">
        <v>9123</v>
      </c>
      <c r="V57" s="238" t="s">
        <v>9842</v>
      </c>
      <c r="W57" s="238" t="s">
        <v>9843</v>
      </c>
      <c r="X57" s="238" t="s">
        <v>9844</v>
      </c>
      <c r="Y57" s="238" t="s">
        <v>9845</v>
      </c>
      <c r="Z57" s="238" t="s">
        <v>9846</v>
      </c>
      <c r="AF57" s="238">
        <v>3</v>
      </c>
      <c r="AG57" s="238" t="s">
        <v>285</v>
      </c>
      <c r="AH57" s="238" t="s">
        <v>9847</v>
      </c>
      <c r="AI57" s="238" t="s">
        <v>9212</v>
      </c>
      <c r="AJ57" s="238">
        <v>200</v>
      </c>
      <c r="AK57" s="238" t="s">
        <v>285</v>
      </c>
      <c r="AL57" s="238">
        <v>3</v>
      </c>
      <c r="AM57" s="238" t="s">
        <v>263</v>
      </c>
      <c r="AN57" s="238" t="s">
        <v>263</v>
      </c>
      <c r="AO57" s="238" t="s">
        <v>9131</v>
      </c>
    </row>
    <row r="58" spans="1:41" x14ac:dyDescent="0.2">
      <c r="A58" t="s">
        <v>8307</v>
      </c>
      <c r="B58" s="239">
        <v>44740.936835729168</v>
      </c>
      <c r="C58" s="238">
        <v>59</v>
      </c>
      <c r="D58" s="238" t="s">
        <v>9824</v>
      </c>
      <c r="E58" s="238" t="s">
        <v>9848</v>
      </c>
      <c r="F58" s="238" t="s">
        <v>107</v>
      </c>
      <c r="G58" s="238" t="s">
        <v>9849</v>
      </c>
      <c r="H58" s="238" t="s">
        <v>9850</v>
      </c>
      <c r="I58" s="238" t="s">
        <v>9851</v>
      </c>
      <c r="J58" s="238" t="s">
        <v>9851</v>
      </c>
      <c r="K58" s="238" t="s">
        <v>9400</v>
      </c>
      <c r="L58" s="238" t="s">
        <v>9852</v>
      </c>
      <c r="M58" s="238" t="s">
        <v>368</v>
      </c>
      <c r="N58" s="238" t="s">
        <v>9369</v>
      </c>
      <c r="O58" s="238" t="s">
        <v>22</v>
      </c>
      <c r="P58" s="238" t="s">
        <v>99</v>
      </c>
      <c r="Q58" s="238" t="s">
        <v>9853</v>
      </c>
      <c r="R58" s="238">
        <v>0</v>
      </c>
      <c r="S58" s="238" t="s">
        <v>263</v>
      </c>
      <c r="T58" s="238" t="s">
        <v>9319</v>
      </c>
      <c r="U58" s="238" t="s">
        <v>9673</v>
      </c>
      <c r="V58" s="238" t="s">
        <v>9854</v>
      </c>
      <c r="W58" s="238" t="s">
        <v>9855</v>
      </c>
      <c r="X58" s="238" t="s">
        <v>9856</v>
      </c>
      <c r="Y58" s="238" t="s">
        <v>9857</v>
      </c>
      <c r="Z58" s="238" t="s">
        <v>9858</v>
      </c>
      <c r="AA58" s="238" t="s">
        <v>9859</v>
      </c>
      <c r="AB58" s="238" t="s">
        <v>9857</v>
      </c>
      <c r="AC58" s="238" t="s">
        <v>9860</v>
      </c>
      <c r="AE58" s="238" t="s">
        <v>9861</v>
      </c>
      <c r="AF58" s="238">
        <v>3</v>
      </c>
      <c r="AG58" s="238" t="s">
        <v>263</v>
      </c>
      <c r="AH58" s="238" t="s">
        <v>9862</v>
      </c>
      <c r="AI58" s="238" t="s">
        <v>5493</v>
      </c>
      <c r="AJ58" s="238" t="s">
        <v>9863</v>
      </c>
      <c r="AK58" s="238" t="s">
        <v>263</v>
      </c>
      <c r="AL58" s="238" t="s">
        <v>9130</v>
      </c>
      <c r="AM58" s="238" t="s">
        <v>99</v>
      </c>
      <c r="AN58" s="238" t="s">
        <v>99</v>
      </c>
      <c r="AO58" s="238" t="s">
        <v>9864</v>
      </c>
    </row>
    <row r="59" spans="1:41" x14ac:dyDescent="0.2">
      <c r="A59" t="s">
        <v>8335</v>
      </c>
      <c r="B59" s="239">
        <v>44741.572035937497</v>
      </c>
      <c r="C59" s="238">
        <v>49</v>
      </c>
      <c r="D59" s="238" t="s">
        <v>9865</v>
      </c>
      <c r="E59" s="238">
        <v>3317509959</v>
      </c>
      <c r="F59" s="238" t="s">
        <v>95</v>
      </c>
      <c r="G59" s="238" t="s">
        <v>96</v>
      </c>
      <c r="H59" s="238" t="s">
        <v>96</v>
      </c>
      <c r="I59" s="238" t="s">
        <v>5813</v>
      </c>
      <c r="J59" s="238" t="s">
        <v>5813</v>
      </c>
      <c r="K59" s="238" t="s">
        <v>96</v>
      </c>
      <c r="L59" s="238" t="s">
        <v>9866</v>
      </c>
      <c r="M59" s="238" t="s">
        <v>263</v>
      </c>
      <c r="N59" s="238" t="s">
        <v>22</v>
      </c>
      <c r="O59" s="238" t="s">
        <v>22</v>
      </c>
      <c r="P59" s="238" t="s">
        <v>9867</v>
      </c>
      <c r="Q59" s="238" t="s">
        <v>9868</v>
      </c>
      <c r="R59" s="238" t="s">
        <v>9869</v>
      </c>
      <c r="S59" s="238" t="s">
        <v>263</v>
      </c>
      <c r="T59" s="238" t="s">
        <v>9741</v>
      </c>
      <c r="U59" s="238" t="s">
        <v>4158</v>
      </c>
      <c r="V59" s="238" t="s">
        <v>9870</v>
      </c>
      <c r="W59" s="238" t="s">
        <v>9871</v>
      </c>
      <c r="X59" s="238" t="s">
        <v>9872</v>
      </c>
      <c r="Y59" s="238" t="s">
        <v>9204</v>
      </c>
      <c r="Z59" s="238" t="s">
        <v>9873</v>
      </c>
      <c r="AA59" s="238" t="s">
        <v>9874</v>
      </c>
      <c r="AB59" s="238" t="s">
        <v>9204</v>
      </c>
      <c r="AC59" s="238" t="s">
        <v>9875</v>
      </c>
      <c r="AD59" s="238" t="s">
        <v>9876</v>
      </c>
      <c r="AE59" s="238" t="s">
        <v>9877</v>
      </c>
      <c r="AF59" s="238">
        <v>3</v>
      </c>
      <c r="AG59" s="238" t="s">
        <v>285</v>
      </c>
      <c r="AH59" s="238" t="s">
        <v>9144</v>
      </c>
      <c r="AI59" s="238" t="s">
        <v>9764</v>
      </c>
      <c r="AJ59" s="238" t="s">
        <v>9878</v>
      </c>
      <c r="AK59" s="238" t="s">
        <v>263</v>
      </c>
      <c r="AL59" s="238" t="s">
        <v>9130</v>
      </c>
      <c r="AM59" s="238" t="s">
        <v>263</v>
      </c>
      <c r="AN59" s="238" t="s">
        <v>263</v>
      </c>
      <c r="AO59" s="238" t="s">
        <v>9879</v>
      </c>
    </row>
    <row r="60" spans="1:41" x14ac:dyDescent="0.2">
      <c r="A60" t="s">
        <v>8294</v>
      </c>
      <c r="B60" s="239">
        <v>44743.521379398153</v>
      </c>
      <c r="C60" s="238">
        <v>48</v>
      </c>
      <c r="D60" s="238" t="s">
        <v>9880</v>
      </c>
      <c r="E60" s="238">
        <v>33283207778</v>
      </c>
      <c r="F60" s="238" t="s">
        <v>107</v>
      </c>
      <c r="G60" s="238" t="s">
        <v>100</v>
      </c>
      <c r="H60" s="238" t="s">
        <v>2267</v>
      </c>
      <c r="I60" s="238" t="s">
        <v>100</v>
      </c>
      <c r="J60" s="238" t="s">
        <v>100</v>
      </c>
      <c r="K60" s="238" t="s">
        <v>2267</v>
      </c>
      <c r="L60" s="238" t="s">
        <v>7682</v>
      </c>
      <c r="M60" s="238" t="s">
        <v>368</v>
      </c>
      <c r="N60" s="238" t="s">
        <v>9741</v>
      </c>
      <c r="O60" s="238" t="s">
        <v>9741</v>
      </c>
      <c r="P60" s="238" t="s">
        <v>9881</v>
      </c>
      <c r="Q60" s="238" t="s">
        <v>9882</v>
      </c>
      <c r="T60" s="238" t="s">
        <v>9488</v>
      </c>
      <c r="U60" s="238" t="s">
        <v>22</v>
      </c>
      <c r="V60" s="238" t="s">
        <v>9883</v>
      </c>
      <c r="W60" s="238" t="s">
        <v>9884</v>
      </c>
      <c r="X60" s="238" t="s">
        <v>9885</v>
      </c>
      <c r="Y60" s="238" t="s">
        <v>9886</v>
      </c>
      <c r="Z60" s="238" t="s">
        <v>9887</v>
      </c>
      <c r="AA60" s="238" t="s">
        <v>9888</v>
      </c>
      <c r="AB60" s="238" t="s">
        <v>9886</v>
      </c>
      <c r="AC60" s="238" t="s">
        <v>9889</v>
      </c>
      <c r="AD60" s="238" t="s">
        <v>9890</v>
      </c>
      <c r="AE60" s="238" t="s">
        <v>9891</v>
      </c>
      <c r="AF60" s="238">
        <v>3</v>
      </c>
      <c r="AG60" s="238" t="s">
        <v>263</v>
      </c>
      <c r="AH60" s="238" t="s">
        <v>9892</v>
      </c>
      <c r="AI60" s="238" t="s">
        <v>9893</v>
      </c>
      <c r="AJ60" s="238" t="s">
        <v>9894</v>
      </c>
      <c r="AK60" s="238" t="s">
        <v>285</v>
      </c>
      <c r="AL60" s="238">
        <v>3</v>
      </c>
      <c r="AM60" s="238" t="s">
        <v>99</v>
      </c>
      <c r="AN60" s="238" t="s">
        <v>99</v>
      </c>
      <c r="AO60" s="238" t="s">
        <v>9895</v>
      </c>
    </row>
    <row r="61" spans="1:41" x14ac:dyDescent="0.2">
      <c r="A61" t="s">
        <v>8333</v>
      </c>
      <c r="B61" s="239">
        <v>44743.776574074072</v>
      </c>
      <c r="C61" s="238">
        <v>45</v>
      </c>
      <c r="D61" s="238" t="s">
        <v>1892</v>
      </c>
      <c r="E61" s="238">
        <v>3311415359</v>
      </c>
      <c r="F61" s="238" t="s">
        <v>95</v>
      </c>
      <c r="G61" s="238" t="s">
        <v>9154</v>
      </c>
      <c r="H61" s="238" t="s">
        <v>9154</v>
      </c>
      <c r="I61" s="238" t="s">
        <v>9154</v>
      </c>
      <c r="J61" s="238" t="s">
        <v>9154</v>
      </c>
      <c r="K61" s="238" t="s">
        <v>9154</v>
      </c>
      <c r="L61" s="238" t="s">
        <v>9896</v>
      </c>
      <c r="M61" s="238" t="s">
        <v>368</v>
      </c>
      <c r="N61" s="238" t="s">
        <v>9123</v>
      </c>
      <c r="O61" s="238" t="s">
        <v>9131</v>
      </c>
      <c r="P61" s="238" t="s">
        <v>263</v>
      </c>
      <c r="Q61" s="238" t="s">
        <v>6382</v>
      </c>
      <c r="R61" s="238">
        <v>2</v>
      </c>
      <c r="S61" s="238" t="s">
        <v>285</v>
      </c>
      <c r="T61" s="238" t="s">
        <v>9133</v>
      </c>
      <c r="U61" s="238" t="s">
        <v>22</v>
      </c>
      <c r="V61" s="238" t="s">
        <v>9897</v>
      </c>
      <c r="W61" s="238">
        <v>0</v>
      </c>
      <c r="X61" s="238" t="s">
        <v>9898</v>
      </c>
      <c r="Y61" s="238">
        <v>0</v>
      </c>
      <c r="Z61" s="238" t="s">
        <v>9899</v>
      </c>
      <c r="AA61" s="238" t="s">
        <v>9900</v>
      </c>
      <c r="AB61" s="238">
        <v>0</v>
      </c>
      <c r="AC61" s="238" t="s">
        <v>9901</v>
      </c>
      <c r="AD61" s="238">
        <v>0</v>
      </c>
      <c r="AE61" s="238" t="s">
        <v>9902</v>
      </c>
      <c r="AF61" s="238">
        <v>3</v>
      </c>
      <c r="AG61" s="238" t="s">
        <v>263</v>
      </c>
      <c r="AH61" s="238">
        <v>0</v>
      </c>
      <c r="AI61" s="238">
        <v>2</v>
      </c>
      <c r="AJ61" s="238" t="s">
        <v>9903</v>
      </c>
      <c r="AK61" s="238" t="s">
        <v>263</v>
      </c>
      <c r="AL61" s="238" t="s">
        <v>9130</v>
      </c>
      <c r="AM61" s="238" t="s">
        <v>263</v>
      </c>
      <c r="AN61" s="238" t="s">
        <v>9904</v>
      </c>
      <c r="AO61" s="238" t="s">
        <v>9905</v>
      </c>
    </row>
    <row r="62" spans="1:41" x14ac:dyDescent="0.2">
      <c r="B62" s="239">
        <v>44744.952563344908</v>
      </c>
      <c r="C62" s="238">
        <v>47</v>
      </c>
      <c r="D62" s="238" t="s">
        <v>9209</v>
      </c>
      <c r="E62" s="238">
        <v>3316915030</v>
      </c>
      <c r="F62" s="238" t="s">
        <v>95</v>
      </c>
      <c r="G62" s="238" t="s">
        <v>96</v>
      </c>
      <c r="H62" s="238" t="s">
        <v>1752</v>
      </c>
      <c r="I62" s="238" t="s">
        <v>96</v>
      </c>
      <c r="J62" s="238" t="s">
        <v>96</v>
      </c>
      <c r="K62" s="238" t="s">
        <v>605</v>
      </c>
      <c r="L62" s="238" t="s">
        <v>9906</v>
      </c>
      <c r="M62" s="238" t="s">
        <v>263</v>
      </c>
      <c r="N62" s="238" t="s">
        <v>9123</v>
      </c>
      <c r="O62" s="238" t="s">
        <v>9131</v>
      </c>
      <c r="P62" s="238" t="s">
        <v>263</v>
      </c>
      <c r="Q62" s="238" t="s">
        <v>9204</v>
      </c>
      <c r="R62" s="238">
        <v>3</v>
      </c>
      <c r="S62" s="238" t="s">
        <v>285</v>
      </c>
      <c r="T62" s="238" t="s">
        <v>9157</v>
      </c>
      <c r="U62" s="238" t="s">
        <v>9907</v>
      </c>
      <c r="V62" s="238" t="s">
        <v>9908</v>
      </c>
      <c r="W62" s="238" t="s">
        <v>9204</v>
      </c>
      <c r="X62" s="238" t="s">
        <v>9909</v>
      </c>
      <c r="Y62" s="238" t="s">
        <v>9910</v>
      </c>
      <c r="Z62" s="238" t="s">
        <v>9911</v>
      </c>
      <c r="AA62" s="238" t="s">
        <v>9912</v>
      </c>
      <c r="AB62" s="238" t="s">
        <v>9913</v>
      </c>
      <c r="AC62" s="238" t="s">
        <v>9914</v>
      </c>
      <c r="AD62" s="238" t="s">
        <v>9915</v>
      </c>
      <c r="AE62" s="238" t="s">
        <v>9916</v>
      </c>
      <c r="AF62" s="238">
        <v>4</v>
      </c>
      <c r="AG62" s="238" t="s">
        <v>285</v>
      </c>
      <c r="AH62" s="238" t="s">
        <v>9212</v>
      </c>
      <c r="AI62" s="238" t="s">
        <v>9212</v>
      </c>
      <c r="AJ62" s="238" t="s">
        <v>9917</v>
      </c>
      <c r="AK62" s="238" t="s">
        <v>285</v>
      </c>
      <c r="AL62" s="238">
        <v>7</v>
      </c>
      <c r="AM62" s="238" t="s">
        <v>263</v>
      </c>
      <c r="AN62" s="238" t="s">
        <v>9918</v>
      </c>
      <c r="AO62" s="238" t="s">
        <v>9919</v>
      </c>
    </row>
    <row r="63" spans="1:41" x14ac:dyDescent="0.2">
      <c r="A63" t="s">
        <v>8314</v>
      </c>
      <c r="B63" s="239">
        <v>44747.649227268514</v>
      </c>
      <c r="C63" s="238">
        <v>54</v>
      </c>
      <c r="D63" s="238" t="s">
        <v>1855</v>
      </c>
      <c r="E63" s="238">
        <v>3313624894</v>
      </c>
      <c r="F63" s="238" t="s">
        <v>95</v>
      </c>
      <c r="G63" s="238" t="s">
        <v>96</v>
      </c>
      <c r="H63" s="238" t="s">
        <v>9154</v>
      </c>
      <c r="I63" s="238" t="s">
        <v>96</v>
      </c>
      <c r="J63" s="238" t="s">
        <v>96</v>
      </c>
      <c r="K63" s="238" t="s">
        <v>96</v>
      </c>
      <c r="L63" s="238" t="s">
        <v>9920</v>
      </c>
      <c r="M63" s="238" t="s">
        <v>368</v>
      </c>
      <c r="N63" s="238" t="s">
        <v>9921</v>
      </c>
      <c r="O63" s="238" t="s">
        <v>9131</v>
      </c>
      <c r="P63" s="238" t="s">
        <v>263</v>
      </c>
      <c r="Q63" s="238" t="s">
        <v>9922</v>
      </c>
      <c r="R63" s="238">
        <v>4</v>
      </c>
      <c r="S63" s="238" t="s">
        <v>263</v>
      </c>
      <c r="T63" s="238" t="s">
        <v>9923</v>
      </c>
      <c r="U63" s="238" t="s">
        <v>41</v>
      </c>
      <c r="V63" s="238" t="s">
        <v>9924</v>
      </c>
      <c r="W63" s="238" t="s">
        <v>6404</v>
      </c>
      <c r="X63" s="238" t="s">
        <v>9925</v>
      </c>
      <c r="Y63" s="238" t="s">
        <v>6629</v>
      </c>
      <c r="Z63" s="238" t="s">
        <v>9926</v>
      </c>
      <c r="AF63" s="238">
        <v>5</v>
      </c>
      <c r="AG63" s="238" t="s">
        <v>285</v>
      </c>
      <c r="AH63" s="238" t="s">
        <v>1349</v>
      </c>
      <c r="AI63" s="238" t="s">
        <v>9123</v>
      </c>
      <c r="AJ63" s="238">
        <v>200</v>
      </c>
      <c r="AK63" s="238" t="s">
        <v>285</v>
      </c>
      <c r="AL63" s="238">
        <v>2</v>
      </c>
      <c r="AM63" s="238" t="s">
        <v>263</v>
      </c>
      <c r="AN63" s="238" t="s">
        <v>9484</v>
      </c>
      <c r="AO63" s="238" t="s">
        <v>9131</v>
      </c>
    </row>
    <row r="64" spans="1:41" x14ac:dyDescent="0.2">
      <c r="B64" s="239">
        <v>44748.618867500001</v>
      </c>
      <c r="C64" s="238" t="s">
        <v>9927</v>
      </c>
      <c r="D64" s="238" t="s">
        <v>314</v>
      </c>
      <c r="E64" s="238">
        <v>5625275030</v>
      </c>
      <c r="F64" s="238" t="s">
        <v>95</v>
      </c>
      <c r="G64" s="238" t="s">
        <v>96</v>
      </c>
      <c r="H64" s="238" t="s">
        <v>96</v>
      </c>
      <c r="I64" s="238" t="s">
        <v>1419</v>
      </c>
      <c r="J64" s="238" t="s">
        <v>1419</v>
      </c>
      <c r="K64" s="238" t="s">
        <v>96</v>
      </c>
      <c r="L64" s="238" t="s">
        <v>9928</v>
      </c>
      <c r="M64" s="238" t="s">
        <v>263</v>
      </c>
      <c r="N64" s="238" t="s">
        <v>9929</v>
      </c>
      <c r="O64" s="238" t="s">
        <v>9929</v>
      </c>
      <c r="P64" s="238" t="s">
        <v>9930</v>
      </c>
      <c r="Q64" s="238" t="s">
        <v>9931</v>
      </c>
      <c r="R64" s="238">
        <v>3</v>
      </c>
      <c r="S64" s="238" t="s">
        <v>263</v>
      </c>
      <c r="T64" s="238" t="s">
        <v>9133</v>
      </c>
      <c r="U64" s="238" t="s">
        <v>22</v>
      </c>
      <c r="V64" s="238" t="s">
        <v>9932</v>
      </c>
      <c r="W64" s="238" t="s">
        <v>9933</v>
      </c>
      <c r="X64" s="238" t="s">
        <v>9934</v>
      </c>
      <c r="Y64" s="238" t="s">
        <v>9204</v>
      </c>
      <c r="Z64" s="238" t="s">
        <v>9935</v>
      </c>
      <c r="AA64" s="238" t="s">
        <v>4158</v>
      </c>
      <c r="AB64" s="238" t="s">
        <v>9936</v>
      </c>
      <c r="AC64" s="238" t="s">
        <v>9937</v>
      </c>
      <c r="AD64" s="238" t="s">
        <v>9938</v>
      </c>
      <c r="AE64" s="238" t="s">
        <v>9939</v>
      </c>
      <c r="AF64" s="238">
        <v>3</v>
      </c>
      <c r="AG64" s="238" t="s">
        <v>285</v>
      </c>
      <c r="AH64" s="238">
        <v>4</v>
      </c>
      <c r="AI64" s="238" t="s">
        <v>9940</v>
      </c>
      <c r="AJ64" s="238">
        <v>100</v>
      </c>
      <c r="AK64" s="238" t="s">
        <v>263</v>
      </c>
      <c r="AL64" s="238" t="s">
        <v>9130</v>
      </c>
      <c r="AM64" s="238" t="s">
        <v>263</v>
      </c>
      <c r="AN64" s="238" t="s">
        <v>263</v>
      </c>
    </row>
    <row r="65" spans="1:41" x14ac:dyDescent="0.2">
      <c r="A65" t="s">
        <v>8295</v>
      </c>
      <c r="B65" s="239">
        <v>44749.001833182869</v>
      </c>
      <c r="C65" s="238" t="s">
        <v>9941</v>
      </c>
      <c r="D65" s="238" t="s">
        <v>9942</v>
      </c>
      <c r="E65" s="238">
        <v>3331779545</v>
      </c>
      <c r="F65" s="238" t="s">
        <v>95</v>
      </c>
      <c r="G65" s="238" t="s">
        <v>9943</v>
      </c>
      <c r="H65" s="238" t="s">
        <v>100</v>
      </c>
      <c r="I65" s="238" t="s">
        <v>100</v>
      </c>
      <c r="J65" s="238" t="s">
        <v>100</v>
      </c>
      <c r="K65" s="238" t="s">
        <v>100</v>
      </c>
      <c r="L65" s="238" t="s">
        <v>4691</v>
      </c>
      <c r="M65" s="238" t="s">
        <v>263</v>
      </c>
      <c r="N65" s="238" t="s">
        <v>9123</v>
      </c>
      <c r="O65" s="238" t="s">
        <v>9131</v>
      </c>
      <c r="P65" s="238" t="s">
        <v>99</v>
      </c>
      <c r="Q65" s="238" t="s">
        <v>4691</v>
      </c>
      <c r="R65" s="238">
        <v>5</v>
      </c>
      <c r="S65" s="238" t="s">
        <v>263</v>
      </c>
      <c r="T65" s="238" t="s">
        <v>9123</v>
      </c>
      <c r="U65" s="238" t="s">
        <v>9133</v>
      </c>
      <c r="V65" s="238" t="s">
        <v>9944</v>
      </c>
      <c r="W65" s="238" t="s">
        <v>9945</v>
      </c>
      <c r="X65" s="238" t="s">
        <v>9946</v>
      </c>
      <c r="Y65" s="238" t="s">
        <v>9947</v>
      </c>
      <c r="Z65" s="238" t="s">
        <v>9948</v>
      </c>
      <c r="AA65" s="238" t="s">
        <v>9949</v>
      </c>
      <c r="AB65" s="238" t="s">
        <v>9950</v>
      </c>
      <c r="AC65" s="238" t="s">
        <v>9951</v>
      </c>
      <c r="AD65" s="238" t="s">
        <v>9952</v>
      </c>
      <c r="AE65" s="238" t="s">
        <v>9953</v>
      </c>
      <c r="AF65" s="238">
        <v>5</v>
      </c>
      <c r="AG65" s="238" t="s">
        <v>285</v>
      </c>
      <c r="AH65" s="238" t="s">
        <v>9954</v>
      </c>
      <c r="AI65" s="238" t="s">
        <v>9954</v>
      </c>
      <c r="AJ65" s="238" t="s">
        <v>9955</v>
      </c>
      <c r="AK65" s="238" t="s">
        <v>285</v>
      </c>
      <c r="AL65" s="238">
        <v>5</v>
      </c>
      <c r="AM65" s="238" t="s">
        <v>99</v>
      </c>
      <c r="AN65" s="238" t="s">
        <v>99</v>
      </c>
      <c r="AO65" s="238" t="s">
        <v>9956</v>
      </c>
    </row>
    <row r="66" spans="1:41" x14ac:dyDescent="0.2">
      <c r="B66" s="239">
        <v>44755.717480347223</v>
      </c>
      <c r="C66" s="238">
        <v>58</v>
      </c>
      <c r="D66" s="238" t="s">
        <v>1855</v>
      </c>
      <c r="E66" s="238">
        <v>3312880096</v>
      </c>
      <c r="F66" s="238" t="s">
        <v>95</v>
      </c>
      <c r="G66" s="238" t="s">
        <v>9957</v>
      </c>
      <c r="H66" s="238" t="s">
        <v>9958</v>
      </c>
      <c r="I66" s="238" t="s">
        <v>5813</v>
      </c>
      <c r="J66" s="238" t="s">
        <v>5813</v>
      </c>
      <c r="K66" s="238" t="s">
        <v>5813</v>
      </c>
      <c r="L66" s="238" t="s">
        <v>9131</v>
      </c>
      <c r="M66" s="238" t="s">
        <v>263</v>
      </c>
      <c r="N66" s="238" t="s">
        <v>9959</v>
      </c>
      <c r="O66" s="238" t="s">
        <v>9960</v>
      </c>
      <c r="P66" s="238" t="s">
        <v>368</v>
      </c>
      <c r="Q66" s="238" t="s">
        <v>9131</v>
      </c>
      <c r="R66" s="238">
        <v>2</v>
      </c>
      <c r="S66" s="238" t="s">
        <v>263</v>
      </c>
      <c r="T66" s="238" t="s">
        <v>9123</v>
      </c>
      <c r="U66" s="238" t="s">
        <v>9157</v>
      </c>
      <c r="V66" s="238" t="s">
        <v>9961</v>
      </c>
      <c r="W66" s="238" t="s">
        <v>9962</v>
      </c>
      <c r="X66" s="238" t="s">
        <v>9963</v>
      </c>
      <c r="Y66" s="238" t="s">
        <v>9964</v>
      </c>
      <c r="Z66" s="238" t="s">
        <v>9965</v>
      </c>
      <c r="AA66" s="238" t="s">
        <v>9966</v>
      </c>
      <c r="AB66" s="238" t="s">
        <v>9204</v>
      </c>
      <c r="AC66" s="238" t="s">
        <v>9967</v>
      </c>
      <c r="AD66" s="238" t="s">
        <v>9204</v>
      </c>
      <c r="AE66" s="238" t="s">
        <v>9968</v>
      </c>
      <c r="AF66" s="238">
        <v>3</v>
      </c>
      <c r="AG66" s="238" t="s">
        <v>263</v>
      </c>
      <c r="AH66" s="238" t="s">
        <v>263</v>
      </c>
      <c r="AI66" s="238" t="s">
        <v>263</v>
      </c>
      <c r="AJ66" s="238" t="s">
        <v>263</v>
      </c>
      <c r="AK66" s="238" t="s">
        <v>263</v>
      </c>
      <c r="AL66" s="238" t="s">
        <v>9130</v>
      </c>
      <c r="AM66" s="238" t="s">
        <v>263</v>
      </c>
      <c r="AN66" s="238" t="s">
        <v>263</v>
      </c>
      <c r="AO66" s="238" t="s">
        <v>1534</v>
      </c>
    </row>
    <row r="67" spans="1:41" x14ac:dyDescent="0.2">
      <c r="B67" s="239">
        <v>44755.717976643515</v>
      </c>
      <c r="C67" s="238">
        <v>21</v>
      </c>
      <c r="D67" s="238" t="s">
        <v>97</v>
      </c>
      <c r="E67" s="238">
        <v>3312960435</v>
      </c>
      <c r="F67" s="238" t="s">
        <v>95</v>
      </c>
      <c r="G67" s="238" t="s">
        <v>9813</v>
      </c>
      <c r="H67" s="238" t="s">
        <v>9969</v>
      </c>
      <c r="I67" s="238" t="s">
        <v>9813</v>
      </c>
      <c r="J67" s="238" t="s">
        <v>9970</v>
      </c>
      <c r="K67" s="238" t="s">
        <v>9971</v>
      </c>
      <c r="L67" s="238" t="s">
        <v>9131</v>
      </c>
      <c r="M67" s="238" t="s">
        <v>263</v>
      </c>
      <c r="N67" s="238" t="s">
        <v>9123</v>
      </c>
      <c r="O67" s="238" t="s">
        <v>9131</v>
      </c>
      <c r="P67" s="238" t="s">
        <v>263</v>
      </c>
      <c r="Q67" s="238" t="s">
        <v>9972</v>
      </c>
      <c r="R67" s="238" t="s">
        <v>9131</v>
      </c>
      <c r="S67" s="238" t="s">
        <v>285</v>
      </c>
      <c r="T67" s="238" t="s">
        <v>9269</v>
      </c>
      <c r="U67" s="238" t="s">
        <v>22</v>
      </c>
      <c r="V67" s="238" t="s">
        <v>9973</v>
      </c>
      <c r="W67" s="238" t="s">
        <v>9974</v>
      </c>
      <c r="X67" s="238" t="s">
        <v>9975</v>
      </c>
      <c r="Y67" s="238" t="s">
        <v>9976</v>
      </c>
      <c r="Z67" s="238" t="s">
        <v>9977</v>
      </c>
      <c r="AA67" s="238" t="s">
        <v>9978</v>
      </c>
      <c r="AB67" s="238" t="s">
        <v>9974</v>
      </c>
      <c r="AC67" s="238" t="s">
        <v>9979</v>
      </c>
      <c r="AD67" s="238" t="s">
        <v>9980</v>
      </c>
      <c r="AE67" s="238" t="s">
        <v>9981</v>
      </c>
      <c r="AF67" s="238">
        <v>4</v>
      </c>
      <c r="AG67" s="238" t="s">
        <v>285</v>
      </c>
      <c r="AH67" s="238" t="s">
        <v>9982</v>
      </c>
      <c r="AI67" s="238" t="s">
        <v>9983</v>
      </c>
      <c r="AJ67" s="238">
        <v>250</v>
      </c>
      <c r="AK67" s="238" t="s">
        <v>285</v>
      </c>
      <c r="AL67" s="238">
        <v>5</v>
      </c>
      <c r="AM67" s="238" t="s">
        <v>263</v>
      </c>
      <c r="AN67" s="238" t="s">
        <v>9655</v>
      </c>
      <c r="AO67" s="238" t="s">
        <v>1072</v>
      </c>
    </row>
    <row r="68" spans="1:41" x14ac:dyDescent="0.2">
      <c r="A68" t="s">
        <v>8315</v>
      </c>
      <c r="B68" s="239">
        <v>44755.729631643517</v>
      </c>
      <c r="C68" s="238">
        <v>23</v>
      </c>
      <c r="D68" s="238" t="s">
        <v>9984</v>
      </c>
      <c r="E68" s="238">
        <v>3321641659</v>
      </c>
      <c r="F68" s="238" t="s">
        <v>107</v>
      </c>
      <c r="G68" s="238" t="s">
        <v>96</v>
      </c>
      <c r="H68" s="238" t="s">
        <v>96</v>
      </c>
      <c r="I68" s="238" t="s">
        <v>96</v>
      </c>
      <c r="J68" s="238" t="s">
        <v>96</v>
      </c>
      <c r="K68" s="238" t="s">
        <v>96</v>
      </c>
      <c r="L68" s="238" t="s">
        <v>9985</v>
      </c>
      <c r="M68" s="238" t="s">
        <v>368</v>
      </c>
      <c r="N68" s="238" t="s">
        <v>9155</v>
      </c>
      <c r="O68" s="238" t="s">
        <v>9131</v>
      </c>
      <c r="P68" s="238" t="s">
        <v>9986</v>
      </c>
      <c r="Q68" s="238" t="s">
        <v>9987</v>
      </c>
      <c r="T68" s="238" t="s">
        <v>9741</v>
      </c>
      <c r="U68" s="238" t="s">
        <v>9772</v>
      </c>
      <c r="V68" s="238" t="s">
        <v>9988</v>
      </c>
      <c r="W68" s="238" t="s">
        <v>9989</v>
      </c>
      <c r="X68" s="238" t="s">
        <v>9990</v>
      </c>
      <c r="Y68" s="238" t="s">
        <v>9991</v>
      </c>
      <c r="Z68" s="238" t="s">
        <v>9992</v>
      </c>
      <c r="AA68" s="238" t="s">
        <v>9993</v>
      </c>
      <c r="AB68" s="238" t="s">
        <v>9994</v>
      </c>
      <c r="AC68" s="238" t="s">
        <v>9995</v>
      </c>
      <c r="AD68" s="238" t="s">
        <v>9996</v>
      </c>
      <c r="AE68" s="238" t="s">
        <v>9997</v>
      </c>
      <c r="AF68" s="238" t="s">
        <v>9279</v>
      </c>
      <c r="AG68" s="238" t="s">
        <v>263</v>
      </c>
      <c r="AH68" s="238" t="s">
        <v>9723</v>
      </c>
      <c r="AI68" s="238" t="s">
        <v>9723</v>
      </c>
      <c r="AJ68" s="238" t="s">
        <v>9998</v>
      </c>
      <c r="AK68" s="238" t="s">
        <v>263</v>
      </c>
      <c r="AL68" s="238" t="s">
        <v>9130</v>
      </c>
      <c r="AM68" s="238" t="s">
        <v>9999</v>
      </c>
      <c r="AN68" s="238" t="s">
        <v>9131</v>
      </c>
      <c r="AO68" s="238" t="s">
        <v>10000</v>
      </c>
    </row>
    <row r="69" spans="1:41" x14ac:dyDescent="0.2">
      <c r="A69" t="s">
        <v>8277</v>
      </c>
      <c r="B69" s="239">
        <v>44755.901872314818</v>
      </c>
      <c r="C69" s="238">
        <v>34</v>
      </c>
      <c r="D69" s="238" t="s">
        <v>9264</v>
      </c>
      <c r="E69" s="238">
        <v>3314797997</v>
      </c>
      <c r="F69" s="238" t="s">
        <v>95</v>
      </c>
      <c r="G69" s="238" t="s">
        <v>9813</v>
      </c>
      <c r="H69" s="238" t="s">
        <v>9813</v>
      </c>
      <c r="I69" s="238" t="s">
        <v>9813</v>
      </c>
      <c r="J69" s="238" t="s">
        <v>10001</v>
      </c>
      <c r="K69" s="238" t="s">
        <v>10002</v>
      </c>
      <c r="L69" s="238" t="s">
        <v>10003</v>
      </c>
      <c r="M69" s="238" t="s">
        <v>263</v>
      </c>
      <c r="N69" s="238" t="s">
        <v>39</v>
      </c>
      <c r="O69" s="238" t="s">
        <v>39</v>
      </c>
      <c r="P69" s="238" t="s">
        <v>263</v>
      </c>
      <c r="Q69" s="238" t="s">
        <v>9212</v>
      </c>
      <c r="R69" s="238" t="s">
        <v>9144</v>
      </c>
      <c r="S69" s="238" t="s">
        <v>263</v>
      </c>
      <c r="T69" s="238" t="s">
        <v>22</v>
      </c>
      <c r="U69" s="238" t="s">
        <v>10004</v>
      </c>
      <c r="V69" s="238" t="s">
        <v>10005</v>
      </c>
      <c r="W69" s="238" t="s">
        <v>6404</v>
      </c>
      <c r="X69" s="238" t="s">
        <v>10006</v>
      </c>
      <c r="Y69" s="238" t="s">
        <v>4731</v>
      </c>
      <c r="Z69" s="238" t="s">
        <v>10007</v>
      </c>
      <c r="AA69" s="238" t="s">
        <v>10008</v>
      </c>
      <c r="AB69" s="238" t="s">
        <v>6404</v>
      </c>
      <c r="AC69" s="238" t="s">
        <v>10006</v>
      </c>
      <c r="AD69" s="238" t="s">
        <v>10009</v>
      </c>
      <c r="AE69" s="238" t="s">
        <v>10010</v>
      </c>
      <c r="AF69" s="238">
        <v>3</v>
      </c>
      <c r="AG69" s="238" t="s">
        <v>263</v>
      </c>
      <c r="AH69" s="238">
        <v>2</v>
      </c>
      <c r="AI69" s="238">
        <v>2</v>
      </c>
      <c r="AJ69" s="238">
        <v>200</v>
      </c>
      <c r="AK69" s="238" t="s">
        <v>263</v>
      </c>
      <c r="AL69" s="238" t="s">
        <v>9130</v>
      </c>
      <c r="AM69" s="238" t="s">
        <v>263</v>
      </c>
      <c r="AN69" s="238" t="s">
        <v>368</v>
      </c>
      <c r="AO69" s="238" t="s">
        <v>59</v>
      </c>
    </row>
    <row r="70" spans="1:41" x14ac:dyDescent="0.2">
      <c r="A70" t="s">
        <v>8276</v>
      </c>
      <c r="B70" s="239">
        <v>44757.590904907411</v>
      </c>
      <c r="C70" s="238" t="s">
        <v>9927</v>
      </c>
      <c r="D70" s="238" t="s">
        <v>10011</v>
      </c>
      <c r="E70" s="238">
        <v>8117307860</v>
      </c>
      <c r="F70" s="238" t="s">
        <v>95</v>
      </c>
      <c r="G70" s="238" t="s">
        <v>10012</v>
      </c>
      <c r="H70" s="238" t="s">
        <v>10013</v>
      </c>
      <c r="I70" s="238" t="s">
        <v>10014</v>
      </c>
      <c r="J70" s="238" t="s">
        <v>10015</v>
      </c>
      <c r="K70" s="238" t="s">
        <v>10015</v>
      </c>
      <c r="L70" s="238" t="s">
        <v>9131</v>
      </c>
      <c r="M70" s="238" t="s">
        <v>368</v>
      </c>
      <c r="N70" s="238" t="s">
        <v>10016</v>
      </c>
      <c r="O70" s="238" t="s">
        <v>9131</v>
      </c>
      <c r="P70" s="238" t="s">
        <v>263</v>
      </c>
      <c r="Q70" s="238" t="s">
        <v>10017</v>
      </c>
      <c r="R70" s="238" t="s">
        <v>9131</v>
      </c>
      <c r="S70" s="238" t="s">
        <v>285</v>
      </c>
      <c r="T70" s="238" t="s">
        <v>10018</v>
      </c>
      <c r="U70" s="238" t="s">
        <v>39</v>
      </c>
      <c r="V70" s="238" t="s">
        <v>10019</v>
      </c>
      <c r="W70" s="238" t="s">
        <v>10020</v>
      </c>
      <c r="X70" s="238" t="s">
        <v>10021</v>
      </c>
      <c r="Y70" s="238" t="s">
        <v>10022</v>
      </c>
      <c r="Z70" s="238" t="s">
        <v>10023</v>
      </c>
      <c r="AA70" s="238" t="s">
        <v>10024</v>
      </c>
      <c r="AB70" s="238" t="s">
        <v>10022</v>
      </c>
      <c r="AC70" s="238" t="s">
        <v>10025</v>
      </c>
      <c r="AD70" s="238" t="s">
        <v>10026</v>
      </c>
      <c r="AE70" s="238" t="s">
        <v>10023</v>
      </c>
      <c r="AF70" s="238">
        <v>4</v>
      </c>
      <c r="AG70" s="238" t="s">
        <v>285</v>
      </c>
      <c r="AH70" s="238" t="s">
        <v>10027</v>
      </c>
      <c r="AI70" s="238" t="s">
        <v>9123</v>
      </c>
      <c r="AJ70" s="238" t="s">
        <v>10028</v>
      </c>
      <c r="AK70" s="238" t="s">
        <v>285</v>
      </c>
      <c r="AL70" s="238">
        <v>3</v>
      </c>
      <c r="AM70" s="238" t="s">
        <v>263</v>
      </c>
      <c r="AN70" s="238" t="s">
        <v>10029</v>
      </c>
      <c r="AO70" s="238" t="s">
        <v>10030</v>
      </c>
    </row>
    <row r="71" spans="1:41" x14ac:dyDescent="0.2">
      <c r="A71" t="s">
        <v>8334</v>
      </c>
      <c r="B71" s="239">
        <v>44758.606156909722</v>
      </c>
      <c r="C71" s="238">
        <v>52</v>
      </c>
      <c r="D71" s="238" t="s">
        <v>10031</v>
      </c>
      <c r="E71" s="238">
        <v>3313104156</v>
      </c>
      <c r="F71" s="238" t="s">
        <v>95</v>
      </c>
      <c r="G71" s="238" t="s">
        <v>9154</v>
      </c>
      <c r="H71" s="238" t="s">
        <v>9154</v>
      </c>
      <c r="I71" s="238" t="s">
        <v>9400</v>
      </c>
      <c r="J71" s="238" t="s">
        <v>9400</v>
      </c>
      <c r="K71" s="238" t="s">
        <v>9154</v>
      </c>
      <c r="L71" s="238" t="s">
        <v>6303</v>
      </c>
      <c r="M71" s="238" t="s">
        <v>368</v>
      </c>
      <c r="N71" s="238" t="s">
        <v>9123</v>
      </c>
      <c r="O71" s="238" t="s">
        <v>9131</v>
      </c>
      <c r="P71" s="238" t="s">
        <v>263</v>
      </c>
      <c r="Q71" s="238" t="s">
        <v>9131</v>
      </c>
      <c r="R71" s="238" t="s">
        <v>9869</v>
      </c>
      <c r="S71" s="238" t="s">
        <v>263</v>
      </c>
      <c r="T71" s="238" t="s">
        <v>21</v>
      </c>
      <c r="U71" s="238" t="s">
        <v>9123</v>
      </c>
      <c r="V71" s="238" t="s">
        <v>10032</v>
      </c>
      <c r="W71" s="238" t="s">
        <v>9715</v>
      </c>
      <c r="X71" s="238" t="s">
        <v>10033</v>
      </c>
      <c r="Y71" s="238" t="s">
        <v>10034</v>
      </c>
      <c r="Z71" s="238" t="s">
        <v>10035</v>
      </c>
      <c r="AA71" s="238" t="s">
        <v>10036</v>
      </c>
      <c r="AB71" s="238" t="s">
        <v>9165</v>
      </c>
      <c r="AC71" s="238" t="s">
        <v>10037</v>
      </c>
      <c r="AD71" s="238" t="s">
        <v>10038</v>
      </c>
      <c r="AE71" s="238" t="s">
        <v>10039</v>
      </c>
      <c r="AF71" s="238">
        <v>5</v>
      </c>
      <c r="AG71" s="238" t="s">
        <v>263</v>
      </c>
      <c r="AH71" s="238" t="s">
        <v>10040</v>
      </c>
      <c r="AI71" s="238" t="s">
        <v>9869</v>
      </c>
      <c r="AJ71" s="238" t="s">
        <v>9142</v>
      </c>
      <c r="AK71" s="238" t="s">
        <v>285</v>
      </c>
      <c r="AL71" s="238">
        <v>3</v>
      </c>
      <c r="AM71" s="238" t="s">
        <v>263</v>
      </c>
      <c r="AN71" s="238" t="s">
        <v>263</v>
      </c>
      <c r="AO71" s="238" t="s">
        <v>9131</v>
      </c>
    </row>
    <row r="72" spans="1:41" x14ac:dyDescent="0.2">
      <c r="A72" t="s">
        <v>8323</v>
      </c>
      <c r="B72" s="239">
        <v>44789.62782869213</v>
      </c>
      <c r="C72" s="238">
        <v>42</v>
      </c>
      <c r="D72" s="238" t="s">
        <v>10041</v>
      </c>
      <c r="E72" s="238" t="s">
        <v>10042</v>
      </c>
      <c r="F72" s="238" t="s">
        <v>107</v>
      </c>
      <c r="G72" s="238" t="s">
        <v>96</v>
      </c>
      <c r="H72" s="238" t="s">
        <v>96</v>
      </c>
      <c r="I72" s="238" t="s">
        <v>96</v>
      </c>
      <c r="J72" s="238" t="s">
        <v>96</v>
      </c>
      <c r="K72" s="238" t="s">
        <v>96</v>
      </c>
      <c r="L72" s="238" t="s">
        <v>9318</v>
      </c>
      <c r="M72" s="238" t="s">
        <v>263</v>
      </c>
      <c r="N72" s="238" t="s">
        <v>10016</v>
      </c>
      <c r="O72" s="238" t="s">
        <v>9131</v>
      </c>
      <c r="P72" s="238" t="s">
        <v>5205</v>
      </c>
      <c r="Q72" s="238" t="s">
        <v>9204</v>
      </c>
      <c r="R72" s="238">
        <v>0</v>
      </c>
      <c r="T72" s="238" t="s">
        <v>9488</v>
      </c>
      <c r="U72" s="238" t="s">
        <v>21</v>
      </c>
      <c r="V72" s="242" t="s">
        <v>10043</v>
      </c>
      <c r="W72" s="238" t="s">
        <v>263</v>
      </c>
      <c r="X72" s="242" t="s">
        <v>10044</v>
      </c>
      <c r="Y72" s="238" t="s">
        <v>5205</v>
      </c>
      <c r="Z72" s="238" t="s">
        <v>10045</v>
      </c>
      <c r="AA72" s="242" t="s">
        <v>10043</v>
      </c>
      <c r="AB72" s="238" t="s">
        <v>263</v>
      </c>
      <c r="AC72" s="242" t="s">
        <v>10044</v>
      </c>
      <c r="AD72" s="238" t="s">
        <v>5205</v>
      </c>
      <c r="AE72" s="242" t="s">
        <v>10046</v>
      </c>
      <c r="AF72" s="238">
        <v>3</v>
      </c>
      <c r="AG72" s="238" t="s">
        <v>263</v>
      </c>
      <c r="AH72" s="238" t="s">
        <v>322</v>
      </c>
      <c r="AI72" s="238">
        <v>5</v>
      </c>
      <c r="AJ72" s="238">
        <v>60</v>
      </c>
      <c r="AK72" s="238" t="s">
        <v>285</v>
      </c>
      <c r="AL72" s="238">
        <v>1</v>
      </c>
      <c r="AM72" s="238" t="s">
        <v>5205</v>
      </c>
      <c r="AN72" s="238" t="s">
        <v>10047</v>
      </c>
      <c r="AO72" s="238" t="s">
        <v>10048</v>
      </c>
    </row>
    <row r="73" spans="1:41" x14ac:dyDescent="0.2">
      <c r="B73" s="239">
        <v>44789.63718701389</v>
      </c>
      <c r="C73" s="238">
        <v>18</v>
      </c>
      <c r="D73" s="238" t="s">
        <v>9264</v>
      </c>
      <c r="E73" s="238">
        <v>3313657598</v>
      </c>
      <c r="F73" s="238" t="s">
        <v>95</v>
      </c>
      <c r="G73" s="238" t="s">
        <v>96</v>
      </c>
      <c r="H73" s="238" t="s">
        <v>96</v>
      </c>
      <c r="I73" s="238" t="s">
        <v>10049</v>
      </c>
      <c r="J73" s="238" t="s">
        <v>10050</v>
      </c>
      <c r="K73" s="238" t="s">
        <v>10051</v>
      </c>
      <c r="L73" s="238" t="s">
        <v>9204</v>
      </c>
      <c r="M73" s="238" t="s">
        <v>368</v>
      </c>
      <c r="N73" s="238" t="s">
        <v>10052</v>
      </c>
      <c r="O73" s="238" t="s">
        <v>9131</v>
      </c>
      <c r="P73" s="238" t="s">
        <v>10053</v>
      </c>
      <c r="Q73" s="238" t="s">
        <v>10054</v>
      </c>
      <c r="R73" s="238" t="s">
        <v>9131</v>
      </c>
      <c r="S73" s="238" t="s">
        <v>285</v>
      </c>
      <c r="T73" s="238" t="s">
        <v>39</v>
      </c>
      <c r="U73" s="238" t="s">
        <v>9300</v>
      </c>
      <c r="V73" s="238" t="s">
        <v>10055</v>
      </c>
      <c r="W73" s="238" t="s">
        <v>10056</v>
      </c>
      <c r="X73" s="238" t="s">
        <v>10057</v>
      </c>
      <c r="Y73" s="238" t="s">
        <v>9136</v>
      </c>
      <c r="Z73" s="238" t="s">
        <v>10058</v>
      </c>
      <c r="AA73" s="238" t="s">
        <v>10059</v>
      </c>
      <c r="AB73" s="238" t="s">
        <v>10060</v>
      </c>
      <c r="AC73" s="238" t="s">
        <v>10057</v>
      </c>
      <c r="AD73" s="238" t="s">
        <v>10061</v>
      </c>
      <c r="AE73" s="238" t="s">
        <v>9136</v>
      </c>
      <c r="AF73" s="238">
        <v>4</v>
      </c>
      <c r="AG73" s="238" t="s">
        <v>263</v>
      </c>
      <c r="AH73" s="238">
        <v>3</v>
      </c>
      <c r="AI73" s="238">
        <v>2</v>
      </c>
      <c r="AJ73" s="238" t="s">
        <v>10062</v>
      </c>
      <c r="AK73" s="238" t="s">
        <v>263</v>
      </c>
      <c r="AL73" s="238" t="s">
        <v>9130</v>
      </c>
      <c r="AM73" s="238" t="s">
        <v>263</v>
      </c>
      <c r="AN73" s="238" t="s">
        <v>3583</v>
      </c>
      <c r="AO73" s="238" t="s">
        <v>10063</v>
      </c>
    </row>
    <row r="74" spans="1:41" x14ac:dyDescent="0.2">
      <c r="B74" s="239">
        <v>44789.657443738426</v>
      </c>
      <c r="C74" s="238">
        <v>43</v>
      </c>
      <c r="D74" s="238" t="s">
        <v>1892</v>
      </c>
      <c r="E74" s="238">
        <v>3323833769</v>
      </c>
      <c r="F74" s="238" t="s">
        <v>95</v>
      </c>
      <c r="G74" s="238" t="s">
        <v>3535</v>
      </c>
      <c r="H74" s="238" t="s">
        <v>96</v>
      </c>
      <c r="I74" s="238" t="s">
        <v>10064</v>
      </c>
      <c r="J74" s="238" t="s">
        <v>10064</v>
      </c>
      <c r="K74" s="238" t="s">
        <v>10064</v>
      </c>
      <c r="L74" s="238" t="s">
        <v>9144</v>
      </c>
      <c r="M74" s="238" t="s">
        <v>263</v>
      </c>
      <c r="N74" s="238" t="s">
        <v>9155</v>
      </c>
      <c r="O74" s="238" t="s">
        <v>9131</v>
      </c>
      <c r="P74" s="238" t="s">
        <v>5205</v>
      </c>
      <c r="Q74" s="238" t="s">
        <v>9144</v>
      </c>
      <c r="R74" s="238">
        <v>3</v>
      </c>
      <c r="S74" s="238" t="s">
        <v>263</v>
      </c>
      <c r="T74" s="238" t="s">
        <v>21</v>
      </c>
      <c r="U74" s="238" t="s">
        <v>9123</v>
      </c>
      <c r="V74" s="238" t="s">
        <v>10005</v>
      </c>
      <c r="W74" s="238" t="s">
        <v>4416</v>
      </c>
      <c r="X74" s="238" t="s">
        <v>10065</v>
      </c>
      <c r="Y74" s="238" t="s">
        <v>4416</v>
      </c>
      <c r="Z74" s="238" t="s">
        <v>9642</v>
      </c>
      <c r="AA74" s="238" t="s">
        <v>9457</v>
      </c>
      <c r="AB74" s="238" t="s">
        <v>10066</v>
      </c>
      <c r="AC74" s="238" t="s">
        <v>1534</v>
      </c>
      <c r="AD74" s="238" t="s">
        <v>9555</v>
      </c>
      <c r="AE74" s="238" t="s">
        <v>9165</v>
      </c>
      <c r="AF74" s="238">
        <v>3</v>
      </c>
      <c r="AG74" s="238" t="s">
        <v>263</v>
      </c>
      <c r="AH74" s="238" t="s">
        <v>9212</v>
      </c>
      <c r="AI74" s="238" t="s">
        <v>9144</v>
      </c>
      <c r="AJ74" s="238">
        <v>200</v>
      </c>
      <c r="AK74" s="238" t="s">
        <v>263</v>
      </c>
      <c r="AL74" s="238" t="s">
        <v>9130</v>
      </c>
      <c r="AM74" s="238" t="s">
        <v>263</v>
      </c>
      <c r="AN74" s="238" t="s">
        <v>263</v>
      </c>
      <c r="AO74" s="238" t="s">
        <v>10006</v>
      </c>
    </row>
    <row r="75" spans="1:41" x14ac:dyDescent="0.2">
      <c r="A75" t="s">
        <v>8393</v>
      </c>
      <c r="B75" s="239">
        <v>44789.683412951388</v>
      </c>
      <c r="C75" s="238">
        <v>44</v>
      </c>
      <c r="D75" s="238" t="s">
        <v>10067</v>
      </c>
      <c r="E75" s="238">
        <v>3841185416</v>
      </c>
      <c r="F75" s="238" t="s">
        <v>95</v>
      </c>
      <c r="G75" s="238" t="s">
        <v>9813</v>
      </c>
      <c r="H75" s="238" t="s">
        <v>10068</v>
      </c>
      <c r="I75" s="238" t="s">
        <v>10069</v>
      </c>
      <c r="J75" s="238" t="s">
        <v>10070</v>
      </c>
      <c r="K75" s="238" t="s">
        <v>10068</v>
      </c>
      <c r="L75" s="238" t="s">
        <v>10071</v>
      </c>
      <c r="M75" s="238" t="s">
        <v>263</v>
      </c>
      <c r="N75" s="238" t="s">
        <v>22</v>
      </c>
      <c r="O75" s="238" t="s">
        <v>22</v>
      </c>
      <c r="P75" s="238" t="s">
        <v>10072</v>
      </c>
      <c r="Q75" s="238" t="s">
        <v>10073</v>
      </c>
      <c r="R75" s="238" t="s">
        <v>10074</v>
      </c>
      <c r="S75" s="238" t="s">
        <v>263</v>
      </c>
      <c r="T75" s="238" t="s">
        <v>9133</v>
      </c>
      <c r="U75" s="238" t="s">
        <v>9123</v>
      </c>
      <c r="V75" s="238" t="s">
        <v>10075</v>
      </c>
      <c r="W75" s="238" t="s">
        <v>10076</v>
      </c>
      <c r="X75" s="238" t="s">
        <v>10077</v>
      </c>
      <c r="Y75" s="238" t="s">
        <v>5205</v>
      </c>
      <c r="Z75" s="238" t="s">
        <v>10078</v>
      </c>
      <c r="AA75" s="238" t="s">
        <v>10079</v>
      </c>
      <c r="AB75" s="238" t="s">
        <v>10038</v>
      </c>
      <c r="AC75" s="238" t="s">
        <v>10080</v>
      </c>
      <c r="AD75" s="238" t="s">
        <v>10081</v>
      </c>
      <c r="AE75" s="238" t="s">
        <v>10082</v>
      </c>
      <c r="AF75" s="238">
        <v>4</v>
      </c>
      <c r="AG75" s="238" t="s">
        <v>263</v>
      </c>
      <c r="AH75" s="238" t="s">
        <v>1350</v>
      </c>
      <c r="AI75" s="238" t="s">
        <v>10083</v>
      </c>
      <c r="AJ75" s="238" t="s">
        <v>10084</v>
      </c>
      <c r="AK75" s="238" t="s">
        <v>263</v>
      </c>
      <c r="AL75" s="238" t="s">
        <v>9130</v>
      </c>
      <c r="AM75" s="238" t="s">
        <v>263</v>
      </c>
      <c r="AN75" s="238" t="s">
        <v>3583</v>
      </c>
      <c r="AO75" s="238" t="s">
        <v>2028</v>
      </c>
    </row>
    <row r="76" spans="1:41" x14ac:dyDescent="0.2">
      <c r="B76" s="239">
        <v>44789.70098061343</v>
      </c>
      <c r="C76" s="238">
        <v>20</v>
      </c>
      <c r="D76" s="238" t="s">
        <v>9264</v>
      </c>
      <c r="E76" s="238">
        <v>3841098085</v>
      </c>
      <c r="F76" s="238" t="s">
        <v>107</v>
      </c>
      <c r="G76" s="238" t="s">
        <v>96</v>
      </c>
      <c r="H76" s="238" t="s">
        <v>96</v>
      </c>
      <c r="I76" s="238" t="s">
        <v>96</v>
      </c>
      <c r="J76" s="238" t="s">
        <v>96</v>
      </c>
      <c r="K76" s="238" t="s">
        <v>96</v>
      </c>
      <c r="L76" s="238" t="s">
        <v>10085</v>
      </c>
      <c r="M76" s="238" t="s">
        <v>368</v>
      </c>
      <c r="N76" s="238" t="s">
        <v>9123</v>
      </c>
      <c r="O76" s="238" t="s">
        <v>9131</v>
      </c>
      <c r="P76" s="238" t="s">
        <v>263</v>
      </c>
      <c r="Q76" s="238" t="s">
        <v>10086</v>
      </c>
      <c r="R76" s="238">
        <v>0</v>
      </c>
      <c r="S76" s="238" t="s">
        <v>263</v>
      </c>
      <c r="T76" s="238" t="s">
        <v>10087</v>
      </c>
      <c r="U76" s="238" t="s">
        <v>9123</v>
      </c>
      <c r="V76" s="238">
        <v>1</v>
      </c>
      <c r="W76" s="238">
        <v>1</v>
      </c>
      <c r="X76" s="238">
        <v>1</v>
      </c>
      <c r="Y76" s="238">
        <v>1</v>
      </c>
      <c r="Z76" s="238">
        <v>1</v>
      </c>
      <c r="AC76" s="238">
        <v>1</v>
      </c>
      <c r="AD76" s="238">
        <v>1</v>
      </c>
      <c r="AE76" s="238">
        <v>1</v>
      </c>
      <c r="AF76" s="238">
        <v>5</v>
      </c>
      <c r="AG76" s="238" t="s">
        <v>285</v>
      </c>
      <c r="AH76" s="238">
        <v>4</v>
      </c>
      <c r="AI76" s="238">
        <v>4</v>
      </c>
      <c r="AJ76" s="238">
        <v>200</v>
      </c>
      <c r="AK76" s="238" t="s">
        <v>285</v>
      </c>
      <c r="AL76" s="238">
        <v>5</v>
      </c>
      <c r="AM76" s="238" t="s">
        <v>263</v>
      </c>
      <c r="AN76" s="238" t="s">
        <v>263</v>
      </c>
      <c r="AO76" s="238" t="s">
        <v>1796</v>
      </c>
    </row>
    <row r="77" spans="1:41" x14ac:dyDescent="0.2">
      <c r="B77" s="239">
        <v>44789.701305891205</v>
      </c>
      <c r="C77" s="238">
        <v>20</v>
      </c>
      <c r="D77" s="238" t="s">
        <v>9264</v>
      </c>
      <c r="E77" s="238">
        <v>3841098085</v>
      </c>
      <c r="F77" s="238" t="s">
        <v>107</v>
      </c>
      <c r="G77" s="238" t="s">
        <v>96</v>
      </c>
      <c r="H77" s="238" t="s">
        <v>96</v>
      </c>
      <c r="I77" s="238" t="s">
        <v>96</v>
      </c>
      <c r="J77" s="238" t="s">
        <v>96</v>
      </c>
      <c r="K77" s="238" t="s">
        <v>96</v>
      </c>
      <c r="L77" s="238" t="s">
        <v>10085</v>
      </c>
      <c r="M77" s="238" t="s">
        <v>368</v>
      </c>
      <c r="N77" s="238" t="s">
        <v>9123</v>
      </c>
      <c r="O77" s="238" t="s">
        <v>9131</v>
      </c>
      <c r="P77" s="238" t="s">
        <v>263</v>
      </c>
      <c r="Q77" s="238" t="s">
        <v>10086</v>
      </c>
      <c r="R77" s="238">
        <v>0</v>
      </c>
      <c r="S77" s="238" t="s">
        <v>263</v>
      </c>
      <c r="T77" s="238" t="s">
        <v>10087</v>
      </c>
      <c r="U77" s="238" t="s">
        <v>9123</v>
      </c>
      <c r="V77" s="238">
        <v>1</v>
      </c>
      <c r="W77" s="238">
        <v>1</v>
      </c>
      <c r="X77" s="238">
        <v>1</v>
      </c>
      <c r="Y77" s="238">
        <v>1</v>
      </c>
      <c r="Z77" s="238">
        <v>1</v>
      </c>
      <c r="AC77" s="238">
        <v>1</v>
      </c>
      <c r="AD77" s="238">
        <v>1</v>
      </c>
      <c r="AE77" s="238">
        <v>1</v>
      </c>
      <c r="AF77" s="238">
        <v>5</v>
      </c>
      <c r="AG77" s="238" t="s">
        <v>285</v>
      </c>
      <c r="AH77" s="238">
        <v>4</v>
      </c>
      <c r="AI77" s="238">
        <v>4</v>
      </c>
      <c r="AJ77" s="238">
        <v>200</v>
      </c>
      <c r="AK77" s="238" t="s">
        <v>285</v>
      </c>
      <c r="AL77" s="238">
        <v>5</v>
      </c>
      <c r="AM77" s="238" t="s">
        <v>263</v>
      </c>
      <c r="AN77" s="238" t="s">
        <v>263</v>
      </c>
      <c r="AO77" s="238" t="s">
        <v>1796</v>
      </c>
    </row>
    <row r="78" spans="1:41" x14ac:dyDescent="0.2">
      <c r="B78" s="239">
        <v>44789.708729212958</v>
      </c>
      <c r="C78" s="238">
        <v>63</v>
      </c>
      <c r="D78" s="238" t="s">
        <v>9619</v>
      </c>
      <c r="E78" s="238">
        <v>3841027008</v>
      </c>
      <c r="F78" s="238" t="s">
        <v>95</v>
      </c>
      <c r="G78" s="238" t="s">
        <v>96</v>
      </c>
      <c r="H78" s="238" t="s">
        <v>96</v>
      </c>
      <c r="I78" s="238" t="s">
        <v>96</v>
      </c>
      <c r="J78" s="238" t="s">
        <v>96</v>
      </c>
      <c r="K78" s="238" t="s">
        <v>96</v>
      </c>
      <c r="L78" s="238" t="s">
        <v>10088</v>
      </c>
      <c r="M78" s="238" t="s">
        <v>368</v>
      </c>
      <c r="N78" s="238" t="s">
        <v>10089</v>
      </c>
      <c r="O78" s="238" t="s">
        <v>10090</v>
      </c>
      <c r="P78" s="238" t="s">
        <v>263</v>
      </c>
      <c r="Q78" s="238" t="s">
        <v>10091</v>
      </c>
      <c r="R78" s="238">
        <v>3</v>
      </c>
      <c r="S78" s="238" t="s">
        <v>263</v>
      </c>
      <c r="T78" s="238" t="s">
        <v>39</v>
      </c>
      <c r="U78" s="238" t="s">
        <v>39</v>
      </c>
      <c r="V78" s="238" t="s">
        <v>10092</v>
      </c>
      <c r="W78" s="238" t="s">
        <v>10093</v>
      </c>
      <c r="X78" s="238" t="s">
        <v>10094</v>
      </c>
      <c r="Y78" s="238" t="s">
        <v>10095</v>
      </c>
      <c r="Z78" s="238" t="s">
        <v>10096</v>
      </c>
      <c r="AA78" s="238" t="s">
        <v>10097</v>
      </c>
      <c r="AB78" s="238" t="s">
        <v>4511</v>
      </c>
      <c r="AC78" s="238" t="s">
        <v>10098</v>
      </c>
      <c r="AD78" s="238" t="s">
        <v>10099</v>
      </c>
      <c r="AE78" s="238" t="s">
        <v>9642</v>
      </c>
      <c r="AF78" s="238">
        <v>3</v>
      </c>
      <c r="AG78" s="238" t="s">
        <v>263</v>
      </c>
      <c r="AH78" s="238" t="s">
        <v>10100</v>
      </c>
      <c r="AI78" s="238" t="s">
        <v>9123</v>
      </c>
      <c r="AJ78" s="238">
        <v>200</v>
      </c>
      <c r="AK78" s="238" t="s">
        <v>285</v>
      </c>
      <c r="AL78" s="238">
        <v>2</v>
      </c>
      <c r="AM78" s="238" t="s">
        <v>263</v>
      </c>
      <c r="AN78" s="238" t="s">
        <v>3583</v>
      </c>
      <c r="AO78" s="238" t="s">
        <v>9131</v>
      </c>
    </row>
    <row r="79" spans="1:41" x14ac:dyDescent="0.2">
      <c r="B79" s="239">
        <v>44789.729637557874</v>
      </c>
      <c r="C79" s="238">
        <v>53</v>
      </c>
      <c r="D79" s="238" t="s">
        <v>10101</v>
      </c>
      <c r="E79" s="238">
        <v>3841075136</v>
      </c>
      <c r="F79" s="238" t="s">
        <v>107</v>
      </c>
      <c r="G79" s="238" t="s">
        <v>100</v>
      </c>
      <c r="H79" s="238" t="s">
        <v>100</v>
      </c>
      <c r="I79" s="238" t="s">
        <v>2267</v>
      </c>
      <c r="J79" s="238" t="s">
        <v>2267</v>
      </c>
      <c r="K79" s="238" t="s">
        <v>100</v>
      </c>
      <c r="L79" s="238" t="s">
        <v>7444</v>
      </c>
      <c r="M79" s="238" t="s">
        <v>263</v>
      </c>
      <c r="N79" s="238" t="s">
        <v>10016</v>
      </c>
      <c r="O79" s="238" t="s">
        <v>9131</v>
      </c>
      <c r="P79" s="238" t="s">
        <v>99</v>
      </c>
      <c r="Q79" s="238" t="s">
        <v>10102</v>
      </c>
      <c r="T79" s="238" t="s">
        <v>21</v>
      </c>
      <c r="U79" s="238" t="s">
        <v>41</v>
      </c>
      <c r="V79" s="238" t="s">
        <v>10103</v>
      </c>
      <c r="W79" s="238" t="s">
        <v>9204</v>
      </c>
      <c r="X79" s="238" t="s">
        <v>10104</v>
      </c>
      <c r="Y79" s="238" t="s">
        <v>9204</v>
      </c>
      <c r="Z79" s="238" t="s">
        <v>10105</v>
      </c>
      <c r="AA79" s="238" t="s">
        <v>10106</v>
      </c>
      <c r="AB79" s="238" t="s">
        <v>9204</v>
      </c>
      <c r="AC79" s="238" t="s">
        <v>10107</v>
      </c>
      <c r="AD79" s="238" t="s">
        <v>9204</v>
      </c>
      <c r="AE79" s="238" t="s">
        <v>10108</v>
      </c>
      <c r="AF79" s="238">
        <v>3</v>
      </c>
      <c r="AG79" s="238" t="s">
        <v>263</v>
      </c>
      <c r="AH79" s="238">
        <v>1</v>
      </c>
      <c r="AI79" s="238">
        <v>1</v>
      </c>
      <c r="AJ79" s="238">
        <v>150</v>
      </c>
      <c r="AK79" s="238" t="s">
        <v>263</v>
      </c>
      <c r="AL79" s="238" t="s">
        <v>9130</v>
      </c>
      <c r="AM79" s="238" t="s">
        <v>263</v>
      </c>
      <c r="AN79" s="238" t="s">
        <v>263</v>
      </c>
      <c r="AO79" s="238" t="s">
        <v>10109</v>
      </c>
    </row>
    <row r="80" spans="1:41" x14ac:dyDescent="0.2">
      <c r="B80" s="239">
        <v>44789.749925821758</v>
      </c>
      <c r="C80" s="238">
        <v>42</v>
      </c>
      <c r="D80" s="238" t="s">
        <v>9153</v>
      </c>
      <c r="E80" s="238">
        <v>3841150019</v>
      </c>
      <c r="F80" s="238" t="s">
        <v>95</v>
      </c>
      <c r="G80" s="238" t="s">
        <v>9246</v>
      </c>
      <c r="H80" s="238" t="s">
        <v>3535</v>
      </c>
      <c r="I80" s="238" t="s">
        <v>1752</v>
      </c>
      <c r="J80" s="238" t="s">
        <v>1752</v>
      </c>
      <c r="K80" s="238" t="s">
        <v>10064</v>
      </c>
      <c r="L80" s="238" t="s">
        <v>10110</v>
      </c>
      <c r="M80" s="238" t="s">
        <v>368</v>
      </c>
      <c r="N80" s="238" t="s">
        <v>9959</v>
      </c>
      <c r="O80" s="238" t="s">
        <v>9815</v>
      </c>
      <c r="P80" s="238" t="s">
        <v>10111</v>
      </c>
      <c r="Q80" s="238" t="s">
        <v>10112</v>
      </c>
      <c r="R80" s="238">
        <v>1</v>
      </c>
      <c r="S80" s="238" t="s">
        <v>285</v>
      </c>
      <c r="T80" s="238" t="s">
        <v>9754</v>
      </c>
      <c r="U80" s="238" t="s">
        <v>41</v>
      </c>
      <c r="V80" s="238" t="s">
        <v>10113</v>
      </c>
      <c r="W80" s="238" t="s">
        <v>1235</v>
      </c>
      <c r="X80" s="238" t="s">
        <v>10114</v>
      </c>
      <c r="Y80" s="238" t="s">
        <v>10115</v>
      </c>
      <c r="Z80" s="238" t="s">
        <v>10116</v>
      </c>
      <c r="AA80" s="238" t="s">
        <v>10117</v>
      </c>
      <c r="AB80" s="238" t="s">
        <v>1235</v>
      </c>
      <c r="AC80" s="238" t="s">
        <v>10118</v>
      </c>
      <c r="AD80" s="238" t="s">
        <v>1235</v>
      </c>
      <c r="AE80" s="238" t="s">
        <v>10119</v>
      </c>
      <c r="AF80" s="238">
        <v>5</v>
      </c>
      <c r="AG80" s="238" t="s">
        <v>263</v>
      </c>
      <c r="AH80" s="238">
        <v>3</v>
      </c>
      <c r="AI80" s="238">
        <v>2</v>
      </c>
      <c r="AJ80" s="238">
        <v>200</v>
      </c>
      <c r="AK80" s="238" t="s">
        <v>263</v>
      </c>
      <c r="AL80" s="238" t="s">
        <v>9130</v>
      </c>
      <c r="AM80" s="238" t="s">
        <v>263</v>
      </c>
      <c r="AN80" s="238" t="s">
        <v>263</v>
      </c>
      <c r="AO80" s="238" t="s">
        <v>9131</v>
      </c>
    </row>
    <row r="81" spans="1:41" x14ac:dyDescent="0.2">
      <c r="B81" s="239">
        <v>44789.75006395833</v>
      </c>
      <c r="C81" s="238" t="s">
        <v>10120</v>
      </c>
      <c r="D81" s="238" t="s">
        <v>10121</v>
      </c>
      <c r="E81" s="238">
        <v>3841071545</v>
      </c>
      <c r="F81" s="238" t="s">
        <v>95</v>
      </c>
      <c r="G81" s="238" t="s">
        <v>9154</v>
      </c>
      <c r="H81" s="238" t="s">
        <v>9154</v>
      </c>
      <c r="I81" s="238" t="s">
        <v>9154</v>
      </c>
      <c r="J81" s="238" t="s">
        <v>9154</v>
      </c>
      <c r="K81" s="238" t="s">
        <v>9154</v>
      </c>
      <c r="L81" s="238" t="s">
        <v>263</v>
      </c>
      <c r="M81" s="238" t="s">
        <v>368</v>
      </c>
      <c r="N81" s="238" t="s">
        <v>9929</v>
      </c>
      <c r="O81" s="238" t="s">
        <v>9929</v>
      </c>
      <c r="P81" s="238" t="s">
        <v>263</v>
      </c>
      <c r="Q81" s="238" t="s">
        <v>10122</v>
      </c>
      <c r="R81" s="238">
        <v>3</v>
      </c>
      <c r="S81" s="238" t="s">
        <v>263</v>
      </c>
      <c r="T81" s="238" t="s">
        <v>9133</v>
      </c>
      <c r="U81" s="238" t="s">
        <v>39</v>
      </c>
      <c r="V81" s="238" t="s">
        <v>10123</v>
      </c>
      <c r="W81" s="238" t="s">
        <v>4416</v>
      </c>
      <c r="X81" s="238" t="s">
        <v>10124</v>
      </c>
      <c r="Y81" s="238" t="s">
        <v>1886</v>
      </c>
      <c r="Z81" s="238" t="s">
        <v>10125</v>
      </c>
      <c r="AA81" s="238" t="s">
        <v>10126</v>
      </c>
      <c r="AB81" s="238" t="s">
        <v>1965</v>
      </c>
      <c r="AC81" s="238" t="s">
        <v>10127</v>
      </c>
      <c r="AD81" s="238" t="s">
        <v>9165</v>
      </c>
      <c r="AE81" s="238" t="s">
        <v>10128</v>
      </c>
      <c r="AF81" s="238">
        <v>5</v>
      </c>
      <c r="AG81" s="238" t="s">
        <v>285</v>
      </c>
      <c r="AH81" s="238" t="s">
        <v>10129</v>
      </c>
      <c r="AI81" s="238" t="s">
        <v>10130</v>
      </c>
      <c r="AJ81" s="238" t="s">
        <v>10131</v>
      </c>
      <c r="AK81" s="238" t="s">
        <v>285</v>
      </c>
      <c r="AL81" s="238">
        <v>5</v>
      </c>
      <c r="AM81" s="238" t="s">
        <v>263</v>
      </c>
      <c r="AN81" s="238" t="s">
        <v>263</v>
      </c>
      <c r="AO81" s="238" t="s">
        <v>9144</v>
      </c>
    </row>
    <row r="82" spans="1:41" x14ac:dyDescent="0.2">
      <c r="B82" s="239">
        <v>44789.778974907407</v>
      </c>
      <c r="C82" s="238">
        <v>19</v>
      </c>
      <c r="D82" s="238" t="s">
        <v>9264</v>
      </c>
      <c r="E82" s="238" t="s">
        <v>10132</v>
      </c>
      <c r="F82" s="238" t="s">
        <v>95</v>
      </c>
      <c r="G82" s="238" t="s">
        <v>9154</v>
      </c>
      <c r="H82" s="238" t="s">
        <v>9154</v>
      </c>
      <c r="I82" s="238" t="s">
        <v>9154</v>
      </c>
      <c r="J82" s="238" t="s">
        <v>9154</v>
      </c>
      <c r="K82" s="238" t="s">
        <v>96</v>
      </c>
      <c r="L82" s="238" t="s">
        <v>9131</v>
      </c>
      <c r="M82" s="238" t="s">
        <v>368</v>
      </c>
      <c r="N82" s="238" t="s">
        <v>9155</v>
      </c>
      <c r="O82" s="238" t="s">
        <v>9131</v>
      </c>
      <c r="P82" s="238" t="s">
        <v>9212</v>
      </c>
      <c r="Q82" s="238" t="s">
        <v>1870</v>
      </c>
      <c r="R82" s="238" t="s">
        <v>9144</v>
      </c>
      <c r="S82" s="238" t="s">
        <v>285</v>
      </c>
      <c r="T82" s="238" t="s">
        <v>9461</v>
      </c>
      <c r="U82" s="238" t="s">
        <v>9155</v>
      </c>
      <c r="V82" s="238" t="s">
        <v>10133</v>
      </c>
      <c r="W82" s="238" t="s">
        <v>4416</v>
      </c>
      <c r="X82" s="238" t="s">
        <v>10134</v>
      </c>
      <c r="Y82" s="238" t="s">
        <v>9165</v>
      </c>
      <c r="Z82" s="238" t="s">
        <v>162</v>
      </c>
      <c r="AA82" s="238" t="s">
        <v>10135</v>
      </c>
      <c r="AB82" s="238" t="s">
        <v>162</v>
      </c>
      <c r="AC82" s="238" t="s">
        <v>10136</v>
      </c>
      <c r="AD82" s="238" t="s">
        <v>10137</v>
      </c>
      <c r="AE82" s="238" t="s">
        <v>162</v>
      </c>
      <c r="AF82" s="238">
        <v>4</v>
      </c>
      <c r="AG82" s="238" t="s">
        <v>285</v>
      </c>
      <c r="AH82" s="238" t="s">
        <v>10138</v>
      </c>
      <c r="AI82" s="238" t="s">
        <v>162</v>
      </c>
      <c r="AJ82" s="238">
        <v>150</v>
      </c>
      <c r="AK82" s="238" t="s">
        <v>285</v>
      </c>
      <c r="AL82" s="238">
        <v>5</v>
      </c>
      <c r="AM82" s="238" t="s">
        <v>263</v>
      </c>
      <c r="AN82" s="238" t="s">
        <v>263</v>
      </c>
      <c r="AO82" s="238" t="s">
        <v>10139</v>
      </c>
    </row>
    <row r="83" spans="1:41" x14ac:dyDescent="0.2">
      <c r="B83" s="239">
        <v>44789.844053796296</v>
      </c>
      <c r="C83" s="238">
        <v>23</v>
      </c>
      <c r="D83" s="238" t="s">
        <v>97</v>
      </c>
      <c r="E83" s="238">
        <v>3314309184</v>
      </c>
      <c r="F83" s="238" t="s">
        <v>95</v>
      </c>
      <c r="G83" s="238" t="s">
        <v>9154</v>
      </c>
      <c r="H83" s="238" t="s">
        <v>9154</v>
      </c>
      <c r="I83" s="238" t="s">
        <v>9154</v>
      </c>
      <c r="J83" s="238" t="s">
        <v>9154</v>
      </c>
      <c r="K83" s="238" t="s">
        <v>9154</v>
      </c>
      <c r="L83" s="238" t="s">
        <v>10140</v>
      </c>
      <c r="M83" s="238" t="s">
        <v>263</v>
      </c>
      <c r="N83" s="238" t="s">
        <v>9123</v>
      </c>
      <c r="O83" s="238" t="s">
        <v>9131</v>
      </c>
      <c r="P83" s="238" t="s">
        <v>263</v>
      </c>
      <c r="Q83" s="238" t="s">
        <v>9131</v>
      </c>
      <c r="R83" s="238" t="s">
        <v>9144</v>
      </c>
      <c r="S83" s="238" t="s">
        <v>285</v>
      </c>
      <c r="T83" s="238" t="s">
        <v>9429</v>
      </c>
      <c r="U83" s="238" t="s">
        <v>10141</v>
      </c>
      <c r="V83" s="238" t="s">
        <v>10142</v>
      </c>
      <c r="W83" s="238" t="s">
        <v>9159</v>
      </c>
      <c r="X83" s="238" t="s">
        <v>10142</v>
      </c>
      <c r="Y83" s="238" t="s">
        <v>9159</v>
      </c>
      <c r="Z83" s="238" t="s">
        <v>9159</v>
      </c>
      <c r="AA83" s="238" t="s">
        <v>10142</v>
      </c>
      <c r="AB83" s="238" t="s">
        <v>9204</v>
      </c>
      <c r="AC83" s="238" t="s">
        <v>10142</v>
      </c>
      <c r="AD83" s="238" t="s">
        <v>9159</v>
      </c>
      <c r="AE83" s="238" t="s">
        <v>10143</v>
      </c>
      <c r="AF83" s="238">
        <v>2</v>
      </c>
      <c r="AG83" s="238" t="s">
        <v>263</v>
      </c>
      <c r="AH83" s="238" t="s">
        <v>9616</v>
      </c>
      <c r="AI83" s="238" t="s">
        <v>10144</v>
      </c>
      <c r="AJ83" s="238" t="s">
        <v>9426</v>
      </c>
      <c r="AK83" s="238" t="s">
        <v>263</v>
      </c>
      <c r="AL83" s="238" t="s">
        <v>9130</v>
      </c>
      <c r="AM83" s="238" t="s">
        <v>263</v>
      </c>
      <c r="AN83" s="238" t="s">
        <v>263</v>
      </c>
      <c r="AO83" s="238" t="s">
        <v>9144</v>
      </c>
    </row>
    <row r="84" spans="1:41" x14ac:dyDescent="0.2">
      <c r="B84" s="239">
        <v>44789.863176956016</v>
      </c>
      <c r="C84" s="238">
        <v>37</v>
      </c>
      <c r="D84" s="238" t="s">
        <v>10145</v>
      </c>
      <c r="E84" s="238">
        <v>3841191286</v>
      </c>
      <c r="F84" s="238" t="s">
        <v>95</v>
      </c>
      <c r="G84" s="238" t="s">
        <v>96</v>
      </c>
      <c r="H84" s="238" t="s">
        <v>96</v>
      </c>
      <c r="I84" s="238" t="s">
        <v>96</v>
      </c>
      <c r="J84" s="238" t="s">
        <v>9154</v>
      </c>
      <c r="K84" s="238" t="s">
        <v>10146</v>
      </c>
      <c r="L84" s="238" t="s">
        <v>10147</v>
      </c>
      <c r="M84" s="238" t="s">
        <v>368</v>
      </c>
      <c r="N84" s="238" t="s">
        <v>10148</v>
      </c>
      <c r="O84" s="238" t="s">
        <v>9131</v>
      </c>
      <c r="P84" s="238" t="s">
        <v>10149</v>
      </c>
      <c r="Q84" s="238" t="s">
        <v>10150</v>
      </c>
      <c r="R84" s="238">
        <v>3</v>
      </c>
      <c r="S84" s="238" t="s">
        <v>285</v>
      </c>
      <c r="T84" s="238" t="s">
        <v>10151</v>
      </c>
      <c r="U84" s="238" t="s">
        <v>9754</v>
      </c>
      <c r="V84" s="238" t="s">
        <v>10152</v>
      </c>
      <c r="W84" s="238" t="s">
        <v>10153</v>
      </c>
      <c r="X84" s="238" t="s">
        <v>10154</v>
      </c>
      <c r="Y84" s="238" t="s">
        <v>10155</v>
      </c>
      <c r="Z84" s="238" t="s">
        <v>10156</v>
      </c>
      <c r="AA84" s="238" t="s">
        <v>10157</v>
      </c>
      <c r="AB84" s="238" t="s">
        <v>10158</v>
      </c>
      <c r="AC84" s="238" t="s">
        <v>10159</v>
      </c>
      <c r="AD84" s="238" t="s">
        <v>10160</v>
      </c>
      <c r="AE84" s="238" t="s">
        <v>10161</v>
      </c>
      <c r="AF84" s="238">
        <v>4</v>
      </c>
      <c r="AG84" s="238" t="s">
        <v>285</v>
      </c>
      <c r="AH84" s="238" t="s">
        <v>9123</v>
      </c>
      <c r="AI84" s="238" t="s">
        <v>10162</v>
      </c>
      <c r="AJ84" s="238">
        <v>150</v>
      </c>
      <c r="AK84" s="238" t="s">
        <v>263</v>
      </c>
      <c r="AL84" s="238" t="s">
        <v>9130</v>
      </c>
      <c r="AM84" s="238" t="s">
        <v>10163</v>
      </c>
      <c r="AN84" s="238" t="s">
        <v>263</v>
      </c>
      <c r="AO84" s="238" t="s">
        <v>10164</v>
      </c>
    </row>
    <row r="85" spans="1:41" x14ac:dyDescent="0.2">
      <c r="B85" s="239">
        <v>44789.863893252317</v>
      </c>
      <c r="C85" s="238">
        <v>49</v>
      </c>
      <c r="D85" s="238" t="s">
        <v>10165</v>
      </c>
      <c r="E85" s="238" t="s">
        <v>10166</v>
      </c>
      <c r="F85" s="238" t="s">
        <v>95</v>
      </c>
      <c r="G85" s="238" t="s">
        <v>9154</v>
      </c>
      <c r="H85" s="238" t="s">
        <v>9385</v>
      </c>
      <c r="I85" s="238" t="s">
        <v>9154</v>
      </c>
      <c r="J85" s="238" t="s">
        <v>9154</v>
      </c>
      <c r="K85" s="238" t="s">
        <v>9385</v>
      </c>
      <c r="L85" s="238" t="s">
        <v>10167</v>
      </c>
      <c r="M85" s="238" t="s">
        <v>368</v>
      </c>
      <c r="N85" s="238" t="s">
        <v>10168</v>
      </c>
      <c r="O85" s="238" t="s">
        <v>9131</v>
      </c>
      <c r="P85" s="238" t="s">
        <v>263</v>
      </c>
      <c r="Q85" s="238" t="s">
        <v>9144</v>
      </c>
      <c r="R85" s="238">
        <v>5</v>
      </c>
      <c r="S85" s="238" t="s">
        <v>285</v>
      </c>
      <c r="T85" s="238" t="s">
        <v>9488</v>
      </c>
      <c r="U85" s="238" t="s">
        <v>9429</v>
      </c>
      <c r="V85" s="238" t="s">
        <v>10169</v>
      </c>
      <c r="W85" s="238" t="s">
        <v>9204</v>
      </c>
      <c r="X85" s="238" t="s">
        <v>10170</v>
      </c>
      <c r="Y85" s="238" t="s">
        <v>9204</v>
      </c>
      <c r="Z85" s="238" t="s">
        <v>9642</v>
      </c>
      <c r="AA85" s="238" t="s">
        <v>10171</v>
      </c>
      <c r="AB85" s="238" t="s">
        <v>9204</v>
      </c>
      <c r="AC85" s="238" t="s">
        <v>10172</v>
      </c>
      <c r="AD85" s="238" t="s">
        <v>9204</v>
      </c>
      <c r="AE85" s="238" t="s">
        <v>10173</v>
      </c>
      <c r="AF85" s="238">
        <v>3</v>
      </c>
      <c r="AG85" s="238" t="s">
        <v>263</v>
      </c>
      <c r="AH85" s="238" t="s">
        <v>10174</v>
      </c>
      <c r="AI85" s="238" t="s">
        <v>10175</v>
      </c>
      <c r="AJ85" s="238">
        <v>80</v>
      </c>
      <c r="AK85" s="238" t="s">
        <v>263</v>
      </c>
      <c r="AL85" s="238" t="s">
        <v>9130</v>
      </c>
      <c r="AM85" s="238" t="s">
        <v>263</v>
      </c>
      <c r="AN85" s="238" t="s">
        <v>263</v>
      </c>
      <c r="AO85" s="238" t="s">
        <v>1266</v>
      </c>
    </row>
    <row r="86" spans="1:41" x14ac:dyDescent="0.2">
      <c r="B86" s="239">
        <v>44789.874088680561</v>
      </c>
      <c r="C86" s="238" t="s">
        <v>5113</v>
      </c>
      <c r="D86" s="238" t="s">
        <v>1855</v>
      </c>
      <c r="E86" s="238">
        <v>3316201512</v>
      </c>
      <c r="F86" s="238" t="s">
        <v>95</v>
      </c>
      <c r="G86" s="238" t="s">
        <v>96</v>
      </c>
      <c r="H86" s="238" t="s">
        <v>605</v>
      </c>
      <c r="I86" s="238" t="s">
        <v>96</v>
      </c>
      <c r="J86" s="238" t="s">
        <v>96</v>
      </c>
      <c r="K86" s="238" t="s">
        <v>605</v>
      </c>
      <c r="L86" s="238" t="s">
        <v>9318</v>
      </c>
      <c r="M86" s="238" t="s">
        <v>368</v>
      </c>
      <c r="N86" s="238" t="s">
        <v>9370</v>
      </c>
      <c r="O86" s="238" t="s">
        <v>22</v>
      </c>
      <c r="P86" s="238" t="s">
        <v>9680</v>
      </c>
      <c r="Q86" s="238" t="s">
        <v>10176</v>
      </c>
      <c r="R86" s="238">
        <v>2</v>
      </c>
      <c r="S86" s="238" t="s">
        <v>263</v>
      </c>
      <c r="T86" s="238" t="s">
        <v>9121</v>
      </c>
      <c r="U86" s="238" t="s">
        <v>22</v>
      </c>
      <c r="V86" s="238" t="s">
        <v>10177</v>
      </c>
      <c r="W86" s="238" t="s">
        <v>10178</v>
      </c>
      <c r="X86" s="238" t="s">
        <v>10179</v>
      </c>
      <c r="Y86" s="238" t="s">
        <v>10180</v>
      </c>
      <c r="Z86" s="238" t="s">
        <v>10181</v>
      </c>
      <c r="AF86" s="238">
        <v>5</v>
      </c>
      <c r="AG86" s="238" t="s">
        <v>285</v>
      </c>
      <c r="AH86" s="238">
        <v>3</v>
      </c>
      <c r="AI86" s="238">
        <v>1</v>
      </c>
      <c r="AJ86" s="238" t="s">
        <v>10182</v>
      </c>
      <c r="AK86" s="238" t="s">
        <v>263</v>
      </c>
      <c r="AL86" s="238" t="s">
        <v>9130</v>
      </c>
      <c r="AM86" s="238" t="s">
        <v>263</v>
      </c>
      <c r="AN86" s="238" t="s">
        <v>263</v>
      </c>
      <c r="AO86" s="238" t="s">
        <v>10183</v>
      </c>
    </row>
    <row r="87" spans="1:41" x14ac:dyDescent="0.2">
      <c r="A87" t="s">
        <v>8381</v>
      </c>
      <c r="B87" s="239">
        <v>44789.926578043982</v>
      </c>
      <c r="C87" s="238">
        <v>29</v>
      </c>
      <c r="D87" s="238" t="s">
        <v>10184</v>
      </c>
      <c r="E87" s="238">
        <v>3316988721</v>
      </c>
      <c r="F87" s="238" t="s">
        <v>107</v>
      </c>
      <c r="G87" s="238" t="s">
        <v>96</v>
      </c>
      <c r="H87" s="238" t="s">
        <v>96</v>
      </c>
      <c r="I87" s="238" t="s">
        <v>96</v>
      </c>
      <c r="J87" s="238" t="s">
        <v>96</v>
      </c>
      <c r="K87" s="238" t="s">
        <v>96</v>
      </c>
      <c r="L87" s="238" t="s">
        <v>9131</v>
      </c>
      <c r="M87" s="238" t="s">
        <v>368</v>
      </c>
      <c r="N87" s="238" t="s">
        <v>9123</v>
      </c>
      <c r="O87" s="238" t="s">
        <v>9131</v>
      </c>
      <c r="P87" s="238" t="s">
        <v>263</v>
      </c>
      <c r="Q87" s="238" t="s">
        <v>263</v>
      </c>
      <c r="R87" s="238" t="s">
        <v>10185</v>
      </c>
      <c r="S87" s="238" t="s">
        <v>263</v>
      </c>
      <c r="T87" s="238" t="s">
        <v>9133</v>
      </c>
      <c r="U87" s="238" t="s">
        <v>9133</v>
      </c>
      <c r="V87" s="238" t="s">
        <v>10186</v>
      </c>
      <c r="W87" s="238" t="s">
        <v>277</v>
      </c>
      <c r="X87" s="238" t="s">
        <v>10187</v>
      </c>
      <c r="Y87" s="238" t="s">
        <v>9204</v>
      </c>
      <c r="Z87" s="238" t="s">
        <v>4731</v>
      </c>
      <c r="AF87" s="238">
        <v>4</v>
      </c>
      <c r="AG87" s="238" t="s">
        <v>263</v>
      </c>
      <c r="AH87" s="238">
        <v>1</v>
      </c>
      <c r="AI87" s="238" t="s">
        <v>10188</v>
      </c>
      <c r="AJ87" s="238">
        <v>50</v>
      </c>
      <c r="AK87" s="238" t="s">
        <v>285</v>
      </c>
      <c r="AL87" s="238">
        <v>1</v>
      </c>
      <c r="AM87" s="238" t="s">
        <v>263</v>
      </c>
      <c r="AN87" s="238" t="s">
        <v>263</v>
      </c>
      <c r="AO87" s="238" t="s">
        <v>10189</v>
      </c>
    </row>
    <row r="88" spans="1:41" x14ac:dyDescent="0.2">
      <c r="B88" s="239">
        <v>44790.415711076392</v>
      </c>
      <c r="C88" s="238">
        <v>58</v>
      </c>
      <c r="D88" s="238" t="s">
        <v>10190</v>
      </c>
      <c r="E88" s="238">
        <v>3841153690</v>
      </c>
      <c r="F88" s="238" t="s">
        <v>95</v>
      </c>
      <c r="G88" s="238" t="s">
        <v>10191</v>
      </c>
      <c r="H88" s="238" t="s">
        <v>96</v>
      </c>
      <c r="I88" s="238" t="s">
        <v>9154</v>
      </c>
      <c r="J88" s="238" t="s">
        <v>9154</v>
      </c>
      <c r="K88" s="238" t="s">
        <v>10192</v>
      </c>
      <c r="L88" s="238" t="s">
        <v>9318</v>
      </c>
      <c r="M88" s="238" t="s">
        <v>368</v>
      </c>
      <c r="N88" s="238" t="s">
        <v>39</v>
      </c>
      <c r="O88" s="238" t="s">
        <v>39</v>
      </c>
      <c r="P88" s="238" t="s">
        <v>263</v>
      </c>
      <c r="Q88" s="238" t="s">
        <v>10193</v>
      </c>
      <c r="R88" s="238">
        <v>4</v>
      </c>
      <c r="S88" s="238" t="s">
        <v>263</v>
      </c>
      <c r="T88" s="238" t="s">
        <v>9741</v>
      </c>
      <c r="U88" s="238" t="s">
        <v>9155</v>
      </c>
      <c r="V88" s="238" t="s">
        <v>10194</v>
      </c>
      <c r="W88" s="238" t="s">
        <v>263</v>
      </c>
      <c r="X88" s="238" t="s">
        <v>10195</v>
      </c>
      <c r="Y88" s="238" t="s">
        <v>10196</v>
      </c>
      <c r="Z88" s="238" t="s">
        <v>10197</v>
      </c>
      <c r="AA88" s="238" t="s">
        <v>10198</v>
      </c>
      <c r="AB88" s="238" t="s">
        <v>263</v>
      </c>
      <c r="AC88" s="238" t="s">
        <v>10199</v>
      </c>
      <c r="AD88" s="238" t="s">
        <v>263</v>
      </c>
      <c r="AE88" s="238" t="s">
        <v>10200</v>
      </c>
      <c r="AF88" s="238">
        <v>3</v>
      </c>
      <c r="AG88" s="238" t="s">
        <v>263</v>
      </c>
      <c r="AH88" s="238">
        <v>1</v>
      </c>
      <c r="AI88" s="238">
        <v>1</v>
      </c>
      <c r="AJ88" s="238" t="s">
        <v>10201</v>
      </c>
      <c r="AK88" s="238" t="s">
        <v>285</v>
      </c>
      <c r="AL88" s="238">
        <v>2</v>
      </c>
      <c r="AM88" s="238" t="s">
        <v>263</v>
      </c>
      <c r="AN88" s="238" t="s">
        <v>10202</v>
      </c>
      <c r="AO88" s="238" t="s">
        <v>10203</v>
      </c>
    </row>
    <row r="89" spans="1:41" x14ac:dyDescent="0.2">
      <c r="B89" s="239">
        <v>44790.4762581713</v>
      </c>
      <c r="C89" s="238">
        <v>42</v>
      </c>
      <c r="D89" s="238" t="s">
        <v>1855</v>
      </c>
      <c r="E89" s="238">
        <v>3841082726</v>
      </c>
      <c r="F89" s="238" t="s">
        <v>95</v>
      </c>
      <c r="G89" s="238" t="s">
        <v>9154</v>
      </c>
      <c r="H89" s="238" t="s">
        <v>9154</v>
      </c>
      <c r="I89" s="238" t="s">
        <v>96</v>
      </c>
      <c r="J89" s="238" t="s">
        <v>96</v>
      </c>
      <c r="K89" s="238" t="s">
        <v>96</v>
      </c>
      <c r="L89" s="238" t="s">
        <v>9204</v>
      </c>
      <c r="M89" s="238" t="s">
        <v>368</v>
      </c>
      <c r="N89" s="238" t="s">
        <v>9794</v>
      </c>
      <c r="O89" s="238" t="s">
        <v>9131</v>
      </c>
      <c r="P89" s="238" t="s">
        <v>10204</v>
      </c>
      <c r="Q89" s="238" t="s">
        <v>9131</v>
      </c>
      <c r="R89" s="238">
        <v>3</v>
      </c>
      <c r="S89" s="238" t="s">
        <v>285</v>
      </c>
      <c r="T89" s="238" t="s">
        <v>9772</v>
      </c>
      <c r="U89" s="238" t="s">
        <v>9488</v>
      </c>
      <c r="V89" s="238" t="s">
        <v>10205</v>
      </c>
      <c r="W89" s="238" t="s">
        <v>9136</v>
      </c>
      <c r="X89" s="238" t="s">
        <v>10206</v>
      </c>
      <c r="Y89" s="238" t="s">
        <v>10207</v>
      </c>
      <c r="Z89" s="238" t="s">
        <v>10208</v>
      </c>
      <c r="AA89" s="238" t="s">
        <v>10209</v>
      </c>
      <c r="AB89" s="238" t="s">
        <v>1238</v>
      </c>
      <c r="AC89" s="238" t="s">
        <v>10210</v>
      </c>
      <c r="AD89" s="238" t="s">
        <v>10211</v>
      </c>
      <c r="AE89" s="238" t="s">
        <v>9715</v>
      </c>
      <c r="AF89" s="238">
        <v>3</v>
      </c>
      <c r="AG89" s="238" t="s">
        <v>263</v>
      </c>
      <c r="AH89" s="238" t="s">
        <v>9123</v>
      </c>
      <c r="AI89" s="238">
        <v>2</v>
      </c>
      <c r="AJ89" s="238">
        <v>250</v>
      </c>
      <c r="AK89" s="238" t="s">
        <v>285</v>
      </c>
      <c r="AL89" s="238">
        <v>6</v>
      </c>
      <c r="AM89" s="238" t="s">
        <v>263</v>
      </c>
      <c r="AN89" s="238" t="s">
        <v>263</v>
      </c>
      <c r="AO89" s="238" t="s">
        <v>10212</v>
      </c>
    </row>
    <row r="90" spans="1:41" x14ac:dyDescent="0.2">
      <c r="A90" t="s">
        <v>8387</v>
      </c>
      <c r="B90" s="239">
        <v>44790.491156377313</v>
      </c>
      <c r="C90" s="238">
        <v>62</v>
      </c>
      <c r="D90" s="238" t="s">
        <v>7425</v>
      </c>
      <c r="E90" s="238">
        <v>3841357676</v>
      </c>
      <c r="F90" s="238" t="s">
        <v>95</v>
      </c>
      <c r="G90" s="238" t="s">
        <v>9154</v>
      </c>
      <c r="H90" s="238" t="s">
        <v>9154</v>
      </c>
      <c r="I90" s="238" t="s">
        <v>9154</v>
      </c>
      <c r="J90" s="238" t="s">
        <v>9154</v>
      </c>
      <c r="K90" s="238" t="s">
        <v>9154</v>
      </c>
      <c r="L90" s="238" t="s">
        <v>10213</v>
      </c>
      <c r="M90" s="238" t="s">
        <v>263</v>
      </c>
      <c r="N90" s="238" t="s">
        <v>9370</v>
      </c>
      <c r="O90" s="238" t="s">
        <v>9370</v>
      </c>
      <c r="P90" s="238" t="s">
        <v>263</v>
      </c>
      <c r="Q90" s="238" t="s">
        <v>10214</v>
      </c>
      <c r="R90" s="238">
        <v>3</v>
      </c>
      <c r="S90" s="238" t="s">
        <v>263</v>
      </c>
      <c r="T90" s="238" t="s">
        <v>21</v>
      </c>
      <c r="U90" s="238" t="s">
        <v>9123</v>
      </c>
      <c r="V90" s="238" t="s">
        <v>10215</v>
      </c>
      <c r="W90" s="238" t="s">
        <v>10216</v>
      </c>
      <c r="X90" s="238" t="s">
        <v>10217</v>
      </c>
      <c r="Y90" s="238" t="s">
        <v>2436</v>
      </c>
      <c r="Z90" s="238" t="s">
        <v>10218</v>
      </c>
      <c r="AA90" s="238" t="s">
        <v>10219</v>
      </c>
      <c r="AB90" s="238" t="s">
        <v>10220</v>
      </c>
      <c r="AC90" s="238" t="s">
        <v>10221</v>
      </c>
      <c r="AD90" s="238" t="s">
        <v>10222</v>
      </c>
      <c r="AE90" s="238" t="s">
        <v>10223</v>
      </c>
      <c r="AF90" s="238">
        <v>3</v>
      </c>
      <c r="AG90" s="238" t="s">
        <v>285</v>
      </c>
      <c r="AH90" s="238" t="s">
        <v>10040</v>
      </c>
      <c r="AI90" s="238" t="s">
        <v>9212</v>
      </c>
      <c r="AJ90" s="238" t="s">
        <v>10224</v>
      </c>
      <c r="AK90" s="238" t="s">
        <v>285</v>
      </c>
      <c r="AL90" s="238">
        <v>6</v>
      </c>
      <c r="AM90" s="238" t="s">
        <v>10225</v>
      </c>
      <c r="AN90" s="238" t="s">
        <v>263</v>
      </c>
      <c r="AO90" s="238" t="s">
        <v>10226</v>
      </c>
    </row>
    <row r="91" spans="1:41" x14ac:dyDescent="0.2">
      <c r="B91" s="239">
        <v>44790.504780682866</v>
      </c>
      <c r="C91" s="238">
        <v>61</v>
      </c>
      <c r="D91" s="238" t="s">
        <v>9209</v>
      </c>
      <c r="E91" s="238" t="s">
        <v>10227</v>
      </c>
      <c r="F91" s="238" t="s">
        <v>95</v>
      </c>
      <c r="G91" s="238" t="s">
        <v>96</v>
      </c>
      <c r="H91" s="238" t="s">
        <v>96</v>
      </c>
      <c r="I91" s="238" t="s">
        <v>96</v>
      </c>
      <c r="J91" s="238" t="s">
        <v>96</v>
      </c>
      <c r="K91" s="238" t="s">
        <v>96</v>
      </c>
      <c r="L91" s="238" t="s">
        <v>6303</v>
      </c>
      <c r="M91" s="238" t="s">
        <v>263</v>
      </c>
      <c r="N91" s="238" t="s">
        <v>9123</v>
      </c>
      <c r="O91" s="238" t="s">
        <v>9131</v>
      </c>
      <c r="P91" s="238" t="s">
        <v>263</v>
      </c>
      <c r="Q91" s="238" t="s">
        <v>9144</v>
      </c>
      <c r="R91" s="238">
        <v>2</v>
      </c>
      <c r="S91" s="238" t="s">
        <v>263</v>
      </c>
      <c r="T91" s="238" t="s">
        <v>21</v>
      </c>
      <c r="U91" s="238" t="s">
        <v>9123</v>
      </c>
      <c r="V91" s="238" t="s">
        <v>10228</v>
      </c>
      <c r="W91" s="238" t="s">
        <v>10229</v>
      </c>
      <c r="X91" s="238" t="s">
        <v>10230</v>
      </c>
      <c r="Y91" s="238" t="s">
        <v>10231</v>
      </c>
      <c r="Z91" s="238" t="s">
        <v>10232</v>
      </c>
      <c r="AA91" s="238" t="s">
        <v>10233</v>
      </c>
      <c r="AB91" s="238" t="s">
        <v>10234</v>
      </c>
      <c r="AC91" s="238" t="s">
        <v>10235</v>
      </c>
      <c r="AD91" s="238" t="s">
        <v>10236</v>
      </c>
      <c r="AE91" s="238" t="s">
        <v>10232</v>
      </c>
      <c r="AF91" s="238">
        <v>2</v>
      </c>
      <c r="AG91" s="238" t="s">
        <v>263</v>
      </c>
      <c r="AH91" s="238" t="s">
        <v>10237</v>
      </c>
      <c r="AI91" s="238" t="s">
        <v>10237</v>
      </c>
      <c r="AJ91" s="238" t="s">
        <v>10238</v>
      </c>
      <c r="AK91" s="238" t="s">
        <v>263</v>
      </c>
      <c r="AL91" s="238" t="s">
        <v>9130</v>
      </c>
      <c r="AM91" s="238" t="s">
        <v>5205</v>
      </c>
      <c r="AN91" s="238" t="s">
        <v>10239</v>
      </c>
      <c r="AO91" s="238" t="s">
        <v>10240</v>
      </c>
    </row>
    <row r="92" spans="1:41" x14ac:dyDescent="0.2">
      <c r="B92" s="239">
        <v>44790.507963020835</v>
      </c>
      <c r="C92" s="238">
        <v>61</v>
      </c>
      <c r="D92" s="238" t="s">
        <v>10241</v>
      </c>
      <c r="E92" s="238" t="s">
        <v>10227</v>
      </c>
      <c r="F92" s="238" t="s">
        <v>95</v>
      </c>
      <c r="G92" s="238" t="s">
        <v>96</v>
      </c>
      <c r="H92" s="238" t="s">
        <v>96</v>
      </c>
      <c r="I92" s="238" t="s">
        <v>96</v>
      </c>
      <c r="J92" s="238" t="s">
        <v>96</v>
      </c>
      <c r="K92" s="238" t="s">
        <v>96</v>
      </c>
      <c r="L92" s="238" t="s">
        <v>6303</v>
      </c>
      <c r="M92" s="238" t="s">
        <v>263</v>
      </c>
      <c r="N92" s="238" t="s">
        <v>9123</v>
      </c>
      <c r="O92" s="238" t="s">
        <v>9131</v>
      </c>
      <c r="P92" s="238" t="s">
        <v>5205</v>
      </c>
      <c r="Q92" s="238" t="s">
        <v>5205</v>
      </c>
      <c r="R92" s="238">
        <v>2</v>
      </c>
      <c r="S92" s="238" t="s">
        <v>263</v>
      </c>
      <c r="T92" s="238" t="s">
        <v>21</v>
      </c>
      <c r="U92" s="238" t="s">
        <v>9123</v>
      </c>
      <c r="V92" s="238" t="s">
        <v>10232</v>
      </c>
      <c r="W92" s="238" t="s">
        <v>9159</v>
      </c>
      <c r="X92" s="238" t="s">
        <v>10230</v>
      </c>
      <c r="Y92" s="238" t="s">
        <v>9159</v>
      </c>
      <c r="Z92" s="238" t="s">
        <v>10233</v>
      </c>
      <c r="AA92" s="238" t="s">
        <v>10242</v>
      </c>
      <c r="AB92" s="238" t="s">
        <v>9159</v>
      </c>
      <c r="AC92" s="238" t="s">
        <v>10243</v>
      </c>
      <c r="AD92" s="238" t="s">
        <v>10244</v>
      </c>
      <c r="AE92" s="238" t="s">
        <v>10233</v>
      </c>
      <c r="AF92" s="238">
        <v>2</v>
      </c>
      <c r="AG92" s="238" t="s">
        <v>263</v>
      </c>
      <c r="AH92" s="238" t="s">
        <v>9212</v>
      </c>
      <c r="AI92" s="238" t="s">
        <v>9212</v>
      </c>
      <c r="AJ92" s="238" t="s">
        <v>9863</v>
      </c>
      <c r="AK92" s="238" t="s">
        <v>263</v>
      </c>
      <c r="AL92" s="238" t="s">
        <v>9130</v>
      </c>
      <c r="AM92" s="238" t="s">
        <v>5205</v>
      </c>
      <c r="AN92" s="238" t="s">
        <v>5205</v>
      </c>
      <c r="AO92" s="238" t="s">
        <v>10245</v>
      </c>
    </row>
    <row r="93" spans="1:41" x14ac:dyDescent="0.2">
      <c r="B93" s="239">
        <v>44790.75150111111</v>
      </c>
      <c r="C93" s="238">
        <v>54</v>
      </c>
      <c r="D93" s="238" t="s">
        <v>9209</v>
      </c>
      <c r="E93" s="238">
        <v>3329312987</v>
      </c>
      <c r="F93" s="238" t="s">
        <v>95</v>
      </c>
      <c r="G93" s="238" t="s">
        <v>96</v>
      </c>
      <c r="H93" s="238" t="s">
        <v>96</v>
      </c>
      <c r="I93" s="238" t="s">
        <v>9154</v>
      </c>
      <c r="J93" s="238" t="s">
        <v>9154</v>
      </c>
      <c r="K93" s="238" t="s">
        <v>9154</v>
      </c>
      <c r="L93" s="238" t="s">
        <v>263</v>
      </c>
      <c r="M93" s="238" t="s">
        <v>263</v>
      </c>
      <c r="N93" s="238" t="s">
        <v>10246</v>
      </c>
      <c r="O93" s="238" t="s">
        <v>10246</v>
      </c>
      <c r="P93" s="238" t="s">
        <v>263</v>
      </c>
      <c r="Q93" s="238" t="s">
        <v>10247</v>
      </c>
      <c r="R93" s="238">
        <v>4</v>
      </c>
      <c r="S93" s="238" t="s">
        <v>263</v>
      </c>
      <c r="T93" s="238" t="s">
        <v>9133</v>
      </c>
      <c r="U93" s="238" t="s">
        <v>9123</v>
      </c>
      <c r="V93" s="238" t="s">
        <v>10248</v>
      </c>
      <c r="W93" s="238" t="s">
        <v>10249</v>
      </c>
      <c r="X93" s="238" t="s">
        <v>10250</v>
      </c>
      <c r="Y93" s="238" t="s">
        <v>10251</v>
      </c>
      <c r="Z93" s="238" t="s">
        <v>10252</v>
      </c>
      <c r="AF93" s="238">
        <v>3</v>
      </c>
      <c r="AG93" s="238" t="s">
        <v>263</v>
      </c>
      <c r="AH93" s="238" t="s">
        <v>9499</v>
      </c>
      <c r="AI93" s="238" t="s">
        <v>9499</v>
      </c>
      <c r="AJ93" s="238" t="s">
        <v>10253</v>
      </c>
      <c r="AK93" s="238" t="s">
        <v>263</v>
      </c>
      <c r="AL93" s="238" t="s">
        <v>9130</v>
      </c>
      <c r="AM93" s="238" t="s">
        <v>263</v>
      </c>
      <c r="AN93" s="238" t="s">
        <v>263</v>
      </c>
      <c r="AO93" s="238" t="s">
        <v>9144</v>
      </c>
    </row>
    <row r="94" spans="1:41" x14ac:dyDescent="0.2">
      <c r="B94" s="239">
        <v>44790.91320038194</v>
      </c>
      <c r="C94" s="238">
        <v>42</v>
      </c>
      <c r="D94" s="238" t="s">
        <v>9209</v>
      </c>
      <c r="E94" s="238">
        <v>3841363462</v>
      </c>
      <c r="F94" s="238" t="s">
        <v>95</v>
      </c>
      <c r="G94" s="238" t="s">
        <v>10254</v>
      </c>
      <c r="H94" s="238" t="s">
        <v>10255</v>
      </c>
      <c r="I94" s="238" t="s">
        <v>10254</v>
      </c>
      <c r="J94" s="238" t="s">
        <v>9154</v>
      </c>
      <c r="K94" s="238" t="s">
        <v>96</v>
      </c>
      <c r="L94" s="238" t="s">
        <v>10110</v>
      </c>
      <c r="M94" s="238" t="s">
        <v>263</v>
      </c>
      <c r="N94" s="238" t="s">
        <v>10256</v>
      </c>
      <c r="O94" s="238" t="s">
        <v>9131</v>
      </c>
      <c r="P94" s="238" t="s">
        <v>263</v>
      </c>
      <c r="Q94" s="238" t="s">
        <v>10257</v>
      </c>
      <c r="R94" s="238">
        <v>2</v>
      </c>
      <c r="S94" s="238" t="s">
        <v>263</v>
      </c>
      <c r="T94" s="238" t="s">
        <v>9714</v>
      </c>
      <c r="U94" s="238" t="s">
        <v>21</v>
      </c>
      <c r="V94" s="238" t="s">
        <v>10258</v>
      </c>
      <c r="W94" s="238" t="s">
        <v>9136</v>
      </c>
      <c r="X94" s="238" t="s">
        <v>10259</v>
      </c>
      <c r="Y94" s="238" t="s">
        <v>1437</v>
      </c>
      <c r="Z94" s="238" t="s">
        <v>10260</v>
      </c>
      <c r="AA94" s="238" t="s">
        <v>10261</v>
      </c>
      <c r="AB94" s="238" t="s">
        <v>10262</v>
      </c>
      <c r="AC94" s="238" t="s">
        <v>10263</v>
      </c>
      <c r="AD94" s="238" t="s">
        <v>1437</v>
      </c>
      <c r="AE94" s="238" t="s">
        <v>10264</v>
      </c>
      <c r="AF94" s="238">
        <v>3</v>
      </c>
      <c r="AG94" s="238" t="s">
        <v>263</v>
      </c>
      <c r="AH94" s="238" t="s">
        <v>9212</v>
      </c>
      <c r="AI94" s="238">
        <v>1</v>
      </c>
      <c r="AJ94" s="238">
        <v>150</v>
      </c>
      <c r="AK94" s="238" t="s">
        <v>263</v>
      </c>
      <c r="AL94" s="238" t="s">
        <v>9130</v>
      </c>
      <c r="AM94" s="238" t="s">
        <v>263</v>
      </c>
      <c r="AN94" s="238" t="s">
        <v>263</v>
      </c>
      <c r="AO94" s="238" t="s">
        <v>10265</v>
      </c>
    </row>
    <row r="95" spans="1:41" x14ac:dyDescent="0.2">
      <c r="B95" s="239">
        <v>44790.981945671301</v>
      </c>
      <c r="C95" s="238">
        <v>26</v>
      </c>
      <c r="D95" s="238" t="s">
        <v>10266</v>
      </c>
      <c r="E95" s="238">
        <v>3323771957</v>
      </c>
      <c r="F95" s="238" t="s">
        <v>95</v>
      </c>
      <c r="G95" s="238" t="s">
        <v>96</v>
      </c>
      <c r="H95" s="238" t="s">
        <v>96</v>
      </c>
      <c r="I95" s="238" t="s">
        <v>96</v>
      </c>
      <c r="J95" s="238" t="s">
        <v>96</v>
      </c>
      <c r="K95" s="238" t="s">
        <v>96</v>
      </c>
      <c r="L95" s="238" t="s">
        <v>6303</v>
      </c>
      <c r="M95" s="238" t="s">
        <v>368</v>
      </c>
      <c r="N95" s="238" t="s">
        <v>9123</v>
      </c>
      <c r="O95" s="238" t="s">
        <v>9131</v>
      </c>
      <c r="P95" s="238" t="s">
        <v>263</v>
      </c>
      <c r="Q95" s="238" t="s">
        <v>10267</v>
      </c>
      <c r="R95" s="238" t="s">
        <v>9144</v>
      </c>
      <c r="S95" s="238" t="s">
        <v>285</v>
      </c>
      <c r="T95" s="238" t="s">
        <v>9134</v>
      </c>
      <c r="U95" s="238" t="s">
        <v>10268</v>
      </c>
      <c r="V95" s="238" t="s">
        <v>10269</v>
      </c>
      <c r="W95" s="238" t="s">
        <v>10270</v>
      </c>
      <c r="X95" s="238" t="s">
        <v>10271</v>
      </c>
      <c r="Y95" s="238" t="s">
        <v>10272</v>
      </c>
      <c r="Z95" s="238" t="s">
        <v>10273</v>
      </c>
      <c r="AF95" s="238">
        <v>5</v>
      </c>
      <c r="AG95" s="238" t="s">
        <v>263</v>
      </c>
      <c r="AH95" s="238">
        <v>1</v>
      </c>
      <c r="AI95" s="238">
        <v>0</v>
      </c>
      <c r="AJ95" s="238">
        <v>0</v>
      </c>
      <c r="AK95" s="238" t="s">
        <v>285</v>
      </c>
      <c r="AL95" s="238">
        <v>5</v>
      </c>
      <c r="AM95" s="238" t="s">
        <v>10274</v>
      </c>
      <c r="AN95" s="238" t="s">
        <v>9655</v>
      </c>
      <c r="AO95" s="238" t="s">
        <v>9144</v>
      </c>
    </row>
    <row r="96" spans="1:41" x14ac:dyDescent="0.2">
      <c r="B96" s="239">
        <v>44791.398578773151</v>
      </c>
      <c r="C96" s="238">
        <v>38</v>
      </c>
      <c r="D96" s="238" t="s">
        <v>10275</v>
      </c>
      <c r="E96" s="238">
        <v>3328655772</v>
      </c>
      <c r="F96" s="238" t="s">
        <v>95</v>
      </c>
      <c r="G96" s="238" t="s">
        <v>96</v>
      </c>
      <c r="H96" s="238" t="s">
        <v>96</v>
      </c>
      <c r="I96" s="238" t="s">
        <v>9154</v>
      </c>
      <c r="J96" s="238" t="s">
        <v>96</v>
      </c>
      <c r="K96" s="238" t="s">
        <v>96</v>
      </c>
      <c r="L96" s="238" t="s">
        <v>9204</v>
      </c>
      <c r="M96" s="238" t="s">
        <v>368</v>
      </c>
      <c r="N96" s="238" t="s">
        <v>9123</v>
      </c>
      <c r="O96" s="238" t="s">
        <v>9131</v>
      </c>
      <c r="P96" s="238" t="s">
        <v>2010</v>
      </c>
      <c r="Q96" s="238" t="s">
        <v>9131</v>
      </c>
      <c r="R96" s="238">
        <v>6</v>
      </c>
      <c r="S96" s="238" t="s">
        <v>285</v>
      </c>
      <c r="T96" s="238" t="s">
        <v>22</v>
      </c>
      <c r="U96" s="238" t="s">
        <v>9123</v>
      </c>
      <c r="V96" s="238" t="s">
        <v>10008</v>
      </c>
      <c r="W96" s="238" t="s">
        <v>10276</v>
      </c>
      <c r="X96" s="238" t="s">
        <v>10277</v>
      </c>
      <c r="Y96" s="238" t="s">
        <v>9136</v>
      </c>
      <c r="Z96" s="238" t="s">
        <v>4731</v>
      </c>
      <c r="AA96" s="238" t="s">
        <v>10278</v>
      </c>
      <c r="AB96" s="238" t="s">
        <v>9644</v>
      </c>
      <c r="AC96" s="238" t="s">
        <v>10279</v>
      </c>
      <c r="AD96" s="238" t="s">
        <v>10038</v>
      </c>
      <c r="AE96" s="238" t="s">
        <v>10280</v>
      </c>
      <c r="AF96" s="238">
        <v>4</v>
      </c>
      <c r="AG96" s="238" t="s">
        <v>285</v>
      </c>
      <c r="AH96" s="238">
        <v>3</v>
      </c>
      <c r="AI96" s="238">
        <v>1</v>
      </c>
      <c r="AJ96" s="238">
        <v>200</v>
      </c>
      <c r="AK96" s="238" t="s">
        <v>285</v>
      </c>
      <c r="AL96" s="238">
        <v>3</v>
      </c>
      <c r="AM96" s="238" t="s">
        <v>263</v>
      </c>
      <c r="AN96" s="238" t="s">
        <v>10281</v>
      </c>
      <c r="AO96" s="238" t="s">
        <v>1716</v>
      </c>
    </row>
    <row r="97" spans="1:41" x14ac:dyDescent="0.2">
      <c r="B97" s="239">
        <v>44791.655882476851</v>
      </c>
      <c r="C97" s="238">
        <v>62</v>
      </c>
      <c r="D97" s="238" t="s">
        <v>10282</v>
      </c>
      <c r="E97" s="238">
        <v>3841357676</v>
      </c>
      <c r="F97" s="238" t="s">
        <v>95</v>
      </c>
      <c r="G97" s="238" t="s">
        <v>10254</v>
      </c>
      <c r="H97" s="238" t="s">
        <v>96</v>
      </c>
      <c r="I97" s="238" t="s">
        <v>96</v>
      </c>
      <c r="J97" s="238" t="s">
        <v>96</v>
      </c>
      <c r="K97" s="238" t="s">
        <v>96</v>
      </c>
      <c r="L97" s="238" t="s">
        <v>10283</v>
      </c>
      <c r="M97" s="238" t="s">
        <v>263</v>
      </c>
      <c r="N97" s="238" t="s">
        <v>10284</v>
      </c>
      <c r="O97" s="238" t="s">
        <v>10284</v>
      </c>
      <c r="P97" s="238" t="s">
        <v>5205</v>
      </c>
      <c r="Q97" s="238" t="s">
        <v>10285</v>
      </c>
      <c r="R97" s="238">
        <v>3</v>
      </c>
      <c r="S97" s="238" t="s">
        <v>263</v>
      </c>
      <c r="T97" s="238" t="s">
        <v>21</v>
      </c>
      <c r="U97" s="238" t="s">
        <v>9123</v>
      </c>
      <c r="V97" s="238" t="s">
        <v>10286</v>
      </c>
      <c r="W97" s="238" t="s">
        <v>9159</v>
      </c>
      <c r="X97" s="238" t="s">
        <v>10287</v>
      </c>
      <c r="Y97" s="238" t="s">
        <v>9159</v>
      </c>
      <c r="Z97" s="238" t="s">
        <v>10288</v>
      </c>
      <c r="AA97" s="238" t="s">
        <v>10289</v>
      </c>
      <c r="AB97" s="238" t="s">
        <v>9159</v>
      </c>
      <c r="AC97" s="238" t="s">
        <v>10290</v>
      </c>
      <c r="AD97" s="238" t="s">
        <v>9159</v>
      </c>
      <c r="AE97" s="238" t="s">
        <v>10170</v>
      </c>
      <c r="AF97" s="238">
        <v>3</v>
      </c>
      <c r="AG97" s="238" t="s">
        <v>285</v>
      </c>
      <c r="AH97" s="238" t="s">
        <v>10040</v>
      </c>
      <c r="AI97" s="238" t="s">
        <v>9212</v>
      </c>
      <c r="AJ97" s="238" t="s">
        <v>9212</v>
      </c>
      <c r="AK97" s="238" t="s">
        <v>285</v>
      </c>
      <c r="AL97" s="238">
        <v>7</v>
      </c>
      <c r="AM97" s="238" t="s">
        <v>263</v>
      </c>
      <c r="AN97" s="238" t="s">
        <v>263</v>
      </c>
      <c r="AO97" s="238" t="s">
        <v>9131</v>
      </c>
    </row>
    <row r="98" spans="1:41" x14ac:dyDescent="0.2">
      <c r="B98" s="239">
        <v>44792.536177719907</v>
      </c>
      <c r="C98" s="238">
        <v>33</v>
      </c>
      <c r="D98" s="238" t="s">
        <v>10121</v>
      </c>
      <c r="E98" s="238">
        <v>3331070199</v>
      </c>
      <c r="F98" s="238" t="s">
        <v>95</v>
      </c>
      <c r="G98" s="238" t="s">
        <v>96</v>
      </c>
      <c r="H98" s="238" t="s">
        <v>96</v>
      </c>
      <c r="I98" s="238" t="s">
        <v>9210</v>
      </c>
      <c r="J98" s="238" t="s">
        <v>9210</v>
      </c>
      <c r="K98" s="238" t="s">
        <v>96</v>
      </c>
      <c r="L98" s="238" t="s">
        <v>9212</v>
      </c>
      <c r="M98" s="238" t="s">
        <v>263</v>
      </c>
      <c r="N98" s="238" t="s">
        <v>9155</v>
      </c>
      <c r="O98" s="238" t="s">
        <v>9131</v>
      </c>
      <c r="P98" s="238" t="s">
        <v>9212</v>
      </c>
      <c r="Q98" s="238" t="s">
        <v>9212</v>
      </c>
      <c r="R98" s="238">
        <v>2</v>
      </c>
      <c r="S98" s="238" t="s">
        <v>285</v>
      </c>
      <c r="T98" s="238" t="s">
        <v>9332</v>
      </c>
      <c r="U98" s="238" t="s">
        <v>21</v>
      </c>
      <c r="V98" s="238" t="s">
        <v>9457</v>
      </c>
      <c r="W98" s="238" t="s">
        <v>1437</v>
      </c>
      <c r="X98" s="238" t="s">
        <v>2107</v>
      </c>
      <c r="Y98" s="238" t="s">
        <v>9212</v>
      </c>
      <c r="Z98" s="238" t="s">
        <v>9642</v>
      </c>
      <c r="AA98" s="238" t="s">
        <v>10291</v>
      </c>
      <c r="AB98" s="238" t="s">
        <v>9212</v>
      </c>
      <c r="AC98" s="238" t="s">
        <v>10292</v>
      </c>
      <c r="AD98" s="238" t="s">
        <v>9212</v>
      </c>
      <c r="AE98" s="238" t="s">
        <v>10293</v>
      </c>
      <c r="AF98" s="238">
        <v>3</v>
      </c>
      <c r="AG98" s="238" t="s">
        <v>263</v>
      </c>
      <c r="AH98" s="238">
        <v>2</v>
      </c>
      <c r="AI98" s="238">
        <v>2</v>
      </c>
      <c r="AJ98" s="238">
        <v>409</v>
      </c>
      <c r="AK98" s="238" t="s">
        <v>263</v>
      </c>
      <c r="AL98" s="238" t="s">
        <v>9130</v>
      </c>
      <c r="AM98" s="238" t="s">
        <v>263</v>
      </c>
      <c r="AN98" s="238" t="s">
        <v>263</v>
      </c>
      <c r="AO98" s="238" t="s">
        <v>9131</v>
      </c>
    </row>
    <row r="99" spans="1:41" x14ac:dyDescent="0.2">
      <c r="B99" s="239">
        <v>44792.920263125001</v>
      </c>
      <c r="C99" s="238">
        <v>67</v>
      </c>
      <c r="D99" s="238" t="s">
        <v>7425</v>
      </c>
      <c r="E99" s="238">
        <v>3841191306</v>
      </c>
      <c r="F99" s="238" t="s">
        <v>95</v>
      </c>
      <c r="G99" s="238" t="s">
        <v>949</v>
      </c>
      <c r="H99" s="238" t="s">
        <v>96</v>
      </c>
      <c r="I99" s="238" t="s">
        <v>96</v>
      </c>
      <c r="J99" s="238" t="s">
        <v>96</v>
      </c>
      <c r="K99" s="238" t="s">
        <v>96</v>
      </c>
      <c r="L99" s="238" t="s">
        <v>10294</v>
      </c>
      <c r="M99" s="238" t="s">
        <v>368</v>
      </c>
      <c r="N99" s="238" t="s">
        <v>10295</v>
      </c>
      <c r="O99" s="238" t="s">
        <v>10296</v>
      </c>
      <c r="P99" s="238" t="s">
        <v>4600</v>
      </c>
      <c r="Q99" s="238" t="s">
        <v>263</v>
      </c>
      <c r="R99" s="238">
        <v>4</v>
      </c>
      <c r="S99" s="238" t="s">
        <v>263</v>
      </c>
      <c r="T99" s="238" t="s">
        <v>21</v>
      </c>
      <c r="U99" s="238" t="s">
        <v>21</v>
      </c>
      <c r="V99" s="238" t="s">
        <v>10297</v>
      </c>
      <c r="W99" s="238" t="s">
        <v>10297</v>
      </c>
      <c r="X99" s="238" t="s">
        <v>10297</v>
      </c>
      <c r="Y99" s="238" t="s">
        <v>10297</v>
      </c>
      <c r="Z99" s="238" t="s">
        <v>10297</v>
      </c>
      <c r="AA99" s="238" t="s">
        <v>10297</v>
      </c>
      <c r="AB99" s="238" t="s">
        <v>10297</v>
      </c>
      <c r="AF99" s="238">
        <v>3</v>
      </c>
      <c r="AG99" s="238" t="s">
        <v>263</v>
      </c>
      <c r="AH99" s="238" t="s">
        <v>9123</v>
      </c>
      <c r="AI99" s="238">
        <v>1</v>
      </c>
      <c r="AJ99" s="238">
        <v>10000000</v>
      </c>
      <c r="AK99" s="238" t="s">
        <v>263</v>
      </c>
      <c r="AL99" s="238" t="s">
        <v>9130</v>
      </c>
    </row>
    <row r="100" spans="1:41" x14ac:dyDescent="0.2">
      <c r="B100" s="239">
        <v>44795.523761064818</v>
      </c>
      <c r="C100" s="238">
        <v>72</v>
      </c>
      <c r="D100" s="238" t="s">
        <v>234</v>
      </c>
      <c r="E100" s="238">
        <v>3841354530</v>
      </c>
      <c r="F100" s="238" t="s">
        <v>95</v>
      </c>
      <c r="G100" s="238" t="s">
        <v>100</v>
      </c>
      <c r="H100" s="238" t="s">
        <v>100</v>
      </c>
      <c r="I100" s="238" t="s">
        <v>100</v>
      </c>
      <c r="J100" s="238" t="s">
        <v>100</v>
      </c>
      <c r="K100" s="238" t="s">
        <v>100</v>
      </c>
      <c r="L100" s="238" t="s">
        <v>10298</v>
      </c>
      <c r="M100" s="238" t="s">
        <v>263</v>
      </c>
      <c r="N100" s="238" t="s">
        <v>10299</v>
      </c>
      <c r="O100" s="238" t="s">
        <v>9131</v>
      </c>
      <c r="P100" s="238" t="s">
        <v>99</v>
      </c>
      <c r="Q100" s="238" t="s">
        <v>1903</v>
      </c>
      <c r="S100" s="238" t="s">
        <v>263</v>
      </c>
      <c r="T100" s="238" t="s">
        <v>9133</v>
      </c>
      <c r="U100" s="238" t="s">
        <v>10300</v>
      </c>
      <c r="V100" s="238" t="s">
        <v>10301</v>
      </c>
      <c r="W100" s="238" t="s">
        <v>10302</v>
      </c>
      <c r="X100" s="238" t="s">
        <v>10303</v>
      </c>
      <c r="Y100" s="238" t="s">
        <v>3266</v>
      </c>
      <c r="Z100" s="238" t="s">
        <v>10304</v>
      </c>
      <c r="AA100" s="238" t="s">
        <v>10305</v>
      </c>
      <c r="AB100" s="238" t="s">
        <v>10306</v>
      </c>
      <c r="AC100" s="238" t="s">
        <v>10307</v>
      </c>
      <c r="AD100" s="238" t="s">
        <v>3266</v>
      </c>
      <c r="AE100" s="238" t="s">
        <v>10304</v>
      </c>
      <c r="AF100" s="238">
        <v>4</v>
      </c>
      <c r="AG100" s="238" t="s">
        <v>263</v>
      </c>
      <c r="AH100" s="238">
        <v>1</v>
      </c>
      <c r="AI100" s="238">
        <v>1</v>
      </c>
      <c r="AJ100" s="238">
        <v>300</v>
      </c>
      <c r="AK100" s="238" t="s">
        <v>285</v>
      </c>
      <c r="AL100" s="238">
        <v>5</v>
      </c>
      <c r="AM100" s="238" t="s">
        <v>99</v>
      </c>
      <c r="AN100" s="238" t="s">
        <v>2447</v>
      </c>
      <c r="AO100" s="238" t="s">
        <v>10308</v>
      </c>
    </row>
    <row r="101" spans="1:41" x14ac:dyDescent="0.2">
      <c r="B101" s="239">
        <v>44796.52446119213</v>
      </c>
      <c r="C101" s="238">
        <v>43</v>
      </c>
      <c r="D101" s="238" t="s">
        <v>1892</v>
      </c>
      <c r="E101" s="238">
        <v>3323833769</v>
      </c>
      <c r="F101" s="238" t="s">
        <v>95</v>
      </c>
      <c r="G101" s="238" t="s">
        <v>10064</v>
      </c>
      <c r="H101" s="238" t="s">
        <v>10064</v>
      </c>
      <c r="I101" s="238" t="s">
        <v>10064</v>
      </c>
      <c r="J101" s="238" t="s">
        <v>10064</v>
      </c>
      <c r="K101" s="238" t="s">
        <v>10064</v>
      </c>
      <c r="L101" s="238" t="s">
        <v>9144</v>
      </c>
      <c r="M101" s="238" t="s">
        <v>263</v>
      </c>
      <c r="N101" s="238" t="s">
        <v>9155</v>
      </c>
      <c r="O101" s="238" t="s">
        <v>9131</v>
      </c>
      <c r="P101" s="238" t="s">
        <v>5205</v>
      </c>
      <c r="Q101" s="238" t="s">
        <v>9144</v>
      </c>
      <c r="R101" s="238" t="s">
        <v>10309</v>
      </c>
      <c r="S101" s="238" t="s">
        <v>263</v>
      </c>
      <c r="T101" s="238" t="s">
        <v>9133</v>
      </c>
      <c r="U101" s="238" t="s">
        <v>21</v>
      </c>
      <c r="V101" s="238" t="s">
        <v>10310</v>
      </c>
      <c r="W101" s="238" t="s">
        <v>277</v>
      </c>
      <c r="X101" s="238" t="s">
        <v>10311</v>
      </c>
      <c r="Y101" s="238" t="s">
        <v>1238</v>
      </c>
      <c r="Z101" s="238" t="s">
        <v>9642</v>
      </c>
      <c r="AA101" s="238" t="s">
        <v>10312</v>
      </c>
      <c r="AB101" s="238" t="s">
        <v>1110</v>
      </c>
      <c r="AC101" s="238" t="s">
        <v>10313</v>
      </c>
      <c r="AD101" s="238" t="s">
        <v>10314</v>
      </c>
      <c r="AE101" s="238" t="s">
        <v>10315</v>
      </c>
      <c r="AF101" s="238">
        <v>4</v>
      </c>
      <c r="AG101" s="238" t="s">
        <v>263</v>
      </c>
      <c r="AH101" s="238" t="s">
        <v>9144</v>
      </c>
      <c r="AI101" s="238" t="s">
        <v>9144</v>
      </c>
      <c r="AJ101" s="238" t="s">
        <v>10316</v>
      </c>
      <c r="AK101" s="238" t="s">
        <v>263</v>
      </c>
      <c r="AL101" s="238" t="s">
        <v>9130</v>
      </c>
      <c r="AM101" s="238" t="s">
        <v>263</v>
      </c>
      <c r="AN101" s="238" t="s">
        <v>263</v>
      </c>
      <c r="AO101" s="238" t="s">
        <v>2028</v>
      </c>
    </row>
    <row r="102" spans="1:41" x14ac:dyDescent="0.2">
      <c r="B102" s="239">
        <v>44803.401597141201</v>
      </c>
      <c r="C102" s="238" t="s">
        <v>10317</v>
      </c>
      <c r="D102" s="238" t="s">
        <v>1666</v>
      </c>
      <c r="E102" s="238">
        <v>3323895040</v>
      </c>
      <c r="F102" s="238" t="s">
        <v>95</v>
      </c>
      <c r="G102" s="238" t="s">
        <v>100</v>
      </c>
      <c r="H102" s="238" t="s">
        <v>2267</v>
      </c>
      <c r="I102" s="238" t="s">
        <v>10318</v>
      </c>
      <c r="J102" s="238" t="s">
        <v>10318</v>
      </c>
      <c r="K102" s="238" t="s">
        <v>1123</v>
      </c>
      <c r="L102" s="238" t="s">
        <v>4691</v>
      </c>
      <c r="M102" s="238" t="s">
        <v>368</v>
      </c>
      <c r="N102" s="238" t="s">
        <v>9741</v>
      </c>
      <c r="O102" s="238" t="s">
        <v>22</v>
      </c>
      <c r="P102" s="238" t="s">
        <v>10319</v>
      </c>
      <c r="Q102" s="238" t="s">
        <v>10320</v>
      </c>
      <c r="R102" s="238">
        <v>4</v>
      </c>
      <c r="S102" s="238" t="s">
        <v>263</v>
      </c>
      <c r="T102" s="238" t="s">
        <v>9133</v>
      </c>
      <c r="U102" s="238" t="s">
        <v>21</v>
      </c>
      <c r="V102" s="238" t="s">
        <v>10321</v>
      </c>
      <c r="W102" s="238" t="s">
        <v>10322</v>
      </c>
      <c r="X102" s="238" t="s">
        <v>10323</v>
      </c>
      <c r="Y102" s="238" t="s">
        <v>10324</v>
      </c>
      <c r="Z102" s="238" t="s">
        <v>10325</v>
      </c>
      <c r="AA102" s="238" t="s">
        <v>10326</v>
      </c>
      <c r="AB102" s="238" t="s">
        <v>9170</v>
      </c>
      <c r="AC102" s="238" t="s">
        <v>10327</v>
      </c>
      <c r="AD102" s="238" t="s">
        <v>10328</v>
      </c>
      <c r="AE102" s="238" t="s">
        <v>10329</v>
      </c>
      <c r="AF102" s="238">
        <v>4</v>
      </c>
      <c r="AG102" s="238" t="s">
        <v>285</v>
      </c>
      <c r="AH102" s="238" t="s">
        <v>7444</v>
      </c>
      <c r="AI102" s="238" t="s">
        <v>7444</v>
      </c>
      <c r="AJ102" s="238" t="s">
        <v>10330</v>
      </c>
      <c r="AK102" s="238" t="s">
        <v>263</v>
      </c>
      <c r="AL102" s="238" t="s">
        <v>9130</v>
      </c>
      <c r="AM102" s="238" t="s">
        <v>99</v>
      </c>
      <c r="AN102" s="238" t="s">
        <v>99</v>
      </c>
      <c r="AO102" s="238" t="s">
        <v>10331</v>
      </c>
    </row>
    <row r="103" spans="1:41" x14ac:dyDescent="0.2">
      <c r="B103" s="239">
        <v>44803.43007386574</v>
      </c>
      <c r="C103" s="238">
        <v>49</v>
      </c>
      <c r="D103" s="238" t="s">
        <v>10332</v>
      </c>
      <c r="E103" s="238">
        <v>3325915861</v>
      </c>
      <c r="F103" s="238" t="s">
        <v>95</v>
      </c>
      <c r="G103" s="238" t="s">
        <v>10333</v>
      </c>
      <c r="H103" s="238" t="s">
        <v>10333</v>
      </c>
      <c r="I103" s="238" t="s">
        <v>10333</v>
      </c>
      <c r="J103" s="238" t="s">
        <v>10333</v>
      </c>
      <c r="K103" s="238" t="s">
        <v>10333</v>
      </c>
      <c r="L103" s="238" t="s">
        <v>9251</v>
      </c>
      <c r="M103" s="238" t="s">
        <v>368</v>
      </c>
      <c r="N103" s="238" t="s">
        <v>9123</v>
      </c>
      <c r="O103" s="238" t="s">
        <v>9131</v>
      </c>
      <c r="P103" s="238" t="s">
        <v>9251</v>
      </c>
      <c r="Q103" s="238" t="s">
        <v>10334</v>
      </c>
      <c r="R103" s="238">
        <v>1</v>
      </c>
      <c r="S103" s="238" t="s">
        <v>285</v>
      </c>
      <c r="T103" s="238" t="s">
        <v>39</v>
      </c>
      <c r="U103" s="238" t="s">
        <v>9123</v>
      </c>
      <c r="V103" s="238" t="s">
        <v>10335</v>
      </c>
      <c r="W103" s="238" t="s">
        <v>10336</v>
      </c>
      <c r="X103" s="238" t="s">
        <v>10337</v>
      </c>
      <c r="Y103" s="238" t="s">
        <v>10338</v>
      </c>
      <c r="Z103" s="238" t="s">
        <v>10339</v>
      </c>
      <c r="AA103" s="238" t="s">
        <v>10340</v>
      </c>
      <c r="AB103" s="238" t="s">
        <v>10341</v>
      </c>
      <c r="AC103" s="238" t="s">
        <v>10342</v>
      </c>
      <c r="AD103" s="238" t="s">
        <v>10343</v>
      </c>
      <c r="AE103" s="238" t="s">
        <v>10344</v>
      </c>
      <c r="AF103" s="238">
        <v>4</v>
      </c>
      <c r="AG103" s="238" t="s">
        <v>285</v>
      </c>
      <c r="AH103" s="238" t="s">
        <v>9261</v>
      </c>
      <c r="AI103" s="238" t="s">
        <v>9261</v>
      </c>
      <c r="AJ103" s="238" t="s">
        <v>10345</v>
      </c>
      <c r="AK103" s="238" t="s">
        <v>285</v>
      </c>
      <c r="AL103" s="238">
        <v>5</v>
      </c>
      <c r="AM103" s="238" t="s">
        <v>10346</v>
      </c>
      <c r="AN103" s="238" t="s">
        <v>10346</v>
      </c>
      <c r="AO103" s="238" t="s">
        <v>10347</v>
      </c>
    </row>
    <row r="104" spans="1:41" x14ac:dyDescent="0.2">
      <c r="B104" s="239">
        <v>44803.433567187501</v>
      </c>
      <c r="C104" s="238">
        <v>23</v>
      </c>
      <c r="D104" s="238" t="s">
        <v>10348</v>
      </c>
      <c r="E104" s="238">
        <v>3310980924</v>
      </c>
      <c r="F104" s="238" t="s">
        <v>107</v>
      </c>
      <c r="G104" s="238" t="s">
        <v>3702</v>
      </c>
      <c r="H104" s="238" t="s">
        <v>9473</v>
      </c>
      <c r="I104" s="238" t="s">
        <v>9473</v>
      </c>
      <c r="J104" s="238" t="s">
        <v>9473</v>
      </c>
      <c r="K104" s="238" t="s">
        <v>3702</v>
      </c>
      <c r="L104" s="238" t="s">
        <v>9131</v>
      </c>
      <c r="M104" s="238" t="s">
        <v>263</v>
      </c>
      <c r="N104" s="238" t="s">
        <v>9123</v>
      </c>
      <c r="O104" s="238" t="s">
        <v>9131</v>
      </c>
      <c r="P104" s="238" t="s">
        <v>263</v>
      </c>
      <c r="Q104" s="238" t="s">
        <v>9131</v>
      </c>
      <c r="R104" s="238" t="s">
        <v>9144</v>
      </c>
      <c r="T104" s="238" t="s">
        <v>9123</v>
      </c>
      <c r="U104" s="238" t="s">
        <v>9123</v>
      </c>
      <c r="V104" s="238" t="s">
        <v>10349</v>
      </c>
      <c r="W104" s="238" t="s">
        <v>10350</v>
      </c>
      <c r="X104" s="238" t="s">
        <v>10039</v>
      </c>
      <c r="Y104" s="238" t="s">
        <v>10351</v>
      </c>
      <c r="Z104" s="238" t="s">
        <v>10352</v>
      </c>
      <c r="AA104" s="238" t="s">
        <v>10352</v>
      </c>
      <c r="AB104" s="238" t="s">
        <v>10353</v>
      </c>
      <c r="AC104" s="238" t="s">
        <v>10354</v>
      </c>
      <c r="AD104" s="238" t="s">
        <v>10355</v>
      </c>
      <c r="AE104" s="238" t="s">
        <v>10356</v>
      </c>
      <c r="AF104" s="238">
        <v>3</v>
      </c>
      <c r="AG104" s="238" t="s">
        <v>263</v>
      </c>
      <c r="AH104" s="238" t="s">
        <v>10357</v>
      </c>
      <c r="AI104" s="238" t="s">
        <v>10358</v>
      </c>
      <c r="AJ104" s="238" t="s">
        <v>10359</v>
      </c>
      <c r="AK104" s="238" t="s">
        <v>263</v>
      </c>
      <c r="AL104" s="238" t="s">
        <v>9130</v>
      </c>
      <c r="AM104" s="238" t="s">
        <v>263</v>
      </c>
      <c r="AN104" s="238" t="s">
        <v>263</v>
      </c>
    </row>
    <row r="105" spans="1:41" x14ac:dyDescent="0.2">
      <c r="B105" s="239">
        <v>44803.435341689816</v>
      </c>
      <c r="C105" s="238">
        <v>61</v>
      </c>
      <c r="D105" s="238" t="s">
        <v>9824</v>
      </c>
      <c r="E105" s="238" t="s">
        <v>10360</v>
      </c>
      <c r="F105" s="238" t="s">
        <v>95</v>
      </c>
      <c r="G105" s="238" t="s">
        <v>96</v>
      </c>
      <c r="H105" s="238" t="s">
        <v>3535</v>
      </c>
      <c r="I105" s="238" t="s">
        <v>6705</v>
      </c>
      <c r="J105" s="238" t="s">
        <v>6705</v>
      </c>
      <c r="K105" s="238" t="s">
        <v>3535</v>
      </c>
      <c r="L105" s="238" t="s">
        <v>10361</v>
      </c>
      <c r="M105" s="238" t="s">
        <v>368</v>
      </c>
      <c r="N105" s="238" t="s">
        <v>10362</v>
      </c>
      <c r="O105" s="238" t="s">
        <v>9131</v>
      </c>
      <c r="P105" s="238" t="s">
        <v>263</v>
      </c>
      <c r="Q105" s="238" t="s">
        <v>545</v>
      </c>
      <c r="R105" s="238">
        <v>4</v>
      </c>
      <c r="S105" s="238" t="s">
        <v>263</v>
      </c>
      <c r="T105" s="238" t="s">
        <v>9155</v>
      </c>
      <c r="U105" s="238" t="s">
        <v>9741</v>
      </c>
      <c r="V105" s="238" t="s">
        <v>10363</v>
      </c>
      <c r="W105" s="238" t="s">
        <v>10364</v>
      </c>
      <c r="X105" s="238" t="s">
        <v>10365</v>
      </c>
      <c r="Y105" s="238" t="s">
        <v>9123</v>
      </c>
      <c r="Z105" s="238" t="s">
        <v>10366</v>
      </c>
      <c r="AA105" s="238" t="s">
        <v>10367</v>
      </c>
      <c r="AB105" s="238" t="s">
        <v>10368</v>
      </c>
      <c r="AC105" s="238" t="s">
        <v>10369</v>
      </c>
      <c r="AD105" s="238" t="s">
        <v>10370</v>
      </c>
      <c r="AE105" s="238" t="s">
        <v>10371</v>
      </c>
      <c r="AF105" s="238">
        <v>5</v>
      </c>
      <c r="AG105" s="238" t="s">
        <v>263</v>
      </c>
      <c r="AH105" s="238" t="s">
        <v>10372</v>
      </c>
      <c r="AI105" s="238" t="s">
        <v>9175</v>
      </c>
      <c r="AJ105" s="238">
        <v>300</v>
      </c>
      <c r="AK105" s="238" t="s">
        <v>285</v>
      </c>
      <c r="AL105" s="238">
        <v>4</v>
      </c>
      <c r="AM105" s="238" t="s">
        <v>263</v>
      </c>
      <c r="AN105" s="238" t="s">
        <v>263</v>
      </c>
      <c r="AO105" s="238" t="s">
        <v>10373</v>
      </c>
    </row>
    <row r="106" spans="1:41" x14ac:dyDescent="0.2">
      <c r="B106" s="239">
        <v>44803.492857951387</v>
      </c>
      <c r="C106" s="238">
        <v>53</v>
      </c>
      <c r="D106" s="238" t="s">
        <v>10374</v>
      </c>
      <c r="E106" s="238">
        <v>3310711219</v>
      </c>
      <c r="F106" s="238" t="s">
        <v>95</v>
      </c>
      <c r="G106" s="238" t="s">
        <v>9473</v>
      </c>
      <c r="H106" s="238" t="s">
        <v>9154</v>
      </c>
      <c r="I106" s="238" t="s">
        <v>10375</v>
      </c>
      <c r="J106" s="238" t="s">
        <v>9473</v>
      </c>
      <c r="K106" s="238" t="s">
        <v>9154</v>
      </c>
      <c r="L106" s="238" t="s">
        <v>10110</v>
      </c>
      <c r="M106" s="238" t="s">
        <v>368</v>
      </c>
      <c r="N106" s="238" t="s">
        <v>10376</v>
      </c>
      <c r="O106" s="238" t="s">
        <v>4522</v>
      </c>
      <c r="P106" s="238" t="s">
        <v>263</v>
      </c>
      <c r="Q106" s="238" t="s">
        <v>10377</v>
      </c>
      <c r="R106" s="238" t="s">
        <v>9797</v>
      </c>
      <c r="S106" s="238" t="s">
        <v>263</v>
      </c>
      <c r="T106" s="238" t="s">
        <v>22</v>
      </c>
      <c r="U106" s="238" t="s">
        <v>9123</v>
      </c>
      <c r="V106" s="238" t="s">
        <v>10378</v>
      </c>
      <c r="W106" s="238" t="s">
        <v>10379</v>
      </c>
      <c r="X106" s="238" t="s">
        <v>10380</v>
      </c>
      <c r="Y106" s="238" t="s">
        <v>10381</v>
      </c>
      <c r="Z106" s="238" t="s">
        <v>10382</v>
      </c>
      <c r="AA106" s="238" t="s">
        <v>10383</v>
      </c>
      <c r="AB106" s="238" t="s">
        <v>10155</v>
      </c>
      <c r="AC106" s="238" t="s">
        <v>10384</v>
      </c>
      <c r="AD106" s="238" t="s">
        <v>9159</v>
      </c>
      <c r="AE106" s="238" t="s">
        <v>10385</v>
      </c>
      <c r="AF106" s="238">
        <v>5</v>
      </c>
      <c r="AG106" s="238" t="s">
        <v>285</v>
      </c>
      <c r="AH106" s="238" t="s">
        <v>10386</v>
      </c>
      <c r="AI106" s="238" t="s">
        <v>10387</v>
      </c>
      <c r="AJ106" s="238">
        <v>100</v>
      </c>
      <c r="AK106" s="238" t="s">
        <v>263</v>
      </c>
      <c r="AL106" s="238" t="s">
        <v>9130</v>
      </c>
      <c r="AM106" s="238" t="s">
        <v>263</v>
      </c>
      <c r="AN106" s="238" t="s">
        <v>10388</v>
      </c>
      <c r="AO106" s="238" t="s">
        <v>10389</v>
      </c>
    </row>
    <row r="107" spans="1:41" x14ac:dyDescent="0.2">
      <c r="A107" t="s">
        <v>8319</v>
      </c>
      <c r="B107" s="239">
        <v>44805.712363854167</v>
      </c>
      <c r="C107" s="238">
        <v>37</v>
      </c>
      <c r="D107" s="238" t="s">
        <v>9812</v>
      </c>
      <c r="E107" s="238">
        <v>3741823568</v>
      </c>
      <c r="F107" s="238" t="s">
        <v>95</v>
      </c>
      <c r="G107" s="238" t="s">
        <v>96</v>
      </c>
      <c r="H107" s="238" t="s">
        <v>96</v>
      </c>
      <c r="I107" s="238" t="s">
        <v>96</v>
      </c>
      <c r="J107" s="238" t="s">
        <v>96</v>
      </c>
      <c r="K107" s="238" t="s">
        <v>96</v>
      </c>
      <c r="L107" s="238" t="s">
        <v>9401</v>
      </c>
      <c r="M107" s="238" t="s">
        <v>368</v>
      </c>
      <c r="N107" s="238" t="s">
        <v>9155</v>
      </c>
      <c r="O107" s="238" t="s">
        <v>9131</v>
      </c>
      <c r="P107" s="238" t="s">
        <v>9680</v>
      </c>
      <c r="Q107" s="238" t="s">
        <v>10390</v>
      </c>
      <c r="R107" s="238">
        <v>2</v>
      </c>
      <c r="S107" s="238" t="s">
        <v>285</v>
      </c>
      <c r="T107" s="238" t="s">
        <v>9300</v>
      </c>
      <c r="U107" s="238" t="s">
        <v>21</v>
      </c>
      <c r="V107" s="238" t="s">
        <v>10391</v>
      </c>
      <c r="W107" s="238" t="s">
        <v>10392</v>
      </c>
      <c r="X107" s="238" t="s">
        <v>10393</v>
      </c>
      <c r="Y107" s="238" t="s">
        <v>9123</v>
      </c>
      <c r="Z107" s="238" t="s">
        <v>10394</v>
      </c>
      <c r="AF107" s="238">
        <v>3</v>
      </c>
      <c r="AG107" s="238" t="s">
        <v>263</v>
      </c>
      <c r="AH107" s="238">
        <v>3</v>
      </c>
      <c r="AI107" s="238">
        <v>2</v>
      </c>
      <c r="AJ107" s="238">
        <v>100</v>
      </c>
      <c r="AK107" s="238" t="s">
        <v>285</v>
      </c>
      <c r="AL107" s="238">
        <v>5</v>
      </c>
      <c r="AM107" s="238" t="s">
        <v>263</v>
      </c>
      <c r="AN107" s="238" t="s">
        <v>263</v>
      </c>
      <c r="AO107" s="238" t="s">
        <v>10395</v>
      </c>
    </row>
    <row r="108" spans="1:41" x14ac:dyDescent="0.2">
      <c r="B108" s="239">
        <v>44805.721828495371</v>
      </c>
      <c r="C108" s="238">
        <v>32</v>
      </c>
      <c r="D108" s="238" t="s">
        <v>4440</v>
      </c>
      <c r="E108" s="238">
        <v>3311645825</v>
      </c>
      <c r="F108" s="238" t="s">
        <v>95</v>
      </c>
      <c r="G108" s="238" t="s">
        <v>96</v>
      </c>
      <c r="H108" s="238" t="s">
        <v>9154</v>
      </c>
      <c r="I108" s="238" t="s">
        <v>9154</v>
      </c>
      <c r="J108" s="238" t="s">
        <v>96</v>
      </c>
      <c r="K108" s="238" t="s">
        <v>96</v>
      </c>
      <c r="L108" s="238" t="s">
        <v>9318</v>
      </c>
      <c r="M108" s="238" t="s">
        <v>368</v>
      </c>
      <c r="N108" s="238" t="s">
        <v>9123</v>
      </c>
      <c r="O108" s="238" t="s">
        <v>9131</v>
      </c>
      <c r="P108" s="238" t="s">
        <v>10396</v>
      </c>
      <c r="Q108" s="238" t="s">
        <v>6382</v>
      </c>
      <c r="R108" s="238">
        <v>1</v>
      </c>
      <c r="S108" s="238" t="s">
        <v>285</v>
      </c>
      <c r="T108" s="238" t="s">
        <v>10397</v>
      </c>
      <c r="U108" s="238" t="s">
        <v>10397</v>
      </c>
      <c r="V108" s="238" t="s">
        <v>10398</v>
      </c>
      <c r="W108" s="238" t="s">
        <v>9165</v>
      </c>
      <c r="X108" s="238" t="s">
        <v>10399</v>
      </c>
      <c r="Y108" s="238" t="s">
        <v>10400</v>
      </c>
      <c r="Z108" s="238" t="s">
        <v>10401</v>
      </c>
      <c r="AA108" s="238" t="s">
        <v>10402</v>
      </c>
      <c r="AB108" s="238" t="s">
        <v>10403</v>
      </c>
      <c r="AC108" s="238" t="s">
        <v>10404</v>
      </c>
      <c r="AD108" s="238" t="s">
        <v>10405</v>
      </c>
      <c r="AE108" s="238" t="s">
        <v>10406</v>
      </c>
      <c r="AF108" s="238">
        <v>5</v>
      </c>
      <c r="AG108" s="238" t="s">
        <v>285</v>
      </c>
      <c r="AH108" s="238">
        <v>1</v>
      </c>
      <c r="AI108" s="238">
        <v>1</v>
      </c>
      <c r="AJ108" s="238">
        <v>300</v>
      </c>
      <c r="AK108" s="238" t="s">
        <v>263</v>
      </c>
      <c r="AL108" s="238" t="s">
        <v>9130</v>
      </c>
      <c r="AM108" s="238" t="s">
        <v>9144</v>
      </c>
      <c r="AN108" s="238" t="s">
        <v>9655</v>
      </c>
      <c r="AO108" s="238" t="s">
        <v>10407</v>
      </c>
    </row>
    <row r="109" spans="1:41" x14ac:dyDescent="0.2">
      <c r="A109" t="s">
        <v>8391</v>
      </c>
      <c r="B109" s="239">
        <v>44805.836888020829</v>
      </c>
      <c r="C109" s="238">
        <v>47</v>
      </c>
      <c r="D109" s="238" t="s">
        <v>1892</v>
      </c>
      <c r="E109" s="238">
        <v>3741070997</v>
      </c>
      <c r="F109" s="238" t="s">
        <v>95</v>
      </c>
      <c r="G109" s="238" t="s">
        <v>96</v>
      </c>
      <c r="H109" s="238" t="s">
        <v>96</v>
      </c>
      <c r="I109" s="238" t="s">
        <v>96</v>
      </c>
      <c r="J109" s="238" t="s">
        <v>96</v>
      </c>
      <c r="K109" s="238" t="s">
        <v>96</v>
      </c>
      <c r="L109" s="238" t="s">
        <v>10408</v>
      </c>
      <c r="M109" s="238" t="s">
        <v>263</v>
      </c>
      <c r="N109" s="238" t="s">
        <v>9929</v>
      </c>
      <c r="O109" s="238" t="s">
        <v>9929</v>
      </c>
      <c r="P109" s="238" t="s">
        <v>10409</v>
      </c>
      <c r="Q109" s="238" t="s">
        <v>10410</v>
      </c>
      <c r="R109" s="238">
        <v>4</v>
      </c>
      <c r="S109" s="238" t="s">
        <v>285</v>
      </c>
      <c r="T109" s="238" t="s">
        <v>10411</v>
      </c>
      <c r="U109" s="238" t="s">
        <v>9403</v>
      </c>
      <c r="V109" s="238" t="s">
        <v>10412</v>
      </c>
      <c r="W109" s="238" t="s">
        <v>10413</v>
      </c>
      <c r="X109" s="238" t="s">
        <v>10414</v>
      </c>
      <c r="Y109" s="238" t="s">
        <v>263</v>
      </c>
      <c r="Z109" s="238" t="s">
        <v>10105</v>
      </c>
      <c r="AA109" s="238" t="s">
        <v>10415</v>
      </c>
      <c r="AB109" s="238" t="s">
        <v>263</v>
      </c>
      <c r="AC109" s="238" t="s">
        <v>10416</v>
      </c>
      <c r="AD109" s="238" t="s">
        <v>10417</v>
      </c>
      <c r="AE109" s="238" t="s">
        <v>10418</v>
      </c>
      <c r="AF109" s="238">
        <v>4</v>
      </c>
      <c r="AG109" s="238" t="s">
        <v>263</v>
      </c>
      <c r="AH109" s="238" t="s">
        <v>10419</v>
      </c>
      <c r="AI109" s="238" t="s">
        <v>9723</v>
      </c>
      <c r="AJ109" s="238">
        <v>200</v>
      </c>
      <c r="AK109" s="238" t="s">
        <v>263</v>
      </c>
      <c r="AL109" s="238" t="s">
        <v>9130</v>
      </c>
      <c r="AM109" s="238" t="s">
        <v>263</v>
      </c>
      <c r="AN109" s="238" t="s">
        <v>263</v>
      </c>
      <c r="AO109" s="238" t="s">
        <v>10420</v>
      </c>
    </row>
    <row r="110" spans="1:41" x14ac:dyDescent="0.2">
      <c r="B110" s="239">
        <v>44805.901349594904</v>
      </c>
      <c r="C110" s="238">
        <v>28</v>
      </c>
      <c r="D110" s="238" t="s">
        <v>10421</v>
      </c>
      <c r="E110" s="238">
        <v>3321883868</v>
      </c>
      <c r="F110" s="238" t="s">
        <v>95</v>
      </c>
      <c r="G110" s="238" t="s">
        <v>96</v>
      </c>
      <c r="H110" s="238" t="s">
        <v>96</v>
      </c>
      <c r="I110" s="238" t="s">
        <v>96</v>
      </c>
      <c r="J110" s="238" t="s">
        <v>10422</v>
      </c>
      <c r="K110" s="238" t="s">
        <v>96</v>
      </c>
      <c r="L110" s="238" t="s">
        <v>9318</v>
      </c>
      <c r="M110" s="238" t="s">
        <v>368</v>
      </c>
      <c r="N110" s="238" t="s">
        <v>9123</v>
      </c>
      <c r="O110" s="238" t="s">
        <v>9131</v>
      </c>
      <c r="P110" s="238" t="s">
        <v>10423</v>
      </c>
      <c r="Q110" s="238" t="s">
        <v>10424</v>
      </c>
      <c r="R110" s="238">
        <v>0</v>
      </c>
      <c r="S110" s="238" t="s">
        <v>285</v>
      </c>
      <c r="T110" s="238" t="s">
        <v>21</v>
      </c>
      <c r="U110" s="238" t="s">
        <v>9772</v>
      </c>
      <c r="V110" s="238" t="s">
        <v>10425</v>
      </c>
      <c r="W110" s="238" t="s">
        <v>10426</v>
      </c>
      <c r="X110" s="238" t="s">
        <v>10427</v>
      </c>
      <c r="Y110" s="238" t="s">
        <v>10428</v>
      </c>
      <c r="Z110" s="238" t="s">
        <v>10429</v>
      </c>
      <c r="AA110" s="238" t="s">
        <v>10430</v>
      </c>
      <c r="AB110" s="238" t="s">
        <v>10431</v>
      </c>
      <c r="AC110" s="238" t="s">
        <v>10432</v>
      </c>
      <c r="AD110" s="238" t="s">
        <v>9123</v>
      </c>
      <c r="AE110" s="238" t="s">
        <v>10036</v>
      </c>
      <c r="AF110" s="238">
        <v>4</v>
      </c>
      <c r="AG110" s="238" t="s">
        <v>285</v>
      </c>
      <c r="AH110" s="238" t="s">
        <v>9191</v>
      </c>
      <c r="AI110" s="238" t="s">
        <v>9212</v>
      </c>
      <c r="AJ110" s="238" t="s">
        <v>10433</v>
      </c>
      <c r="AK110" s="238" t="s">
        <v>285</v>
      </c>
      <c r="AL110" s="238">
        <v>5</v>
      </c>
      <c r="AM110" s="238" t="s">
        <v>10434</v>
      </c>
      <c r="AN110" s="238" t="s">
        <v>9750</v>
      </c>
      <c r="AO110" s="238" t="s">
        <v>10240</v>
      </c>
    </row>
    <row r="111" spans="1:41" x14ac:dyDescent="0.2">
      <c r="B111" s="239">
        <v>44806.444639456022</v>
      </c>
      <c r="C111" s="238">
        <v>43</v>
      </c>
      <c r="D111" s="238" t="s">
        <v>10435</v>
      </c>
      <c r="E111" s="238">
        <v>3741007354</v>
      </c>
      <c r="F111" s="238" t="s">
        <v>95</v>
      </c>
      <c r="G111" s="238" t="s">
        <v>96</v>
      </c>
      <c r="H111" s="238" t="s">
        <v>96</v>
      </c>
      <c r="I111" s="238" t="s">
        <v>96</v>
      </c>
      <c r="J111" s="238" t="s">
        <v>96</v>
      </c>
      <c r="K111" s="238" t="s">
        <v>96</v>
      </c>
      <c r="L111" s="238" t="s">
        <v>10436</v>
      </c>
      <c r="M111" s="238" t="s">
        <v>368</v>
      </c>
      <c r="N111" s="238" t="s">
        <v>39</v>
      </c>
      <c r="O111" s="238" t="s">
        <v>9131</v>
      </c>
      <c r="P111" s="238" t="s">
        <v>10437</v>
      </c>
      <c r="Q111" s="238" t="s">
        <v>10438</v>
      </c>
      <c r="R111" s="238">
        <v>3</v>
      </c>
      <c r="S111" s="238" t="s">
        <v>263</v>
      </c>
      <c r="T111" s="238" t="s">
        <v>9269</v>
      </c>
      <c r="U111" s="238" t="s">
        <v>9231</v>
      </c>
      <c r="V111" s="238" t="s">
        <v>10439</v>
      </c>
      <c r="W111" s="238" t="s">
        <v>9123</v>
      </c>
      <c r="X111" s="238" t="s">
        <v>10440</v>
      </c>
      <c r="Y111" s="238" t="s">
        <v>9136</v>
      </c>
      <c r="Z111" s="238" t="s">
        <v>10441</v>
      </c>
      <c r="AA111" s="238" t="s">
        <v>10442</v>
      </c>
      <c r="AB111" s="238" t="s">
        <v>9123</v>
      </c>
      <c r="AC111" s="238" t="s">
        <v>10443</v>
      </c>
      <c r="AD111" s="238" t="s">
        <v>9604</v>
      </c>
      <c r="AE111" s="238" t="s">
        <v>10444</v>
      </c>
      <c r="AF111" s="238">
        <v>4</v>
      </c>
      <c r="AG111" s="238" t="s">
        <v>263</v>
      </c>
      <c r="AH111" s="238" t="s">
        <v>9131</v>
      </c>
      <c r="AI111" s="238">
        <v>2</v>
      </c>
      <c r="AJ111" s="238">
        <v>250</v>
      </c>
      <c r="AK111" s="238" t="s">
        <v>285</v>
      </c>
      <c r="AL111" s="238">
        <v>5</v>
      </c>
      <c r="AM111" s="238" t="s">
        <v>9131</v>
      </c>
      <c r="AN111" s="238" t="s">
        <v>9131</v>
      </c>
      <c r="AO111" s="238" t="s">
        <v>1534</v>
      </c>
    </row>
    <row r="112" spans="1:41" x14ac:dyDescent="0.2">
      <c r="A112" t="s">
        <v>8377</v>
      </c>
      <c r="B112" s="239">
        <v>44806.477092233792</v>
      </c>
      <c r="C112" s="238">
        <v>56</v>
      </c>
      <c r="D112" s="238" t="s">
        <v>10445</v>
      </c>
      <c r="E112" s="238">
        <v>3321142965</v>
      </c>
      <c r="F112" s="238" t="s">
        <v>107</v>
      </c>
      <c r="G112" s="238" t="s">
        <v>100</v>
      </c>
      <c r="H112" s="238" t="s">
        <v>100</v>
      </c>
      <c r="I112" s="238" t="s">
        <v>100</v>
      </c>
      <c r="J112" s="238" t="s">
        <v>100</v>
      </c>
      <c r="K112" s="238" t="s">
        <v>100</v>
      </c>
      <c r="L112" s="238" t="s">
        <v>10446</v>
      </c>
      <c r="M112" s="238" t="s">
        <v>263</v>
      </c>
      <c r="N112" s="238" t="s">
        <v>9155</v>
      </c>
      <c r="O112" s="238" t="s">
        <v>9131</v>
      </c>
      <c r="P112" s="238" t="s">
        <v>10447</v>
      </c>
      <c r="Q112" s="238" t="s">
        <v>4691</v>
      </c>
      <c r="R112" s="238" t="s">
        <v>10448</v>
      </c>
      <c r="S112" s="238" t="s">
        <v>263</v>
      </c>
      <c r="T112" s="238" t="s">
        <v>9320</v>
      </c>
      <c r="U112" s="238" t="s">
        <v>9488</v>
      </c>
      <c r="V112" s="238" t="s">
        <v>10449</v>
      </c>
      <c r="W112" s="238" t="s">
        <v>10450</v>
      </c>
      <c r="X112" s="238" t="s">
        <v>10451</v>
      </c>
      <c r="Y112" s="238" t="s">
        <v>99</v>
      </c>
      <c r="Z112" s="238" t="s">
        <v>10452</v>
      </c>
      <c r="AA112" s="238" t="s">
        <v>10453</v>
      </c>
      <c r="AB112" s="238" t="s">
        <v>10454</v>
      </c>
      <c r="AD112" s="238" t="s">
        <v>10455</v>
      </c>
      <c r="AE112" s="238" t="s">
        <v>10456</v>
      </c>
      <c r="AF112" s="238">
        <v>4</v>
      </c>
      <c r="AG112" s="238" t="s">
        <v>263</v>
      </c>
      <c r="AH112" s="238">
        <v>3</v>
      </c>
      <c r="AI112" s="238">
        <v>2</v>
      </c>
      <c r="AJ112" s="238">
        <v>150</v>
      </c>
      <c r="AK112" s="238" t="s">
        <v>263</v>
      </c>
      <c r="AL112" s="238">
        <v>1</v>
      </c>
      <c r="AM112" s="238" t="s">
        <v>99</v>
      </c>
      <c r="AN112" s="238" t="s">
        <v>99</v>
      </c>
      <c r="AO112" s="238" t="s">
        <v>10457</v>
      </c>
    </row>
    <row r="113" spans="1:41" x14ac:dyDescent="0.2">
      <c r="A113" t="s">
        <v>8396</v>
      </c>
      <c r="B113" s="239">
        <v>44806.498293495373</v>
      </c>
      <c r="C113" s="238">
        <v>36</v>
      </c>
      <c r="D113" s="238" t="s">
        <v>813</v>
      </c>
      <c r="E113" s="238">
        <v>3310500706</v>
      </c>
      <c r="F113" s="238" t="s">
        <v>95</v>
      </c>
      <c r="G113" s="238" t="s">
        <v>100</v>
      </c>
      <c r="H113" s="238" t="s">
        <v>2234</v>
      </c>
      <c r="I113" s="238" t="s">
        <v>100</v>
      </c>
      <c r="J113" s="238" t="s">
        <v>2234</v>
      </c>
      <c r="K113" s="238" t="s">
        <v>100</v>
      </c>
      <c r="L113" s="238" t="s">
        <v>7139</v>
      </c>
      <c r="M113" s="238" t="s">
        <v>368</v>
      </c>
      <c r="N113" s="238" t="s">
        <v>9155</v>
      </c>
      <c r="O113" s="238" t="s">
        <v>9131</v>
      </c>
      <c r="P113" s="238" t="s">
        <v>99</v>
      </c>
      <c r="Q113" s="238" t="s">
        <v>1903</v>
      </c>
      <c r="R113" s="238">
        <v>2</v>
      </c>
      <c r="S113" s="238" t="s">
        <v>285</v>
      </c>
      <c r="T113" s="238" t="s">
        <v>9320</v>
      </c>
      <c r="U113" s="238" t="s">
        <v>9300</v>
      </c>
      <c r="V113" s="238" t="s">
        <v>10458</v>
      </c>
      <c r="W113" s="238" t="s">
        <v>10459</v>
      </c>
      <c r="X113" s="238" t="s">
        <v>10460</v>
      </c>
      <c r="Y113" s="238" t="s">
        <v>10459</v>
      </c>
      <c r="Z113" s="238" t="s">
        <v>10461</v>
      </c>
      <c r="AF113" s="238">
        <v>3</v>
      </c>
      <c r="AG113" s="238" t="s">
        <v>285</v>
      </c>
      <c r="AH113" s="238">
        <v>2</v>
      </c>
      <c r="AI113" s="238">
        <v>1</v>
      </c>
      <c r="AJ113" s="238">
        <v>200</v>
      </c>
      <c r="AK113" s="238" t="s">
        <v>285</v>
      </c>
      <c r="AL113" s="238">
        <v>4</v>
      </c>
      <c r="AM113" s="238" t="s">
        <v>10462</v>
      </c>
      <c r="AN113" s="238" t="s">
        <v>99</v>
      </c>
      <c r="AO113" s="238" t="s">
        <v>3743</v>
      </c>
    </row>
    <row r="114" spans="1:41" x14ac:dyDescent="0.2">
      <c r="A114" t="s">
        <v>8412</v>
      </c>
      <c r="B114" s="239">
        <v>44853.666209571762</v>
      </c>
      <c r="C114" s="238">
        <v>63</v>
      </c>
      <c r="D114" s="238" t="s">
        <v>314</v>
      </c>
      <c r="E114" s="238">
        <v>3314394669</v>
      </c>
      <c r="F114" s="238" t="s">
        <v>107</v>
      </c>
      <c r="G114" s="238" t="s">
        <v>9154</v>
      </c>
      <c r="H114" s="238" t="s">
        <v>9154</v>
      </c>
      <c r="I114" s="238" t="s">
        <v>9154</v>
      </c>
      <c r="J114" s="238" t="s">
        <v>9154</v>
      </c>
      <c r="K114" s="238" t="s">
        <v>9154</v>
      </c>
      <c r="L114" s="238" t="s">
        <v>9401</v>
      </c>
      <c r="M114" s="238" t="s">
        <v>368</v>
      </c>
      <c r="N114" s="238" t="s">
        <v>9123</v>
      </c>
      <c r="O114" s="238" t="s">
        <v>9131</v>
      </c>
      <c r="P114" s="238" t="s">
        <v>5205</v>
      </c>
      <c r="Q114" s="238" t="s">
        <v>9131</v>
      </c>
      <c r="T114" s="238" t="s">
        <v>21</v>
      </c>
      <c r="U114" s="238" t="s">
        <v>9123</v>
      </c>
      <c r="V114" s="238" t="s">
        <v>10463</v>
      </c>
      <c r="W114" s="238" t="s">
        <v>10464</v>
      </c>
      <c r="X114" s="238" t="s">
        <v>10465</v>
      </c>
      <c r="Y114" s="238" t="s">
        <v>10464</v>
      </c>
      <c r="Z114" s="238" t="s">
        <v>9204</v>
      </c>
      <c r="AF114" s="238">
        <v>2</v>
      </c>
      <c r="AG114" s="238" t="s">
        <v>263</v>
      </c>
      <c r="AH114" s="238" t="s">
        <v>9304</v>
      </c>
      <c r="AI114" s="238" t="s">
        <v>9123</v>
      </c>
      <c r="AJ114" s="238">
        <v>60</v>
      </c>
      <c r="AK114" s="238" t="s">
        <v>285</v>
      </c>
      <c r="AL114" s="238">
        <v>6</v>
      </c>
      <c r="AM114" s="238" t="s">
        <v>263</v>
      </c>
      <c r="AN114" s="238" t="s">
        <v>263</v>
      </c>
    </row>
    <row r="115" spans="1:41" x14ac:dyDescent="0.2">
      <c r="A115" t="s">
        <v>8406</v>
      </c>
      <c r="B115" s="239">
        <v>44853.67045362269</v>
      </c>
      <c r="C115" s="238">
        <v>27</v>
      </c>
      <c r="D115" s="238" t="s">
        <v>10466</v>
      </c>
      <c r="E115" s="238">
        <v>3311396820</v>
      </c>
      <c r="F115" s="238" t="s">
        <v>95</v>
      </c>
      <c r="G115" s="238" t="s">
        <v>949</v>
      </c>
      <c r="H115" s="238" t="s">
        <v>949</v>
      </c>
      <c r="I115" s="238" t="s">
        <v>949</v>
      </c>
      <c r="J115" s="238" t="s">
        <v>949</v>
      </c>
      <c r="K115" s="238" t="s">
        <v>949</v>
      </c>
      <c r="L115" s="238" t="s">
        <v>10467</v>
      </c>
      <c r="M115" s="238" t="s">
        <v>263</v>
      </c>
      <c r="N115" s="238" t="s">
        <v>9123</v>
      </c>
      <c r="O115" s="238" t="s">
        <v>9131</v>
      </c>
      <c r="P115" s="238" t="s">
        <v>483</v>
      </c>
      <c r="Q115" s="238" t="s">
        <v>9251</v>
      </c>
      <c r="R115" s="238">
        <v>1</v>
      </c>
      <c r="S115" s="238" t="s">
        <v>285</v>
      </c>
      <c r="T115" s="238" t="s">
        <v>9461</v>
      </c>
      <c r="U115" s="238" t="s">
        <v>9133</v>
      </c>
      <c r="V115" s="238" t="s">
        <v>10468</v>
      </c>
      <c r="W115" s="238" t="s">
        <v>10469</v>
      </c>
      <c r="X115" s="238" t="s">
        <v>10470</v>
      </c>
      <c r="Y115" s="238" t="s">
        <v>10471</v>
      </c>
      <c r="Z115" s="238" t="s">
        <v>10472</v>
      </c>
      <c r="AA115" s="238" t="s">
        <v>10473</v>
      </c>
      <c r="AB115" s="238" t="s">
        <v>10474</v>
      </c>
      <c r="AC115" s="238" t="s">
        <v>10475</v>
      </c>
      <c r="AD115" s="238" t="s">
        <v>10476</v>
      </c>
      <c r="AE115" s="238" t="s">
        <v>10477</v>
      </c>
      <c r="AF115" s="238">
        <v>5</v>
      </c>
      <c r="AG115" s="238" t="s">
        <v>285</v>
      </c>
      <c r="AH115" s="238">
        <v>1</v>
      </c>
      <c r="AI115" s="238">
        <v>1</v>
      </c>
      <c r="AJ115" s="238">
        <v>100</v>
      </c>
      <c r="AK115" s="238" t="s">
        <v>285</v>
      </c>
      <c r="AL115" s="238">
        <v>1</v>
      </c>
      <c r="AM115" s="238" t="s">
        <v>5694</v>
      </c>
      <c r="AN115" s="238" t="s">
        <v>1103</v>
      </c>
      <c r="AO115" s="238" t="s">
        <v>10170</v>
      </c>
    </row>
    <row r="116" spans="1:41" x14ac:dyDescent="0.2">
      <c r="B116" s="239">
        <v>44853.675461909719</v>
      </c>
      <c r="C116" s="238">
        <v>59</v>
      </c>
      <c r="D116" s="238" t="s">
        <v>813</v>
      </c>
      <c r="E116" s="238">
        <v>3335046803</v>
      </c>
      <c r="F116" s="238" t="s">
        <v>95</v>
      </c>
      <c r="G116" s="238" t="s">
        <v>100</v>
      </c>
      <c r="H116" s="238" t="s">
        <v>100</v>
      </c>
      <c r="I116" s="238" t="s">
        <v>100</v>
      </c>
      <c r="J116" s="238" t="s">
        <v>100</v>
      </c>
      <c r="K116" s="238" t="s">
        <v>100</v>
      </c>
      <c r="L116" s="238" t="s">
        <v>10478</v>
      </c>
      <c r="M116" s="238" t="s">
        <v>368</v>
      </c>
      <c r="N116" s="238" t="s">
        <v>9369</v>
      </c>
      <c r="O116" s="238" t="s">
        <v>9370</v>
      </c>
      <c r="P116" s="238" t="s">
        <v>99</v>
      </c>
      <c r="Q116" s="238" t="s">
        <v>10479</v>
      </c>
      <c r="R116" s="238">
        <v>2</v>
      </c>
      <c r="S116" s="238" t="s">
        <v>263</v>
      </c>
      <c r="T116" s="238" t="s">
        <v>9134</v>
      </c>
      <c r="U116" s="238" t="s">
        <v>9133</v>
      </c>
      <c r="V116" s="238" t="s">
        <v>10480</v>
      </c>
      <c r="W116" s="238" t="s">
        <v>9170</v>
      </c>
      <c r="X116" s="238" t="s">
        <v>10481</v>
      </c>
      <c r="Y116" s="238" t="s">
        <v>9170</v>
      </c>
      <c r="Z116" s="238" t="s">
        <v>10482</v>
      </c>
      <c r="AA116" s="238" t="s">
        <v>10483</v>
      </c>
      <c r="AB116" s="238" t="s">
        <v>9170</v>
      </c>
      <c r="AC116" s="238" t="s">
        <v>10484</v>
      </c>
      <c r="AD116" s="238" t="s">
        <v>10485</v>
      </c>
      <c r="AE116" s="238" t="s">
        <v>10486</v>
      </c>
      <c r="AF116" s="238">
        <v>3</v>
      </c>
      <c r="AG116" s="238" t="s">
        <v>285</v>
      </c>
      <c r="AH116" s="238">
        <v>1</v>
      </c>
      <c r="AI116" s="238" t="s">
        <v>2556</v>
      </c>
      <c r="AJ116" s="238" t="s">
        <v>10487</v>
      </c>
      <c r="AK116" s="238" t="s">
        <v>263</v>
      </c>
      <c r="AL116" s="238" t="s">
        <v>9130</v>
      </c>
      <c r="AM116" s="238" t="s">
        <v>99</v>
      </c>
      <c r="AN116" s="238" t="s">
        <v>10488</v>
      </c>
      <c r="AO116" s="238" t="s">
        <v>4691</v>
      </c>
    </row>
    <row r="117" spans="1:41" x14ac:dyDescent="0.2">
      <c r="A117" t="s">
        <v>8407</v>
      </c>
      <c r="B117" s="239">
        <v>44853.678514027779</v>
      </c>
      <c r="C117" s="238">
        <v>53</v>
      </c>
      <c r="D117" s="238" t="s">
        <v>10489</v>
      </c>
      <c r="E117" s="238">
        <v>3310486631</v>
      </c>
      <c r="F117" s="238" t="s">
        <v>95</v>
      </c>
      <c r="G117" s="238" t="s">
        <v>96</v>
      </c>
      <c r="H117" s="238" t="s">
        <v>533</v>
      </c>
      <c r="I117" s="238" t="s">
        <v>533</v>
      </c>
      <c r="J117" s="238" t="s">
        <v>533</v>
      </c>
      <c r="K117" s="238" t="s">
        <v>96</v>
      </c>
      <c r="L117" s="238" t="s">
        <v>7444</v>
      </c>
      <c r="M117" s="238" t="s">
        <v>368</v>
      </c>
      <c r="N117" s="238" t="s">
        <v>10362</v>
      </c>
      <c r="O117" s="238" t="s">
        <v>9504</v>
      </c>
      <c r="P117" s="238" t="s">
        <v>9672</v>
      </c>
      <c r="Q117" s="238" t="s">
        <v>10490</v>
      </c>
      <c r="R117" s="238">
        <v>1</v>
      </c>
      <c r="S117" s="238" t="s">
        <v>263</v>
      </c>
      <c r="T117" s="238" t="s">
        <v>9319</v>
      </c>
      <c r="U117" s="238" t="s">
        <v>10141</v>
      </c>
      <c r="V117" s="238" t="s">
        <v>10491</v>
      </c>
      <c r="W117" s="238" t="s">
        <v>10492</v>
      </c>
      <c r="X117" s="238" t="s">
        <v>10493</v>
      </c>
      <c r="Y117" s="238" t="s">
        <v>10494</v>
      </c>
      <c r="Z117" s="238" t="s">
        <v>4827</v>
      </c>
      <c r="AF117" s="238">
        <v>4</v>
      </c>
      <c r="AG117" s="238" t="s">
        <v>285</v>
      </c>
      <c r="AH117" s="238">
        <v>3</v>
      </c>
      <c r="AI117" s="238">
        <v>0</v>
      </c>
      <c r="AJ117" s="238" t="s">
        <v>10495</v>
      </c>
      <c r="AK117" s="238" t="s">
        <v>263</v>
      </c>
      <c r="AL117" s="238" t="s">
        <v>9130</v>
      </c>
      <c r="AM117" s="238" t="s">
        <v>99</v>
      </c>
      <c r="AN117" s="238" t="s">
        <v>99</v>
      </c>
      <c r="AO117" s="238" t="s">
        <v>4691</v>
      </c>
    </row>
    <row r="118" spans="1:41" x14ac:dyDescent="0.2">
      <c r="B118" s="239">
        <v>44853.899458877313</v>
      </c>
      <c r="C118" s="238">
        <v>47</v>
      </c>
      <c r="D118" s="238" t="s">
        <v>10496</v>
      </c>
      <c r="E118" s="238">
        <v>3332015334</v>
      </c>
      <c r="F118" s="238" t="s">
        <v>95</v>
      </c>
      <c r="G118" s="238" t="s">
        <v>9154</v>
      </c>
      <c r="H118" s="238" t="s">
        <v>9154</v>
      </c>
      <c r="I118" s="238" t="s">
        <v>155</v>
      </c>
      <c r="J118" s="238" t="s">
        <v>9154</v>
      </c>
      <c r="K118" s="238" t="s">
        <v>10497</v>
      </c>
      <c r="L118" s="238" t="s">
        <v>10498</v>
      </c>
      <c r="M118" s="238" t="s">
        <v>263</v>
      </c>
      <c r="N118" s="238" t="s">
        <v>10016</v>
      </c>
      <c r="O118" s="238" t="s">
        <v>9131</v>
      </c>
      <c r="P118" s="238" t="s">
        <v>263</v>
      </c>
      <c r="Q118" s="238" t="s">
        <v>10499</v>
      </c>
      <c r="R118" s="238">
        <v>3</v>
      </c>
      <c r="S118" s="238" t="s">
        <v>263</v>
      </c>
      <c r="T118" s="238" t="s">
        <v>9231</v>
      </c>
      <c r="U118" s="238" t="s">
        <v>41</v>
      </c>
      <c r="V118" s="238" t="s">
        <v>10500</v>
      </c>
      <c r="W118" s="238" t="s">
        <v>10501</v>
      </c>
      <c r="X118" s="238" t="s">
        <v>10502</v>
      </c>
      <c r="Y118" s="238" t="s">
        <v>10501</v>
      </c>
      <c r="Z118" s="238" t="s">
        <v>10503</v>
      </c>
      <c r="AA118" s="238" t="s">
        <v>10504</v>
      </c>
      <c r="AB118" s="238" t="s">
        <v>10501</v>
      </c>
      <c r="AC118" s="238" t="s">
        <v>10505</v>
      </c>
      <c r="AD118" s="238" t="s">
        <v>10501</v>
      </c>
      <c r="AE118" s="238" t="s">
        <v>9148</v>
      </c>
      <c r="AF118" s="238">
        <v>3</v>
      </c>
      <c r="AG118" s="238" t="s">
        <v>285</v>
      </c>
      <c r="AH118" s="238">
        <v>1</v>
      </c>
      <c r="AI118" s="238">
        <v>0</v>
      </c>
      <c r="AJ118" s="238">
        <v>90</v>
      </c>
      <c r="AK118" s="238" t="s">
        <v>285</v>
      </c>
      <c r="AL118" s="238">
        <v>3</v>
      </c>
      <c r="AM118" s="238" t="s">
        <v>263</v>
      </c>
      <c r="AN118" s="238" t="s">
        <v>10506</v>
      </c>
      <c r="AO118" s="238" t="s">
        <v>10507</v>
      </c>
    </row>
    <row r="119" spans="1:41" x14ac:dyDescent="0.2">
      <c r="B119" s="239">
        <v>44854.562914699069</v>
      </c>
      <c r="C119" s="238">
        <v>29</v>
      </c>
      <c r="D119" s="238" t="s">
        <v>10508</v>
      </c>
      <c r="E119" s="238">
        <v>3326464415</v>
      </c>
      <c r="F119" s="238" t="s">
        <v>107</v>
      </c>
      <c r="G119" s="238" t="s">
        <v>96</v>
      </c>
      <c r="H119" s="238" t="s">
        <v>96</v>
      </c>
      <c r="I119" s="238" t="s">
        <v>96</v>
      </c>
      <c r="J119" s="238" t="s">
        <v>96</v>
      </c>
      <c r="K119" s="238" t="s">
        <v>96</v>
      </c>
      <c r="L119" s="238" t="s">
        <v>10509</v>
      </c>
      <c r="M119" s="238" t="s">
        <v>368</v>
      </c>
      <c r="N119" s="238" t="s">
        <v>9123</v>
      </c>
      <c r="O119" s="238" t="s">
        <v>9131</v>
      </c>
      <c r="P119" s="238" t="s">
        <v>10510</v>
      </c>
      <c r="Q119" s="238" t="s">
        <v>10511</v>
      </c>
      <c r="R119" s="238" t="s">
        <v>10512</v>
      </c>
      <c r="S119" s="238" t="s">
        <v>263</v>
      </c>
      <c r="T119" s="238" t="s">
        <v>9123</v>
      </c>
      <c r="U119" s="238" t="s">
        <v>9488</v>
      </c>
      <c r="V119" s="238" t="s">
        <v>10513</v>
      </c>
      <c r="W119" s="238" t="s">
        <v>10514</v>
      </c>
      <c r="X119" s="238" t="s">
        <v>10515</v>
      </c>
      <c r="Y119" s="238" t="s">
        <v>10516</v>
      </c>
      <c r="Z119" s="238" t="s">
        <v>10517</v>
      </c>
      <c r="AA119" s="238" t="s">
        <v>10518</v>
      </c>
      <c r="AB119" s="238" t="s">
        <v>10514</v>
      </c>
      <c r="AC119" s="238" t="s">
        <v>10519</v>
      </c>
      <c r="AD119" s="238" t="s">
        <v>10514</v>
      </c>
      <c r="AE119" s="238" t="s">
        <v>10517</v>
      </c>
      <c r="AF119" s="238">
        <v>5</v>
      </c>
      <c r="AG119" s="238" t="s">
        <v>285</v>
      </c>
      <c r="AH119" s="238">
        <v>1</v>
      </c>
      <c r="AI119" s="238" t="s">
        <v>10520</v>
      </c>
      <c r="AJ119" s="238" t="s">
        <v>10521</v>
      </c>
      <c r="AK119" s="238" t="s">
        <v>285</v>
      </c>
      <c r="AL119" s="238">
        <v>5</v>
      </c>
      <c r="AM119" s="238" t="s">
        <v>483</v>
      </c>
      <c r="AN119" s="238" t="s">
        <v>483</v>
      </c>
      <c r="AO119" s="238" t="s">
        <v>10522</v>
      </c>
    </row>
    <row r="120" spans="1:41" x14ac:dyDescent="0.2">
      <c r="B120" s="239">
        <v>44858.455444583335</v>
      </c>
      <c r="C120" s="238">
        <v>28</v>
      </c>
      <c r="D120" s="238" t="s">
        <v>10523</v>
      </c>
      <c r="E120" s="238">
        <v>3339570691</v>
      </c>
      <c r="F120" s="238" t="s">
        <v>95</v>
      </c>
      <c r="G120" s="238" t="s">
        <v>9154</v>
      </c>
      <c r="H120" s="238" t="s">
        <v>441</v>
      </c>
      <c r="I120" s="238" t="s">
        <v>162</v>
      </c>
      <c r="J120" s="238" t="s">
        <v>162</v>
      </c>
      <c r="K120" s="238" t="s">
        <v>441</v>
      </c>
      <c r="L120" s="238" t="s">
        <v>10524</v>
      </c>
      <c r="M120" s="238" t="s">
        <v>368</v>
      </c>
      <c r="N120" s="238" t="s">
        <v>9123</v>
      </c>
      <c r="O120" s="238" t="s">
        <v>9131</v>
      </c>
      <c r="P120" s="238" t="s">
        <v>263</v>
      </c>
      <c r="Q120" s="238" t="s">
        <v>10525</v>
      </c>
      <c r="R120" s="238" t="s">
        <v>10525</v>
      </c>
      <c r="S120" s="238" t="s">
        <v>285</v>
      </c>
      <c r="T120" s="238" t="s">
        <v>9123</v>
      </c>
      <c r="U120" s="238" t="s">
        <v>9123</v>
      </c>
      <c r="V120" s="238" t="s">
        <v>10526</v>
      </c>
      <c r="W120" s="238" t="s">
        <v>10527</v>
      </c>
      <c r="X120" s="238" t="s">
        <v>10528</v>
      </c>
      <c r="Y120" s="238" t="s">
        <v>10529</v>
      </c>
      <c r="Z120" s="238" t="s">
        <v>10530</v>
      </c>
      <c r="AA120" s="238" t="s">
        <v>10531</v>
      </c>
      <c r="AB120" s="238" t="s">
        <v>10532</v>
      </c>
      <c r="AC120" s="238" t="s">
        <v>10533</v>
      </c>
      <c r="AD120" s="238" t="s">
        <v>162</v>
      </c>
      <c r="AE120" s="238" t="s">
        <v>10534</v>
      </c>
      <c r="AF120" s="238">
        <v>3</v>
      </c>
      <c r="AG120" s="238" t="s">
        <v>263</v>
      </c>
      <c r="AH120" s="238">
        <v>1</v>
      </c>
      <c r="AI120" s="238">
        <v>1</v>
      </c>
      <c r="AJ120" s="238" t="s">
        <v>10535</v>
      </c>
      <c r="AK120" s="238" t="s">
        <v>285</v>
      </c>
      <c r="AL120" s="238">
        <v>5</v>
      </c>
      <c r="AM120" s="238" t="s">
        <v>263</v>
      </c>
      <c r="AN120" s="238" t="s">
        <v>263</v>
      </c>
      <c r="AO120" s="238" t="s">
        <v>10536</v>
      </c>
    </row>
    <row r="121" spans="1:41" x14ac:dyDescent="0.2">
      <c r="B121" s="239">
        <v>44859.548944918977</v>
      </c>
      <c r="C121" s="238">
        <v>52</v>
      </c>
      <c r="D121" s="238" t="s">
        <v>1666</v>
      </c>
      <c r="E121" s="238">
        <v>3313332354</v>
      </c>
      <c r="F121" s="238" t="s">
        <v>95</v>
      </c>
      <c r="G121" s="238" t="s">
        <v>3488</v>
      </c>
      <c r="H121" s="238" t="s">
        <v>100</v>
      </c>
      <c r="I121" s="238" t="s">
        <v>100</v>
      </c>
      <c r="J121" s="238" t="s">
        <v>100</v>
      </c>
      <c r="K121" s="238" t="s">
        <v>100</v>
      </c>
      <c r="L121" s="238" t="s">
        <v>4691</v>
      </c>
      <c r="M121" s="238" t="s">
        <v>368</v>
      </c>
      <c r="N121" s="238" t="s">
        <v>9155</v>
      </c>
      <c r="O121" s="238" t="s">
        <v>9131</v>
      </c>
      <c r="P121" s="238" t="s">
        <v>10537</v>
      </c>
      <c r="Q121" s="238" t="s">
        <v>10538</v>
      </c>
      <c r="R121" s="238">
        <v>1</v>
      </c>
      <c r="S121" s="238" t="s">
        <v>285</v>
      </c>
      <c r="T121" s="238" t="s">
        <v>9741</v>
      </c>
      <c r="U121" s="238" t="s">
        <v>39</v>
      </c>
      <c r="V121" s="238" t="s">
        <v>10539</v>
      </c>
      <c r="W121" s="238">
        <v>0</v>
      </c>
      <c r="X121" s="238" t="s">
        <v>10540</v>
      </c>
      <c r="Y121" s="238">
        <v>0</v>
      </c>
      <c r="Z121" s="238" t="s">
        <v>10541</v>
      </c>
      <c r="AA121" s="238" t="s">
        <v>10542</v>
      </c>
      <c r="AB121" s="238">
        <v>0</v>
      </c>
      <c r="AC121" s="238" t="s">
        <v>10543</v>
      </c>
      <c r="AD121" s="238">
        <v>0</v>
      </c>
      <c r="AE121" s="238" t="s">
        <v>10544</v>
      </c>
      <c r="AF121" s="238">
        <v>3</v>
      </c>
      <c r="AG121" s="238" t="s">
        <v>285</v>
      </c>
      <c r="AH121" s="238">
        <v>3</v>
      </c>
      <c r="AI121" s="238">
        <v>0</v>
      </c>
      <c r="AJ121" s="238">
        <v>100</v>
      </c>
      <c r="AK121" s="238" t="s">
        <v>263</v>
      </c>
      <c r="AL121" s="238" t="s">
        <v>9130</v>
      </c>
      <c r="AM121" s="238" t="s">
        <v>99</v>
      </c>
      <c r="AN121" s="238" t="s">
        <v>10545</v>
      </c>
      <c r="AO121" s="238" t="s">
        <v>10546</v>
      </c>
    </row>
    <row r="122" spans="1:41" x14ac:dyDescent="0.2">
      <c r="B122" s="239">
        <v>44859.556733634265</v>
      </c>
      <c r="C122" s="238">
        <v>37</v>
      </c>
      <c r="D122" s="238" t="s">
        <v>10547</v>
      </c>
      <c r="E122" s="238">
        <v>3312278445</v>
      </c>
      <c r="F122" s="238" t="s">
        <v>95</v>
      </c>
      <c r="G122" s="238" t="s">
        <v>9154</v>
      </c>
      <c r="H122" s="238" t="s">
        <v>9154</v>
      </c>
      <c r="I122" s="238" t="s">
        <v>9154</v>
      </c>
      <c r="J122" s="238" t="s">
        <v>9154</v>
      </c>
      <c r="K122" s="238" t="s">
        <v>9154</v>
      </c>
      <c r="L122" s="238" t="s">
        <v>10548</v>
      </c>
      <c r="M122" s="238" t="s">
        <v>368</v>
      </c>
      <c r="N122" s="238" t="s">
        <v>9155</v>
      </c>
      <c r="O122" s="238" t="s">
        <v>9131</v>
      </c>
      <c r="P122" s="238" t="s">
        <v>10549</v>
      </c>
      <c r="Q122" s="238" t="s">
        <v>1103</v>
      </c>
      <c r="R122" s="238">
        <v>2</v>
      </c>
      <c r="S122" s="238" t="s">
        <v>285</v>
      </c>
      <c r="T122" s="238" t="s">
        <v>9155</v>
      </c>
      <c r="U122" s="238" t="s">
        <v>9121</v>
      </c>
      <c r="V122" s="238" t="s">
        <v>10550</v>
      </c>
      <c r="W122" s="238" t="s">
        <v>10551</v>
      </c>
      <c r="X122" s="238" t="s">
        <v>10552</v>
      </c>
      <c r="Y122" s="238" t="s">
        <v>10553</v>
      </c>
      <c r="Z122" s="238" t="s">
        <v>10553</v>
      </c>
      <c r="AA122" s="238" t="s">
        <v>10554</v>
      </c>
      <c r="AB122" s="238" t="s">
        <v>10555</v>
      </c>
      <c r="AC122" s="238" t="s">
        <v>10556</v>
      </c>
      <c r="AD122" s="238" t="s">
        <v>10553</v>
      </c>
      <c r="AE122" s="238" t="s">
        <v>10553</v>
      </c>
      <c r="AF122" s="238">
        <v>3</v>
      </c>
      <c r="AG122" s="238" t="s">
        <v>285</v>
      </c>
      <c r="AH122" s="238">
        <v>1</v>
      </c>
      <c r="AI122" s="238">
        <v>1</v>
      </c>
      <c r="AJ122" s="238">
        <v>120</v>
      </c>
      <c r="AK122" s="238" t="s">
        <v>263</v>
      </c>
      <c r="AL122" s="238" t="s">
        <v>9130</v>
      </c>
      <c r="AM122" s="238" t="s">
        <v>483</v>
      </c>
      <c r="AN122" s="238" t="s">
        <v>483</v>
      </c>
      <c r="AO122" s="238" t="s">
        <v>10557</v>
      </c>
    </row>
    <row r="123" spans="1:41" x14ac:dyDescent="0.2">
      <c r="B123" s="239">
        <v>44859.573415300925</v>
      </c>
      <c r="C123" s="238">
        <v>22</v>
      </c>
      <c r="D123" s="238" t="s">
        <v>10558</v>
      </c>
      <c r="E123" s="238">
        <v>3326313959</v>
      </c>
      <c r="F123" s="238" t="s">
        <v>95</v>
      </c>
      <c r="G123" s="238" t="s">
        <v>96</v>
      </c>
      <c r="H123" s="238" t="s">
        <v>96</v>
      </c>
      <c r="I123" s="238" t="s">
        <v>96</v>
      </c>
      <c r="J123" s="238" t="s">
        <v>96</v>
      </c>
      <c r="K123" s="238" t="s">
        <v>10559</v>
      </c>
      <c r="L123" s="238" t="s">
        <v>9906</v>
      </c>
      <c r="M123" s="238" t="s">
        <v>368</v>
      </c>
      <c r="N123" s="238" t="s">
        <v>9123</v>
      </c>
      <c r="O123" s="238" t="s">
        <v>9131</v>
      </c>
      <c r="P123" s="238" t="s">
        <v>9131</v>
      </c>
      <c r="Q123" s="238" t="s">
        <v>9131</v>
      </c>
      <c r="R123" s="238">
        <v>0</v>
      </c>
      <c r="S123" s="238" t="s">
        <v>285</v>
      </c>
      <c r="T123" s="238" t="s">
        <v>9269</v>
      </c>
      <c r="U123" s="238" t="s">
        <v>9461</v>
      </c>
      <c r="V123" s="238" t="s">
        <v>10560</v>
      </c>
      <c r="W123" s="238" t="s">
        <v>10561</v>
      </c>
      <c r="X123" s="238" t="s">
        <v>10562</v>
      </c>
      <c r="Y123" s="238" t="s">
        <v>10563</v>
      </c>
      <c r="Z123" s="238" t="s">
        <v>10564</v>
      </c>
      <c r="AA123" s="238" t="s">
        <v>10565</v>
      </c>
      <c r="AB123" s="238" t="s">
        <v>10566</v>
      </c>
      <c r="AC123" s="238" t="s">
        <v>10567</v>
      </c>
      <c r="AD123" s="238" t="s">
        <v>10568</v>
      </c>
      <c r="AE123" s="238" t="s">
        <v>10569</v>
      </c>
      <c r="AF123" s="238">
        <v>3</v>
      </c>
      <c r="AG123" s="238" t="s">
        <v>263</v>
      </c>
      <c r="AH123" s="238">
        <v>5</v>
      </c>
      <c r="AI123" s="238">
        <v>0</v>
      </c>
      <c r="AJ123" s="238">
        <v>70</v>
      </c>
      <c r="AK123" s="238" t="s">
        <v>263</v>
      </c>
      <c r="AL123" s="238" t="s">
        <v>9130</v>
      </c>
      <c r="AM123" s="238" t="s">
        <v>9131</v>
      </c>
      <c r="AN123" s="238" t="s">
        <v>9131</v>
      </c>
      <c r="AO123" s="238" t="s">
        <v>10570</v>
      </c>
    </row>
    <row r="124" spans="1:41" x14ac:dyDescent="0.2">
      <c r="B124" s="239">
        <v>44859.750991493056</v>
      </c>
      <c r="C124" s="238">
        <v>23</v>
      </c>
      <c r="D124" s="238" t="s">
        <v>10571</v>
      </c>
      <c r="E124" s="238">
        <v>3319429724</v>
      </c>
      <c r="F124" s="238" t="s">
        <v>95</v>
      </c>
      <c r="G124" s="238" t="s">
        <v>96</v>
      </c>
      <c r="H124" s="238" t="s">
        <v>96</v>
      </c>
      <c r="I124" s="238" t="s">
        <v>9154</v>
      </c>
      <c r="J124" s="238" t="s">
        <v>10572</v>
      </c>
      <c r="K124" s="238" t="s">
        <v>96</v>
      </c>
      <c r="L124" s="238" t="s">
        <v>9144</v>
      </c>
      <c r="M124" s="238" t="s">
        <v>263</v>
      </c>
      <c r="N124" s="238" t="s">
        <v>9155</v>
      </c>
      <c r="O124" s="238" t="s">
        <v>9131</v>
      </c>
      <c r="P124" s="238" t="s">
        <v>9144</v>
      </c>
      <c r="Q124" s="238" t="s">
        <v>10573</v>
      </c>
      <c r="R124" s="238" t="s">
        <v>9144</v>
      </c>
      <c r="S124" s="238" t="s">
        <v>285</v>
      </c>
      <c r="T124" s="238" t="s">
        <v>10574</v>
      </c>
      <c r="U124" s="238" t="s">
        <v>10575</v>
      </c>
      <c r="V124" s="238" t="s">
        <v>10576</v>
      </c>
      <c r="W124" s="238" t="s">
        <v>10577</v>
      </c>
      <c r="X124" s="238" t="s">
        <v>10578</v>
      </c>
      <c r="Y124" s="238" t="s">
        <v>10428</v>
      </c>
      <c r="Z124" s="238" t="s">
        <v>10579</v>
      </c>
      <c r="AA124" s="238" t="s">
        <v>4158</v>
      </c>
      <c r="AF124" s="238">
        <v>4</v>
      </c>
      <c r="AG124" s="238" t="s">
        <v>285</v>
      </c>
      <c r="AH124" s="238" t="s">
        <v>10580</v>
      </c>
      <c r="AI124" s="238" t="s">
        <v>9983</v>
      </c>
      <c r="AJ124" s="238" t="s">
        <v>10581</v>
      </c>
      <c r="AK124" s="238" t="s">
        <v>263</v>
      </c>
      <c r="AL124" s="238" t="s">
        <v>9130</v>
      </c>
      <c r="AM124" s="238" t="s">
        <v>263</v>
      </c>
      <c r="AN124" s="238" t="s">
        <v>263</v>
      </c>
      <c r="AO124" s="238" t="s">
        <v>10582</v>
      </c>
    </row>
    <row r="125" spans="1:41" x14ac:dyDescent="0.2">
      <c r="A125" t="s">
        <v>8417</v>
      </c>
      <c r="B125" s="239">
        <v>44861.612035648148</v>
      </c>
      <c r="C125" s="238">
        <v>38</v>
      </c>
      <c r="D125" s="238" t="s">
        <v>10583</v>
      </c>
      <c r="E125" s="238">
        <v>3313389838</v>
      </c>
      <c r="F125" s="238" t="s">
        <v>107</v>
      </c>
      <c r="G125" s="238" t="s">
        <v>10584</v>
      </c>
      <c r="H125" s="238" t="s">
        <v>2072</v>
      </c>
      <c r="I125" s="238" t="s">
        <v>2072</v>
      </c>
      <c r="J125" s="238" t="s">
        <v>10585</v>
      </c>
      <c r="K125" s="238" t="s">
        <v>10585</v>
      </c>
      <c r="L125" s="238" t="s">
        <v>10586</v>
      </c>
      <c r="M125" s="238" t="s">
        <v>368</v>
      </c>
      <c r="N125" s="238" t="s">
        <v>9123</v>
      </c>
      <c r="O125" s="238" t="s">
        <v>9131</v>
      </c>
      <c r="P125" s="238" t="s">
        <v>263</v>
      </c>
      <c r="Q125" s="238" t="s">
        <v>10587</v>
      </c>
      <c r="R125" s="238">
        <v>0</v>
      </c>
      <c r="S125" s="238" t="s">
        <v>263</v>
      </c>
      <c r="T125" s="238" t="s">
        <v>9123</v>
      </c>
      <c r="U125" s="238" t="s">
        <v>9123</v>
      </c>
      <c r="V125" s="238" t="s">
        <v>10588</v>
      </c>
      <c r="W125" s="238" t="s">
        <v>10589</v>
      </c>
      <c r="X125" s="238" t="s">
        <v>10590</v>
      </c>
      <c r="Y125" s="238" t="s">
        <v>10591</v>
      </c>
      <c r="Z125" s="238" t="s">
        <v>10592</v>
      </c>
      <c r="AA125" s="238" t="s">
        <v>10593</v>
      </c>
      <c r="AB125" s="238" t="s">
        <v>10593</v>
      </c>
      <c r="AC125" s="238" t="s">
        <v>10593</v>
      </c>
      <c r="AD125" s="238" t="s">
        <v>10593</v>
      </c>
      <c r="AE125" s="238" t="s">
        <v>10593</v>
      </c>
      <c r="AF125" s="238">
        <v>4</v>
      </c>
      <c r="AG125" s="238" t="s">
        <v>285</v>
      </c>
      <c r="AH125" s="238" t="s">
        <v>10594</v>
      </c>
      <c r="AI125" s="238" t="s">
        <v>10595</v>
      </c>
      <c r="AJ125" s="238" t="s">
        <v>10596</v>
      </c>
      <c r="AK125" s="238" t="s">
        <v>263</v>
      </c>
      <c r="AL125" s="238" t="s">
        <v>9130</v>
      </c>
      <c r="AM125" s="238" t="s">
        <v>263</v>
      </c>
      <c r="AN125" s="238" t="s">
        <v>9484</v>
      </c>
      <c r="AO125" s="238" t="s">
        <v>500</v>
      </c>
    </row>
    <row r="126" spans="1:41" x14ac:dyDescent="0.2">
      <c r="B126" s="239">
        <v>44861.623528425931</v>
      </c>
      <c r="C126" s="238">
        <v>43</v>
      </c>
      <c r="D126" s="238" t="s">
        <v>9209</v>
      </c>
      <c r="E126" s="238">
        <v>3312517641</v>
      </c>
      <c r="F126" s="238" t="s">
        <v>95</v>
      </c>
      <c r="G126" s="238" t="s">
        <v>96</v>
      </c>
      <c r="H126" s="238" t="s">
        <v>9154</v>
      </c>
      <c r="I126" s="238" t="s">
        <v>96</v>
      </c>
      <c r="J126" s="238" t="s">
        <v>96</v>
      </c>
      <c r="K126" s="238" t="s">
        <v>96</v>
      </c>
      <c r="L126" s="238" t="s">
        <v>9131</v>
      </c>
      <c r="M126" s="238" t="s">
        <v>263</v>
      </c>
      <c r="N126" s="238" t="s">
        <v>9123</v>
      </c>
      <c r="O126" s="238" t="s">
        <v>9131</v>
      </c>
      <c r="P126" s="238" t="s">
        <v>263</v>
      </c>
      <c r="Q126" s="238" t="s">
        <v>9131</v>
      </c>
      <c r="R126" s="238">
        <v>3</v>
      </c>
      <c r="S126" s="238" t="s">
        <v>285</v>
      </c>
      <c r="T126" s="238" t="s">
        <v>9319</v>
      </c>
      <c r="U126" s="238" t="s">
        <v>9123</v>
      </c>
      <c r="V126" s="238" t="s">
        <v>10597</v>
      </c>
      <c r="W126" s="238" t="s">
        <v>9136</v>
      </c>
      <c r="X126" s="238" t="s">
        <v>10094</v>
      </c>
      <c r="Y126" s="238" t="s">
        <v>9165</v>
      </c>
      <c r="Z126" s="238" t="s">
        <v>7897</v>
      </c>
      <c r="AA126" s="238" t="s">
        <v>10598</v>
      </c>
      <c r="AB126" s="238" t="s">
        <v>1437</v>
      </c>
      <c r="AC126" s="238" t="s">
        <v>10599</v>
      </c>
      <c r="AD126" s="238" t="s">
        <v>9165</v>
      </c>
      <c r="AE126" s="238" t="s">
        <v>10600</v>
      </c>
      <c r="AF126" s="238">
        <v>4</v>
      </c>
      <c r="AG126" s="238" t="s">
        <v>285</v>
      </c>
      <c r="AH126" s="238">
        <v>1</v>
      </c>
      <c r="AI126" s="238" t="s">
        <v>9123</v>
      </c>
      <c r="AJ126" s="238">
        <v>200</v>
      </c>
      <c r="AK126" s="238" t="s">
        <v>285</v>
      </c>
      <c r="AL126" s="238">
        <v>2</v>
      </c>
      <c r="AM126" s="238" t="s">
        <v>263</v>
      </c>
      <c r="AN126" s="238" t="s">
        <v>263</v>
      </c>
      <c r="AO126" s="238" t="s">
        <v>1072</v>
      </c>
    </row>
    <row r="127" spans="1:41" x14ac:dyDescent="0.2">
      <c r="A127" t="s">
        <v>8420</v>
      </c>
      <c r="B127" s="239">
        <v>44861.625546759256</v>
      </c>
      <c r="C127" s="238">
        <v>29</v>
      </c>
      <c r="D127" s="238" t="s">
        <v>10601</v>
      </c>
      <c r="E127" s="238">
        <v>3322577292</v>
      </c>
      <c r="F127" s="238" t="s">
        <v>95</v>
      </c>
      <c r="G127" s="238" t="s">
        <v>9668</v>
      </c>
      <c r="H127" s="238" t="s">
        <v>9668</v>
      </c>
      <c r="I127" s="238" t="s">
        <v>9668</v>
      </c>
      <c r="J127" s="238" t="s">
        <v>9668</v>
      </c>
      <c r="K127" s="238" t="s">
        <v>9668</v>
      </c>
      <c r="L127" s="238" t="s">
        <v>10602</v>
      </c>
      <c r="M127" s="238" t="s">
        <v>368</v>
      </c>
      <c r="N127" s="238" t="s">
        <v>10603</v>
      </c>
      <c r="O127" s="238" t="s">
        <v>9131</v>
      </c>
      <c r="P127" s="238" t="s">
        <v>10604</v>
      </c>
      <c r="Q127" s="238" t="s">
        <v>10605</v>
      </c>
      <c r="R127" s="238" t="s">
        <v>9131</v>
      </c>
      <c r="S127" s="238" t="s">
        <v>285</v>
      </c>
      <c r="T127" s="238" t="s">
        <v>9123</v>
      </c>
      <c r="U127" s="238" t="s">
        <v>21</v>
      </c>
      <c r="V127" s="238" t="s">
        <v>10606</v>
      </c>
      <c r="W127" s="238" t="s">
        <v>10607</v>
      </c>
      <c r="X127" s="238" t="s">
        <v>10608</v>
      </c>
      <c r="Y127" s="238" t="s">
        <v>10609</v>
      </c>
      <c r="Z127" s="238" t="s">
        <v>10610</v>
      </c>
      <c r="AF127" s="238">
        <v>3</v>
      </c>
      <c r="AG127" s="238" t="s">
        <v>263</v>
      </c>
      <c r="AH127" s="238" t="s">
        <v>10611</v>
      </c>
      <c r="AI127" s="238">
        <v>3</v>
      </c>
      <c r="AJ127" s="238" t="s">
        <v>10612</v>
      </c>
      <c r="AK127" s="238" t="s">
        <v>263</v>
      </c>
      <c r="AL127" s="238">
        <v>2</v>
      </c>
      <c r="AM127" s="238" t="s">
        <v>9144</v>
      </c>
      <c r="AN127" s="238" t="s">
        <v>10613</v>
      </c>
      <c r="AO127" s="238" t="s">
        <v>10614</v>
      </c>
    </row>
    <row r="128" spans="1:41" x14ac:dyDescent="0.2">
      <c r="B128" s="239">
        <v>44861.63483836806</v>
      </c>
      <c r="C128" s="238">
        <v>38</v>
      </c>
      <c r="D128" s="238" t="s">
        <v>10615</v>
      </c>
      <c r="E128" s="238">
        <v>3314371037</v>
      </c>
      <c r="F128" s="238" t="s">
        <v>95</v>
      </c>
      <c r="G128" s="238" t="s">
        <v>96</v>
      </c>
      <c r="H128" s="238" t="s">
        <v>96</v>
      </c>
      <c r="I128" s="238" t="s">
        <v>96</v>
      </c>
      <c r="J128" s="238" t="s">
        <v>96</v>
      </c>
      <c r="K128" s="238" t="s">
        <v>96</v>
      </c>
      <c r="L128" s="238" t="s">
        <v>10616</v>
      </c>
      <c r="M128" s="238" t="s">
        <v>368</v>
      </c>
      <c r="N128" s="238" t="s">
        <v>9123</v>
      </c>
      <c r="O128" s="238" t="s">
        <v>9131</v>
      </c>
      <c r="P128" s="238" t="s">
        <v>9212</v>
      </c>
      <c r="Q128" s="238" t="s">
        <v>9144</v>
      </c>
      <c r="R128" s="238" t="s">
        <v>9144</v>
      </c>
      <c r="S128" s="238" t="s">
        <v>285</v>
      </c>
      <c r="T128" s="238" t="s">
        <v>9133</v>
      </c>
      <c r="U128" s="238" t="s">
        <v>9133</v>
      </c>
      <c r="V128" s="238" t="s">
        <v>10617</v>
      </c>
      <c r="W128" s="238" t="s">
        <v>10618</v>
      </c>
      <c r="X128" s="238" t="s">
        <v>10619</v>
      </c>
      <c r="Y128" s="238" t="s">
        <v>9776</v>
      </c>
      <c r="Z128" s="238" t="s">
        <v>10620</v>
      </c>
      <c r="AA128" s="238" t="s">
        <v>10621</v>
      </c>
      <c r="AB128" s="238" t="s">
        <v>10622</v>
      </c>
      <c r="AC128" s="238" t="s">
        <v>10623</v>
      </c>
      <c r="AD128" s="238" t="s">
        <v>10624</v>
      </c>
      <c r="AE128" s="238" t="s">
        <v>10625</v>
      </c>
      <c r="AF128" s="238">
        <v>5</v>
      </c>
      <c r="AG128" s="238" t="s">
        <v>285</v>
      </c>
      <c r="AH128" s="238" t="s">
        <v>9723</v>
      </c>
      <c r="AI128" s="238" t="s">
        <v>10626</v>
      </c>
      <c r="AJ128" s="238">
        <v>200</v>
      </c>
      <c r="AK128" s="238" t="s">
        <v>285</v>
      </c>
      <c r="AL128" s="238">
        <v>5</v>
      </c>
      <c r="AM128" s="238" t="s">
        <v>9345</v>
      </c>
      <c r="AN128" s="238" t="s">
        <v>9123</v>
      </c>
      <c r="AO128" s="238" t="s">
        <v>1148</v>
      </c>
    </row>
    <row r="129" spans="1:41" x14ac:dyDescent="0.2">
      <c r="B129" s="239">
        <v>44861.639073495375</v>
      </c>
      <c r="C129" s="238">
        <v>41</v>
      </c>
      <c r="D129" s="238" t="s">
        <v>10627</v>
      </c>
      <c r="E129" s="238">
        <v>3323106497</v>
      </c>
      <c r="F129" s="238" t="s">
        <v>107</v>
      </c>
      <c r="G129" s="238" t="s">
        <v>9473</v>
      </c>
      <c r="H129" s="238" t="s">
        <v>1752</v>
      </c>
      <c r="I129" s="238" t="s">
        <v>9154</v>
      </c>
      <c r="J129" s="238" t="s">
        <v>9154</v>
      </c>
      <c r="K129" s="238" t="s">
        <v>1752</v>
      </c>
      <c r="L129" s="238" t="s">
        <v>263</v>
      </c>
      <c r="M129" s="238" t="s">
        <v>263</v>
      </c>
      <c r="N129" s="238" t="s">
        <v>9123</v>
      </c>
      <c r="O129" s="238" t="s">
        <v>9131</v>
      </c>
      <c r="P129" s="238" t="s">
        <v>5205</v>
      </c>
      <c r="Q129" s="238" t="s">
        <v>9144</v>
      </c>
      <c r="R129" s="238" t="s">
        <v>9144</v>
      </c>
      <c r="S129" s="238" t="s">
        <v>263</v>
      </c>
      <c r="T129" s="238" t="s">
        <v>21</v>
      </c>
      <c r="U129" s="238" t="s">
        <v>22</v>
      </c>
      <c r="V129" s="238" t="s">
        <v>10628</v>
      </c>
      <c r="W129" s="238" t="s">
        <v>9204</v>
      </c>
      <c r="X129" s="238" t="s">
        <v>10629</v>
      </c>
      <c r="Y129" s="238" t="s">
        <v>9204</v>
      </c>
      <c r="Z129" s="238" t="s">
        <v>10382</v>
      </c>
      <c r="AA129" s="238" t="s">
        <v>10630</v>
      </c>
      <c r="AB129" s="238" t="s">
        <v>9204</v>
      </c>
      <c r="AC129" s="238" t="s">
        <v>10631</v>
      </c>
      <c r="AD129" s="238" t="s">
        <v>10632</v>
      </c>
      <c r="AE129" s="238" t="s">
        <v>10633</v>
      </c>
      <c r="AF129" s="238">
        <v>3</v>
      </c>
      <c r="AG129" s="238" t="s">
        <v>263</v>
      </c>
      <c r="AH129" s="238">
        <v>3</v>
      </c>
      <c r="AI129" s="238">
        <v>1</v>
      </c>
      <c r="AJ129" s="238" t="s">
        <v>10634</v>
      </c>
      <c r="AK129" s="238" t="s">
        <v>285</v>
      </c>
      <c r="AL129" s="238">
        <v>3</v>
      </c>
      <c r="AM129" s="238" t="s">
        <v>263</v>
      </c>
      <c r="AN129" s="238" t="s">
        <v>263</v>
      </c>
      <c r="AO129" s="238" t="s">
        <v>9280</v>
      </c>
    </row>
    <row r="130" spans="1:41" x14ac:dyDescent="0.2">
      <c r="B130" s="239">
        <v>44861.643427696763</v>
      </c>
      <c r="C130" s="238">
        <v>47</v>
      </c>
      <c r="D130" s="238" t="s">
        <v>1892</v>
      </c>
      <c r="E130" s="238">
        <v>3333592695</v>
      </c>
      <c r="F130" s="238" t="s">
        <v>95</v>
      </c>
      <c r="G130" s="238" t="s">
        <v>96</v>
      </c>
      <c r="H130" s="238" t="s">
        <v>96</v>
      </c>
      <c r="I130" s="238" t="s">
        <v>96</v>
      </c>
      <c r="J130" s="238" t="s">
        <v>96</v>
      </c>
      <c r="K130" s="238" t="s">
        <v>96</v>
      </c>
      <c r="L130" s="238" t="s">
        <v>9401</v>
      </c>
      <c r="M130" s="238" t="s">
        <v>263</v>
      </c>
      <c r="N130" s="238" t="s">
        <v>4522</v>
      </c>
      <c r="O130" s="238" t="s">
        <v>9131</v>
      </c>
      <c r="P130" s="238" t="s">
        <v>263</v>
      </c>
      <c r="Q130" s="238" t="s">
        <v>10635</v>
      </c>
      <c r="R130" s="238">
        <v>2</v>
      </c>
      <c r="S130" s="238" t="s">
        <v>263</v>
      </c>
      <c r="T130" s="238" t="s">
        <v>9123</v>
      </c>
      <c r="U130" s="238" t="s">
        <v>39</v>
      </c>
      <c r="V130" s="238" t="s">
        <v>10636</v>
      </c>
      <c r="W130" s="238" t="s">
        <v>1238</v>
      </c>
      <c r="X130" s="238" t="s">
        <v>10637</v>
      </c>
      <c r="Y130" s="238" t="s">
        <v>1238</v>
      </c>
      <c r="Z130" s="238" t="s">
        <v>10638</v>
      </c>
      <c r="AA130" s="238" t="s">
        <v>10639</v>
      </c>
      <c r="AB130" s="238" t="s">
        <v>1238</v>
      </c>
      <c r="AC130" s="238" t="s">
        <v>10640</v>
      </c>
      <c r="AE130" s="238" t="s">
        <v>9735</v>
      </c>
      <c r="AF130" s="238">
        <v>3</v>
      </c>
      <c r="AG130" s="238" t="s">
        <v>285</v>
      </c>
      <c r="AH130" s="238">
        <v>0</v>
      </c>
      <c r="AI130" s="238">
        <v>1</v>
      </c>
      <c r="AJ130" s="238">
        <v>350</v>
      </c>
      <c r="AK130" s="238" t="s">
        <v>263</v>
      </c>
      <c r="AL130" s="238" t="s">
        <v>9130</v>
      </c>
      <c r="AM130" s="238" t="s">
        <v>10641</v>
      </c>
      <c r="AN130" s="238" t="s">
        <v>9484</v>
      </c>
      <c r="AO130" s="238" t="s">
        <v>10642</v>
      </c>
    </row>
    <row r="131" spans="1:41" x14ac:dyDescent="0.2">
      <c r="A131" t="s">
        <v>8421</v>
      </c>
      <c r="B131" s="239">
        <v>44861.643594189816</v>
      </c>
      <c r="C131" s="238">
        <v>40</v>
      </c>
      <c r="D131" s="238" t="s">
        <v>988</v>
      </c>
      <c r="E131" s="238">
        <v>3311857839</v>
      </c>
      <c r="F131" s="238" t="s">
        <v>107</v>
      </c>
      <c r="G131" s="238" t="s">
        <v>96</v>
      </c>
      <c r="H131" s="238" t="s">
        <v>96</v>
      </c>
      <c r="I131" s="238" t="s">
        <v>96</v>
      </c>
      <c r="J131" s="238" t="s">
        <v>96</v>
      </c>
      <c r="K131" s="238" t="s">
        <v>96</v>
      </c>
      <c r="L131" s="238" t="s">
        <v>263</v>
      </c>
      <c r="M131" s="238" t="s">
        <v>368</v>
      </c>
      <c r="N131" s="238" t="s">
        <v>9123</v>
      </c>
      <c r="O131" s="238" t="s">
        <v>9131</v>
      </c>
      <c r="P131" s="238" t="s">
        <v>263</v>
      </c>
      <c r="Q131" s="238" t="s">
        <v>9131</v>
      </c>
      <c r="R131" s="238">
        <v>0</v>
      </c>
      <c r="S131" s="238" t="s">
        <v>263</v>
      </c>
      <c r="T131" s="238" t="s">
        <v>9123</v>
      </c>
      <c r="U131" s="238" t="s">
        <v>9123</v>
      </c>
      <c r="V131" s="238" t="s">
        <v>10643</v>
      </c>
      <c r="W131" s="238" t="s">
        <v>10643</v>
      </c>
      <c r="X131" s="238" t="s">
        <v>10643</v>
      </c>
      <c r="Y131" s="238" t="s">
        <v>10643</v>
      </c>
      <c r="Z131" s="238" t="s">
        <v>10643</v>
      </c>
      <c r="AF131" s="238">
        <v>4</v>
      </c>
      <c r="AG131" s="238" t="s">
        <v>285</v>
      </c>
      <c r="AH131" s="238">
        <v>1</v>
      </c>
      <c r="AI131" s="238">
        <v>1</v>
      </c>
      <c r="AJ131" s="238" t="s">
        <v>10644</v>
      </c>
      <c r="AK131" s="238" t="s">
        <v>285</v>
      </c>
      <c r="AL131" s="238">
        <v>5</v>
      </c>
    </row>
    <row r="132" spans="1:41" x14ac:dyDescent="0.2">
      <c r="B132" s="239">
        <v>44861.647880011573</v>
      </c>
      <c r="C132" s="238">
        <v>25</v>
      </c>
      <c r="D132" s="238" t="s">
        <v>10645</v>
      </c>
      <c r="E132" s="238">
        <v>3329439595</v>
      </c>
      <c r="F132" s="238" t="s">
        <v>95</v>
      </c>
      <c r="G132" s="238" t="s">
        <v>96</v>
      </c>
      <c r="H132" s="238" t="s">
        <v>151</v>
      </c>
      <c r="I132" s="238" t="s">
        <v>96</v>
      </c>
      <c r="J132" s="238" t="s">
        <v>151</v>
      </c>
      <c r="K132" s="238" t="s">
        <v>151</v>
      </c>
      <c r="L132" s="238" t="s">
        <v>10646</v>
      </c>
      <c r="M132" s="238" t="s">
        <v>263</v>
      </c>
      <c r="N132" s="238" t="s">
        <v>9155</v>
      </c>
      <c r="O132" s="238" t="s">
        <v>9131</v>
      </c>
      <c r="P132" s="238" t="s">
        <v>263</v>
      </c>
      <c r="Q132" s="238" t="s">
        <v>9131</v>
      </c>
      <c r="R132" s="238" t="s">
        <v>9131</v>
      </c>
      <c r="S132" s="238" t="s">
        <v>285</v>
      </c>
      <c r="T132" s="238" t="s">
        <v>10647</v>
      </c>
      <c r="U132" s="238" t="s">
        <v>22</v>
      </c>
      <c r="V132" s="238" t="s">
        <v>10648</v>
      </c>
      <c r="W132" s="238" t="s">
        <v>278</v>
      </c>
      <c r="X132" s="238" t="s">
        <v>10006</v>
      </c>
      <c r="Y132" s="238" t="s">
        <v>10649</v>
      </c>
      <c r="Z132" s="238" t="s">
        <v>10650</v>
      </c>
      <c r="AA132" s="238" t="s">
        <v>10651</v>
      </c>
      <c r="AB132" s="238" t="s">
        <v>10652</v>
      </c>
      <c r="AC132" s="238" t="s">
        <v>10653</v>
      </c>
      <c r="AD132" s="238" t="s">
        <v>10654</v>
      </c>
      <c r="AE132" s="238" t="s">
        <v>10655</v>
      </c>
      <c r="AF132" s="238">
        <v>2</v>
      </c>
      <c r="AG132" s="238" t="s">
        <v>263</v>
      </c>
      <c r="AH132" s="238" t="s">
        <v>10656</v>
      </c>
      <c r="AI132" s="238" t="s">
        <v>10657</v>
      </c>
      <c r="AJ132" s="238">
        <v>200</v>
      </c>
      <c r="AK132" s="238" t="s">
        <v>263</v>
      </c>
      <c r="AL132" s="238" t="s">
        <v>9130</v>
      </c>
      <c r="AM132" s="238" t="s">
        <v>263</v>
      </c>
      <c r="AN132" s="238" t="s">
        <v>263</v>
      </c>
      <c r="AO132" s="238" t="s">
        <v>10658</v>
      </c>
    </row>
    <row r="133" spans="1:41" x14ac:dyDescent="0.2">
      <c r="B133" s="239">
        <v>44861.652267893514</v>
      </c>
      <c r="C133" s="238">
        <v>40</v>
      </c>
      <c r="D133" s="238" t="s">
        <v>10121</v>
      </c>
      <c r="E133" s="238">
        <v>3326066003</v>
      </c>
      <c r="F133" s="238" t="s">
        <v>95</v>
      </c>
      <c r="G133" s="238" t="s">
        <v>9246</v>
      </c>
      <c r="H133" s="238" t="s">
        <v>441</v>
      </c>
      <c r="I133" s="238" t="s">
        <v>96</v>
      </c>
      <c r="J133" s="238" t="s">
        <v>9154</v>
      </c>
      <c r="K133" s="238" t="s">
        <v>441</v>
      </c>
      <c r="L133" s="238" t="s">
        <v>10659</v>
      </c>
      <c r="M133" s="238" t="s">
        <v>263</v>
      </c>
      <c r="N133" s="238" t="s">
        <v>9123</v>
      </c>
      <c r="O133" s="238" t="s">
        <v>9131</v>
      </c>
      <c r="P133" s="238" t="s">
        <v>5205</v>
      </c>
      <c r="Q133" s="238" t="s">
        <v>9144</v>
      </c>
      <c r="R133" s="238">
        <v>3</v>
      </c>
      <c r="S133" s="238" t="s">
        <v>285</v>
      </c>
      <c r="T133" s="238" t="s">
        <v>9300</v>
      </c>
      <c r="U133" s="238" t="s">
        <v>10300</v>
      </c>
      <c r="V133" s="238" t="s">
        <v>10660</v>
      </c>
      <c r="W133" s="238" t="s">
        <v>263</v>
      </c>
      <c r="X133" s="238" t="s">
        <v>10206</v>
      </c>
      <c r="Y133" s="238" t="s">
        <v>263</v>
      </c>
      <c r="Z133" s="238" t="s">
        <v>9136</v>
      </c>
      <c r="AA133" s="238" t="s">
        <v>10661</v>
      </c>
      <c r="AB133" s="238" t="s">
        <v>263</v>
      </c>
      <c r="AC133" s="238" t="s">
        <v>10662</v>
      </c>
      <c r="AD133" s="238" t="s">
        <v>10663</v>
      </c>
      <c r="AE133" s="238" t="s">
        <v>10382</v>
      </c>
      <c r="AF133" s="238">
        <v>3</v>
      </c>
      <c r="AG133" s="238" t="s">
        <v>285</v>
      </c>
      <c r="AH133" s="238" t="s">
        <v>9144</v>
      </c>
      <c r="AI133" s="238" t="s">
        <v>9797</v>
      </c>
      <c r="AJ133" s="238" t="s">
        <v>10664</v>
      </c>
      <c r="AK133" s="238" t="s">
        <v>263</v>
      </c>
      <c r="AL133" s="238" t="s">
        <v>9130</v>
      </c>
      <c r="AM133" s="238" t="s">
        <v>263</v>
      </c>
      <c r="AN133" s="238" t="s">
        <v>5205</v>
      </c>
      <c r="AO133" s="238" t="s">
        <v>10665</v>
      </c>
    </row>
    <row r="134" spans="1:41" x14ac:dyDescent="0.2">
      <c r="B134" s="239">
        <v>44861.667431689813</v>
      </c>
      <c r="C134" s="238">
        <v>52</v>
      </c>
      <c r="D134" s="238" t="s">
        <v>915</v>
      </c>
      <c r="E134" s="238" t="s">
        <v>10666</v>
      </c>
      <c r="F134" s="238" t="s">
        <v>107</v>
      </c>
      <c r="G134" s="238" t="s">
        <v>100</v>
      </c>
      <c r="H134" s="238" t="s">
        <v>100</v>
      </c>
      <c r="I134" s="238" t="s">
        <v>2225</v>
      </c>
      <c r="J134" s="238" t="s">
        <v>2225</v>
      </c>
      <c r="K134" s="238" t="s">
        <v>10667</v>
      </c>
      <c r="L134" s="238" t="s">
        <v>4691</v>
      </c>
      <c r="M134" s="238" t="s">
        <v>263</v>
      </c>
      <c r="N134" s="238" t="s">
        <v>9123</v>
      </c>
      <c r="O134" s="238" t="s">
        <v>9131</v>
      </c>
      <c r="P134" s="238" t="s">
        <v>99</v>
      </c>
      <c r="Q134" s="238" t="s">
        <v>4691</v>
      </c>
      <c r="R134" s="238" t="s">
        <v>10668</v>
      </c>
      <c r="S134" s="238" t="s">
        <v>263</v>
      </c>
      <c r="T134" s="238" t="s">
        <v>10669</v>
      </c>
      <c r="U134" s="238" t="s">
        <v>39</v>
      </c>
      <c r="V134" s="238" t="s">
        <v>10670</v>
      </c>
      <c r="W134" s="238" t="s">
        <v>10671</v>
      </c>
      <c r="X134" s="238" t="s">
        <v>10672</v>
      </c>
      <c r="Y134" s="238" t="s">
        <v>10671</v>
      </c>
      <c r="Z134" s="238" t="s">
        <v>10673</v>
      </c>
      <c r="AA134" s="238" t="s">
        <v>10674</v>
      </c>
      <c r="AB134" s="238" t="s">
        <v>10671</v>
      </c>
      <c r="AC134" s="238" t="s">
        <v>10675</v>
      </c>
      <c r="AD134" s="238" t="s">
        <v>10671</v>
      </c>
      <c r="AE134" s="238" t="s">
        <v>10676</v>
      </c>
      <c r="AF134" s="238">
        <v>4</v>
      </c>
      <c r="AG134" s="238" t="s">
        <v>285</v>
      </c>
      <c r="AH134" s="238">
        <v>0</v>
      </c>
      <c r="AI134" s="238">
        <v>1</v>
      </c>
      <c r="AJ134" s="238">
        <v>150</v>
      </c>
      <c r="AK134" s="238" t="s">
        <v>285</v>
      </c>
      <c r="AL134" s="238">
        <v>1</v>
      </c>
      <c r="AM134" s="238" t="s">
        <v>99</v>
      </c>
      <c r="AN134" s="238" t="s">
        <v>10677</v>
      </c>
      <c r="AO134" s="238" t="s">
        <v>822</v>
      </c>
    </row>
    <row r="135" spans="1:41" x14ac:dyDescent="0.2">
      <c r="B135" s="239">
        <v>44861.697820960646</v>
      </c>
      <c r="C135" s="238">
        <v>46</v>
      </c>
      <c r="D135" s="238" t="s">
        <v>10678</v>
      </c>
      <c r="E135" s="238">
        <v>3319902037</v>
      </c>
      <c r="F135" s="238" t="s">
        <v>95</v>
      </c>
      <c r="G135" s="238" t="s">
        <v>10679</v>
      </c>
      <c r="H135" s="238" t="s">
        <v>10679</v>
      </c>
      <c r="I135" s="238" t="s">
        <v>10585</v>
      </c>
      <c r="J135" s="238" t="s">
        <v>10585</v>
      </c>
      <c r="K135" s="238" t="s">
        <v>10679</v>
      </c>
      <c r="L135" s="238" t="s">
        <v>263</v>
      </c>
      <c r="M135" s="238" t="s">
        <v>368</v>
      </c>
      <c r="N135" s="238" t="s">
        <v>10680</v>
      </c>
      <c r="O135" s="238" t="s">
        <v>10256</v>
      </c>
      <c r="P135" s="238" t="s">
        <v>9680</v>
      </c>
      <c r="Q135" s="238" t="s">
        <v>10681</v>
      </c>
      <c r="R135" s="238">
        <v>2</v>
      </c>
      <c r="S135" s="238" t="s">
        <v>263</v>
      </c>
      <c r="T135" s="238" t="s">
        <v>9300</v>
      </c>
      <c r="U135" s="238" t="s">
        <v>10300</v>
      </c>
      <c r="V135" s="238" t="s">
        <v>10682</v>
      </c>
      <c r="W135" s="238" t="s">
        <v>9136</v>
      </c>
      <c r="X135" s="238" t="s">
        <v>10683</v>
      </c>
      <c r="Y135" s="238" t="s">
        <v>9165</v>
      </c>
      <c r="Z135" s="238" t="s">
        <v>10684</v>
      </c>
      <c r="AA135" s="238" t="s">
        <v>10685</v>
      </c>
      <c r="AB135" s="238" t="s">
        <v>10685</v>
      </c>
      <c r="AC135" s="238" t="s">
        <v>10685</v>
      </c>
      <c r="AD135" s="238" t="s">
        <v>10685</v>
      </c>
      <c r="AE135" s="238" t="s">
        <v>10685</v>
      </c>
      <c r="AF135" s="238">
        <v>4</v>
      </c>
      <c r="AG135" s="238" t="s">
        <v>285</v>
      </c>
      <c r="AH135" s="238" t="s">
        <v>10686</v>
      </c>
      <c r="AI135" s="238" t="s">
        <v>10687</v>
      </c>
      <c r="AJ135" s="238">
        <v>150</v>
      </c>
      <c r="AK135" s="238" t="s">
        <v>263</v>
      </c>
      <c r="AL135" s="238" t="s">
        <v>9130</v>
      </c>
      <c r="AM135" s="238" t="s">
        <v>263</v>
      </c>
      <c r="AN135" s="238" t="s">
        <v>9484</v>
      </c>
      <c r="AO135" s="238" t="s">
        <v>1829</v>
      </c>
    </row>
    <row r="136" spans="1:41" x14ac:dyDescent="0.2">
      <c r="B136" s="239">
        <v>44861.741060034721</v>
      </c>
      <c r="C136" s="238">
        <v>52</v>
      </c>
      <c r="D136" s="238" t="s">
        <v>4268</v>
      </c>
      <c r="E136" s="238">
        <v>3338215016</v>
      </c>
      <c r="F136" s="238" t="s">
        <v>95</v>
      </c>
      <c r="G136" s="238" t="s">
        <v>96</v>
      </c>
      <c r="H136" s="238" t="s">
        <v>533</v>
      </c>
      <c r="I136" s="238" t="s">
        <v>533</v>
      </c>
      <c r="J136" s="238" t="s">
        <v>533</v>
      </c>
      <c r="K136" s="238" t="s">
        <v>96</v>
      </c>
      <c r="L136" s="238" t="s">
        <v>6333</v>
      </c>
      <c r="M136" s="238" t="s">
        <v>368</v>
      </c>
      <c r="N136" s="238" t="s">
        <v>9123</v>
      </c>
      <c r="O136" s="238" t="s">
        <v>9131</v>
      </c>
      <c r="P136" s="238" t="s">
        <v>10688</v>
      </c>
      <c r="Q136" s="238" t="s">
        <v>10689</v>
      </c>
      <c r="R136" s="238" t="s">
        <v>9131</v>
      </c>
      <c r="S136" s="238" t="s">
        <v>263</v>
      </c>
      <c r="T136" s="238" t="s">
        <v>9514</v>
      </c>
      <c r="U136" s="238" t="s">
        <v>10690</v>
      </c>
      <c r="V136" s="238" t="s">
        <v>10691</v>
      </c>
      <c r="W136" s="238" t="s">
        <v>10501</v>
      </c>
      <c r="X136" s="238" t="s">
        <v>10692</v>
      </c>
      <c r="Y136" s="238" t="s">
        <v>10501</v>
      </c>
      <c r="Z136" s="238" t="s">
        <v>10693</v>
      </c>
      <c r="AA136" s="238" t="s">
        <v>10694</v>
      </c>
      <c r="AB136" s="238" t="s">
        <v>10501</v>
      </c>
      <c r="AC136" s="238" t="s">
        <v>10695</v>
      </c>
      <c r="AD136" s="238" t="s">
        <v>10501</v>
      </c>
      <c r="AE136" s="238" t="s">
        <v>10696</v>
      </c>
      <c r="AF136" s="238">
        <v>3</v>
      </c>
      <c r="AG136" s="238" t="s">
        <v>263</v>
      </c>
      <c r="AH136" s="238">
        <v>3</v>
      </c>
      <c r="AI136" s="238">
        <v>0</v>
      </c>
      <c r="AJ136" s="238" t="s">
        <v>10697</v>
      </c>
      <c r="AK136" s="238" t="s">
        <v>263</v>
      </c>
      <c r="AL136" s="238" t="s">
        <v>9130</v>
      </c>
      <c r="AM136" s="238" t="s">
        <v>10698</v>
      </c>
      <c r="AN136" s="238" t="s">
        <v>10698</v>
      </c>
      <c r="AO136" s="238" t="s">
        <v>10699</v>
      </c>
    </row>
    <row r="137" spans="1:41" x14ac:dyDescent="0.2">
      <c r="B137" s="239">
        <v>44861.775783206016</v>
      </c>
      <c r="C137" s="238">
        <v>48</v>
      </c>
      <c r="D137" s="238" t="s">
        <v>1892</v>
      </c>
      <c r="E137" s="238">
        <v>5532320203</v>
      </c>
      <c r="F137" s="238" t="s">
        <v>95</v>
      </c>
      <c r="G137" s="238" t="s">
        <v>10700</v>
      </c>
      <c r="H137" s="238" t="s">
        <v>10701</v>
      </c>
      <c r="I137" s="238" t="s">
        <v>10702</v>
      </c>
      <c r="J137" s="238" t="s">
        <v>10703</v>
      </c>
      <c r="K137" s="238" t="s">
        <v>6748</v>
      </c>
      <c r="L137" s="238" t="s">
        <v>6303</v>
      </c>
      <c r="M137" s="238" t="s">
        <v>263</v>
      </c>
      <c r="N137" s="238" t="s">
        <v>9123</v>
      </c>
      <c r="O137" s="238" t="s">
        <v>9131</v>
      </c>
      <c r="P137" s="238" t="s">
        <v>10704</v>
      </c>
      <c r="Q137" s="238" t="s">
        <v>10705</v>
      </c>
      <c r="R137" s="238" t="s">
        <v>10706</v>
      </c>
      <c r="S137" s="238" t="s">
        <v>285</v>
      </c>
      <c r="T137" s="238" t="s">
        <v>10300</v>
      </c>
      <c r="U137" s="238" t="s">
        <v>9673</v>
      </c>
      <c r="V137" s="238" t="s">
        <v>10707</v>
      </c>
      <c r="W137" s="238" t="s">
        <v>9159</v>
      </c>
      <c r="X137" s="238" t="s">
        <v>10708</v>
      </c>
      <c r="Y137" s="238" t="s">
        <v>10709</v>
      </c>
      <c r="Z137" s="238" t="s">
        <v>1238</v>
      </c>
      <c r="AA137" s="238" t="s">
        <v>10710</v>
      </c>
      <c r="AB137" s="238" t="s">
        <v>10711</v>
      </c>
      <c r="AC137" s="238" t="s">
        <v>10712</v>
      </c>
      <c r="AD137" s="238" t="s">
        <v>10711</v>
      </c>
      <c r="AF137" s="238">
        <v>3</v>
      </c>
      <c r="AG137" s="238" t="s">
        <v>285</v>
      </c>
      <c r="AH137" s="238" t="s">
        <v>10713</v>
      </c>
      <c r="AI137" s="238" t="s">
        <v>10714</v>
      </c>
      <c r="AJ137" s="238" t="s">
        <v>10715</v>
      </c>
      <c r="AK137" s="238" t="s">
        <v>263</v>
      </c>
      <c r="AL137" s="238" t="s">
        <v>9130</v>
      </c>
      <c r="AM137" s="238" t="s">
        <v>263</v>
      </c>
      <c r="AN137" s="238" t="s">
        <v>263</v>
      </c>
      <c r="AO137" s="238" t="s">
        <v>10716</v>
      </c>
    </row>
    <row r="138" spans="1:41" x14ac:dyDescent="0.2">
      <c r="B138" s="239">
        <v>44861.784351388887</v>
      </c>
      <c r="C138" s="238">
        <v>42</v>
      </c>
      <c r="D138" s="238" t="s">
        <v>10717</v>
      </c>
      <c r="E138" s="238">
        <v>3310753014</v>
      </c>
      <c r="F138" s="238" t="s">
        <v>107</v>
      </c>
      <c r="G138" s="238" t="s">
        <v>9154</v>
      </c>
      <c r="H138" s="238" t="s">
        <v>96</v>
      </c>
      <c r="I138" s="238" t="s">
        <v>96</v>
      </c>
      <c r="J138" s="238" t="s">
        <v>96</v>
      </c>
      <c r="K138" s="238" t="s">
        <v>96</v>
      </c>
      <c r="L138" s="238" t="s">
        <v>10718</v>
      </c>
      <c r="M138" s="238" t="s">
        <v>263</v>
      </c>
      <c r="N138" s="238" t="s">
        <v>9155</v>
      </c>
      <c r="O138" s="238" t="s">
        <v>9131</v>
      </c>
      <c r="P138" s="238" t="s">
        <v>263</v>
      </c>
      <c r="Q138" s="238" t="s">
        <v>9131</v>
      </c>
      <c r="R138" s="238">
        <v>0</v>
      </c>
      <c r="T138" s="238" t="s">
        <v>39</v>
      </c>
      <c r="U138" s="238" t="s">
        <v>9319</v>
      </c>
      <c r="V138" s="238" t="s">
        <v>59</v>
      </c>
      <c r="W138" s="238" t="s">
        <v>9136</v>
      </c>
      <c r="X138" s="238" t="s">
        <v>10094</v>
      </c>
      <c r="Y138" s="238" t="s">
        <v>9136</v>
      </c>
      <c r="Z138" s="238" t="s">
        <v>10600</v>
      </c>
      <c r="AA138" s="238" t="s">
        <v>10719</v>
      </c>
      <c r="AB138" s="238" t="s">
        <v>7897</v>
      </c>
      <c r="AC138" s="238" t="s">
        <v>2028</v>
      </c>
      <c r="AD138" s="238" t="s">
        <v>10010</v>
      </c>
      <c r="AE138" s="238" t="s">
        <v>10720</v>
      </c>
      <c r="AF138" s="238">
        <v>3</v>
      </c>
      <c r="AG138" s="238" t="s">
        <v>263</v>
      </c>
      <c r="AH138" s="238">
        <v>2</v>
      </c>
      <c r="AI138" s="238">
        <v>0</v>
      </c>
      <c r="AJ138" s="238">
        <v>100</v>
      </c>
      <c r="AK138" s="238" t="s">
        <v>285</v>
      </c>
      <c r="AL138" s="238">
        <v>3</v>
      </c>
      <c r="AM138" s="238" t="s">
        <v>263</v>
      </c>
      <c r="AN138" s="238" t="s">
        <v>263</v>
      </c>
      <c r="AO138" s="238" t="s">
        <v>954</v>
      </c>
    </row>
    <row r="139" spans="1:41" x14ac:dyDescent="0.2">
      <c r="B139" s="239">
        <v>44861.868084918984</v>
      </c>
      <c r="C139" s="238" t="s">
        <v>10721</v>
      </c>
      <c r="D139" s="238" t="s">
        <v>9209</v>
      </c>
      <c r="E139" s="238">
        <v>3313481323</v>
      </c>
      <c r="F139" s="238" t="s">
        <v>95</v>
      </c>
      <c r="G139" s="238" t="s">
        <v>10722</v>
      </c>
      <c r="H139" s="238" t="s">
        <v>9154</v>
      </c>
      <c r="I139" s="238" t="s">
        <v>9154</v>
      </c>
      <c r="J139" s="238" t="s">
        <v>9154</v>
      </c>
      <c r="K139" s="238" t="s">
        <v>9154</v>
      </c>
      <c r="L139" s="238" t="s">
        <v>10723</v>
      </c>
      <c r="M139" s="238" t="s">
        <v>263</v>
      </c>
      <c r="N139" s="238" t="s">
        <v>9369</v>
      </c>
      <c r="O139" s="238" t="s">
        <v>9370</v>
      </c>
      <c r="P139" s="238" t="s">
        <v>263</v>
      </c>
      <c r="Q139" s="238" t="s">
        <v>10724</v>
      </c>
      <c r="R139" s="238">
        <v>4</v>
      </c>
      <c r="S139" s="238" t="s">
        <v>263</v>
      </c>
      <c r="T139" s="238" t="s">
        <v>9123</v>
      </c>
      <c r="U139" s="238" t="s">
        <v>39</v>
      </c>
      <c r="V139" s="238" t="s">
        <v>10725</v>
      </c>
      <c r="W139" s="238" t="s">
        <v>9204</v>
      </c>
      <c r="X139" s="238" t="s">
        <v>10726</v>
      </c>
      <c r="Y139" s="238" t="s">
        <v>9204</v>
      </c>
      <c r="Z139" s="238" t="s">
        <v>9165</v>
      </c>
      <c r="AA139" s="238" t="s">
        <v>10727</v>
      </c>
      <c r="AB139" s="238" t="s">
        <v>9204</v>
      </c>
      <c r="AC139" s="238" t="s">
        <v>10728</v>
      </c>
      <c r="AD139" s="238" t="s">
        <v>9159</v>
      </c>
      <c r="AE139" s="238" t="s">
        <v>9165</v>
      </c>
      <c r="AF139" s="238">
        <v>3</v>
      </c>
      <c r="AG139" s="238" t="s">
        <v>285</v>
      </c>
      <c r="AH139" s="238" t="s">
        <v>10729</v>
      </c>
      <c r="AI139" s="238">
        <v>1</v>
      </c>
      <c r="AJ139" s="238" t="s">
        <v>10730</v>
      </c>
      <c r="AK139" s="238" t="s">
        <v>263</v>
      </c>
      <c r="AL139" s="238" t="s">
        <v>9130</v>
      </c>
      <c r="AM139" s="238" t="s">
        <v>263</v>
      </c>
      <c r="AN139" s="238" t="s">
        <v>263</v>
      </c>
      <c r="AO139" s="238" t="s">
        <v>10731</v>
      </c>
    </row>
    <row r="140" spans="1:41" x14ac:dyDescent="0.2">
      <c r="A140" t="s">
        <v>8424</v>
      </c>
      <c r="B140" s="239">
        <v>44861.869477418979</v>
      </c>
      <c r="C140" s="238">
        <v>55</v>
      </c>
      <c r="D140" s="238" t="s">
        <v>1892</v>
      </c>
      <c r="E140" s="238">
        <v>3310276131</v>
      </c>
      <c r="F140" s="238" t="s">
        <v>95</v>
      </c>
      <c r="G140" s="238" t="s">
        <v>96</v>
      </c>
      <c r="H140" s="238" t="s">
        <v>96</v>
      </c>
      <c r="I140" s="238" t="s">
        <v>96</v>
      </c>
      <c r="J140" s="238" t="s">
        <v>96</v>
      </c>
      <c r="K140" s="238" t="s">
        <v>96</v>
      </c>
      <c r="L140" s="238" t="s">
        <v>9131</v>
      </c>
      <c r="M140" s="238" t="s">
        <v>368</v>
      </c>
      <c r="N140" s="238" t="s">
        <v>9929</v>
      </c>
      <c r="O140" s="238" t="s">
        <v>9929</v>
      </c>
      <c r="P140" s="238" t="s">
        <v>263</v>
      </c>
      <c r="Q140" s="238" t="s">
        <v>10732</v>
      </c>
      <c r="R140" s="238">
        <v>5</v>
      </c>
      <c r="S140" s="238" t="s">
        <v>263</v>
      </c>
      <c r="T140" s="238" t="s">
        <v>9319</v>
      </c>
      <c r="U140" s="238" t="s">
        <v>9488</v>
      </c>
      <c r="V140" s="238" t="s">
        <v>10733</v>
      </c>
      <c r="W140" s="238" t="s">
        <v>263</v>
      </c>
      <c r="X140" s="238" t="s">
        <v>10734</v>
      </c>
      <c r="Y140" s="238" t="s">
        <v>263</v>
      </c>
      <c r="Z140" s="238" t="s">
        <v>10735</v>
      </c>
      <c r="AA140" s="238" t="s">
        <v>10736</v>
      </c>
      <c r="AB140" s="238" t="s">
        <v>263</v>
      </c>
      <c r="AC140" s="238" t="s">
        <v>10734</v>
      </c>
      <c r="AD140" s="238" t="s">
        <v>263</v>
      </c>
      <c r="AE140" s="238" t="s">
        <v>10734</v>
      </c>
      <c r="AF140" s="238">
        <v>3</v>
      </c>
      <c r="AG140" s="238" t="s">
        <v>285</v>
      </c>
      <c r="AH140" s="238" t="s">
        <v>9212</v>
      </c>
      <c r="AI140" s="238" t="s">
        <v>9212</v>
      </c>
      <c r="AJ140" s="238">
        <v>150</v>
      </c>
      <c r="AK140" s="238" t="s">
        <v>263</v>
      </c>
      <c r="AL140" s="238" t="s">
        <v>9130</v>
      </c>
      <c r="AM140" s="238" t="s">
        <v>263</v>
      </c>
      <c r="AN140" s="238" t="s">
        <v>263</v>
      </c>
      <c r="AO140" s="238" t="s">
        <v>10737</v>
      </c>
    </row>
    <row r="141" spans="1:41" x14ac:dyDescent="0.2">
      <c r="B141" s="239">
        <v>44862.325547048611</v>
      </c>
      <c r="C141" s="238">
        <v>53</v>
      </c>
      <c r="D141" s="238" t="s">
        <v>10738</v>
      </c>
      <c r="E141" s="238" t="s">
        <v>10739</v>
      </c>
      <c r="F141" s="238" t="s">
        <v>95</v>
      </c>
      <c r="G141" s="238" t="s">
        <v>9154</v>
      </c>
      <c r="H141" s="238" t="s">
        <v>9154</v>
      </c>
      <c r="I141" s="238" t="s">
        <v>9154</v>
      </c>
      <c r="J141" s="238" t="s">
        <v>9154</v>
      </c>
      <c r="K141" s="238" t="s">
        <v>9154</v>
      </c>
      <c r="L141" s="238" t="s">
        <v>9131</v>
      </c>
      <c r="M141" s="238" t="s">
        <v>263</v>
      </c>
      <c r="N141" s="238" t="s">
        <v>9815</v>
      </c>
      <c r="O141" s="238" t="s">
        <v>9131</v>
      </c>
      <c r="P141" s="238" t="s">
        <v>263</v>
      </c>
      <c r="Q141" s="238" t="s">
        <v>9131</v>
      </c>
      <c r="R141" s="238">
        <v>2</v>
      </c>
      <c r="S141" s="238" t="s">
        <v>263</v>
      </c>
      <c r="T141" s="238" t="s">
        <v>9320</v>
      </c>
      <c r="U141" s="238" t="s">
        <v>9231</v>
      </c>
      <c r="V141" s="238" t="s">
        <v>10740</v>
      </c>
      <c r="W141" s="238" t="s">
        <v>10741</v>
      </c>
      <c r="X141" s="238" t="s">
        <v>10742</v>
      </c>
      <c r="Y141" s="238" t="s">
        <v>9204</v>
      </c>
      <c r="Z141" s="238" t="s">
        <v>9342</v>
      </c>
      <c r="AA141" s="238" t="s">
        <v>10743</v>
      </c>
      <c r="AB141" s="238" t="s">
        <v>9204</v>
      </c>
      <c r="AC141" s="238" t="s">
        <v>10744</v>
      </c>
      <c r="AD141" s="238" t="s">
        <v>9204</v>
      </c>
      <c r="AE141" s="238" t="s">
        <v>10745</v>
      </c>
      <c r="AF141" s="238">
        <v>3</v>
      </c>
      <c r="AG141" s="238" t="s">
        <v>263</v>
      </c>
      <c r="AH141" s="238">
        <v>4</v>
      </c>
      <c r="AI141" s="238" t="s">
        <v>9123</v>
      </c>
      <c r="AJ141" s="238" t="s">
        <v>9223</v>
      </c>
      <c r="AK141" s="238" t="s">
        <v>285</v>
      </c>
      <c r="AL141" s="238">
        <v>3</v>
      </c>
      <c r="AM141" s="238" t="s">
        <v>263</v>
      </c>
      <c r="AN141" s="238" t="s">
        <v>10746</v>
      </c>
      <c r="AO141" s="238" t="s">
        <v>10747</v>
      </c>
    </row>
    <row r="142" spans="1:41" x14ac:dyDescent="0.2">
      <c r="B142" s="239">
        <v>44862.420918194446</v>
      </c>
      <c r="C142" s="238">
        <v>47</v>
      </c>
      <c r="D142" s="238" t="s">
        <v>10748</v>
      </c>
      <c r="E142" s="238">
        <v>3317073576</v>
      </c>
      <c r="F142" s="238" t="s">
        <v>95</v>
      </c>
      <c r="G142" s="238" t="s">
        <v>605</v>
      </c>
      <c r="H142" s="238" t="s">
        <v>605</v>
      </c>
      <c r="I142" s="238" t="s">
        <v>605</v>
      </c>
      <c r="J142" s="238" t="s">
        <v>1752</v>
      </c>
      <c r="K142" s="238" t="s">
        <v>605</v>
      </c>
      <c r="L142" s="238" t="s">
        <v>10749</v>
      </c>
      <c r="M142" s="238" t="s">
        <v>368</v>
      </c>
      <c r="N142" s="238" t="s">
        <v>9123</v>
      </c>
      <c r="O142" s="238" t="s">
        <v>22</v>
      </c>
      <c r="P142" s="238" t="s">
        <v>10750</v>
      </c>
      <c r="Q142" s="238" t="s">
        <v>10751</v>
      </c>
      <c r="R142" s="238">
        <v>3</v>
      </c>
      <c r="S142" s="238" t="s">
        <v>285</v>
      </c>
      <c r="T142" s="238" t="s">
        <v>21</v>
      </c>
      <c r="U142" s="238" t="s">
        <v>10752</v>
      </c>
      <c r="V142" s="238" t="s">
        <v>10036</v>
      </c>
      <c r="W142" s="238" t="s">
        <v>10753</v>
      </c>
      <c r="X142" s="238" t="s">
        <v>10754</v>
      </c>
      <c r="Y142" s="238" t="s">
        <v>10755</v>
      </c>
      <c r="Z142" s="238" t="s">
        <v>9136</v>
      </c>
      <c r="AA142" s="238" t="s">
        <v>10036</v>
      </c>
      <c r="AB142" s="238" t="s">
        <v>10711</v>
      </c>
      <c r="AC142" s="238" t="s">
        <v>9159</v>
      </c>
      <c r="AF142" s="238">
        <v>2</v>
      </c>
      <c r="AG142" s="238" t="s">
        <v>263</v>
      </c>
      <c r="AH142" s="238">
        <v>2</v>
      </c>
      <c r="AI142" s="238">
        <v>2</v>
      </c>
      <c r="AJ142" s="238">
        <v>100</v>
      </c>
      <c r="AK142" s="238" t="s">
        <v>285</v>
      </c>
      <c r="AL142" s="238">
        <v>3</v>
      </c>
      <c r="AM142" s="238" t="s">
        <v>263</v>
      </c>
      <c r="AN142" s="238" t="s">
        <v>263</v>
      </c>
      <c r="AO142" s="238" t="s">
        <v>10756</v>
      </c>
    </row>
    <row r="143" spans="1:41" x14ac:dyDescent="0.2">
      <c r="B143" s="239">
        <v>44862.576089062495</v>
      </c>
      <c r="C143" s="238">
        <v>49</v>
      </c>
      <c r="D143" s="238" t="s">
        <v>314</v>
      </c>
      <c r="E143" s="238">
        <v>3311410030</v>
      </c>
      <c r="F143" s="238" t="s">
        <v>107</v>
      </c>
      <c r="G143" s="238" t="s">
        <v>96</v>
      </c>
      <c r="H143" s="238" t="s">
        <v>96</v>
      </c>
      <c r="I143" s="238" t="s">
        <v>96</v>
      </c>
      <c r="J143" s="238" t="s">
        <v>96</v>
      </c>
      <c r="K143" s="238" t="s">
        <v>96</v>
      </c>
      <c r="L143" s="238" t="s">
        <v>9131</v>
      </c>
      <c r="M143" s="238" t="s">
        <v>368</v>
      </c>
      <c r="N143" s="238" t="s">
        <v>9815</v>
      </c>
      <c r="O143" s="238" t="s">
        <v>9815</v>
      </c>
      <c r="P143" s="238" t="s">
        <v>263</v>
      </c>
      <c r="Q143" s="238" t="s">
        <v>402</v>
      </c>
      <c r="T143" s="238" t="s">
        <v>21</v>
      </c>
      <c r="U143" s="238" t="s">
        <v>9907</v>
      </c>
      <c r="V143" s="238" t="s">
        <v>9516</v>
      </c>
      <c r="W143" s="238" t="s">
        <v>10757</v>
      </c>
      <c r="X143" s="238" t="s">
        <v>10758</v>
      </c>
      <c r="Y143" s="238" t="s">
        <v>9168</v>
      </c>
      <c r="Z143" s="238" t="s">
        <v>10759</v>
      </c>
      <c r="AF143" s="238">
        <v>4</v>
      </c>
      <c r="AG143" s="238" t="s">
        <v>285</v>
      </c>
      <c r="AH143" s="238">
        <v>1</v>
      </c>
      <c r="AI143" s="238">
        <v>1</v>
      </c>
      <c r="AJ143" s="238" t="s">
        <v>9765</v>
      </c>
      <c r="AK143" s="238" t="s">
        <v>263</v>
      </c>
      <c r="AL143" s="238" t="s">
        <v>9130</v>
      </c>
    </row>
    <row r="144" spans="1:41" x14ac:dyDescent="0.2">
      <c r="B144" s="239">
        <v>44864.025089918985</v>
      </c>
      <c r="C144" s="238">
        <v>46</v>
      </c>
      <c r="D144" s="238" t="s">
        <v>1892</v>
      </c>
      <c r="E144" s="238">
        <v>3313630342</v>
      </c>
      <c r="F144" s="238" t="s">
        <v>95</v>
      </c>
      <c r="G144" s="238" t="s">
        <v>96</v>
      </c>
      <c r="H144" s="238" t="s">
        <v>4023</v>
      </c>
      <c r="I144" s="238" t="s">
        <v>96</v>
      </c>
      <c r="J144" s="238" t="s">
        <v>96</v>
      </c>
      <c r="K144" s="238" t="s">
        <v>4023</v>
      </c>
      <c r="L144" s="238" t="s">
        <v>6970</v>
      </c>
      <c r="M144" s="238" t="s">
        <v>368</v>
      </c>
      <c r="N144" s="238" t="s">
        <v>9123</v>
      </c>
      <c r="O144" s="238" t="s">
        <v>9131</v>
      </c>
      <c r="P144" s="238" t="s">
        <v>9123</v>
      </c>
      <c r="Q144" s="238" t="s">
        <v>9131</v>
      </c>
      <c r="R144" s="238" t="s">
        <v>9144</v>
      </c>
      <c r="S144" s="238" t="s">
        <v>285</v>
      </c>
      <c r="T144" s="238" t="s">
        <v>9123</v>
      </c>
      <c r="U144" s="238" t="s">
        <v>9123</v>
      </c>
      <c r="V144" s="238" t="s">
        <v>9516</v>
      </c>
      <c r="W144" s="238" t="s">
        <v>4203</v>
      </c>
      <c r="X144" s="238" t="s">
        <v>10760</v>
      </c>
      <c r="Y144" s="238" t="s">
        <v>10761</v>
      </c>
      <c r="Z144" s="238" t="s">
        <v>6404</v>
      </c>
      <c r="AA144" s="238" t="s">
        <v>9516</v>
      </c>
      <c r="AB144" s="238" t="s">
        <v>4203</v>
      </c>
      <c r="AC144" s="238" t="s">
        <v>10762</v>
      </c>
      <c r="AD144" s="238" t="s">
        <v>9642</v>
      </c>
      <c r="AE144" s="238" t="s">
        <v>10763</v>
      </c>
      <c r="AF144" s="238">
        <v>4</v>
      </c>
      <c r="AG144" s="238" t="s">
        <v>285</v>
      </c>
      <c r="AH144" s="238">
        <v>2</v>
      </c>
      <c r="AI144" s="238">
        <v>2</v>
      </c>
      <c r="AJ144" s="238">
        <v>250</v>
      </c>
      <c r="AK144" s="238" t="s">
        <v>285</v>
      </c>
      <c r="AL144" s="238">
        <v>3</v>
      </c>
      <c r="AM144" s="238" t="s">
        <v>263</v>
      </c>
      <c r="AN144" s="238" t="s">
        <v>263</v>
      </c>
      <c r="AO144" s="238" t="s">
        <v>9131</v>
      </c>
    </row>
    <row r="145" spans="2:41" x14ac:dyDescent="0.2">
      <c r="B145" s="239">
        <v>44866.64101525463</v>
      </c>
      <c r="C145" s="238" t="s">
        <v>9666</v>
      </c>
      <c r="D145" s="238" t="s">
        <v>4309</v>
      </c>
      <c r="E145" s="238">
        <v>3338158521</v>
      </c>
      <c r="F145" s="238" t="s">
        <v>95</v>
      </c>
      <c r="G145" s="238" t="s">
        <v>96</v>
      </c>
      <c r="H145" s="238" t="s">
        <v>96</v>
      </c>
      <c r="I145" s="238" t="s">
        <v>96</v>
      </c>
      <c r="J145" s="238" t="s">
        <v>96</v>
      </c>
      <c r="K145" s="238" t="s">
        <v>96</v>
      </c>
      <c r="L145" s="238" t="s">
        <v>10764</v>
      </c>
      <c r="M145" s="238" t="s">
        <v>368</v>
      </c>
      <c r="N145" s="238" t="s">
        <v>9155</v>
      </c>
      <c r="O145" s="238" t="s">
        <v>9131</v>
      </c>
      <c r="P145" s="238" t="s">
        <v>263</v>
      </c>
      <c r="Q145" s="238" t="s">
        <v>10765</v>
      </c>
      <c r="R145" s="238">
        <v>1</v>
      </c>
      <c r="S145" s="238" t="s">
        <v>263</v>
      </c>
      <c r="T145" s="238" t="s">
        <v>9133</v>
      </c>
      <c r="U145" s="238" t="s">
        <v>9133</v>
      </c>
      <c r="V145" s="238" t="s">
        <v>10766</v>
      </c>
      <c r="W145" s="238" t="s">
        <v>10767</v>
      </c>
      <c r="X145" s="238" t="s">
        <v>10768</v>
      </c>
      <c r="Y145" s="238" t="s">
        <v>10769</v>
      </c>
      <c r="Z145" s="238" t="s">
        <v>10770</v>
      </c>
      <c r="AA145" s="238" t="s">
        <v>10771</v>
      </c>
      <c r="AB145" s="238" t="s">
        <v>10767</v>
      </c>
      <c r="AC145" s="238" t="s">
        <v>10772</v>
      </c>
      <c r="AD145" s="238" t="s">
        <v>9175</v>
      </c>
      <c r="AE145" s="238" t="s">
        <v>10773</v>
      </c>
      <c r="AF145" s="238">
        <v>4</v>
      </c>
      <c r="AG145" s="238" t="s">
        <v>285</v>
      </c>
      <c r="AH145" s="238">
        <v>3</v>
      </c>
      <c r="AI145" s="238" t="s">
        <v>9175</v>
      </c>
      <c r="AJ145" s="238" t="s">
        <v>10774</v>
      </c>
      <c r="AK145" s="238" t="s">
        <v>263</v>
      </c>
      <c r="AL145" s="238" t="s">
        <v>9130</v>
      </c>
      <c r="AM145" s="238" t="s">
        <v>483</v>
      </c>
      <c r="AN145" s="238" t="s">
        <v>10775</v>
      </c>
      <c r="AO145" s="238" t="s">
        <v>10776</v>
      </c>
    </row>
    <row r="146" spans="2:41" x14ac:dyDescent="0.2">
      <c r="B146" s="239">
        <v>44866.685210219905</v>
      </c>
      <c r="C146" s="238">
        <v>31</v>
      </c>
      <c r="D146" s="238" t="s">
        <v>10777</v>
      </c>
      <c r="E146" s="238">
        <v>3312686227</v>
      </c>
      <c r="F146" s="238" t="s">
        <v>107</v>
      </c>
      <c r="G146" s="238" t="s">
        <v>96</v>
      </c>
      <c r="H146" s="238" t="s">
        <v>96</v>
      </c>
      <c r="I146" s="238" t="s">
        <v>96</v>
      </c>
      <c r="J146" s="238" t="s">
        <v>96</v>
      </c>
      <c r="K146" s="238" t="s">
        <v>96</v>
      </c>
      <c r="L146" s="238" t="s">
        <v>10778</v>
      </c>
      <c r="M146" s="238" t="s">
        <v>263</v>
      </c>
      <c r="N146" s="238" t="s">
        <v>10779</v>
      </c>
      <c r="O146" s="238" t="s">
        <v>9131</v>
      </c>
      <c r="P146" s="238" t="s">
        <v>263</v>
      </c>
      <c r="Q146" s="238" t="s">
        <v>10780</v>
      </c>
      <c r="T146" s="238" t="s">
        <v>9320</v>
      </c>
      <c r="U146" s="238" t="s">
        <v>10574</v>
      </c>
      <c r="V146" s="238" t="s">
        <v>10781</v>
      </c>
      <c r="W146" s="238" t="s">
        <v>10782</v>
      </c>
      <c r="X146" s="238" t="s">
        <v>10783</v>
      </c>
      <c r="Y146" s="238" t="s">
        <v>9204</v>
      </c>
      <c r="Z146" s="238" t="s">
        <v>10784</v>
      </c>
      <c r="AA146" s="238" t="s">
        <v>10785</v>
      </c>
      <c r="AB146" s="238" t="s">
        <v>10786</v>
      </c>
      <c r="AC146" s="238" t="s">
        <v>10787</v>
      </c>
      <c r="AD146" s="238" t="s">
        <v>1965</v>
      </c>
      <c r="AE146" s="238" t="s">
        <v>10788</v>
      </c>
      <c r="AF146" s="238">
        <v>4</v>
      </c>
      <c r="AG146" s="238" t="s">
        <v>285</v>
      </c>
      <c r="AH146" s="238">
        <v>1</v>
      </c>
      <c r="AI146" s="238">
        <v>1</v>
      </c>
      <c r="AJ146" s="238" t="s">
        <v>10789</v>
      </c>
      <c r="AK146" s="238" t="s">
        <v>285</v>
      </c>
      <c r="AL146" s="238">
        <v>5</v>
      </c>
      <c r="AO146" s="238" t="s">
        <v>10790</v>
      </c>
    </row>
    <row r="147" spans="2:41" x14ac:dyDescent="0.2">
      <c r="B147" s="239">
        <v>44866.715090995371</v>
      </c>
      <c r="C147" s="238">
        <v>34</v>
      </c>
      <c r="D147" s="238" t="s">
        <v>4596</v>
      </c>
      <c r="E147" s="238">
        <v>3327989423</v>
      </c>
      <c r="F147" s="238" t="s">
        <v>107</v>
      </c>
      <c r="G147" s="238" t="s">
        <v>96</v>
      </c>
      <c r="H147" s="238" t="s">
        <v>96</v>
      </c>
      <c r="I147" s="238" t="s">
        <v>151</v>
      </c>
      <c r="J147" s="238" t="s">
        <v>151</v>
      </c>
      <c r="K147" s="238" t="s">
        <v>96</v>
      </c>
      <c r="L147" s="238" t="s">
        <v>9123</v>
      </c>
      <c r="M147" s="238" t="s">
        <v>368</v>
      </c>
      <c r="N147" s="238" t="s">
        <v>9794</v>
      </c>
      <c r="O147" s="238" t="s">
        <v>9131</v>
      </c>
      <c r="P147" s="238" t="s">
        <v>9175</v>
      </c>
      <c r="Q147" s="238" t="s">
        <v>9175</v>
      </c>
      <c r="T147" s="238" t="s">
        <v>9123</v>
      </c>
      <c r="U147" s="238" t="s">
        <v>9123</v>
      </c>
      <c r="V147" s="238" t="s">
        <v>10791</v>
      </c>
      <c r="W147" s="238" t="s">
        <v>10792</v>
      </c>
      <c r="X147" s="238" t="s">
        <v>10793</v>
      </c>
      <c r="Y147" s="238" t="s">
        <v>9175</v>
      </c>
      <c r="Z147" s="238" t="s">
        <v>10794</v>
      </c>
      <c r="AA147" s="238" t="s">
        <v>10795</v>
      </c>
      <c r="AB147" s="238" t="s">
        <v>10796</v>
      </c>
      <c r="AC147" s="238" t="s">
        <v>10797</v>
      </c>
      <c r="AD147" s="238" t="s">
        <v>9261</v>
      </c>
      <c r="AE147" s="238" t="s">
        <v>10798</v>
      </c>
      <c r="AF147" s="238">
        <v>4</v>
      </c>
      <c r="AG147" s="238" t="s">
        <v>263</v>
      </c>
      <c r="AH147" s="238">
        <v>4</v>
      </c>
      <c r="AI147" s="238">
        <v>1</v>
      </c>
      <c r="AJ147" s="238" t="s">
        <v>10799</v>
      </c>
      <c r="AK147" s="238" t="s">
        <v>285</v>
      </c>
      <c r="AL147" s="238">
        <v>4</v>
      </c>
      <c r="AM147" s="238" t="s">
        <v>483</v>
      </c>
      <c r="AN147" s="238" t="s">
        <v>483</v>
      </c>
      <c r="AO147" s="238" t="s">
        <v>920</v>
      </c>
    </row>
    <row r="148" spans="2:41" x14ac:dyDescent="0.2">
      <c r="B148" s="239">
        <v>44866.779316655091</v>
      </c>
      <c r="C148" s="238">
        <v>52</v>
      </c>
      <c r="D148" s="238" t="s">
        <v>1855</v>
      </c>
      <c r="E148" s="238">
        <v>3319797099</v>
      </c>
      <c r="F148" s="238" t="s">
        <v>95</v>
      </c>
      <c r="G148" s="238" t="s">
        <v>96</v>
      </c>
      <c r="H148" s="238" t="s">
        <v>96</v>
      </c>
      <c r="I148" s="238" t="s">
        <v>96</v>
      </c>
      <c r="J148" s="238" t="s">
        <v>96</v>
      </c>
      <c r="K148" s="238" t="s">
        <v>96</v>
      </c>
      <c r="L148" s="238" t="s">
        <v>10800</v>
      </c>
      <c r="M148" s="238" t="s">
        <v>368</v>
      </c>
      <c r="N148" s="238" t="s">
        <v>10016</v>
      </c>
      <c r="O148" s="238" t="s">
        <v>9131</v>
      </c>
      <c r="P148" s="238" t="s">
        <v>263</v>
      </c>
      <c r="Q148" s="238" t="s">
        <v>10801</v>
      </c>
      <c r="R148" s="238">
        <v>3</v>
      </c>
      <c r="S148" s="238" t="s">
        <v>263</v>
      </c>
      <c r="T148" s="238" t="s">
        <v>9133</v>
      </c>
      <c r="U148" s="238" t="s">
        <v>9123</v>
      </c>
      <c r="V148" s="238" t="s">
        <v>10802</v>
      </c>
      <c r="W148" s="238" t="s">
        <v>9204</v>
      </c>
      <c r="X148" s="238" t="s">
        <v>10803</v>
      </c>
      <c r="Y148" s="238" t="s">
        <v>9204</v>
      </c>
      <c r="Z148" s="238" t="s">
        <v>10804</v>
      </c>
      <c r="AF148" s="238">
        <v>3</v>
      </c>
      <c r="AG148" s="238" t="s">
        <v>263</v>
      </c>
      <c r="AH148" s="238" t="s">
        <v>9723</v>
      </c>
      <c r="AI148" s="238" t="s">
        <v>10805</v>
      </c>
      <c r="AJ148" s="238">
        <v>300</v>
      </c>
      <c r="AK148" s="238" t="s">
        <v>285</v>
      </c>
      <c r="AL148" s="238">
        <v>5</v>
      </c>
      <c r="AM148" s="238" t="s">
        <v>263</v>
      </c>
      <c r="AN148" s="238" t="s">
        <v>263</v>
      </c>
      <c r="AO148" s="238" t="s">
        <v>10806</v>
      </c>
    </row>
    <row r="149" spans="2:41" x14ac:dyDescent="0.2">
      <c r="B149" s="239">
        <v>44866.811432708331</v>
      </c>
      <c r="C149" s="238" t="s">
        <v>1543</v>
      </c>
      <c r="D149" s="238" t="s">
        <v>10807</v>
      </c>
      <c r="E149" s="238">
        <v>8995058893</v>
      </c>
      <c r="F149" s="238" t="s">
        <v>95</v>
      </c>
      <c r="G149" s="238" t="s">
        <v>1752</v>
      </c>
      <c r="H149" s="238" t="s">
        <v>9400</v>
      </c>
      <c r="I149" s="238" t="s">
        <v>9400</v>
      </c>
      <c r="J149" s="238" t="s">
        <v>9400</v>
      </c>
      <c r="K149" s="238" t="s">
        <v>9400</v>
      </c>
      <c r="L149" s="238" t="s">
        <v>10808</v>
      </c>
      <c r="M149" s="238" t="s">
        <v>263</v>
      </c>
      <c r="N149" s="238" t="s">
        <v>10809</v>
      </c>
      <c r="O149" s="238" t="s">
        <v>9131</v>
      </c>
      <c r="P149" s="238" t="s">
        <v>10810</v>
      </c>
      <c r="Q149" s="238" t="s">
        <v>9131</v>
      </c>
      <c r="R149" s="238" t="s">
        <v>10309</v>
      </c>
      <c r="S149" s="238" t="s">
        <v>285</v>
      </c>
      <c r="T149" s="238" t="s">
        <v>9231</v>
      </c>
      <c r="U149" s="238" t="s">
        <v>9754</v>
      </c>
      <c r="V149" s="238" t="s">
        <v>10811</v>
      </c>
      <c r="W149" s="238" t="s">
        <v>10812</v>
      </c>
      <c r="X149" s="238" t="s">
        <v>10813</v>
      </c>
      <c r="Y149" s="238" t="s">
        <v>10814</v>
      </c>
      <c r="Z149" s="238" t="s">
        <v>10815</v>
      </c>
      <c r="AA149" s="238" t="s">
        <v>10816</v>
      </c>
      <c r="AB149" s="238" t="s">
        <v>10817</v>
      </c>
      <c r="AC149" s="238" t="s">
        <v>10817</v>
      </c>
      <c r="AD149" s="238" t="s">
        <v>10036</v>
      </c>
      <c r="AE149" s="238" t="s">
        <v>10818</v>
      </c>
      <c r="AF149" s="238">
        <v>2</v>
      </c>
      <c r="AG149" s="238" t="s">
        <v>263</v>
      </c>
      <c r="AH149" s="238" t="s">
        <v>10819</v>
      </c>
      <c r="AI149" s="238" t="s">
        <v>10820</v>
      </c>
      <c r="AJ149" s="238">
        <v>130</v>
      </c>
      <c r="AK149" s="238" t="s">
        <v>263</v>
      </c>
      <c r="AL149" s="238">
        <v>1</v>
      </c>
      <c r="AM149" s="238" t="s">
        <v>263</v>
      </c>
      <c r="AN149" s="238" t="s">
        <v>10821</v>
      </c>
      <c r="AO149" s="238" t="s">
        <v>10822</v>
      </c>
    </row>
    <row r="150" spans="2:41" x14ac:dyDescent="0.2">
      <c r="B150" s="239">
        <v>44866.825064236109</v>
      </c>
      <c r="C150" s="238" t="s">
        <v>10823</v>
      </c>
      <c r="D150" s="238" t="s">
        <v>10824</v>
      </c>
      <c r="E150" s="238">
        <v>8995058893</v>
      </c>
      <c r="F150" s="238" t="s">
        <v>95</v>
      </c>
      <c r="G150" s="238" t="s">
        <v>10825</v>
      </c>
      <c r="H150" s="238" t="s">
        <v>10825</v>
      </c>
      <c r="I150" s="238" t="s">
        <v>10825</v>
      </c>
      <c r="J150" s="238" t="s">
        <v>10825</v>
      </c>
      <c r="K150" s="238" t="s">
        <v>10825</v>
      </c>
      <c r="L150" s="238" t="s">
        <v>10826</v>
      </c>
      <c r="M150" s="238" t="s">
        <v>263</v>
      </c>
      <c r="N150" s="238" t="s">
        <v>10827</v>
      </c>
      <c r="O150" s="238" t="s">
        <v>4522</v>
      </c>
      <c r="P150" s="238" t="s">
        <v>10828</v>
      </c>
      <c r="Q150" s="238" t="s">
        <v>10829</v>
      </c>
      <c r="R150" s="238" t="s">
        <v>10309</v>
      </c>
      <c r="S150" s="238" t="s">
        <v>285</v>
      </c>
      <c r="T150" s="238" t="s">
        <v>21</v>
      </c>
      <c r="U150" s="238" t="s">
        <v>21</v>
      </c>
      <c r="V150" s="238" t="s">
        <v>10816</v>
      </c>
      <c r="W150" s="238" t="s">
        <v>10812</v>
      </c>
      <c r="X150" s="238" t="s">
        <v>10812</v>
      </c>
      <c r="Y150" s="238" t="s">
        <v>10830</v>
      </c>
      <c r="Z150" s="238" t="s">
        <v>10831</v>
      </c>
      <c r="AA150" s="238" t="s">
        <v>10832</v>
      </c>
      <c r="AB150" s="238" t="s">
        <v>10833</v>
      </c>
      <c r="AC150" s="238" t="s">
        <v>10834</v>
      </c>
      <c r="AD150" s="238" t="s">
        <v>10835</v>
      </c>
      <c r="AE150" s="238" t="s">
        <v>10836</v>
      </c>
      <c r="AF150" s="238">
        <v>3</v>
      </c>
      <c r="AG150" s="238" t="s">
        <v>263</v>
      </c>
      <c r="AH150" s="238" t="s">
        <v>10837</v>
      </c>
      <c r="AI150" s="238" t="s">
        <v>10838</v>
      </c>
      <c r="AJ150" s="238" t="s">
        <v>10839</v>
      </c>
      <c r="AK150" s="238" t="s">
        <v>263</v>
      </c>
      <c r="AL150" s="238">
        <v>1</v>
      </c>
      <c r="AM150" s="238" t="s">
        <v>10840</v>
      </c>
      <c r="AN150" s="238" t="s">
        <v>10840</v>
      </c>
      <c r="AO150" s="238" t="s">
        <v>10841</v>
      </c>
    </row>
    <row r="151" spans="2:41" x14ac:dyDescent="0.2">
      <c r="B151" s="239">
        <v>44866.89405959491</v>
      </c>
      <c r="C151" s="238">
        <v>63</v>
      </c>
      <c r="D151" s="238" t="s">
        <v>10842</v>
      </c>
      <c r="E151" s="238">
        <v>3315714171</v>
      </c>
      <c r="F151" s="238" t="s">
        <v>107</v>
      </c>
      <c r="G151" s="238" t="s">
        <v>1338</v>
      </c>
      <c r="H151" s="238" t="s">
        <v>1338</v>
      </c>
      <c r="I151" s="238" t="s">
        <v>1338</v>
      </c>
      <c r="J151" s="238" t="s">
        <v>1338</v>
      </c>
      <c r="K151" s="238" t="s">
        <v>1338</v>
      </c>
      <c r="L151" s="238" t="s">
        <v>9131</v>
      </c>
      <c r="M151" s="238" t="s">
        <v>368</v>
      </c>
      <c r="N151" s="238" t="s">
        <v>10256</v>
      </c>
      <c r="O151" s="238" t="s">
        <v>10256</v>
      </c>
      <c r="P151" s="238" t="s">
        <v>263</v>
      </c>
      <c r="Q151" s="238" t="s">
        <v>10843</v>
      </c>
      <c r="R151" s="238" t="s">
        <v>1870</v>
      </c>
      <c r="T151" s="238" t="s">
        <v>10844</v>
      </c>
      <c r="U151" s="238" t="s">
        <v>9121</v>
      </c>
      <c r="V151" s="238" t="s">
        <v>10845</v>
      </c>
      <c r="W151" s="238" t="s">
        <v>9776</v>
      </c>
      <c r="X151" s="238" t="s">
        <v>10846</v>
      </c>
      <c r="Y151" s="238" t="s">
        <v>9204</v>
      </c>
      <c r="Z151" s="238" t="s">
        <v>10847</v>
      </c>
      <c r="AA151" s="238" t="s">
        <v>10848</v>
      </c>
      <c r="AB151" s="238" t="s">
        <v>10848</v>
      </c>
      <c r="AC151" s="238" t="s">
        <v>10848</v>
      </c>
      <c r="AE151" s="238" t="s">
        <v>10848</v>
      </c>
      <c r="AF151" s="238">
        <v>4</v>
      </c>
      <c r="AG151" s="238" t="s">
        <v>285</v>
      </c>
      <c r="AH151" s="238" t="s">
        <v>9191</v>
      </c>
      <c r="AI151" s="238">
        <v>1</v>
      </c>
      <c r="AJ151" s="238" t="s">
        <v>10849</v>
      </c>
      <c r="AK151" s="238" t="s">
        <v>263</v>
      </c>
      <c r="AL151" s="238" t="s">
        <v>9130</v>
      </c>
      <c r="AM151" s="238" t="s">
        <v>263</v>
      </c>
      <c r="AN151" s="238" t="s">
        <v>263</v>
      </c>
      <c r="AO151" s="238" t="s">
        <v>10850</v>
      </c>
    </row>
    <row r="152" spans="2:41" x14ac:dyDescent="0.2">
      <c r="B152" s="239">
        <v>44998.798581770832</v>
      </c>
      <c r="C152" s="238">
        <v>23</v>
      </c>
      <c r="D152" s="238" t="s">
        <v>6268</v>
      </c>
      <c r="E152" s="238">
        <v>3326229155</v>
      </c>
      <c r="F152" s="238" t="s">
        <v>95</v>
      </c>
      <c r="G152" s="238" t="s">
        <v>9473</v>
      </c>
      <c r="H152" s="238" t="s">
        <v>9473</v>
      </c>
      <c r="I152" s="238" t="s">
        <v>9473</v>
      </c>
      <c r="J152" s="238" t="s">
        <v>9473</v>
      </c>
      <c r="K152" s="238" t="s">
        <v>9473</v>
      </c>
      <c r="L152" s="238" t="s">
        <v>9144</v>
      </c>
      <c r="M152" s="238" t="s">
        <v>263</v>
      </c>
      <c r="N152" s="238" t="s">
        <v>9123</v>
      </c>
      <c r="O152" s="238" t="s">
        <v>9131</v>
      </c>
      <c r="P152" s="238" t="s">
        <v>5205</v>
      </c>
      <c r="Q152" s="238" t="s">
        <v>9144</v>
      </c>
      <c r="R152" s="238" t="s">
        <v>9144</v>
      </c>
      <c r="S152" s="238" t="s">
        <v>285</v>
      </c>
      <c r="T152" s="238" t="s">
        <v>21</v>
      </c>
      <c r="U152" s="238" t="s">
        <v>21</v>
      </c>
      <c r="V152" s="238" t="s">
        <v>10851</v>
      </c>
      <c r="W152" s="238" t="s">
        <v>9159</v>
      </c>
      <c r="X152" s="238" t="s">
        <v>10852</v>
      </c>
      <c r="Y152" s="238" t="s">
        <v>9204</v>
      </c>
      <c r="Z152" s="238" t="s">
        <v>10853</v>
      </c>
      <c r="AA152" s="238" t="s">
        <v>10854</v>
      </c>
      <c r="AB152" s="238" t="s">
        <v>9159</v>
      </c>
      <c r="AC152" s="238" t="s">
        <v>10855</v>
      </c>
      <c r="AD152" s="238" t="s">
        <v>9159</v>
      </c>
      <c r="AE152" s="238" t="s">
        <v>10856</v>
      </c>
      <c r="AF152" s="238">
        <v>3</v>
      </c>
      <c r="AG152" s="238" t="s">
        <v>285</v>
      </c>
      <c r="AH152" s="238">
        <v>2</v>
      </c>
      <c r="AI152" s="238">
        <v>1</v>
      </c>
      <c r="AJ152" s="238">
        <v>300</v>
      </c>
      <c r="AK152" s="238" t="s">
        <v>285</v>
      </c>
      <c r="AL152" s="238">
        <v>6</v>
      </c>
      <c r="AM152" s="238" t="s">
        <v>5205</v>
      </c>
      <c r="AN152" s="238" t="s">
        <v>9750</v>
      </c>
      <c r="AO152" s="238" t="s">
        <v>10857</v>
      </c>
    </row>
    <row r="153" spans="2:41" x14ac:dyDescent="0.2">
      <c r="B153" s="239">
        <v>44998.801754363427</v>
      </c>
      <c r="C153" s="238" t="s">
        <v>10858</v>
      </c>
      <c r="D153" s="238" t="s">
        <v>10859</v>
      </c>
      <c r="E153" s="238">
        <v>3331495823</v>
      </c>
      <c r="F153" s="238" t="s">
        <v>95</v>
      </c>
      <c r="G153" s="238" t="s">
        <v>9154</v>
      </c>
      <c r="H153" s="238" t="s">
        <v>9154</v>
      </c>
      <c r="I153" s="238" t="s">
        <v>9154</v>
      </c>
      <c r="J153" s="238" t="s">
        <v>9154</v>
      </c>
      <c r="K153" s="238" t="s">
        <v>9154</v>
      </c>
      <c r="L153" s="238" t="s">
        <v>9144</v>
      </c>
      <c r="M153" s="238" t="s">
        <v>263</v>
      </c>
      <c r="N153" s="238" t="s">
        <v>9155</v>
      </c>
      <c r="O153" s="238" t="s">
        <v>9131</v>
      </c>
      <c r="P153" s="238" t="s">
        <v>10860</v>
      </c>
      <c r="Q153" s="238" t="s">
        <v>402</v>
      </c>
      <c r="R153" s="238" t="s">
        <v>9144</v>
      </c>
      <c r="S153" s="238" t="s">
        <v>285</v>
      </c>
      <c r="T153" s="238" t="s">
        <v>10300</v>
      </c>
      <c r="U153" s="238" t="s">
        <v>9714</v>
      </c>
      <c r="V153" s="238" t="s">
        <v>10861</v>
      </c>
      <c r="W153" s="238" t="s">
        <v>10862</v>
      </c>
      <c r="X153" s="238" t="s">
        <v>10863</v>
      </c>
      <c r="Y153" s="238" t="s">
        <v>10864</v>
      </c>
      <c r="Z153" s="238" t="s">
        <v>10865</v>
      </c>
      <c r="AA153" s="238" t="s">
        <v>10866</v>
      </c>
      <c r="AB153" s="238" t="s">
        <v>10867</v>
      </c>
      <c r="AC153" s="238" t="s">
        <v>10868</v>
      </c>
      <c r="AD153" s="238" t="s">
        <v>10869</v>
      </c>
      <c r="AE153" s="238" t="s">
        <v>10870</v>
      </c>
      <c r="AF153" s="238">
        <v>2</v>
      </c>
      <c r="AG153" s="238" t="s">
        <v>263</v>
      </c>
      <c r="AH153" s="238" t="s">
        <v>9212</v>
      </c>
      <c r="AI153" s="238" t="s">
        <v>1349</v>
      </c>
      <c r="AJ153" s="238" t="s">
        <v>10316</v>
      </c>
      <c r="AK153" s="238" t="s">
        <v>285</v>
      </c>
      <c r="AL153" s="238">
        <v>3</v>
      </c>
      <c r="AM153" s="238" t="s">
        <v>263</v>
      </c>
      <c r="AN153" s="238" t="s">
        <v>263</v>
      </c>
      <c r="AO153" s="238" t="s">
        <v>10871</v>
      </c>
    </row>
    <row r="154" spans="2:41" x14ac:dyDescent="0.2">
      <c r="B154" s="239">
        <v>44998.88915116898</v>
      </c>
      <c r="C154" s="238">
        <v>24</v>
      </c>
      <c r="D154" s="238" t="s">
        <v>9264</v>
      </c>
      <c r="E154" s="238">
        <v>3334680484</v>
      </c>
      <c r="F154" s="238" t="s">
        <v>95</v>
      </c>
      <c r="G154" s="238" t="s">
        <v>9154</v>
      </c>
      <c r="H154" s="238" t="s">
        <v>9154</v>
      </c>
      <c r="I154" s="238" t="s">
        <v>9154</v>
      </c>
      <c r="J154" s="238" t="s">
        <v>9154</v>
      </c>
      <c r="K154" s="238" t="s">
        <v>10872</v>
      </c>
      <c r="L154" s="238" t="s">
        <v>10110</v>
      </c>
      <c r="M154" s="238" t="s">
        <v>368</v>
      </c>
      <c r="N154" s="238" t="s">
        <v>9123</v>
      </c>
      <c r="O154" s="238" t="s">
        <v>9131</v>
      </c>
      <c r="P154" s="238" t="s">
        <v>263</v>
      </c>
      <c r="Q154" s="238" t="s">
        <v>10873</v>
      </c>
      <c r="R154" s="238">
        <v>0</v>
      </c>
      <c r="S154" s="238" t="s">
        <v>285</v>
      </c>
      <c r="T154" s="238" t="s">
        <v>9133</v>
      </c>
      <c r="U154" s="238" t="s">
        <v>9133</v>
      </c>
      <c r="V154" s="238" t="s">
        <v>10874</v>
      </c>
      <c r="W154" s="238" t="s">
        <v>10875</v>
      </c>
      <c r="X154" s="238" t="s">
        <v>10876</v>
      </c>
      <c r="Y154" s="238" t="s">
        <v>10877</v>
      </c>
      <c r="Z154" s="238" t="s">
        <v>10878</v>
      </c>
      <c r="AF154" s="238">
        <v>4</v>
      </c>
      <c r="AG154" s="238" t="s">
        <v>263</v>
      </c>
      <c r="AH154" s="238">
        <v>1</v>
      </c>
      <c r="AI154" s="238">
        <v>0</v>
      </c>
      <c r="AJ154" s="238">
        <v>0</v>
      </c>
      <c r="AK154" s="238" t="s">
        <v>263</v>
      </c>
      <c r="AL154" s="238">
        <v>1</v>
      </c>
      <c r="AM154" s="238" t="s">
        <v>5205</v>
      </c>
      <c r="AN154" s="238" t="s">
        <v>5205</v>
      </c>
      <c r="AO154" s="238" t="s">
        <v>10170</v>
      </c>
    </row>
    <row r="155" spans="2:41" x14ac:dyDescent="0.2">
      <c r="B155" s="239">
        <v>44999.425690902775</v>
      </c>
      <c r="C155" s="238">
        <v>43</v>
      </c>
      <c r="D155" s="238" t="s">
        <v>10879</v>
      </c>
      <c r="E155" s="238">
        <v>3312645038</v>
      </c>
      <c r="F155" s="238" t="s">
        <v>95</v>
      </c>
      <c r="G155" s="238" t="s">
        <v>96</v>
      </c>
      <c r="H155" s="238" t="s">
        <v>96</v>
      </c>
      <c r="I155" s="238" t="s">
        <v>96</v>
      </c>
      <c r="J155" s="238" t="s">
        <v>96</v>
      </c>
      <c r="K155" s="238" t="s">
        <v>96</v>
      </c>
      <c r="L155" s="238" t="s">
        <v>10880</v>
      </c>
      <c r="M155" s="238" t="s">
        <v>368</v>
      </c>
      <c r="N155" s="238" t="s">
        <v>9369</v>
      </c>
      <c r="O155" s="238" t="s">
        <v>9131</v>
      </c>
      <c r="P155" s="238" t="s">
        <v>483</v>
      </c>
      <c r="Q155" s="238" t="s">
        <v>10881</v>
      </c>
      <c r="R155" s="238" t="s">
        <v>1103</v>
      </c>
      <c r="S155" s="238" t="s">
        <v>285</v>
      </c>
      <c r="T155" s="238" t="s">
        <v>9461</v>
      </c>
      <c r="U155" s="238" t="s">
        <v>9461</v>
      </c>
      <c r="V155" s="238" t="s">
        <v>10882</v>
      </c>
      <c r="W155" s="238" t="s">
        <v>9175</v>
      </c>
      <c r="X155" s="238" t="s">
        <v>10883</v>
      </c>
      <c r="Y155" s="238" t="s">
        <v>9175</v>
      </c>
      <c r="Z155" s="238" t="s">
        <v>6425</v>
      </c>
      <c r="AA155" s="238" t="s">
        <v>10884</v>
      </c>
      <c r="AB155" s="238" t="s">
        <v>9175</v>
      </c>
      <c r="AC155" s="238" t="s">
        <v>10885</v>
      </c>
      <c r="AD155" s="238" t="s">
        <v>9175</v>
      </c>
      <c r="AE155" s="238" t="s">
        <v>10886</v>
      </c>
      <c r="AF155" s="238">
        <v>3</v>
      </c>
      <c r="AG155" s="238" t="s">
        <v>263</v>
      </c>
      <c r="AH155" s="238" t="s">
        <v>10887</v>
      </c>
      <c r="AI155" s="238" t="s">
        <v>10887</v>
      </c>
      <c r="AJ155" s="238">
        <v>300</v>
      </c>
      <c r="AK155" s="238" t="s">
        <v>263</v>
      </c>
      <c r="AL155" s="238" t="s">
        <v>9130</v>
      </c>
      <c r="AM155" s="238" t="s">
        <v>483</v>
      </c>
      <c r="AN155" s="238" t="s">
        <v>483</v>
      </c>
      <c r="AO155" s="238" t="s">
        <v>9768</v>
      </c>
    </row>
    <row r="156" spans="2:41" x14ac:dyDescent="0.2">
      <c r="B156" s="239">
        <v>45006.445354479161</v>
      </c>
      <c r="C156" s="238">
        <v>19</v>
      </c>
      <c r="D156" s="238" t="s">
        <v>9264</v>
      </c>
      <c r="E156" s="238">
        <v>3317500777</v>
      </c>
      <c r="F156" s="238" t="s">
        <v>95</v>
      </c>
      <c r="G156" s="238" t="s">
        <v>441</v>
      </c>
      <c r="H156" s="238" t="s">
        <v>1752</v>
      </c>
      <c r="I156" s="238" t="s">
        <v>1752</v>
      </c>
      <c r="J156" s="238" t="s">
        <v>1752</v>
      </c>
      <c r="K156" s="238" t="s">
        <v>1752</v>
      </c>
      <c r="L156" s="238" t="s">
        <v>10888</v>
      </c>
      <c r="M156" s="238" t="s">
        <v>368</v>
      </c>
      <c r="N156" s="238" t="s">
        <v>9123</v>
      </c>
      <c r="O156" s="238" t="s">
        <v>9131</v>
      </c>
      <c r="P156" s="238" t="s">
        <v>263</v>
      </c>
      <c r="Q156" s="238" t="s">
        <v>10889</v>
      </c>
      <c r="R156" s="238" t="s">
        <v>9131</v>
      </c>
      <c r="S156" s="238" t="s">
        <v>285</v>
      </c>
      <c r="T156" s="238" t="s">
        <v>9487</v>
      </c>
      <c r="U156" s="238" t="s">
        <v>10397</v>
      </c>
      <c r="V156" s="238" t="s">
        <v>10890</v>
      </c>
      <c r="W156" s="238" t="s">
        <v>10891</v>
      </c>
      <c r="X156" s="238" t="s">
        <v>10892</v>
      </c>
      <c r="Y156" s="238" t="s">
        <v>10893</v>
      </c>
      <c r="Z156" s="238" t="s">
        <v>9159</v>
      </c>
      <c r="AA156" s="238" t="s">
        <v>10894</v>
      </c>
      <c r="AB156" s="238" t="s">
        <v>10895</v>
      </c>
      <c r="AC156" s="238" t="s">
        <v>10896</v>
      </c>
      <c r="AD156" s="238" t="s">
        <v>10897</v>
      </c>
      <c r="AE156" s="238" t="s">
        <v>9123</v>
      </c>
      <c r="AF156" s="238">
        <v>4</v>
      </c>
      <c r="AG156" s="238" t="s">
        <v>263</v>
      </c>
      <c r="AH156" s="238" t="s">
        <v>9212</v>
      </c>
      <c r="AI156" s="238" t="s">
        <v>10237</v>
      </c>
      <c r="AJ156" s="238">
        <v>150</v>
      </c>
      <c r="AK156" s="238" t="s">
        <v>263</v>
      </c>
      <c r="AL156" s="238" t="s">
        <v>9130</v>
      </c>
      <c r="AM156" s="238" t="s">
        <v>263</v>
      </c>
      <c r="AN156" s="238" t="s">
        <v>263</v>
      </c>
      <c r="AO156" s="238" t="s">
        <v>10898</v>
      </c>
    </row>
    <row r="157" spans="2:41" x14ac:dyDescent="0.2">
      <c r="B157" s="239">
        <v>45006.457534386573</v>
      </c>
      <c r="C157" s="238">
        <v>20</v>
      </c>
      <c r="D157" s="238" t="s">
        <v>10899</v>
      </c>
      <c r="E157" s="238">
        <v>3314404293</v>
      </c>
      <c r="F157" s="238" t="s">
        <v>107</v>
      </c>
      <c r="G157" s="238" t="s">
        <v>9154</v>
      </c>
      <c r="H157" s="238" t="s">
        <v>9154</v>
      </c>
      <c r="I157" s="238" t="s">
        <v>9154</v>
      </c>
      <c r="J157" s="238" t="s">
        <v>9154</v>
      </c>
      <c r="K157" s="238" t="s">
        <v>9154</v>
      </c>
      <c r="L157" s="238" t="s">
        <v>9144</v>
      </c>
      <c r="M157" s="238" t="s">
        <v>263</v>
      </c>
      <c r="N157" s="238" t="s">
        <v>9123</v>
      </c>
      <c r="O157" s="238" t="s">
        <v>9131</v>
      </c>
      <c r="P157" s="238" t="s">
        <v>10900</v>
      </c>
      <c r="Q157" s="238" t="s">
        <v>9144</v>
      </c>
      <c r="T157" s="238" t="s">
        <v>9403</v>
      </c>
      <c r="U157" s="238" t="s">
        <v>9133</v>
      </c>
      <c r="V157" s="238" t="s">
        <v>10901</v>
      </c>
      <c r="W157" s="238" t="s">
        <v>10902</v>
      </c>
      <c r="X157" s="238" t="s">
        <v>10903</v>
      </c>
      <c r="Y157" s="238" t="s">
        <v>9204</v>
      </c>
      <c r="Z157" s="238" t="s">
        <v>10904</v>
      </c>
      <c r="AA157" s="238" t="s">
        <v>10905</v>
      </c>
      <c r="AB157" s="238" t="s">
        <v>9159</v>
      </c>
      <c r="AC157" s="238" t="s">
        <v>10906</v>
      </c>
      <c r="AD157" s="238" t="s">
        <v>9159</v>
      </c>
      <c r="AE157" s="238" t="s">
        <v>10907</v>
      </c>
      <c r="AF157" s="238">
        <v>4</v>
      </c>
      <c r="AG157" s="238" t="s">
        <v>263</v>
      </c>
      <c r="AH157" s="238" t="s">
        <v>10908</v>
      </c>
      <c r="AI157" s="238" t="s">
        <v>10909</v>
      </c>
      <c r="AJ157" s="238" t="s">
        <v>10910</v>
      </c>
      <c r="AK157" s="238" t="s">
        <v>263</v>
      </c>
      <c r="AL157" s="238" t="s">
        <v>9130</v>
      </c>
      <c r="AM157" s="238" t="s">
        <v>263</v>
      </c>
      <c r="AN157" s="238" t="s">
        <v>10911</v>
      </c>
    </row>
    <row r="158" spans="2:41" x14ac:dyDescent="0.2">
      <c r="B158" s="239">
        <v>45006.470638773149</v>
      </c>
      <c r="C158" s="238">
        <v>19</v>
      </c>
      <c r="D158" s="238" t="s">
        <v>9264</v>
      </c>
      <c r="E158" s="238">
        <v>3335022935</v>
      </c>
      <c r="F158" s="238" t="s">
        <v>107</v>
      </c>
      <c r="G158" s="238" t="s">
        <v>9154</v>
      </c>
      <c r="H158" s="238" t="s">
        <v>96</v>
      </c>
      <c r="I158" s="238" t="s">
        <v>9154</v>
      </c>
      <c r="J158" s="238" t="s">
        <v>10912</v>
      </c>
      <c r="K158" s="238" t="s">
        <v>9154</v>
      </c>
      <c r="L158" s="238" t="s">
        <v>10283</v>
      </c>
      <c r="M158" s="238" t="s">
        <v>368</v>
      </c>
      <c r="N158" s="238" t="s">
        <v>9155</v>
      </c>
      <c r="O158" s="238" t="s">
        <v>9131</v>
      </c>
      <c r="P158" s="238" t="s">
        <v>2010</v>
      </c>
      <c r="Q158" s="238" t="s">
        <v>10913</v>
      </c>
      <c r="R158" s="238" t="s">
        <v>9131</v>
      </c>
      <c r="T158" s="238" t="s">
        <v>9269</v>
      </c>
      <c r="U158" s="238" t="s">
        <v>10914</v>
      </c>
      <c r="V158" s="238" t="s">
        <v>10915</v>
      </c>
      <c r="W158" s="238" t="s">
        <v>10916</v>
      </c>
      <c r="X158" s="238" t="s">
        <v>10917</v>
      </c>
      <c r="Y158" s="238" t="s">
        <v>9159</v>
      </c>
      <c r="Z158" s="238" t="s">
        <v>10918</v>
      </c>
      <c r="AA158" s="238" t="s">
        <v>10919</v>
      </c>
      <c r="AB158" s="238" t="s">
        <v>10920</v>
      </c>
      <c r="AC158" s="238" t="s">
        <v>10921</v>
      </c>
      <c r="AD158" s="238" t="s">
        <v>9159</v>
      </c>
      <c r="AE158" s="238" t="s">
        <v>10922</v>
      </c>
      <c r="AF158" s="238">
        <v>4</v>
      </c>
      <c r="AG158" s="238" t="s">
        <v>263</v>
      </c>
      <c r="AH158" s="242" t="s">
        <v>10923</v>
      </c>
      <c r="AI158" s="242" t="s">
        <v>9481</v>
      </c>
      <c r="AJ158" s="238">
        <v>150</v>
      </c>
      <c r="AK158" s="238" t="s">
        <v>285</v>
      </c>
      <c r="AL158" s="238">
        <v>3</v>
      </c>
      <c r="AM158" s="238" t="s">
        <v>263</v>
      </c>
      <c r="AN158" s="238" t="s">
        <v>263</v>
      </c>
      <c r="AO158" s="238" t="s">
        <v>9144</v>
      </c>
    </row>
    <row r="159" spans="2:41" x14ac:dyDescent="0.2">
      <c r="B159" s="239">
        <v>45006.495038819441</v>
      </c>
      <c r="C159" s="238">
        <v>19</v>
      </c>
      <c r="D159" s="238" t="s">
        <v>9264</v>
      </c>
      <c r="E159" s="238">
        <v>3353318436</v>
      </c>
      <c r="F159" s="238" t="s">
        <v>95</v>
      </c>
      <c r="G159" s="238" t="s">
        <v>96</v>
      </c>
      <c r="H159" s="238" t="s">
        <v>5708</v>
      </c>
      <c r="I159" s="238" t="s">
        <v>5708</v>
      </c>
      <c r="J159" s="238" t="s">
        <v>5708</v>
      </c>
      <c r="K159" s="238" t="s">
        <v>5708</v>
      </c>
      <c r="L159" s="238" t="s">
        <v>10924</v>
      </c>
      <c r="M159" s="238" t="s">
        <v>368</v>
      </c>
      <c r="N159" s="238" t="s">
        <v>9123</v>
      </c>
      <c r="O159" s="238" t="s">
        <v>9131</v>
      </c>
      <c r="P159" s="238" t="s">
        <v>263</v>
      </c>
      <c r="Q159" s="238" t="s">
        <v>1870</v>
      </c>
      <c r="R159" s="238">
        <v>0</v>
      </c>
      <c r="S159" s="238" t="s">
        <v>285</v>
      </c>
      <c r="T159" s="238" t="s">
        <v>9133</v>
      </c>
      <c r="U159" s="238" t="s">
        <v>10925</v>
      </c>
      <c r="V159" s="238" t="s">
        <v>10926</v>
      </c>
      <c r="W159" s="238" t="s">
        <v>10624</v>
      </c>
      <c r="X159" s="238" t="s">
        <v>10927</v>
      </c>
      <c r="Y159" s="238" t="s">
        <v>10928</v>
      </c>
      <c r="Z159" s="238" t="s">
        <v>10929</v>
      </c>
      <c r="AA159" s="238" t="s">
        <v>10904</v>
      </c>
      <c r="AB159" s="238" t="s">
        <v>10930</v>
      </c>
      <c r="AC159" s="238" t="s">
        <v>10931</v>
      </c>
      <c r="AD159" s="238" t="s">
        <v>10932</v>
      </c>
      <c r="AE159" s="238" t="s">
        <v>10933</v>
      </c>
      <c r="AF159" s="238">
        <v>5</v>
      </c>
      <c r="AG159" s="238" t="s">
        <v>263</v>
      </c>
      <c r="AH159" s="238">
        <v>3</v>
      </c>
      <c r="AI159" s="238">
        <v>1</v>
      </c>
      <c r="AJ159" s="238" t="s">
        <v>10934</v>
      </c>
      <c r="AK159" s="238" t="s">
        <v>263</v>
      </c>
      <c r="AL159" s="238" t="s">
        <v>9130</v>
      </c>
      <c r="AM159" s="238" t="s">
        <v>263</v>
      </c>
      <c r="AN159" s="238" t="s">
        <v>9456</v>
      </c>
      <c r="AO159" s="238" t="s">
        <v>10935</v>
      </c>
    </row>
    <row r="160" spans="2:41" x14ac:dyDescent="0.2">
      <c r="B160" s="239">
        <v>45006.55193386574</v>
      </c>
      <c r="C160" s="238">
        <v>18</v>
      </c>
      <c r="D160" s="238" t="s">
        <v>97</v>
      </c>
      <c r="E160" s="238">
        <v>7531166952</v>
      </c>
      <c r="F160" s="238" t="s">
        <v>95</v>
      </c>
      <c r="G160" s="238" t="s">
        <v>1419</v>
      </c>
      <c r="H160" s="238" t="s">
        <v>10936</v>
      </c>
      <c r="I160" s="238" t="s">
        <v>10937</v>
      </c>
      <c r="J160" s="238" t="s">
        <v>10938</v>
      </c>
      <c r="K160" s="238" t="s">
        <v>10939</v>
      </c>
      <c r="L160" s="238" t="s">
        <v>6303</v>
      </c>
      <c r="M160" s="238" t="s">
        <v>263</v>
      </c>
      <c r="N160" s="238" t="s">
        <v>9123</v>
      </c>
      <c r="O160" s="238" t="s">
        <v>9131</v>
      </c>
      <c r="P160" s="238" t="s">
        <v>263</v>
      </c>
      <c r="Q160" s="238" t="s">
        <v>10940</v>
      </c>
      <c r="R160" s="238" t="s">
        <v>9144</v>
      </c>
      <c r="S160" s="238" t="s">
        <v>285</v>
      </c>
      <c r="T160" s="238" t="s">
        <v>9320</v>
      </c>
      <c r="U160" s="238" t="s">
        <v>9741</v>
      </c>
      <c r="V160" s="238" t="s">
        <v>10941</v>
      </c>
      <c r="W160" s="238" t="s">
        <v>10942</v>
      </c>
      <c r="X160" s="238" t="s">
        <v>10943</v>
      </c>
      <c r="Y160" s="238" t="s">
        <v>10944</v>
      </c>
      <c r="Z160" s="238" t="s">
        <v>10945</v>
      </c>
      <c r="AA160" s="238" t="s">
        <v>10946</v>
      </c>
      <c r="AB160" s="238" t="s">
        <v>10947</v>
      </c>
      <c r="AC160" s="238" t="s">
        <v>10948</v>
      </c>
      <c r="AD160" s="238" t="s">
        <v>10944</v>
      </c>
      <c r="AE160" s="238" t="s">
        <v>10949</v>
      </c>
      <c r="AF160" s="238">
        <v>5</v>
      </c>
      <c r="AG160" s="238" t="s">
        <v>285</v>
      </c>
      <c r="AH160" s="238">
        <v>1</v>
      </c>
      <c r="AI160" s="238">
        <v>0</v>
      </c>
      <c r="AJ160" s="238" t="s">
        <v>10950</v>
      </c>
      <c r="AK160" s="238" t="s">
        <v>285</v>
      </c>
      <c r="AL160" s="238">
        <v>5</v>
      </c>
      <c r="AM160" s="238" t="s">
        <v>10951</v>
      </c>
      <c r="AN160" s="238" t="s">
        <v>5205</v>
      </c>
      <c r="AO160" s="238" t="s">
        <v>9144</v>
      </c>
    </row>
    <row r="161" spans="2:41" x14ac:dyDescent="0.2">
      <c r="B161" s="239">
        <v>45006.649992361112</v>
      </c>
      <c r="C161" s="238">
        <v>19</v>
      </c>
      <c r="D161" s="238" t="s">
        <v>9264</v>
      </c>
      <c r="E161" s="238">
        <v>3328237798</v>
      </c>
      <c r="F161" s="238" t="s">
        <v>95</v>
      </c>
      <c r="G161" s="238" t="s">
        <v>96</v>
      </c>
      <c r="H161" s="238" t="s">
        <v>96</v>
      </c>
      <c r="I161" s="238" t="s">
        <v>9154</v>
      </c>
      <c r="J161" s="238" t="s">
        <v>96</v>
      </c>
      <c r="K161" s="238" t="s">
        <v>10952</v>
      </c>
      <c r="L161" s="238" t="s">
        <v>9144</v>
      </c>
      <c r="M161" s="238" t="s">
        <v>263</v>
      </c>
      <c r="N161" s="238" t="s">
        <v>9123</v>
      </c>
      <c r="O161" s="238" t="s">
        <v>9131</v>
      </c>
      <c r="P161" s="238" t="s">
        <v>10953</v>
      </c>
      <c r="Q161" s="238" t="s">
        <v>9123</v>
      </c>
      <c r="R161" s="238">
        <v>0</v>
      </c>
      <c r="S161" s="238" t="s">
        <v>285</v>
      </c>
      <c r="T161" s="238" t="s">
        <v>10141</v>
      </c>
      <c r="U161" s="238" t="s">
        <v>9155</v>
      </c>
      <c r="V161" s="238" t="s">
        <v>10954</v>
      </c>
      <c r="W161" s="238" t="s">
        <v>9204</v>
      </c>
      <c r="X161" s="238" t="s">
        <v>10955</v>
      </c>
      <c r="Y161" s="238" t="s">
        <v>9212</v>
      </c>
      <c r="Z161" s="238" t="s">
        <v>10956</v>
      </c>
      <c r="AA161" s="238" t="s">
        <v>10957</v>
      </c>
      <c r="AB161" s="238" t="s">
        <v>9212</v>
      </c>
      <c r="AC161" s="238" t="s">
        <v>10958</v>
      </c>
      <c r="AD161" s="238" t="s">
        <v>9212</v>
      </c>
      <c r="AE161" s="238" t="s">
        <v>10956</v>
      </c>
      <c r="AF161" s="238">
        <v>3</v>
      </c>
      <c r="AG161" s="238" t="s">
        <v>263</v>
      </c>
      <c r="AH161" s="238">
        <v>6</v>
      </c>
      <c r="AI161" s="238">
        <v>2</v>
      </c>
      <c r="AJ161" s="238" t="s">
        <v>10959</v>
      </c>
      <c r="AK161" s="238" t="s">
        <v>285</v>
      </c>
      <c r="AL161" s="238">
        <v>2</v>
      </c>
      <c r="AM161" s="238" t="s">
        <v>263</v>
      </c>
      <c r="AN161" s="238" t="s">
        <v>263</v>
      </c>
      <c r="AO161" s="238" t="s">
        <v>10960</v>
      </c>
    </row>
    <row r="162" spans="2:41" x14ac:dyDescent="0.2">
      <c r="B162" s="239">
        <v>45006.70567012731</v>
      </c>
      <c r="C162" s="238">
        <v>33</v>
      </c>
      <c r="D162" s="238" t="s">
        <v>10961</v>
      </c>
      <c r="E162" s="238">
        <v>8711392796</v>
      </c>
      <c r="F162" s="238" t="s">
        <v>95</v>
      </c>
      <c r="G162" s="238" t="s">
        <v>9154</v>
      </c>
      <c r="H162" s="238" t="s">
        <v>9154</v>
      </c>
      <c r="I162" s="238" t="s">
        <v>9154</v>
      </c>
      <c r="J162" s="238" t="s">
        <v>9154</v>
      </c>
      <c r="K162" s="238" t="s">
        <v>9154</v>
      </c>
      <c r="L162" s="238" t="s">
        <v>6303</v>
      </c>
      <c r="M162" s="238" t="s">
        <v>263</v>
      </c>
      <c r="N162" s="238" t="s">
        <v>9123</v>
      </c>
      <c r="O162" s="238" t="s">
        <v>9131</v>
      </c>
      <c r="P162" s="238" t="s">
        <v>10962</v>
      </c>
      <c r="Q162" s="238" t="s">
        <v>10963</v>
      </c>
      <c r="R162" s="238">
        <v>0</v>
      </c>
      <c r="S162" s="238" t="s">
        <v>285</v>
      </c>
      <c r="T162" s="238" t="s">
        <v>9319</v>
      </c>
      <c r="U162" s="238" t="s">
        <v>10964</v>
      </c>
      <c r="V162" s="238" t="s">
        <v>10965</v>
      </c>
      <c r="W162" s="238">
        <v>0</v>
      </c>
      <c r="X162" s="238" t="s">
        <v>10966</v>
      </c>
      <c r="Y162" s="238" t="s">
        <v>9342</v>
      </c>
      <c r="Z162" s="238" t="s">
        <v>4731</v>
      </c>
      <c r="AA162" s="238" t="s">
        <v>10967</v>
      </c>
      <c r="AB162" s="238">
        <v>0</v>
      </c>
      <c r="AC162" s="238" t="s">
        <v>10968</v>
      </c>
      <c r="AD162" s="238" t="s">
        <v>10969</v>
      </c>
      <c r="AE162" s="238" t="s">
        <v>10970</v>
      </c>
      <c r="AF162" s="238">
        <v>4</v>
      </c>
      <c r="AG162" s="238" t="s">
        <v>285</v>
      </c>
      <c r="AH162" s="238">
        <v>0</v>
      </c>
      <c r="AI162" s="238">
        <v>0</v>
      </c>
      <c r="AJ162" s="238">
        <v>0</v>
      </c>
      <c r="AK162" s="238" t="s">
        <v>263</v>
      </c>
      <c r="AL162" s="238" t="s">
        <v>9130</v>
      </c>
      <c r="AM162" s="238" t="s">
        <v>5205</v>
      </c>
      <c r="AN162" s="238" t="s">
        <v>10971</v>
      </c>
      <c r="AO162" s="238" t="s">
        <v>10972</v>
      </c>
    </row>
    <row r="163" spans="2:41" x14ac:dyDescent="0.2">
      <c r="B163" s="239">
        <v>45006.739867974538</v>
      </c>
      <c r="C163" s="238">
        <v>19</v>
      </c>
      <c r="D163" s="238" t="s">
        <v>97</v>
      </c>
      <c r="E163" s="238">
        <v>3323788745</v>
      </c>
      <c r="F163" s="238" t="s">
        <v>95</v>
      </c>
      <c r="G163" s="238" t="s">
        <v>96</v>
      </c>
      <c r="H163" s="238" t="s">
        <v>96</v>
      </c>
      <c r="I163" s="238" t="s">
        <v>96</v>
      </c>
      <c r="J163" s="238" t="s">
        <v>96</v>
      </c>
      <c r="K163" s="238" t="s">
        <v>10973</v>
      </c>
      <c r="L163" s="238" t="s">
        <v>9131</v>
      </c>
      <c r="M163" s="238" t="s">
        <v>368</v>
      </c>
      <c r="N163" s="238" t="s">
        <v>9155</v>
      </c>
      <c r="O163" s="238" t="s">
        <v>9131</v>
      </c>
      <c r="P163" s="238" t="s">
        <v>9212</v>
      </c>
      <c r="Q163" s="238" t="s">
        <v>9131</v>
      </c>
      <c r="R163" s="238" t="s">
        <v>9131</v>
      </c>
      <c r="S163" s="238" t="s">
        <v>285</v>
      </c>
      <c r="T163" s="238" t="s">
        <v>9695</v>
      </c>
      <c r="U163" s="238" t="s">
        <v>9269</v>
      </c>
      <c r="V163" s="238" t="s">
        <v>10974</v>
      </c>
      <c r="W163" s="238" t="s">
        <v>1869</v>
      </c>
      <c r="X163" s="238" t="s">
        <v>10975</v>
      </c>
      <c r="Y163" s="238" t="s">
        <v>10976</v>
      </c>
      <c r="Z163" s="238" t="s">
        <v>10977</v>
      </c>
      <c r="AA163" s="238" t="s">
        <v>10978</v>
      </c>
      <c r="AB163" s="238" t="s">
        <v>10180</v>
      </c>
      <c r="AC163" s="238" t="s">
        <v>10979</v>
      </c>
      <c r="AD163" s="238" t="s">
        <v>10980</v>
      </c>
      <c r="AE163" s="238" t="s">
        <v>10981</v>
      </c>
      <c r="AF163" s="238">
        <v>5</v>
      </c>
      <c r="AG163" s="238" t="s">
        <v>263</v>
      </c>
      <c r="AH163" s="238" t="s">
        <v>10982</v>
      </c>
      <c r="AI163" s="238" t="s">
        <v>10983</v>
      </c>
      <c r="AJ163" s="238" t="s">
        <v>10984</v>
      </c>
      <c r="AK163" s="238" t="s">
        <v>263</v>
      </c>
      <c r="AL163" s="238" t="s">
        <v>9130</v>
      </c>
      <c r="AM163" s="238" t="s">
        <v>9525</v>
      </c>
      <c r="AN163" s="238" t="s">
        <v>9525</v>
      </c>
      <c r="AO163" s="238" t="s">
        <v>9525</v>
      </c>
    </row>
    <row r="164" spans="2:41" x14ac:dyDescent="0.2">
      <c r="B164" s="239">
        <v>45007.046878923611</v>
      </c>
      <c r="C164" s="238">
        <v>22</v>
      </c>
      <c r="D164" s="238" t="s">
        <v>9264</v>
      </c>
      <c r="E164" s="238">
        <v>3325362858</v>
      </c>
      <c r="F164" s="238" t="s">
        <v>95</v>
      </c>
      <c r="G164" s="238" t="s">
        <v>9154</v>
      </c>
      <c r="H164" s="238" t="s">
        <v>9154</v>
      </c>
      <c r="I164" s="238" t="s">
        <v>441</v>
      </c>
      <c r="J164" s="238" t="s">
        <v>441</v>
      </c>
      <c r="K164" s="238" t="s">
        <v>9154</v>
      </c>
      <c r="L164" s="238" t="s">
        <v>10985</v>
      </c>
      <c r="M164" s="238" t="s">
        <v>263</v>
      </c>
      <c r="N164" s="238" t="s">
        <v>9123</v>
      </c>
      <c r="O164" s="238" t="s">
        <v>9131</v>
      </c>
      <c r="P164" s="238" t="s">
        <v>10986</v>
      </c>
      <c r="Q164" s="238" t="s">
        <v>9144</v>
      </c>
      <c r="R164" s="238">
        <v>0</v>
      </c>
      <c r="S164" s="238" t="s">
        <v>285</v>
      </c>
      <c r="T164" s="238" t="s">
        <v>9269</v>
      </c>
      <c r="U164" s="238" t="s">
        <v>9231</v>
      </c>
      <c r="V164" s="238" t="s">
        <v>10987</v>
      </c>
      <c r="W164" s="238" t="s">
        <v>10988</v>
      </c>
      <c r="X164" s="238" t="s">
        <v>10989</v>
      </c>
      <c r="Y164" s="238" t="s">
        <v>10990</v>
      </c>
      <c r="Z164" s="238" t="s">
        <v>10991</v>
      </c>
      <c r="AA164" s="238" t="s">
        <v>10992</v>
      </c>
      <c r="AB164" s="238" t="s">
        <v>10988</v>
      </c>
      <c r="AC164" s="238" t="s">
        <v>10993</v>
      </c>
      <c r="AD164" s="238" t="s">
        <v>9159</v>
      </c>
      <c r="AE164" s="238" t="s">
        <v>10994</v>
      </c>
      <c r="AF164" s="238">
        <v>4</v>
      </c>
      <c r="AG164" s="238" t="s">
        <v>263</v>
      </c>
      <c r="AH164" s="238" t="s">
        <v>9212</v>
      </c>
      <c r="AI164" s="238" t="s">
        <v>9144</v>
      </c>
      <c r="AJ164" s="238" t="s">
        <v>10995</v>
      </c>
      <c r="AK164" s="238" t="s">
        <v>263</v>
      </c>
      <c r="AL164" s="238" t="s">
        <v>9130</v>
      </c>
      <c r="AM164" s="238" t="s">
        <v>5205</v>
      </c>
      <c r="AN164" s="238" t="s">
        <v>10613</v>
      </c>
      <c r="AO164" s="238" t="s">
        <v>10996</v>
      </c>
    </row>
    <row r="165" spans="2:41" x14ac:dyDescent="0.2">
      <c r="B165" s="239">
        <v>45007.406522083329</v>
      </c>
      <c r="C165" s="238">
        <v>18</v>
      </c>
      <c r="D165" s="238" t="s">
        <v>97</v>
      </c>
      <c r="E165" s="238">
        <v>3315190170</v>
      </c>
      <c r="F165" s="238" t="s">
        <v>95</v>
      </c>
      <c r="G165" s="238" t="s">
        <v>96</v>
      </c>
      <c r="H165" s="238" t="s">
        <v>96</v>
      </c>
      <c r="I165" s="238" t="s">
        <v>96</v>
      </c>
      <c r="J165" s="238" t="s">
        <v>96</v>
      </c>
      <c r="K165" s="238" t="s">
        <v>96</v>
      </c>
      <c r="L165" s="238" t="s">
        <v>6848</v>
      </c>
      <c r="M165" s="238" t="s">
        <v>368</v>
      </c>
      <c r="N165" s="238" t="s">
        <v>9123</v>
      </c>
      <c r="O165" s="238" t="s">
        <v>9131</v>
      </c>
      <c r="P165" s="238" t="s">
        <v>263</v>
      </c>
      <c r="Q165" s="238" t="s">
        <v>263</v>
      </c>
      <c r="R165" s="238" t="s">
        <v>9144</v>
      </c>
      <c r="S165" s="238" t="s">
        <v>285</v>
      </c>
      <c r="T165" s="238" t="s">
        <v>9488</v>
      </c>
      <c r="U165" s="238" t="s">
        <v>10997</v>
      </c>
      <c r="V165" s="238" t="s">
        <v>10998</v>
      </c>
      <c r="W165" s="238" t="s">
        <v>1869</v>
      </c>
      <c r="X165" s="238" t="s">
        <v>10999</v>
      </c>
      <c r="Y165" s="238" t="s">
        <v>1935</v>
      </c>
      <c r="Z165" s="238" t="s">
        <v>4731</v>
      </c>
      <c r="AA165" s="238" t="s">
        <v>9642</v>
      </c>
      <c r="AB165" s="238" t="s">
        <v>1869</v>
      </c>
      <c r="AC165" s="238" t="s">
        <v>11000</v>
      </c>
      <c r="AD165" s="238" t="s">
        <v>1935</v>
      </c>
      <c r="AE165" s="238" t="s">
        <v>4731</v>
      </c>
      <c r="AF165" s="238">
        <v>4</v>
      </c>
      <c r="AG165" s="238" t="s">
        <v>285</v>
      </c>
      <c r="AH165" s="238">
        <v>2</v>
      </c>
      <c r="AI165" s="238">
        <v>5</v>
      </c>
      <c r="AJ165" s="238">
        <v>30</v>
      </c>
      <c r="AK165" s="238" t="s">
        <v>285</v>
      </c>
      <c r="AL165" s="238">
        <v>1</v>
      </c>
      <c r="AM165" s="238" t="s">
        <v>263</v>
      </c>
      <c r="AN165" s="238" t="s">
        <v>263</v>
      </c>
      <c r="AO165" s="238" t="s">
        <v>1073</v>
      </c>
    </row>
    <row r="166" spans="2:41" x14ac:dyDescent="0.2">
      <c r="B166" s="239">
        <v>45007.471391886575</v>
      </c>
      <c r="C166" s="238">
        <v>19</v>
      </c>
      <c r="D166" s="238" t="s">
        <v>9264</v>
      </c>
      <c r="E166" s="238">
        <v>3317500777</v>
      </c>
      <c r="F166" s="238" t="s">
        <v>95</v>
      </c>
      <c r="G166" s="238" t="s">
        <v>441</v>
      </c>
      <c r="H166" s="238" t="s">
        <v>1752</v>
      </c>
      <c r="I166" s="238" t="s">
        <v>1752</v>
      </c>
      <c r="J166" s="238" t="s">
        <v>1752</v>
      </c>
      <c r="K166" s="238" t="s">
        <v>1752</v>
      </c>
      <c r="L166" s="238" t="s">
        <v>10985</v>
      </c>
      <c r="M166" s="238" t="s">
        <v>368</v>
      </c>
      <c r="N166" s="238" t="s">
        <v>9123</v>
      </c>
      <c r="O166" s="238" t="s">
        <v>9131</v>
      </c>
      <c r="P166" s="238" t="s">
        <v>263</v>
      </c>
      <c r="Q166" s="238" t="s">
        <v>9123</v>
      </c>
      <c r="R166" s="238" t="s">
        <v>9131</v>
      </c>
      <c r="S166" s="238" t="s">
        <v>285</v>
      </c>
      <c r="T166" s="238" t="s">
        <v>9487</v>
      </c>
      <c r="U166" s="238" t="s">
        <v>10669</v>
      </c>
      <c r="V166" s="238" t="s">
        <v>11001</v>
      </c>
      <c r="W166" s="238" t="s">
        <v>10893</v>
      </c>
      <c r="X166" s="238" t="s">
        <v>11002</v>
      </c>
      <c r="Y166" s="238" t="s">
        <v>10893</v>
      </c>
      <c r="Z166" s="238" t="s">
        <v>11003</v>
      </c>
      <c r="AA166" s="238" t="s">
        <v>11004</v>
      </c>
      <c r="AB166" s="238" t="s">
        <v>10893</v>
      </c>
      <c r="AC166" s="238" t="s">
        <v>11002</v>
      </c>
      <c r="AD166" s="238" t="s">
        <v>10893</v>
      </c>
      <c r="AE166" s="238" t="s">
        <v>11003</v>
      </c>
      <c r="AF166" s="238">
        <v>4</v>
      </c>
      <c r="AG166" s="238" t="s">
        <v>263</v>
      </c>
      <c r="AH166" s="238" t="s">
        <v>10237</v>
      </c>
      <c r="AI166" s="238" t="s">
        <v>10237</v>
      </c>
      <c r="AJ166" s="238" t="s">
        <v>10774</v>
      </c>
      <c r="AK166" s="238" t="s">
        <v>263</v>
      </c>
      <c r="AL166" s="238" t="s">
        <v>9130</v>
      </c>
      <c r="AM166" s="238" t="s">
        <v>263</v>
      </c>
      <c r="AN166" s="238" t="s">
        <v>5205</v>
      </c>
      <c r="AO166" s="238" t="s">
        <v>10898</v>
      </c>
    </row>
    <row r="167" spans="2:41" x14ac:dyDescent="0.2">
      <c r="B167" s="239">
        <v>45007.50174172454</v>
      </c>
      <c r="C167" s="238">
        <v>20</v>
      </c>
      <c r="D167" s="238" t="s">
        <v>97</v>
      </c>
      <c r="E167" s="238">
        <v>3333530173</v>
      </c>
      <c r="F167" s="238" t="s">
        <v>95</v>
      </c>
      <c r="G167" s="238" t="s">
        <v>1697</v>
      </c>
      <c r="H167" s="238" t="s">
        <v>1697</v>
      </c>
      <c r="I167" s="238" t="s">
        <v>1697</v>
      </c>
      <c r="J167" s="238" t="s">
        <v>1697</v>
      </c>
      <c r="K167" s="238" t="s">
        <v>1697</v>
      </c>
      <c r="L167" s="238" t="s">
        <v>9906</v>
      </c>
      <c r="M167" s="238" t="s">
        <v>263</v>
      </c>
      <c r="N167" s="238" t="s">
        <v>9155</v>
      </c>
      <c r="O167" s="238" t="s">
        <v>9131</v>
      </c>
      <c r="P167" s="238" t="s">
        <v>263</v>
      </c>
      <c r="Q167" s="238" t="s">
        <v>9980</v>
      </c>
      <c r="R167" s="238" t="s">
        <v>9131</v>
      </c>
      <c r="S167" s="238" t="s">
        <v>285</v>
      </c>
      <c r="T167" s="238" t="s">
        <v>9772</v>
      </c>
      <c r="U167" s="238" t="s">
        <v>10574</v>
      </c>
      <c r="V167" s="238" t="s">
        <v>11005</v>
      </c>
      <c r="W167" s="238" t="s">
        <v>9776</v>
      </c>
      <c r="X167" s="238" t="s">
        <v>11006</v>
      </c>
      <c r="Y167" s="238" t="s">
        <v>9123</v>
      </c>
      <c r="Z167" s="238" t="s">
        <v>11007</v>
      </c>
      <c r="AF167" s="238">
        <v>4</v>
      </c>
      <c r="AG167" s="238" t="s">
        <v>263</v>
      </c>
      <c r="AH167" s="238" t="s">
        <v>9123</v>
      </c>
      <c r="AI167" s="238" t="s">
        <v>9123</v>
      </c>
      <c r="AJ167" s="238" t="s">
        <v>11008</v>
      </c>
      <c r="AK167" s="238" t="s">
        <v>285</v>
      </c>
      <c r="AL167" s="238">
        <v>2</v>
      </c>
      <c r="AM167" s="238" t="s">
        <v>263</v>
      </c>
      <c r="AN167" s="238" t="s">
        <v>263</v>
      </c>
      <c r="AO167" s="238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146"/>
  <sheetViews>
    <sheetView workbookViewId="0">
      <selection activeCell="B2" sqref="B1:B1048576"/>
    </sheetView>
  </sheetViews>
  <sheetFormatPr baseColWidth="10" defaultColWidth="9.1640625" defaultRowHeight="15" x14ac:dyDescent="0.2"/>
  <cols>
    <col min="1" max="1" width="17.6640625" customWidth="1"/>
    <col min="2" max="2" width="7.5" customWidth="1"/>
    <col min="3" max="3" width="9.6640625" customWidth="1"/>
    <col min="4" max="4" width="11.5" customWidth="1"/>
    <col min="5" max="9" width="10.5" customWidth="1"/>
    <col min="10" max="15" width="17.6640625" customWidth="1"/>
    <col min="16" max="16" width="10.5" customWidth="1"/>
    <col min="17" max="17" width="31.6640625" customWidth="1"/>
    <col min="18" max="18" width="35.33203125" customWidth="1"/>
    <col min="19" max="19" width="19.6640625" customWidth="1"/>
    <col min="20" max="20" width="15.6640625" customWidth="1"/>
    <col min="21" max="21" width="10.5" customWidth="1"/>
    <col min="32" max="32" width="15.6640625" customWidth="1"/>
    <col min="33" max="33" width="16" customWidth="1"/>
    <col min="36" max="36" width="17.6640625" customWidth="1"/>
    <col min="37" max="37" width="10.5" customWidth="1"/>
    <col min="38" max="38" width="6.6640625" customWidth="1"/>
    <col min="39" max="39" width="16.6640625" customWidth="1"/>
    <col min="41" max="41" width="21.83203125" customWidth="1"/>
    <col min="42" max="42" width="7.6640625" customWidth="1"/>
    <col min="43" max="43" width="19" customWidth="1"/>
    <col min="44" max="44" width="19.5" customWidth="1"/>
    <col min="45" max="45" width="23.83203125" customWidth="1"/>
    <col min="47" max="47" width="13.5" customWidth="1"/>
    <col min="48" max="48" width="20.5" customWidth="1"/>
  </cols>
  <sheetData>
    <row r="1" spans="1:49" s="227" customFormat="1" ht="22.5" customHeight="1" x14ac:dyDescent="0.2">
      <c r="A1" s="225" t="s">
        <v>8690</v>
      </c>
      <c r="B1" s="250" t="s">
        <v>8691</v>
      </c>
      <c r="C1" s="250"/>
      <c r="D1" s="250"/>
      <c r="E1" s="250"/>
      <c r="F1" s="250" t="s">
        <v>8692</v>
      </c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1" t="s">
        <v>8693</v>
      </c>
      <c r="R1" s="252"/>
      <c r="S1" s="252"/>
      <c r="T1" s="252"/>
      <c r="U1" s="252"/>
      <c r="V1" s="252"/>
      <c r="W1" s="253" t="s">
        <v>8694</v>
      </c>
      <c r="X1" s="254"/>
      <c r="Y1" s="254"/>
      <c r="Z1" s="254"/>
      <c r="AA1" s="254"/>
      <c r="AB1" s="254"/>
      <c r="AC1" s="254"/>
      <c r="AD1" s="253" t="s">
        <v>8695</v>
      </c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26"/>
    </row>
    <row r="2" spans="1:49" s="227" customFormat="1" ht="36" customHeight="1" x14ac:dyDescent="0.2">
      <c r="A2" s="228" t="s">
        <v>8696</v>
      </c>
      <c r="B2" s="226" t="s">
        <v>8697</v>
      </c>
      <c r="C2" s="226" t="s">
        <v>17</v>
      </c>
      <c r="D2" s="226" t="s">
        <v>18</v>
      </c>
      <c r="E2" s="226" t="s">
        <v>8698</v>
      </c>
      <c r="F2" s="226" t="s">
        <v>12</v>
      </c>
      <c r="G2" s="226" t="s">
        <v>45</v>
      </c>
      <c r="H2" s="226" t="s">
        <v>44</v>
      </c>
      <c r="I2" s="226" t="s">
        <v>8699</v>
      </c>
      <c r="J2" s="226" t="s">
        <v>8700</v>
      </c>
      <c r="K2" s="226" t="s">
        <v>47</v>
      </c>
      <c r="L2" s="226" t="s">
        <v>8701</v>
      </c>
      <c r="M2" s="226" t="s">
        <v>8702</v>
      </c>
      <c r="N2" s="226" t="s">
        <v>8703</v>
      </c>
      <c r="O2" s="226" t="s">
        <v>8704</v>
      </c>
      <c r="P2" s="226" t="s">
        <v>8705</v>
      </c>
      <c r="Q2" s="226" t="s">
        <v>8706</v>
      </c>
      <c r="R2" s="226" t="s">
        <v>8707</v>
      </c>
      <c r="S2" s="226" t="s">
        <v>8708</v>
      </c>
      <c r="T2" s="226" t="s">
        <v>8709</v>
      </c>
      <c r="U2" s="226" t="s">
        <v>8710</v>
      </c>
      <c r="V2" s="226" t="s">
        <v>8711</v>
      </c>
      <c r="W2" s="226" t="s">
        <v>8712</v>
      </c>
      <c r="X2" s="226" t="s">
        <v>8713</v>
      </c>
      <c r="Y2" s="226" t="s">
        <v>22</v>
      </c>
      <c r="Z2" s="226" t="s">
        <v>39</v>
      </c>
      <c r="AA2" s="226" t="s">
        <v>5085</v>
      </c>
      <c r="AB2" s="226" t="s">
        <v>8714</v>
      </c>
      <c r="AC2" s="226" t="s">
        <v>8715</v>
      </c>
      <c r="AD2" s="226" t="s">
        <v>8716</v>
      </c>
      <c r="AE2" s="226" t="s">
        <v>8717</v>
      </c>
      <c r="AF2" s="226" t="s">
        <v>8718</v>
      </c>
      <c r="AG2" s="226" t="s">
        <v>8719</v>
      </c>
      <c r="AH2" s="226" t="s">
        <v>8720</v>
      </c>
      <c r="AI2" s="226" t="s">
        <v>8721</v>
      </c>
      <c r="AJ2" s="226" t="s">
        <v>8722</v>
      </c>
      <c r="AK2" s="226" t="s">
        <v>8723</v>
      </c>
      <c r="AL2" s="226" t="s">
        <v>8724</v>
      </c>
      <c r="AM2" s="226" t="s">
        <v>8725</v>
      </c>
      <c r="AN2" s="226" t="s">
        <v>8726</v>
      </c>
      <c r="AO2" s="226" t="s">
        <v>24</v>
      </c>
      <c r="AP2" s="226" t="s">
        <v>8727</v>
      </c>
      <c r="AQ2" s="226" t="s">
        <v>8728</v>
      </c>
      <c r="AR2" s="226" t="s">
        <v>8729</v>
      </c>
      <c r="AS2" s="226" t="s">
        <v>8730</v>
      </c>
      <c r="AT2" s="226" t="s">
        <v>8731</v>
      </c>
      <c r="AU2" s="226" t="s">
        <v>8732</v>
      </c>
      <c r="AV2" s="226" t="s">
        <v>8733</v>
      </c>
      <c r="AW2" s="226" t="s">
        <v>8734</v>
      </c>
    </row>
    <row r="3" spans="1:49" ht="17" x14ac:dyDescent="0.2">
      <c r="A3" s="229" t="s">
        <v>8735</v>
      </c>
      <c r="B3" s="230" t="s">
        <v>8736</v>
      </c>
      <c r="C3" s="230"/>
      <c r="D3" s="230"/>
      <c r="E3" s="231"/>
      <c r="F3" s="230">
        <v>52</v>
      </c>
      <c r="G3" s="230">
        <v>153</v>
      </c>
      <c r="H3" s="230" t="s">
        <v>8737</v>
      </c>
      <c r="I3" s="230" t="s">
        <v>8738</v>
      </c>
      <c r="J3" s="230">
        <v>100</v>
      </c>
      <c r="K3" s="230">
        <v>118</v>
      </c>
      <c r="L3" s="230" t="s">
        <v>8739</v>
      </c>
      <c r="M3" s="230" t="s">
        <v>4503</v>
      </c>
      <c r="N3" s="230">
        <v>12</v>
      </c>
      <c r="O3" s="230">
        <v>75</v>
      </c>
      <c r="P3" s="230">
        <v>1345</v>
      </c>
      <c r="Q3" s="230"/>
      <c r="R3" s="230"/>
      <c r="S3" s="230">
        <v>82</v>
      </c>
      <c r="T3" s="230">
        <v>172</v>
      </c>
      <c r="U3" s="230">
        <v>86</v>
      </c>
      <c r="V3" s="230" t="s">
        <v>8740</v>
      </c>
      <c r="W3" s="230">
        <v>96</v>
      </c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</row>
    <row r="4" spans="1:49" ht="17" x14ac:dyDescent="0.2">
      <c r="A4" s="229" t="s">
        <v>8741</v>
      </c>
      <c r="B4" s="230" t="s">
        <v>8736</v>
      </c>
      <c r="C4" s="230">
        <v>13</v>
      </c>
      <c r="D4" s="230">
        <v>49</v>
      </c>
      <c r="E4" s="231"/>
      <c r="F4" s="230">
        <v>53</v>
      </c>
      <c r="G4" s="230">
        <v>158</v>
      </c>
      <c r="H4" s="230" t="s">
        <v>8742</v>
      </c>
      <c r="I4" s="230">
        <v>26</v>
      </c>
      <c r="J4" s="230"/>
      <c r="K4" s="230"/>
      <c r="L4" s="230" t="s">
        <v>8743</v>
      </c>
      <c r="M4" s="230" t="s">
        <v>8744</v>
      </c>
      <c r="N4" s="230">
        <v>8</v>
      </c>
      <c r="O4" s="230">
        <v>54</v>
      </c>
      <c r="P4" s="230"/>
      <c r="Q4" s="230"/>
      <c r="R4" s="230"/>
      <c r="S4" s="230"/>
      <c r="T4" s="230"/>
      <c r="U4" s="230"/>
      <c r="V4" s="230"/>
      <c r="W4" s="230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2"/>
      <c r="AO4" s="232"/>
      <c r="AP4" s="232"/>
      <c r="AQ4" s="232"/>
      <c r="AR4" s="232"/>
      <c r="AS4" s="232"/>
      <c r="AT4" s="232"/>
      <c r="AU4" s="232"/>
      <c r="AV4" s="232"/>
      <c r="AW4" s="232"/>
    </row>
    <row r="5" spans="1:49" ht="17" x14ac:dyDescent="0.2">
      <c r="A5" s="229" t="s">
        <v>8745</v>
      </c>
      <c r="B5" s="230" t="s">
        <v>8736</v>
      </c>
      <c r="C5" s="230">
        <v>9</v>
      </c>
      <c r="D5" s="230">
        <v>47</v>
      </c>
      <c r="E5" s="231"/>
      <c r="F5" s="230">
        <v>55</v>
      </c>
      <c r="G5" s="230">
        <v>165</v>
      </c>
      <c r="H5" s="230">
        <v>75</v>
      </c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>
        <v>71</v>
      </c>
      <c r="T5" s="230">
        <v>188</v>
      </c>
      <c r="U5" s="230">
        <v>104</v>
      </c>
      <c r="V5" s="230">
        <v>64</v>
      </c>
      <c r="W5" s="230">
        <v>103</v>
      </c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</row>
    <row r="6" spans="1:49" ht="17" x14ac:dyDescent="0.2">
      <c r="A6" s="229" t="s">
        <v>8746</v>
      </c>
      <c r="B6" s="230" t="s">
        <v>8736</v>
      </c>
      <c r="C6" s="230">
        <v>14</v>
      </c>
      <c r="D6" s="230">
        <v>45</v>
      </c>
      <c r="E6" s="231"/>
      <c r="F6" s="230">
        <v>53</v>
      </c>
      <c r="G6" s="230">
        <v>153</v>
      </c>
      <c r="H6" s="230" t="s">
        <v>8747</v>
      </c>
      <c r="I6" s="230" t="s">
        <v>4605</v>
      </c>
      <c r="J6" s="230">
        <v>112</v>
      </c>
      <c r="K6" s="230">
        <v>122</v>
      </c>
      <c r="L6" s="230" t="s">
        <v>8748</v>
      </c>
      <c r="M6" s="230" t="s">
        <v>8749</v>
      </c>
      <c r="N6" s="230">
        <v>13</v>
      </c>
      <c r="O6" s="230">
        <v>76</v>
      </c>
      <c r="P6" s="230">
        <v>1491</v>
      </c>
      <c r="Q6" s="230"/>
      <c r="R6" s="230"/>
      <c r="S6" s="230">
        <v>94</v>
      </c>
      <c r="T6" s="230">
        <v>169</v>
      </c>
      <c r="U6" s="230">
        <v>132</v>
      </c>
      <c r="V6" s="230" t="s">
        <v>8750</v>
      </c>
      <c r="W6" s="230">
        <v>99</v>
      </c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</row>
    <row r="7" spans="1:49" ht="17" x14ac:dyDescent="0.2">
      <c r="A7" s="229" t="s">
        <v>8751</v>
      </c>
      <c r="B7" s="230" t="s">
        <v>8736</v>
      </c>
      <c r="C7" s="230">
        <v>11</v>
      </c>
      <c r="D7" s="230"/>
      <c r="E7" s="231"/>
      <c r="F7" s="230">
        <v>42</v>
      </c>
      <c r="G7" s="230">
        <v>160</v>
      </c>
      <c r="H7" s="230" t="s">
        <v>252</v>
      </c>
      <c r="I7" s="230" t="s">
        <v>8752</v>
      </c>
      <c r="J7" s="230">
        <v>91</v>
      </c>
      <c r="K7" s="230">
        <v>109</v>
      </c>
      <c r="L7" s="230" t="s">
        <v>4502</v>
      </c>
      <c r="M7" s="230" t="s">
        <v>4423</v>
      </c>
      <c r="N7" s="230">
        <v>9</v>
      </c>
      <c r="O7" s="230">
        <v>58</v>
      </c>
      <c r="P7" s="230">
        <v>1438</v>
      </c>
      <c r="Q7" s="230"/>
      <c r="R7" s="230"/>
      <c r="S7" s="230">
        <v>99</v>
      </c>
      <c r="T7" s="230">
        <v>186</v>
      </c>
      <c r="U7" s="230">
        <v>131</v>
      </c>
      <c r="V7" s="230" t="s">
        <v>8753</v>
      </c>
      <c r="W7" s="230">
        <v>106</v>
      </c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2"/>
      <c r="AM7" s="232"/>
      <c r="AN7" s="232"/>
      <c r="AO7" s="232"/>
      <c r="AP7" s="232"/>
      <c r="AQ7" s="232"/>
      <c r="AR7" s="232"/>
      <c r="AS7" s="232"/>
      <c r="AT7" s="232"/>
      <c r="AU7" s="232"/>
      <c r="AV7" s="232"/>
      <c r="AW7" s="232"/>
    </row>
    <row r="8" spans="1:49" ht="17" x14ac:dyDescent="0.2">
      <c r="A8" s="229" t="s">
        <v>8754</v>
      </c>
      <c r="B8" s="230" t="s">
        <v>8736</v>
      </c>
      <c r="C8" s="230">
        <v>14</v>
      </c>
      <c r="D8" s="230">
        <v>42</v>
      </c>
      <c r="E8" s="231"/>
      <c r="F8" s="230">
        <v>52</v>
      </c>
      <c r="G8" s="230">
        <v>149</v>
      </c>
      <c r="H8" s="230">
        <v>38</v>
      </c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>
        <v>56</v>
      </c>
      <c r="T8" s="230">
        <v>197</v>
      </c>
      <c r="U8" s="230">
        <v>164</v>
      </c>
      <c r="V8" s="230" t="s">
        <v>8755</v>
      </c>
      <c r="W8" s="230">
        <v>106</v>
      </c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  <c r="AK8" s="232"/>
      <c r="AL8" s="232"/>
      <c r="AM8" s="232"/>
      <c r="AN8" s="232"/>
      <c r="AO8" s="232"/>
      <c r="AP8" s="232"/>
      <c r="AQ8" s="232"/>
      <c r="AR8" s="232"/>
      <c r="AS8" s="232"/>
      <c r="AT8" s="232"/>
      <c r="AU8" s="232"/>
      <c r="AV8" s="232"/>
      <c r="AW8" s="232"/>
    </row>
    <row r="9" spans="1:49" ht="17" x14ac:dyDescent="0.2">
      <c r="A9" s="229" t="s">
        <v>8756</v>
      </c>
      <c r="B9" s="230" t="s">
        <v>8736</v>
      </c>
      <c r="C9" s="230">
        <v>14</v>
      </c>
      <c r="D9" s="230"/>
      <c r="E9" s="231">
        <v>42417</v>
      </c>
      <c r="F9" s="230">
        <v>37</v>
      </c>
      <c r="G9" s="230">
        <v>150</v>
      </c>
      <c r="H9" s="230" t="s">
        <v>8757</v>
      </c>
      <c r="I9" s="230" t="s">
        <v>4643</v>
      </c>
      <c r="J9" s="230">
        <v>85</v>
      </c>
      <c r="K9" s="230">
        <v>100</v>
      </c>
      <c r="L9" s="230" t="s">
        <v>8758</v>
      </c>
      <c r="M9" s="230" t="s">
        <v>8759</v>
      </c>
      <c r="N9" s="230">
        <v>8</v>
      </c>
      <c r="O9" s="230">
        <v>43</v>
      </c>
      <c r="P9" s="230">
        <v>1260</v>
      </c>
      <c r="Q9" s="230"/>
      <c r="R9" s="230"/>
      <c r="S9" s="230">
        <v>84</v>
      </c>
      <c r="T9" s="230">
        <v>181</v>
      </c>
      <c r="U9" s="230">
        <v>78</v>
      </c>
      <c r="V9" s="230" t="s">
        <v>8760</v>
      </c>
      <c r="W9" s="230">
        <v>93</v>
      </c>
      <c r="X9" s="232"/>
      <c r="Y9" s="232"/>
      <c r="Z9" s="232"/>
      <c r="AA9" s="232"/>
      <c r="AB9" s="232"/>
      <c r="AC9" s="232"/>
      <c r="AD9" s="232"/>
      <c r="AE9" s="232"/>
      <c r="AF9" s="232"/>
      <c r="AG9" s="232"/>
      <c r="AH9" s="232"/>
      <c r="AI9" s="232"/>
      <c r="AJ9" s="232"/>
      <c r="AK9" s="232"/>
      <c r="AL9" s="232"/>
      <c r="AM9" s="232"/>
      <c r="AN9" s="232"/>
      <c r="AO9" s="232"/>
      <c r="AP9" s="232"/>
      <c r="AQ9" s="232"/>
      <c r="AR9" s="232"/>
      <c r="AS9" s="232"/>
      <c r="AT9" s="232"/>
      <c r="AU9" s="232"/>
      <c r="AV9" s="232"/>
      <c r="AW9" s="232"/>
    </row>
    <row r="10" spans="1:49" ht="17" x14ac:dyDescent="0.2">
      <c r="A10" s="229" t="s">
        <v>8761</v>
      </c>
      <c r="B10" s="230" t="s">
        <v>8736</v>
      </c>
      <c r="C10" s="230">
        <v>12</v>
      </c>
      <c r="D10" s="230"/>
      <c r="E10" s="231">
        <v>42385</v>
      </c>
      <c r="F10" s="230">
        <v>31</v>
      </c>
      <c r="G10" s="230">
        <v>165</v>
      </c>
      <c r="H10" s="230" t="s">
        <v>8762</v>
      </c>
      <c r="I10" s="230" t="s">
        <v>4552</v>
      </c>
      <c r="J10" s="230">
        <v>89</v>
      </c>
      <c r="K10" s="230">
        <v>111</v>
      </c>
      <c r="L10" s="230" t="s">
        <v>8763</v>
      </c>
      <c r="M10" s="230" t="s">
        <v>8764</v>
      </c>
      <c r="N10" s="230">
        <v>6</v>
      </c>
      <c r="O10" s="230">
        <v>43</v>
      </c>
      <c r="P10" s="230">
        <v>1419</v>
      </c>
      <c r="Q10" s="230"/>
      <c r="R10" s="230"/>
      <c r="S10" s="230">
        <v>56</v>
      </c>
      <c r="T10" s="230">
        <v>159</v>
      </c>
      <c r="U10" s="230">
        <v>182</v>
      </c>
      <c r="V10" s="230" t="s">
        <v>8765</v>
      </c>
      <c r="W10" s="230">
        <v>66</v>
      </c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</row>
    <row r="11" spans="1:49" ht="17" x14ac:dyDescent="0.2">
      <c r="A11" s="229" t="s">
        <v>8766</v>
      </c>
      <c r="B11" s="230" t="s">
        <v>8736</v>
      </c>
      <c r="C11" s="230"/>
      <c r="D11" s="230"/>
      <c r="E11" s="231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>
        <v>51</v>
      </c>
      <c r="T11" s="230">
        <v>207</v>
      </c>
      <c r="U11" s="230">
        <v>161</v>
      </c>
      <c r="V11" s="230" t="s">
        <v>8767</v>
      </c>
      <c r="W11" s="230">
        <v>111</v>
      </c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</row>
    <row r="12" spans="1:49" ht="17" x14ac:dyDescent="0.2">
      <c r="A12" s="229" t="s">
        <v>8768</v>
      </c>
      <c r="B12" s="230" t="s">
        <v>8736</v>
      </c>
      <c r="C12" s="230">
        <v>13</v>
      </c>
      <c r="D12" s="230">
        <v>41</v>
      </c>
      <c r="E12" s="231"/>
      <c r="F12" s="230">
        <v>52</v>
      </c>
      <c r="G12" s="230">
        <v>166</v>
      </c>
      <c r="H12" s="230" t="s">
        <v>8769</v>
      </c>
      <c r="I12" s="230" t="s">
        <v>8770</v>
      </c>
      <c r="J12" s="230">
        <v>86</v>
      </c>
      <c r="K12" s="230">
        <v>110</v>
      </c>
      <c r="L12" s="230" t="s">
        <v>8771</v>
      </c>
      <c r="M12" s="230">
        <v>26</v>
      </c>
      <c r="N12" s="230">
        <v>7</v>
      </c>
      <c r="O12" s="230">
        <v>49</v>
      </c>
      <c r="P12" s="230">
        <v>1399</v>
      </c>
      <c r="Q12" s="230"/>
      <c r="R12" s="230"/>
      <c r="S12" s="230">
        <v>77</v>
      </c>
      <c r="T12" s="230">
        <v>204</v>
      </c>
      <c r="U12" s="230">
        <v>174</v>
      </c>
      <c r="V12" s="230" t="s">
        <v>4580</v>
      </c>
      <c r="W12" s="230">
        <v>100</v>
      </c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</row>
    <row r="13" spans="1:49" ht="17" x14ac:dyDescent="0.2">
      <c r="A13" s="229" t="s">
        <v>8772</v>
      </c>
      <c r="B13" s="230" t="s">
        <v>8736</v>
      </c>
      <c r="C13" s="230"/>
      <c r="D13" s="230"/>
      <c r="E13" s="231"/>
      <c r="F13" s="230">
        <v>25</v>
      </c>
      <c r="G13" s="230">
        <v>160</v>
      </c>
      <c r="H13" s="230" t="s">
        <v>8773</v>
      </c>
      <c r="I13" s="230" t="s">
        <v>8774</v>
      </c>
      <c r="J13" s="230">
        <v>83</v>
      </c>
      <c r="K13" s="230">
        <v>95</v>
      </c>
      <c r="L13" s="230">
        <v>31</v>
      </c>
      <c r="M13" s="230">
        <v>27</v>
      </c>
      <c r="N13" s="230">
        <v>3</v>
      </c>
      <c r="O13" s="230">
        <v>24</v>
      </c>
      <c r="P13" s="230">
        <v>1223</v>
      </c>
      <c r="Q13" s="230"/>
      <c r="R13" s="230"/>
      <c r="S13" s="230">
        <v>92</v>
      </c>
      <c r="T13" s="230">
        <v>185</v>
      </c>
      <c r="U13" s="230">
        <v>76</v>
      </c>
      <c r="V13" s="230" t="s">
        <v>8775</v>
      </c>
      <c r="W13" s="230">
        <v>92</v>
      </c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</row>
    <row r="14" spans="1:49" ht="17" x14ac:dyDescent="0.2">
      <c r="A14" s="229" t="s">
        <v>8776</v>
      </c>
      <c r="B14" s="230" t="s">
        <v>8736</v>
      </c>
      <c r="C14" s="230">
        <v>12</v>
      </c>
      <c r="D14" s="230"/>
      <c r="E14" s="231">
        <v>42421</v>
      </c>
      <c r="F14" s="230">
        <v>29</v>
      </c>
      <c r="G14" s="230">
        <v>165</v>
      </c>
      <c r="H14" s="230" t="s">
        <v>8777</v>
      </c>
      <c r="I14" s="230" t="s">
        <v>8778</v>
      </c>
      <c r="J14" s="230">
        <v>81</v>
      </c>
      <c r="K14" s="230">
        <v>100</v>
      </c>
      <c r="L14" s="230" t="s">
        <v>4215</v>
      </c>
      <c r="M14" s="230" t="s">
        <v>8779</v>
      </c>
      <c r="N14" s="230">
        <v>4</v>
      </c>
      <c r="O14" s="230">
        <v>29</v>
      </c>
      <c r="P14" s="230">
        <v>1317</v>
      </c>
      <c r="Q14" s="230"/>
      <c r="R14" s="230"/>
      <c r="S14" s="230">
        <v>79</v>
      </c>
      <c r="T14" s="230">
        <v>183</v>
      </c>
      <c r="U14" s="230">
        <v>213</v>
      </c>
      <c r="V14" s="230" t="s">
        <v>8780</v>
      </c>
      <c r="W14" s="230">
        <v>86</v>
      </c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</row>
    <row r="15" spans="1:49" ht="17" x14ac:dyDescent="0.2">
      <c r="A15" s="229" t="s">
        <v>8781</v>
      </c>
      <c r="B15" s="230" t="s">
        <v>8736</v>
      </c>
      <c r="C15" s="230">
        <v>12</v>
      </c>
      <c r="D15" s="230">
        <v>47</v>
      </c>
      <c r="E15" s="231"/>
      <c r="F15" s="230">
        <v>52</v>
      </c>
      <c r="G15" s="230">
        <v>163</v>
      </c>
      <c r="H15" s="230">
        <v>77</v>
      </c>
      <c r="I15" s="230">
        <v>29</v>
      </c>
      <c r="J15" s="230">
        <v>103</v>
      </c>
      <c r="K15" s="230">
        <v>106</v>
      </c>
      <c r="L15" s="230" t="s">
        <v>8782</v>
      </c>
      <c r="M15" s="230" t="s">
        <v>8783</v>
      </c>
      <c r="N15" s="230">
        <v>9</v>
      </c>
      <c r="O15" s="230">
        <v>60</v>
      </c>
      <c r="P15" s="230">
        <v>1464</v>
      </c>
      <c r="Q15" s="230"/>
      <c r="R15" s="230"/>
      <c r="S15" s="230">
        <v>90</v>
      </c>
      <c r="T15" s="230">
        <v>198</v>
      </c>
      <c r="U15" s="230">
        <v>266</v>
      </c>
      <c r="V15" s="230" t="s">
        <v>8784</v>
      </c>
      <c r="W15" s="230">
        <v>98</v>
      </c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</row>
    <row r="16" spans="1:49" ht="17" x14ac:dyDescent="0.2">
      <c r="A16" s="229" t="s">
        <v>8785</v>
      </c>
      <c r="B16" s="230" t="s">
        <v>8736</v>
      </c>
      <c r="C16" s="230">
        <v>12</v>
      </c>
      <c r="D16" s="230">
        <v>48</v>
      </c>
      <c r="E16" s="231"/>
      <c r="F16" s="230">
        <v>52</v>
      </c>
      <c r="G16" s="230">
        <v>160</v>
      </c>
      <c r="H16" s="230" t="s">
        <v>8786</v>
      </c>
      <c r="I16" s="230" t="s">
        <v>4275</v>
      </c>
      <c r="J16" s="230">
        <v>91</v>
      </c>
      <c r="K16" s="230">
        <v>102</v>
      </c>
      <c r="L16" s="230" t="s">
        <v>8787</v>
      </c>
      <c r="M16" s="230" t="s">
        <v>8788</v>
      </c>
      <c r="N16" s="230">
        <v>7</v>
      </c>
      <c r="O16" s="230">
        <v>50</v>
      </c>
      <c r="P16" s="230">
        <v>1317</v>
      </c>
      <c r="Q16" s="230"/>
      <c r="R16" s="230"/>
      <c r="S16" s="230">
        <v>90</v>
      </c>
      <c r="T16" s="230">
        <v>186</v>
      </c>
      <c r="U16" s="230">
        <v>132</v>
      </c>
      <c r="V16" s="230" t="s">
        <v>4422</v>
      </c>
      <c r="W16" s="230">
        <v>112</v>
      </c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2"/>
      <c r="AP16" s="232"/>
      <c r="AQ16" s="232"/>
      <c r="AR16" s="232"/>
      <c r="AS16" s="232"/>
      <c r="AT16" s="232"/>
      <c r="AU16" s="232"/>
      <c r="AV16" s="232"/>
      <c r="AW16" s="232"/>
    </row>
    <row r="17" spans="1:49" ht="17" x14ac:dyDescent="0.2">
      <c r="A17" s="229" t="s">
        <v>8789</v>
      </c>
      <c r="B17" s="230" t="s">
        <v>8736</v>
      </c>
      <c r="C17" s="230">
        <v>12</v>
      </c>
      <c r="D17" s="230"/>
      <c r="E17" s="231">
        <v>42391</v>
      </c>
      <c r="F17" s="230">
        <v>31</v>
      </c>
      <c r="G17" s="230">
        <v>155</v>
      </c>
      <c r="H17" s="230" t="s">
        <v>8790</v>
      </c>
      <c r="I17" s="230" t="s">
        <v>4730</v>
      </c>
      <c r="J17" s="230">
        <v>103</v>
      </c>
      <c r="K17" s="230">
        <v>106</v>
      </c>
      <c r="L17" s="230" t="s">
        <v>8791</v>
      </c>
      <c r="M17" s="230" t="s">
        <v>4729</v>
      </c>
      <c r="N17" s="230">
        <v>5</v>
      </c>
      <c r="O17" s="230">
        <v>39</v>
      </c>
      <c r="P17" s="230">
        <v>1231</v>
      </c>
      <c r="Q17" s="230"/>
      <c r="R17" s="230"/>
      <c r="S17" s="230">
        <v>77</v>
      </c>
      <c r="T17" s="230">
        <v>215</v>
      </c>
      <c r="U17" s="230">
        <v>95</v>
      </c>
      <c r="V17" s="230" t="s">
        <v>8792</v>
      </c>
      <c r="W17" s="230">
        <v>150</v>
      </c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  <c r="AQ17" s="232"/>
      <c r="AR17" s="232"/>
      <c r="AS17" s="232"/>
      <c r="AT17" s="232"/>
      <c r="AU17" s="232"/>
      <c r="AV17" s="232"/>
      <c r="AW17" s="232"/>
    </row>
    <row r="18" spans="1:49" ht="17" x14ac:dyDescent="0.2">
      <c r="A18" s="229" t="s">
        <v>8793</v>
      </c>
      <c r="B18" s="230" t="s">
        <v>8736</v>
      </c>
      <c r="C18" s="230">
        <v>13</v>
      </c>
      <c r="D18" s="230">
        <v>33</v>
      </c>
      <c r="E18" s="231"/>
      <c r="F18" s="230">
        <v>89</v>
      </c>
      <c r="G18" s="230">
        <v>150</v>
      </c>
      <c r="H18" s="230" t="s">
        <v>4670</v>
      </c>
      <c r="I18" s="230" t="s">
        <v>8771</v>
      </c>
      <c r="J18" s="230"/>
      <c r="K18" s="230"/>
      <c r="L18" s="230" t="s">
        <v>7239</v>
      </c>
      <c r="M18" s="230" t="s">
        <v>8794</v>
      </c>
      <c r="N18" s="230">
        <v>18</v>
      </c>
      <c r="O18" s="230">
        <v>80</v>
      </c>
      <c r="P18" s="230">
        <v>1481</v>
      </c>
      <c r="Q18" s="230"/>
      <c r="R18" s="230"/>
      <c r="S18" s="230">
        <v>104</v>
      </c>
      <c r="T18" s="230">
        <v>160</v>
      </c>
      <c r="U18" s="230">
        <v>121</v>
      </c>
      <c r="V18" s="230">
        <v>46</v>
      </c>
      <c r="W18" s="230">
        <v>90</v>
      </c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232"/>
    </row>
    <row r="19" spans="1:49" ht="17" x14ac:dyDescent="0.2">
      <c r="A19" s="229" t="s">
        <v>8795</v>
      </c>
      <c r="B19" s="230" t="s">
        <v>8736</v>
      </c>
      <c r="C19" s="230">
        <v>11</v>
      </c>
      <c r="D19" s="230"/>
      <c r="E19" s="231">
        <v>42433</v>
      </c>
      <c r="F19" s="230">
        <v>33</v>
      </c>
      <c r="G19" s="230">
        <v>160</v>
      </c>
      <c r="H19" s="230" t="s">
        <v>8767</v>
      </c>
      <c r="I19" s="230" t="s">
        <v>8764</v>
      </c>
      <c r="J19" s="230">
        <v>81</v>
      </c>
      <c r="K19" s="230">
        <v>94</v>
      </c>
      <c r="L19" s="230" t="s">
        <v>8796</v>
      </c>
      <c r="M19" s="230" t="s">
        <v>8797</v>
      </c>
      <c r="N19" s="230">
        <v>7</v>
      </c>
      <c r="O19" s="230">
        <v>18</v>
      </c>
      <c r="P19" s="230">
        <v>1640</v>
      </c>
      <c r="Q19" s="230">
        <v>89</v>
      </c>
      <c r="R19" s="230">
        <v>59</v>
      </c>
      <c r="S19" s="230">
        <v>78</v>
      </c>
      <c r="T19" s="230">
        <v>157</v>
      </c>
      <c r="U19" s="230">
        <v>198</v>
      </c>
      <c r="V19" s="230" t="s">
        <v>7465</v>
      </c>
      <c r="W19" s="230">
        <v>78</v>
      </c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</row>
    <row r="20" spans="1:49" ht="17" x14ac:dyDescent="0.2">
      <c r="A20" s="229" t="s">
        <v>8798</v>
      </c>
      <c r="B20" s="230" t="s">
        <v>8736</v>
      </c>
      <c r="C20" s="230">
        <v>10</v>
      </c>
      <c r="D20" s="230">
        <v>42</v>
      </c>
      <c r="E20" s="231"/>
      <c r="F20" s="230">
        <v>55</v>
      </c>
      <c r="G20" s="230">
        <v>167</v>
      </c>
      <c r="H20" s="230" t="s">
        <v>8799</v>
      </c>
      <c r="I20" s="230" t="s">
        <v>8791</v>
      </c>
      <c r="J20" s="230">
        <v>127</v>
      </c>
      <c r="K20" s="230">
        <v>132</v>
      </c>
      <c r="L20" s="230" t="s">
        <v>8800</v>
      </c>
      <c r="M20" s="230">
        <v>16</v>
      </c>
      <c r="N20" s="230">
        <v>14</v>
      </c>
      <c r="O20" s="230">
        <v>75</v>
      </c>
      <c r="P20" s="230">
        <v>1746</v>
      </c>
      <c r="Q20" s="230"/>
      <c r="R20" s="230"/>
      <c r="S20" s="230">
        <v>96</v>
      </c>
      <c r="T20" s="230">
        <v>225</v>
      </c>
      <c r="U20" s="230">
        <v>159</v>
      </c>
      <c r="V20" s="230" t="s">
        <v>8801</v>
      </c>
      <c r="W20" s="230">
        <v>143</v>
      </c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2"/>
    </row>
    <row r="21" spans="1:49" ht="17" x14ac:dyDescent="0.2">
      <c r="A21" s="229" t="s">
        <v>8802</v>
      </c>
      <c r="B21" s="230" t="s">
        <v>8736</v>
      </c>
      <c r="C21" s="230"/>
      <c r="D21" s="230"/>
      <c r="E21" s="231">
        <v>42425</v>
      </c>
      <c r="F21" s="230">
        <v>41</v>
      </c>
      <c r="G21" s="230">
        <v>155</v>
      </c>
      <c r="H21" s="230" t="s">
        <v>4568</v>
      </c>
      <c r="I21" s="230" t="s">
        <v>4376</v>
      </c>
      <c r="J21" s="230">
        <v>97</v>
      </c>
      <c r="K21" s="230">
        <v>100</v>
      </c>
      <c r="L21" s="230" t="s">
        <v>8803</v>
      </c>
      <c r="M21" s="230" t="s">
        <v>4784</v>
      </c>
      <c r="N21" s="230">
        <v>9</v>
      </c>
      <c r="O21" s="230">
        <v>65</v>
      </c>
      <c r="P21" s="230">
        <v>1402</v>
      </c>
      <c r="Q21" s="230">
        <v>108</v>
      </c>
      <c r="R21" s="230">
        <v>50</v>
      </c>
      <c r="S21" s="230">
        <v>78</v>
      </c>
      <c r="T21" s="230">
        <v>169</v>
      </c>
      <c r="U21" s="230">
        <v>170</v>
      </c>
      <c r="V21" s="230" t="s">
        <v>8804</v>
      </c>
      <c r="W21" s="230">
        <v>79</v>
      </c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  <c r="AQ21" s="232"/>
      <c r="AR21" s="232"/>
      <c r="AS21" s="232"/>
      <c r="AT21" s="232"/>
      <c r="AU21" s="232"/>
      <c r="AV21" s="232"/>
      <c r="AW21" s="232"/>
    </row>
    <row r="22" spans="1:49" ht="17" x14ac:dyDescent="0.2">
      <c r="A22" s="229" t="s">
        <v>8805</v>
      </c>
      <c r="B22" s="230" t="s">
        <v>8736</v>
      </c>
      <c r="C22" s="230">
        <v>13</v>
      </c>
      <c r="D22" s="230">
        <v>46</v>
      </c>
      <c r="E22" s="231"/>
      <c r="F22" s="230">
        <v>64</v>
      </c>
      <c r="G22" s="230">
        <v>154</v>
      </c>
      <c r="H22" s="230" t="s">
        <v>8806</v>
      </c>
      <c r="I22" s="230" t="s">
        <v>8807</v>
      </c>
      <c r="J22" s="230">
        <v>102</v>
      </c>
      <c r="K22" s="230">
        <v>118</v>
      </c>
      <c r="L22" s="230" t="s">
        <v>4213</v>
      </c>
      <c r="M22" s="230" t="s">
        <v>8808</v>
      </c>
      <c r="N22" s="230">
        <v>12</v>
      </c>
      <c r="O22" s="230">
        <v>73</v>
      </c>
      <c r="P22" s="230">
        <v>1388</v>
      </c>
      <c r="Q22" s="230">
        <v>111</v>
      </c>
      <c r="R22" s="230">
        <v>70</v>
      </c>
      <c r="S22" s="230">
        <v>97</v>
      </c>
      <c r="T22" s="230">
        <v>239</v>
      </c>
      <c r="U22" s="230">
        <v>132</v>
      </c>
      <c r="V22" s="230" t="s">
        <v>4727</v>
      </c>
      <c r="W22" s="230">
        <v>147</v>
      </c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2"/>
    </row>
    <row r="23" spans="1:49" ht="17" x14ac:dyDescent="0.2">
      <c r="A23" s="229" t="s">
        <v>8809</v>
      </c>
      <c r="B23" s="230" t="s">
        <v>8736</v>
      </c>
      <c r="C23" s="230"/>
      <c r="D23" s="230"/>
      <c r="E23" s="231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>
        <v>84</v>
      </c>
      <c r="T23" s="230">
        <v>149</v>
      </c>
      <c r="U23" s="230">
        <v>72</v>
      </c>
      <c r="V23" s="230" t="s">
        <v>8810</v>
      </c>
      <c r="W23" s="230">
        <v>83</v>
      </c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  <c r="AT23" s="232"/>
      <c r="AU23" s="232"/>
      <c r="AV23" s="232"/>
      <c r="AW23" s="232"/>
    </row>
    <row r="24" spans="1:49" ht="17" x14ac:dyDescent="0.2">
      <c r="A24" s="229" t="s">
        <v>8811</v>
      </c>
      <c r="B24" s="230" t="s">
        <v>8736</v>
      </c>
      <c r="C24" s="230">
        <v>13</v>
      </c>
      <c r="D24" s="230"/>
      <c r="E24" s="231">
        <v>42439</v>
      </c>
      <c r="F24" s="230">
        <v>41</v>
      </c>
      <c r="G24" s="230">
        <v>155</v>
      </c>
      <c r="H24" s="230">
        <v>80</v>
      </c>
      <c r="I24" s="230">
        <v>33.299999999999997</v>
      </c>
      <c r="J24" s="230">
        <v>101</v>
      </c>
      <c r="K24" s="230">
        <v>108</v>
      </c>
      <c r="L24" s="230">
        <v>46.3</v>
      </c>
      <c r="M24" s="230">
        <v>23.9</v>
      </c>
      <c r="N24" s="230">
        <v>9</v>
      </c>
      <c r="O24" s="230">
        <v>63</v>
      </c>
      <c r="P24" s="230">
        <v>1466</v>
      </c>
      <c r="Q24" s="230">
        <v>116</v>
      </c>
      <c r="R24" s="230">
        <v>89</v>
      </c>
      <c r="S24" s="230">
        <v>82</v>
      </c>
      <c r="T24" s="230">
        <v>212</v>
      </c>
      <c r="U24" s="230">
        <v>191</v>
      </c>
      <c r="V24" s="230" t="s">
        <v>8784</v>
      </c>
      <c r="W24" s="230">
        <v>127</v>
      </c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</row>
    <row r="25" spans="1:49" ht="17" x14ac:dyDescent="0.2">
      <c r="A25" s="229" t="s">
        <v>8812</v>
      </c>
      <c r="B25" s="230" t="s">
        <v>8736</v>
      </c>
      <c r="C25" s="230">
        <v>13</v>
      </c>
      <c r="D25" s="230">
        <v>38</v>
      </c>
      <c r="E25" s="231"/>
      <c r="F25" s="230">
        <v>57</v>
      </c>
      <c r="G25" s="230">
        <v>158</v>
      </c>
      <c r="H25" s="230">
        <v>81.8</v>
      </c>
      <c r="I25" s="230">
        <v>32.799999999999997</v>
      </c>
      <c r="J25" s="230">
        <v>101</v>
      </c>
      <c r="K25" s="230">
        <v>109</v>
      </c>
      <c r="L25" s="230">
        <v>49.9</v>
      </c>
      <c r="M25" s="230">
        <v>21.1</v>
      </c>
      <c r="N25" s="230">
        <v>12</v>
      </c>
      <c r="O25" s="230">
        <v>71</v>
      </c>
      <c r="P25" s="230"/>
      <c r="Q25" s="230"/>
      <c r="R25" s="230"/>
      <c r="S25" s="230">
        <v>89</v>
      </c>
      <c r="T25" s="230">
        <v>190</v>
      </c>
      <c r="U25" s="230">
        <v>136</v>
      </c>
      <c r="V25" s="230" t="s">
        <v>8813</v>
      </c>
      <c r="W25" s="230">
        <v>122</v>
      </c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2"/>
    </row>
    <row r="26" spans="1:49" ht="17" x14ac:dyDescent="0.2">
      <c r="A26" s="229" t="s">
        <v>8814</v>
      </c>
      <c r="B26" s="230" t="s">
        <v>8736</v>
      </c>
      <c r="C26" s="230"/>
      <c r="D26" s="230"/>
      <c r="E26" s="231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>
        <v>82</v>
      </c>
      <c r="T26" s="230">
        <v>185</v>
      </c>
      <c r="U26" s="230">
        <v>134</v>
      </c>
      <c r="V26" s="230" t="s">
        <v>8815</v>
      </c>
      <c r="W26" s="230">
        <v>99</v>
      </c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2"/>
    </row>
    <row r="27" spans="1:49" ht="17" x14ac:dyDescent="0.2">
      <c r="A27" s="229" t="s">
        <v>8816</v>
      </c>
      <c r="B27" s="230" t="s">
        <v>8736</v>
      </c>
      <c r="C27" s="230">
        <v>12</v>
      </c>
      <c r="D27" s="230"/>
      <c r="E27" s="231">
        <v>42432</v>
      </c>
      <c r="F27" s="230">
        <v>40</v>
      </c>
      <c r="G27" s="230">
        <v>158</v>
      </c>
      <c r="H27" s="230">
        <v>78.3</v>
      </c>
      <c r="I27" s="230">
        <v>31.4</v>
      </c>
      <c r="J27" s="230">
        <v>95</v>
      </c>
      <c r="K27" s="230">
        <v>110</v>
      </c>
      <c r="L27" s="230">
        <v>48.9</v>
      </c>
      <c r="M27" s="230">
        <v>21.5</v>
      </c>
      <c r="N27" s="230">
        <v>9</v>
      </c>
      <c r="O27" s="230">
        <v>60</v>
      </c>
      <c r="P27" s="230">
        <v>1495</v>
      </c>
      <c r="Q27" s="230">
        <v>132</v>
      </c>
      <c r="R27" s="230">
        <v>96</v>
      </c>
      <c r="S27" s="230">
        <v>84</v>
      </c>
      <c r="T27" s="230">
        <v>198</v>
      </c>
      <c r="U27" s="230">
        <v>86</v>
      </c>
      <c r="V27" s="230" t="s">
        <v>8817</v>
      </c>
      <c r="W27" s="230">
        <v>105</v>
      </c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  <c r="AP27" s="232"/>
      <c r="AQ27" s="232"/>
      <c r="AR27" s="232"/>
      <c r="AS27" s="232"/>
      <c r="AT27" s="232"/>
      <c r="AU27" s="232"/>
      <c r="AV27" s="232"/>
      <c r="AW27" s="232"/>
    </row>
    <row r="28" spans="1:49" ht="17" x14ac:dyDescent="0.2">
      <c r="A28" s="229" t="s">
        <v>8818</v>
      </c>
      <c r="B28" s="230" t="s">
        <v>8736</v>
      </c>
      <c r="C28" s="230">
        <v>10</v>
      </c>
      <c r="D28" s="230">
        <v>32</v>
      </c>
      <c r="E28" s="231"/>
      <c r="F28" s="230">
        <v>49</v>
      </c>
      <c r="G28" s="230">
        <v>156</v>
      </c>
      <c r="H28" s="230">
        <v>69.400000000000006</v>
      </c>
      <c r="I28" s="230">
        <v>28.5</v>
      </c>
      <c r="J28" s="230">
        <v>92</v>
      </c>
      <c r="K28" s="230">
        <v>100</v>
      </c>
      <c r="L28" s="230">
        <v>37.700000000000003</v>
      </c>
      <c r="M28" s="230">
        <v>27.8</v>
      </c>
      <c r="N28" s="230">
        <v>9</v>
      </c>
      <c r="O28" s="230">
        <v>58</v>
      </c>
      <c r="P28" s="230">
        <v>1380</v>
      </c>
      <c r="Q28" s="230">
        <v>111</v>
      </c>
      <c r="R28" s="230">
        <v>83</v>
      </c>
      <c r="S28" s="230">
        <v>122</v>
      </c>
      <c r="T28" s="230">
        <v>258</v>
      </c>
      <c r="U28" s="230">
        <v>532</v>
      </c>
      <c r="V28" s="230" t="s">
        <v>8819</v>
      </c>
      <c r="W28" s="230">
        <v>119</v>
      </c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2"/>
    </row>
    <row r="29" spans="1:49" ht="17" x14ac:dyDescent="0.2">
      <c r="A29" s="229" t="s">
        <v>8820</v>
      </c>
      <c r="B29" s="230" t="s">
        <v>8736</v>
      </c>
      <c r="C29" s="230">
        <v>15</v>
      </c>
      <c r="D29" s="230"/>
      <c r="E29" s="231">
        <v>42426</v>
      </c>
      <c r="F29" s="230">
        <v>40</v>
      </c>
      <c r="G29" s="230">
        <v>168</v>
      </c>
      <c r="H29" s="230">
        <v>125</v>
      </c>
      <c r="I29" s="230" t="s">
        <v>8821</v>
      </c>
      <c r="J29" s="230">
        <v>124</v>
      </c>
      <c r="K29" s="230">
        <v>142</v>
      </c>
      <c r="L29" s="230"/>
      <c r="M29" s="230"/>
      <c r="N29" s="230"/>
      <c r="O29" s="230"/>
      <c r="P29" s="230"/>
      <c r="Q29" s="230">
        <v>118</v>
      </c>
      <c r="R29" s="230">
        <v>88</v>
      </c>
      <c r="S29" s="230">
        <v>94</v>
      </c>
      <c r="T29" s="230">
        <v>229</v>
      </c>
      <c r="U29" s="230">
        <v>125</v>
      </c>
      <c r="V29" s="230" t="s">
        <v>8822</v>
      </c>
      <c r="W29" s="230">
        <v>155</v>
      </c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  <c r="AN29" s="232"/>
      <c r="AO29" s="232"/>
      <c r="AP29" s="232"/>
      <c r="AQ29" s="232"/>
      <c r="AR29" s="232"/>
      <c r="AS29" s="232"/>
      <c r="AT29" s="232"/>
      <c r="AU29" s="232"/>
      <c r="AV29" s="232"/>
      <c r="AW29" s="232"/>
    </row>
    <row r="30" spans="1:49" ht="17" x14ac:dyDescent="0.2">
      <c r="A30" s="229" t="s">
        <v>8823</v>
      </c>
      <c r="B30" s="230" t="s">
        <v>8736</v>
      </c>
      <c r="C30" s="230">
        <v>14</v>
      </c>
      <c r="D30" s="230"/>
      <c r="E30" s="231">
        <v>42425</v>
      </c>
      <c r="F30" s="230">
        <v>42</v>
      </c>
      <c r="G30" s="230">
        <v>155</v>
      </c>
      <c r="H30" s="230">
        <v>58.6</v>
      </c>
      <c r="I30" s="230">
        <v>24.4</v>
      </c>
      <c r="J30" s="230">
        <v>84</v>
      </c>
      <c r="K30" s="230">
        <v>102</v>
      </c>
      <c r="L30" s="230">
        <v>39.700000000000003</v>
      </c>
      <c r="M30" s="230">
        <v>23.5</v>
      </c>
      <c r="N30" s="230">
        <v>6</v>
      </c>
      <c r="O30" s="230">
        <v>46</v>
      </c>
      <c r="P30" s="230">
        <v>1252</v>
      </c>
      <c r="Q30" s="230">
        <v>119</v>
      </c>
      <c r="R30" s="230">
        <v>86</v>
      </c>
      <c r="S30" s="230">
        <v>90</v>
      </c>
      <c r="T30" s="230">
        <v>207</v>
      </c>
      <c r="U30" s="230">
        <v>196</v>
      </c>
      <c r="V30" s="230" t="s">
        <v>4774</v>
      </c>
      <c r="W30" s="230">
        <v>123</v>
      </c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</row>
    <row r="31" spans="1:49" ht="17" x14ac:dyDescent="0.2">
      <c r="A31" s="229" t="s">
        <v>8824</v>
      </c>
      <c r="B31" s="230" t="s">
        <v>8736</v>
      </c>
      <c r="C31" s="230"/>
      <c r="D31" s="230"/>
      <c r="E31" s="231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>
        <v>82</v>
      </c>
      <c r="T31" s="230">
        <v>131</v>
      </c>
      <c r="U31" s="230">
        <v>49</v>
      </c>
      <c r="V31" s="230" t="s">
        <v>4244</v>
      </c>
      <c r="W31" s="230">
        <v>83</v>
      </c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2"/>
    </row>
    <row r="32" spans="1:49" ht="17" x14ac:dyDescent="0.2">
      <c r="A32" s="229" t="s">
        <v>8825</v>
      </c>
      <c r="B32" s="230" t="s">
        <v>8736</v>
      </c>
      <c r="C32" s="230">
        <v>11</v>
      </c>
      <c r="D32" s="230"/>
      <c r="E32" s="231">
        <v>42409</v>
      </c>
      <c r="F32" s="230">
        <v>30</v>
      </c>
      <c r="G32" s="230">
        <v>152</v>
      </c>
      <c r="H32" s="230">
        <v>90.5</v>
      </c>
      <c r="I32" s="230">
        <v>39.200000000000003</v>
      </c>
      <c r="J32" s="230">
        <v>110</v>
      </c>
      <c r="K32" s="230">
        <v>120</v>
      </c>
      <c r="L32" s="230">
        <v>53.2</v>
      </c>
      <c r="M32" s="230">
        <v>20.9</v>
      </c>
      <c r="N32" s="230">
        <v>9</v>
      </c>
      <c r="O32" s="230">
        <v>66</v>
      </c>
      <c r="P32" s="230">
        <v>1541</v>
      </c>
      <c r="Q32" s="230">
        <v>108</v>
      </c>
      <c r="R32" s="230">
        <v>79</v>
      </c>
      <c r="S32" s="230">
        <v>76</v>
      </c>
      <c r="T32" s="230">
        <v>197</v>
      </c>
      <c r="U32" s="230">
        <v>165</v>
      </c>
      <c r="V32" s="230" t="s">
        <v>8826</v>
      </c>
      <c r="W32" s="230">
        <v>118</v>
      </c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2"/>
    </row>
    <row r="33" spans="1:49" ht="17" x14ac:dyDescent="0.2">
      <c r="A33" s="229" t="s">
        <v>8827</v>
      </c>
      <c r="B33" s="230" t="s">
        <v>8736</v>
      </c>
      <c r="C33" s="230">
        <v>15</v>
      </c>
      <c r="D33" s="230">
        <v>37</v>
      </c>
      <c r="E33" s="231"/>
      <c r="F33" s="230">
        <v>56</v>
      </c>
      <c r="G33" s="230">
        <v>140</v>
      </c>
      <c r="H33" s="230" t="s">
        <v>8801</v>
      </c>
      <c r="I33" s="230" t="s">
        <v>8828</v>
      </c>
      <c r="J33" s="230">
        <v>81</v>
      </c>
      <c r="K33" s="230">
        <v>98</v>
      </c>
      <c r="L33" s="230" t="s">
        <v>8829</v>
      </c>
      <c r="M33" s="230" t="s">
        <v>4892</v>
      </c>
      <c r="N33" s="230">
        <v>8</v>
      </c>
      <c r="O33" s="230">
        <v>60</v>
      </c>
      <c r="P33" s="230">
        <v>1089</v>
      </c>
      <c r="Q33" s="230">
        <v>106</v>
      </c>
      <c r="R33" s="230">
        <v>78</v>
      </c>
      <c r="S33" s="230">
        <v>87</v>
      </c>
      <c r="T33" s="230">
        <v>200</v>
      </c>
      <c r="U33" s="230">
        <v>143</v>
      </c>
      <c r="V33" s="230" t="s">
        <v>8830</v>
      </c>
      <c r="W33" s="230">
        <v>120</v>
      </c>
      <c r="X33" s="232"/>
      <c r="Y33" s="232"/>
      <c r="Z33" s="232"/>
      <c r="AA33" s="232"/>
      <c r="AB33" s="232"/>
      <c r="AC33" s="232"/>
      <c r="AD33" s="232"/>
      <c r="AE33" s="232"/>
      <c r="AF33" s="232"/>
      <c r="AG33" s="232"/>
      <c r="AH33" s="232"/>
      <c r="AI33" s="232"/>
      <c r="AJ33" s="232"/>
      <c r="AK33" s="232"/>
      <c r="AL33" s="232"/>
      <c r="AM33" s="232"/>
      <c r="AN33" s="232"/>
      <c r="AO33" s="232"/>
      <c r="AP33" s="232"/>
      <c r="AQ33" s="232"/>
      <c r="AR33" s="232"/>
      <c r="AS33" s="232"/>
      <c r="AT33" s="232"/>
      <c r="AU33" s="232"/>
      <c r="AV33" s="232"/>
      <c r="AW33" s="232"/>
    </row>
    <row r="34" spans="1:49" ht="17" x14ac:dyDescent="0.2">
      <c r="A34" s="229" t="s">
        <v>8831</v>
      </c>
      <c r="B34" s="230" t="s">
        <v>8736</v>
      </c>
      <c r="C34" s="230">
        <v>56</v>
      </c>
      <c r="D34" s="230">
        <v>36</v>
      </c>
      <c r="E34" s="231"/>
      <c r="F34" s="230">
        <v>56</v>
      </c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>
        <v>90</v>
      </c>
      <c r="T34" s="230">
        <v>215</v>
      </c>
      <c r="U34" s="230">
        <v>133</v>
      </c>
      <c r="V34" s="230" t="s">
        <v>8832</v>
      </c>
      <c r="W34" s="230">
        <v>128</v>
      </c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2"/>
    </row>
    <row r="35" spans="1:49" ht="17" x14ac:dyDescent="0.2">
      <c r="A35" s="229" t="s">
        <v>8833</v>
      </c>
      <c r="B35" s="230" t="s">
        <v>8736</v>
      </c>
      <c r="C35" s="230"/>
      <c r="D35" s="230"/>
      <c r="E35" s="231"/>
      <c r="F35" s="230">
        <v>30</v>
      </c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>
        <v>80</v>
      </c>
      <c r="T35" s="230">
        <v>126</v>
      </c>
      <c r="U35" s="230">
        <v>98</v>
      </c>
      <c r="V35" s="230" t="s">
        <v>8834</v>
      </c>
      <c r="W35" s="230">
        <v>78</v>
      </c>
      <c r="X35" s="232"/>
      <c r="Y35" s="232"/>
      <c r="Z35" s="232"/>
      <c r="AA35" s="232"/>
      <c r="AB35" s="232"/>
      <c r="AC35" s="232"/>
      <c r="AD35" s="232"/>
      <c r="AE35" s="232"/>
      <c r="AF35" s="232"/>
      <c r="AG35" s="232"/>
      <c r="AH35" s="232"/>
      <c r="AI35" s="232"/>
      <c r="AJ35" s="232"/>
      <c r="AK35" s="232"/>
      <c r="AL35" s="232"/>
      <c r="AM35" s="232"/>
      <c r="AN35" s="232"/>
      <c r="AO35" s="232"/>
      <c r="AP35" s="232"/>
      <c r="AQ35" s="232"/>
      <c r="AR35" s="232"/>
      <c r="AS35" s="232"/>
      <c r="AT35" s="232"/>
      <c r="AU35" s="232"/>
      <c r="AV35" s="232"/>
      <c r="AW35" s="232"/>
    </row>
    <row r="36" spans="1:49" ht="17" x14ac:dyDescent="0.2">
      <c r="A36" s="229" t="s">
        <v>8835</v>
      </c>
      <c r="B36" s="230" t="s">
        <v>8736</v>
      </c>
      <c r="C36" s="230">
        <v>12</v>
      </c>
      <c r="D36" s="230"/>
      <c r="E36" s="231"/>
      <c r="F36" s="230">
        <v>28</v>
      </c>
      <c r="G36" s="230">
        <v>154</v>
      </c>
      <c r="H36" s="230" t="s">
        <v>8786</v>
      </c>
      <c r="I36" s="230" t="s">
        <v>8836</v>
      </c>
      <c r="J36" s="230">
        <v>86</v>
      </c>
      <c r="K36" s="230">
        <v>100</v>
      </c>
      <c r="L36" s="230" t="s">
        <v>8837</v>
      </c>
      <c r="M36" s="230" t="s">
        <v>7466</v>
      </c>
      <c r="N36" s="230">
        <v>6</v>
      </c>
      <c r="O36" s="230">
        <v>45</v>
      </c>
      <c r="P36" s="230">
        <v>1274</v>
      </c>
      <c r="Q36" s="230">
        <v>115</v>
      </c>
      <c r="R36" s="230">
        <v>78</v>
      </c>
      <c r="S36" s="230">
        <v>70</v>
      </c>
      <c r="T36" s="230">
        <v>139</v>
      </c>
      <c r="U36" s="230">
        <v>116</v>
      </c>
      <c r="V36" s="230" t="s">
        <v>8813</v>
      </c>
      <c r="W36" s="230">
        <v>75</v>
      </c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  <c r="AS36" s="232"/>
      <c r="AT36" s="232"/>
      <c r="AU36" s="232"/>
      <c r="AV36" s="232"/>
      <c r="AW36" s="232"/>
    </row>
    <row r="37" spans="1:49" ht="17" x14ac:dyDescent="0.2">
      <c r="A37" s="229" t="s">
        <v>8838</v>
      </c>
      <c r="B37" s="230" t="s">
        <v>8736</v>
      </c>
      <c r="C37" s="230">
        <v>11</v>
      </c>
      <c r="D37" s="230"/>
      <c r="E37" s="231">
        <v>42309</v>
      </c>
      <c r="F37" s="230">
        <v>19</v>
      </c>
      <c r="G37" s="230">
        <v>150</v>
      </c>
      <c r="H37" s="230" t="s">
        <v>8810</v>
      </c>
      <c r="I37" s="230" t="s">
        <v>250</v>
      </c>
      <c r="J37" s="230">
        <v>74</v>
      </c>
      <c r="K37" s="230">
        <v>86</v>
      </c>
      <c r="L37" s="230" t="s">
        <v>8834</v>
      </c>
      <c r="M37" s="230" t="s">
        <v>8839</v>
      </c>
      <c r="N37" s="230">
        <v>5</v>
      </c>
      <c r="O37" s="230">
        <v>18</v>
      </c>
      <c r="P37" s="230">
        <v>1492</v>
      </c>
      <c r="Q37" s="230">
        <v>115</v>
      </c>
      <c r="R37" s="230">
        <v>76</v>
      </c>
      <c r="S37" s="230">
        <v>80</v>
      </c>
      <c r="T37" s="230">
        <v>142</v>
      </c>
      <c r="U37" s="230">
        <v>47</v>
      </c>
      <c r="V37" s="230" t="s">
        <v>8840</v>
      </c>
      <c r="W37" s="230">
        <v>64</v>
      </c>
      <c r="X37" s="232"/>
      <c r="Y37" s="232"/>
      <c r="Z37" s="232"/>
      <c r="AA37" s="232"/>
      <c r="AB37" s="232"/>
      <c r="AC37" s="232"/>
      <c r="AD37" s="232"/>
      <c r="AE37" s="232"/>
      <c r="AF37" s="232"/>
      <c r="AG37" s="232"/>
      <c r="AH37" s="232"/>
      <c r="AI37" s="232"/>
      <c r="AJ37" s="232"/>
      <c r="AK37" s="232"/>
      <c r="AL37" s="232"/>
      <c r="AM37" s="232"/>
      <c r="AN37" s="232"/>
      <c r="AO37" s="232"/>
      <c r="AP37" s="232"/>
      <c r="AQ37" s="232"/>
      <c r="AR37" s="232"/>
      <c r="AS37" s="232"/>
      <c r="AT37" s="232"/>
      <c r="AU37" s="232"/>
      <c r="AV37" s="232"/>
      <c r="AW37" s="232"/>
    </row>
    <row r="38" spans="1:49" ht="17" x14ac:dyDescent="0.2">
      <c r="A38" s="229" t="s">
        <v>8841</v>
      </c>
      <c r="B38" s="230" t="s">
        <v>8736</v>
      </c>
      <c r="C38" s="230"/>
      <c r="D38" s="230"/>
      <c r="E38" s="231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>
        <v>81</v>
      </c>
      <c r="T38" s="230">
        <v>202</v>
      </c>
      <c r="U38" s="230">
        <v>214</v>
      </c>
      <c r="V38" s="230" t="s">
        <v>8842</v>
      </c>
      <c r="W38" s="230">
        <v>103</v>
      </c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232"/>
      <c r="AV38" s="232"/>
      <c r="AW38" s="232"/>
    </row>
    <row r="39" spans="1:49" ht="17" x14ac:dyDescent="0.2">
      <c r="A39" s="229" t="s">
        <v>8843</v>
      </c>
      <c r="B39" s="230" t="s">
        <v>8736</v>
      </c>
      <c r="C39" s="230">
        <v>9</v>
      </c>
      <c r="D39" s="230"/>
      <c r="E39" s="231">
        <v>42428</v>
      </c>
      <c r="F39" s="230">
        <v>33</v>
      </c>
      <c r="G39" s="230">
        <v>163</v>
      </c>
      <c r="H39" s="230">
        <v>59</v>
      </c>
      <c r="I39" s="230">
        <v>22.2</v>
      </c>
      <c r="J39" s="230">
        <v>83</v>
      </c>
      <c r="K39" s="230">
        <v>96</v>
      </c>
      <c r="L39" s="230">
        <v>37.200000000000003</v>
      </c>
      <c r="M39" s="230">
        <v>23</v>
      </c>
      <c r="N39" s="230">
        <v>5</v>
      </c>
      <c r="O39" s="230">
        <v>30</v>
      </c>
      <c r="P39" s="230">
        <v>1312</v>
      </c>
      <c r="Q39" s="230">
        <v>121</v>
      </c>
      <c r="R39" s="230">
        <v>83</v>
      </c>
      <c r="S39" s="230">
        <v>69</v>
      </c>
      <c r="T39" s="230">
        <v>213</v>
      </c>
      <c r="U39" s="230">
        <v>80</v>
      </c>
      <c r="V39" s="230" t="s">
        <v>8844</v>
      </c>
      <c r="W39" s="230">
        <v>132</v>
      </c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  <c r="AP39" s="232"/>
      <c r="AQ39" s="232"/>
      <c r="AR39" s="232"/>
      <c r="AS39" s="232"/>
      <c r="AT39" s="232"/>
      <c r="AU39" s="232"/>
      <c r="AV39" s="232"/>
      <c r="AW39" s="232"/>
    </row>
    <row r="40" spans="1:49" ht="17" x14ac:dyDescent="0.2">
      <c r="A40" s="229" t="s">
        <v>8845</v>
      </c>
      <c r="B40" s="230" t="s">
        <v>8736</v>
      </c>
      <c r="C40" s="230"/>
      <c r="D40" s="230"/>
      <c r="E40" s="231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>
        <v>95</v>
      </c>
      <c r="T40" s="230">
        <v>103</v>
      </c>
      <c r="U40" s="230">
        <v>34</v>
      </c>
      <c r="V40" s="230" t="s">
        <v>8832</v>
      </c>
      <c r="W40" s="230">
        <v>36</v>
      </c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2"/>
    </row>
    <row r="41" spans="1:49" ht="17" x14ac:dyDescent="0.2">
      <c r="A41" s="229" t="s">
        <v>8846</v>
      </c>
      <c r="B41" s="230" t="s">
        <v>8736</v>
      </c>
      <c r="C41" s="230">
        <v>12</v>
      </c>
      <c r="D41" s="230"/>
      <c r="E41" s="231">
        <v>42422</v>
      </c>
      <c r="F41" s="230">
        <v>44</v>
      </c>
      <c r="G41" s="230">
        <v>156</v>
      </c>
      <c r="H41" s="230" t="s">
        <v>4862</v>
      </c>
      <c r="I41" s="230" t="s">
        <v>8847</v>
      </c>
      <c r="J41" s="230">
        <v>89</v>
      </c>
      <c r="K41" s="230">
        <v>103</v>
      </c>
      <c r="L41" s="230" t="s">
        <v>8848</v>
      </c>
      <c r="M41" s="230" t="s">
        <v>8849</v>
      </c>
      <c r="N41" s="230">
        <v>9</v>
      </c>
      <c r="O41" s="230">
        <v>61</v>
      </c>
      <c r="P41" s="230">
        <v>1401</v>
      </c>
      <c r="Q41" s="230">
        <v>108</v>
      </c>
      <c r="R41" s="230">
        <v>69</v>
      </c>
      <c r="S41" s="230">
        <v>98</v>
      </c>
      <c r="T41" s="230">
        <v>202</v>
      </c>
      <c r="U41" s="230">
        <v>217</v>
      </c>
      <c r="V41" s="230" t="s">
        <v>8850</v>
      </c>
      <c r="W41" s="230">
        <v>122</v>
      </c>
      <c r="X41" s="232"/>
      <c r="Y41" s="232"/>
      <c r="Z41" s="232"/>
      <c r="AA41" s="232"/>
      <c r="AB41" s="232"/>
      <c r="AC41" s="232"/>
      <c r="AD41" s="232"/>
      <c r="AE41" s="232"/>
      <c r="AF41" s="232"/>
      <c r="AG41" s="232"/>
      <c r="AH41" s="232"/>
      <c r="AI41" s="232"/>
      <c r="AJ41" s="232"/>
      <c r="AK41" s="232"/>
      <c r="AL41" s="232"/>
      <c r="AM41" s="232"/>
      <c r="AN41" s="232"/>
      <c r="AO41" s="232"/>
      <c r="AP41" s="232"/>
      <c r="AQ41" s="232"/>
      <c r="AR41" s="232"/>
      <c r="AS41" s="232"/>
      <c r="AT41" s="232"/>
      <c r="AU41" s="232"/>
      <c r="AV41" s="232"/>
      <c r="AW41" s="232"/>
    </row>
    <row r="42" spans="1:49" ht="17" x14ac:dyDescent="0.2">
      <c r="A42" s="229" t="s">
        <v>8851</v>
      </c>
      <c r="B42" s="230" t="s">
        <v>8736</v>
      </c>
      <c r="C42" s="230">
        <v>10</v>
      </c>
      <c r="D42" s="230"/>
      <c r="E42" s="231">
        <v>42402</v>
      </c>
      <c r="F42" s="230">
        <v>46</v>
      </c>
      <c r="G42" s="230">
        <v>168</v>
      </c>
      <c r="H42" s="230" t="s">
        <v>8852</v>
      </c>
      <c r="I42" s="230" t="s">
        <v>8853</v>
      </c>
      <c r="J42" s="230">
        <v>100</v>
      </c>
      <c r="K42" s="230">
        <v>122</v>
      </c>
      <c r="L42" s="230" t="s">
        <v>4409</v>
      </c>
      <c r="M42" s="230" t="s">
        <v>8854</v>
      </c>
      <c r="N42" s="230">
        <v>10</v>
      </c>
      <c r="O42" s="230">
        <v>65</v>
      </c>
      <c r="P42" s="230">
        <v>1665</v>
      </c>
      <c r="Q42" s="230">
        <v>122</v>
      </c>
      <c r="R42" s="230">
        <v>79</v>
      </c>
      <c r="S42" s="230">
        <v>84</v>
      </c>
      <c r="T42" s="230">
        <v>169</v>
      </c>
      <c r="U42" s="230">
        <v>131</v>
      </c>
      <c r="V42" s="230" t="s">
        <v>8855</v>
      </c>
      <c r="W42" s="230">
        <v>97</v>
      </c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2"/>
    </row>
    <row r="43" spans="1:49" ht="17" x14ac:dyDescent="0.2">
      <c r="A43" s="229" t="s">
        <v>8856</v>
      </c>
      <c r="B43" s="230" t="s">
        <v>8736</v>
      </c>
      <c r="C43" s="230">
        <v>11</v>
      </c>
      <c r="D43" s="230"/>
      <c r="E43" s="231">
        <v>42423</v>
      </c>
      <c r="F43" s="230">
        <v>43</v>
      </c>
      <c r="G43" s="230">
        <v>152</v>
      </c>
      <c r="H43" s="230" t="s">
        <v>8857</v>
      </c>
      <c r="I43" s="230" t="s">
        <v>8858</v>
      </c>
      <c r="J43" s="230"/>
      <c r="K43" s="230"/>
      <c r="L43" s="230" t="s">
        <v>8859</v>
      </c>
      <c r="M43" s="230" t="s">
        <v>8860</v>
      </c>
      <c r="N43" s="230">
        <v>11</v>
      </c>
      <c r="O43" s="230">
        <v>70</v>
      </c>
      <c r="P43" s="230">
        <v>1492</v>
      </c>
      <c r="Q43" s="230">
        <v>124</v>
      </c>
      <c r="R43" s="230">
        <v>82</v>
      </c>
      <c r="S43" s="230">
        <v>81</v>
      </c>
      <c r="T43" s="230">
        <v>162</v>
      </c>
      <c r="U43" s="230">
        <v>150</v>
      </c>
      <c r="V43" s="230" t="s">
        <v>8861</v>
      </c>
      <c r="W43" s="230">
        <v>83</v>
      </c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  <c r="AP43" s="232"/>
      <c r="AQ43" s="232"/>
      <c r="AR43" s="232"/>
      <c r="AS43" s="232"/>
      <c r="AT43" s="232"/>
      <c r="AU43" s="232"/>
      <c r="AV43" s="232"/>
      <c r="AW43" s="232"/>
    </row>
    <row r="44" spans="1:49" ht="17" x14ac:dyDescent="0.2">
      <c r="A44" s="229" t="s">
        <v>8862</v>
      </c>
      <c r="B44" s="230" t="s">
        <v>8736</v>
      </c>
      <c r="C44" s="230">
        <v>13</v>
      </c>
      <c r="D44" s="230"/>
      <c r="E44" s="231">
        <v>42424</v>
      </c>
      <c r="F44" s="230">
        <v>39</v>
      </c>
      <c r="G44" s="230">
        <v>162</v>
      </c>
      <c r="H44" s="230" t="s">
        <v>8863</v>
      </c>
      <c r="I44" s="230" t="s">
        <v>8864</v>
      </c>
      <c r="J44" s="230">
        <v>88</v>
      </c>
      <c r="K44" s="230">
        <v>103</v>
      </c>
      <c r="L44" s="230" t="s">
        <v>8865</v>
      </c>
      <c r="M44" s="230" t="s">
        <v>8866</v>
      </c>
      <c r="N44" s="230">
        <v>6</v>
      </c>
      <c r="O44" s="230">
        <v>18</v>
      </c>
      <c r="P44" s="230">
        <v>2005</v>
      </c>
      <c r="Q44" s="230">
        <v>133</v>
      </c>
      <c r="R44" s="230">
        <v>83</v>
      </c>
      <c r="S44" s="230">
        <v>74</v>
      </c>
      <c r="T44" s="230">
        <v>112</v>
      </c>
      <c r="U44" s="230">
        <v>70</v>
      </c>
      <c r="V44" s="230" t="s">
        <v>8813</v>
      </c>
      <c r="W44" s="230">
        <v>57</v>
      </c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</row>
    <row r="45" spans="1:49" ht="17" x14ac:dyDescent="0.2">
      <c r="A45" s="229" t="s">
        <v>8867</v>
      </c>
      <c r="B45" s="230" t="s">
        <v>8736</v>
      </c>
      <c r="C45" s="230">
        <v>12</v>
      </c>
      <c r="D45" s="230"/>
      <c r="E45" s="231">
        <v>42429</v>
      </c>
      <c r="F45" s="230">
        <v>44</v>
      </c>
      <c r="G45" s="230">
        <v>155</v>
      </c>
      <c r="H45" s="230" t="s">
        <v>8868</v>
      </c>
      <c r="I45" s="230" t="s">
        <v>8869</v>
      </c>
      <c r="J45" s="230" t="s">
        <v>8870</v>
      </c>
      <c r="K45" s="230">
        <v>87</v>
      </c>
      <c r="L45" s="230" t="s">
        <v>8871</v>
      </c>
      <c r="M45" s="230" t="s">
        <v>7442</v>
      </c>
      <c r="N45" s="230">
        <v>7</v>
      </c>
      <c r="O45" s="230">
        <v>49</v>
      </c>
      <c r="P45" s="230">
        <v>1265</v>
      </c>
      <c r="Q45" s="230">
        <v>119</v>
      </c>
      <c r="R45" s="230">
        <v>79</v>
      </c>
      <c r="S45" s="230">
        <v>96</v>
      </c>
      <c r="T45" s="230">
        <v>199</v>
      </c>
      <c r="U45" s="230">
        <v>74</v>
      </c>
      <c r="V45" s="230" t="s">
        <v>8871</v>
      </c>
      <c r="W45" s="230">
        <v>147</v>
      </c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  <c r="AP45" s="232"/>
      <c r="AQ45" s="232"/>
      <c r="AR45" s="232"/>
      <c r="AS45" s="232"/>
      <c r="AT45" s="232"/>
      <c r="AU45" s="232"/>
      <c r="AV45" s="232"/>
      <c r="AW45" s="232"/>
    </row>
    <row r="46" spans="1:49" ht="17" x14ac:dyDescent="0.2">
      <c r="A46" s="229" t="s">
        <v>8872</v>
      </c>
      <c r="B46" s="230" t="s">
        <v>8736</v>
      </c>
      <c r="C46" s="230">
        <v>15</v>
      </c>
      <c r="D46" s="230"/>
      <c r="E46" s="231">
        <v>42424</v>
      </c>
      <c r="F46" s="230">
        <v>35</v>
      </c>
      <c r="G46" s="230">
        <v>173</v>
      </c>
      <c r="H46" s="230" t="s">
        <v>8817</v>
      </c>
      <c r="I46" s="230" t="s">
        <v>8828</v>
      </c>
      <c r="J46" s="230">
        <v>86</v>
      </c>
      <c r="K46" s="230">
        <v>108</v>
      </c>
      <c r="L46" s="230" t="s">
        <v>8873</v>
      </c>
      <c r="M46" s="230" t="s">
        <v>4527</v>
      </c>
      <c r="N46" s="230">
        <v>6</v>
      </c>
      <c r="O46" s="230">
        <v>38</v>
      </c>
      <c r="P46" s="230">
        <v>1497</v>
      </c>
      <c r="Q46" s="230">
        <v>138</v>
      </c>
      <c r="R46" s="230">
        <v>103</v>
      </c>
      <c r="S46" s="230">
        <v>82</v>
      </c>
      <c r="T46" s="230">
        <v>168</v>
      </c>
      <c r="U46" s="230">
        <v>84</v>
      </c>
      <c r="V46" s="230" t="s">
        <v>8874</v>
      </c>
      <c r="W46" s="230">
        <v>79</v>
      </c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2"/>
    </row>
    <row r="47" spans="1:49" ht="17" x14ac:dyDescent="0.2">
      <c r="A47" s="229" t="s">
        <v>8875</v>
      </c>
      <c r="B47" s="230" t="s">
        <v>8736</v>
      </c>
      <c r="C47" s="230"/>
      <c r="D47" s="230"/>
      <c r="E47" s="231"/>
      <c r="F47" s="230">
        <v>32</v>
      </c>
      <c r="G47" s="230">
        <v>165</v>
      </c>
      <c r="H47" s="230" t="s">
        <v>8876</v>
      </c>
      <c r="I47" s="230" t="s">
        <v>8877</v>
      </c>
      <c r="J47" s="230">
        <v>70</v>
      </c>
      <c r="K47" s="230">
        <v>93</v>
      </c>
      <c r="L47" s="230" t="s">
        <v>7466</v>
      </c>
      <c r="M47" s="230" t="s">
        <v>7243</v>
      </c>
      <c r="N47" s="230">
        <v>2</v>
      </c>
      <c r="O47" s="230">
        <v>18</v>
      </c>
      <c r="P47" s="230">
        <v>1256</v>
      </c>
      <c r="Q47" s="230">
        <v>102</v>
      </c>
      <c r="R47" s="230">
        <v>54</v>
      </c>
      <c r="S47" s="230">
        <v>81</v>
      </c>
      <c r="T47" s="230">
        <v>171</v>
      </c>
      <c r="U47" s="230">
        <v>111</v>
      </c>
      <c r="V47" s="230" t="s">
        <v>8878</v>
      </c>
      <c r="W47" s="230">
        <v>93</v>
      </c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</row>
    <row r="48" spans="1:49" ht="17" x14ac:dyDescent="0.2">
      <c r="A48" s="229" t="s">
        <v>8879</v>
      </c>
      <c r="B48" s="230" t="s">
        <v>8736</v>
      </c>
      <c r="C48" s="230">
        <v>11</v>
      </c>
      <c r="D48" s="230">
        <v>52</v>
      </c>
      <c r="E48" s="231"/>
      <c r="F48" s="230">
        <v>56</v>
      </c>
      <c r="G48" s="230">
        <v>150</v>
      </c>
      <c r="H48" s="230" t="s">
        <v>8880</v>
      </c>
      <c r="I48" s="230" t="s">
        <v>4331</v>
      </c>
      <c r="J48" s="230">
        <v>86</v>
      </c>
      <c r="K48" s="230">
        <v>103</v>
      </c>
      <c r="L48" s="230" t="s">
        <v>4551</v>
      </c>
      <c r="M48" s="230" t="s">
        <v>695</v>
      </c>
      <c r="N48" s="230">
        <v>10</v>
      </c>
      <c r="O48" s="230">
        <v>65</v>
      </c>
      <c r="P48" s="230">
        <v>1284</v>
      </c>
      <c r="Q48" s="230">
        <v>107</v>
      </c>
      <c r="R48" s="230">
        <v>55</v>
      </c>
      <c r="S48" s="230">
        <v>95</v>
      </c>
      <c r="T48" s="230">
        <v>229</v>
      </c>
      <c r="U48" s="230">
        <v>185</v>
      </c>
      <c r="V48" s="230" t="s">
        <v>8881</v>
      </c>
      <c r="W48" s="230">
        <v>156</v>
      </c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</row>
    <row r="49" spans="1:49" ht="17" x14ac:dyDescent="0.2">
      <c r="A49" s="229" t="s">
        <v>8882</v>
      </c>
      <c r="B49" s="230" t="s">
        <v>8736</v>
      </c>
      <c r="C49" s="230"/>
      <c r="D49" s="230"/>
      <c r="E49" s="231"/>
      <c r="F49" s="230">
        <v>27</v>
      </c>
      <c r="G49" s="230">
        <v>146</v>
      </c>
      <c r="H49" s="230" t="s">
        <v>8750</v>
      </c>
      <c r="I49" s="230" t="s">
        <v>8883</v>
      </c>
      <c r="J49" s="230">
        <v>69</v>
      </c>
      <c r="K49" s="230">
        <v>87</v>
      </c>
      <c r="L49" s="230">
        <v>32</v>
      </c>
      <c r="M49" s="230" t="s">
        <v>8884</v>
      </c>
      <c r="N49" s="230">
        <v>4</v>
      </c>
      <c r="O49" s="230">
        <v>25</v>
      </c>
      <c r="P49" s="230">
        <v>1109</v>
      </c>
      <c r="Q49" s="230">
        <v>107</v>
      </c>
      <c r="R49" s="230">
        <v>81</v>
      </c>
      <c r="S49" s="230">
        <v>75</v>
      </c>
      <c r="T49" s="230">
        <v>215</v>
      </c>
      <c r="U49" s="230">
        <v>90</v>
      </c>
      <c r="V49" s="230" t="s">
        <v>8885</v>
      </c>
      <c r="W49" s="230">
        <v>134</v>
      </c>
      <c r="X49" s="232"/>
      <c r="Y49" s="232"/>
      <c r="Z49" s="232"/>
      <c r="AA49" s="232"/>
      <c r="AB49" s="232"/>
      <c r="AC49" s="232"/>
      <c r="AD49" s="232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</row>
    <row r="50" spans="1:49" ht="17" x14ac:dyDescent="0.2">
      <c r="A50" s="229" t="s">
        <v>8886</v>
      </c>
      <c r="B50" s="230" t="s">
        <v>8736</v>
      </c>
      <c r="C50" s="230">
        <v>13</v>
      </c>
      <c r="D50" s="230"/>
      <c r="E50" s="231">
        <v>42423</v>
      </c>
      <c r="F50" s="230">
        <v>51</v>
      </c>
      <c r="G50" s="230">
        <v>170</v>
      </c>
      <c r="H50" s="230" t="s">
        <v>8887</v>
      </c>
      <c r="I50" s="230" t="s">
        <v>8828</v>
      </c>
      <c r="J50" s="230">
        <v>87</v>
      </c>
      <c r="K50" s="230">
        <v>109</v>
      </c>
      <c r="L50" s="230" t="s">
        <v>8888</v>
      </c>
      <c r="M50" s="230" t="s">
        <v>8869</v>
      </c>
      <c r="N50" s="230">
        <v>7</v>
      </c>
      <c r="O50" s="230">
        <v>49</v>
      </c>
      <c r="P50" s="230">
        <v>1466</v>
      </c>
      <c r="Q50" s="230">
        <v>97</v>
      </c>
      <c r="R50" s="230">
        <v>71</v>
      </c>
      <c r="S50" s="230">
        <v>81</v>
      </c>
      <c r="T50" s="230">
        <v>163</v>
      </c>
      <c r="U50" s="230">
        <v>98</v>
      </c>
      <c r="V50" s="230" t="s">
        <v>8889</v>
      </c>
      <c r="W50" s="230">
        <v>64</v>
      </c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2"/>
    </row>
    <row r="51" spans="1:49" ht="17" x14ac:dyDescent="0.2">
      <c r="A51" s="229" t="s">
        <v>8890</v>
      </c>
      <c r="B51" s="230" t="s">
        <v>8736</v>
      </c>
      <c r="C51" s="230">
        <v>12</v>
      </c>
      <c r="D51" s="230">
        <v>39</v>
      </c>
      <c r="E51" s="231"/>
      <c r="F51" s="230">
        <v>63</v>
      </c>
      <c r="G51" s="230">
        <v>156</v>
      </c>
      <c r="H51" s="230" t="s">
        <v>8891</v>
      </c>
      <c r="I51" s="230" t="s">
        <v>4891</v>
      </c>
      <c r="J51" s="230">
        <v>83</v>
      </c>
      <c r="K51" s="230">
        <v>100</v>
      </c>
      <c r="L51" s="230">
        <v>36</v>
      </c>
      <c r="M51" s="230" t="s">
        <v>4187</v>
      </c>
      <c r="N51" s="230">
        <v>8</v>
      </c>
      <c r="O51" s="230">
        <v>58</v>
      </c>
      <c r="P51" s="230">
        <v>1270</v>
      </c>
      <c r="Q51" s="230">
        <v>100</v>
      </c>
      <c r="R51" s="230">
        <v>62</v>
      </c>
      <c r="S51" s="230">
        <v>91</v>
      </c>
      <c r="T51" s="230">
        <v>236</v>
      </c>
      <c r="U51" s="230">
        <v>190</v>
      </c>
      <c r="V51" s="230" t="s">
        <v>8892</v>
      </c>
      <c r="W51" s="230">
        <v>146</v>
      </c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  <c r="AP51" s="232"/>
      <c r="AQ51" s="232"/>
      <c r="AR51" s="232"/>
      <c r="AS51" s="232"/>
      <c r="AT51" s="232"/>
      <c r="AU51" s="232"/>
      <c r="AV51" s="232"/>
      <c r="AW51" s="232"/>
    </row>
    <row r="52" spans="1:49" ht="17" x14ac:dyDescent="0.2">
      <c r="A52" s="229" t="s">
        <v>8893</v>
      </c>
      <c r="B52" s="230" t="s">
        <v>8736</v>
      </c>
      <c r="C52" s="230">
        <v>12</v>
      </c>
      <c r="D52" s="230">
        <v>46</v>
      </c>
      <c r="E52" s="231"/>
      <c r="F52" s="230">
        <v>50</v>
      </c>
      <c r="G52" s="230">
        <v>152</v>
      </c>
      <c r="H52" s="230" t="s">
        <v>8894</v>
      </c>
      <c r="I52" s="230">
        <v>24</v>
      </c>
      <c r="J52" s="230">
        <v>79</v>
      </c>
      <c r="K52" s="230">
        <v>89</v>
      </c>
      <c r="L52" s="230" t="s">
        <v>8895</v>
      </c>
      <c r="M52" s="230" t="s">
        <v>8744</v>
      </c>
      <c r="N52" s="230">
        <v>7</v>
      </c>
      <c r="O52" s="230">
        <v>44</v>
      </c>
      <c r="P52" s="230">
        <v>1233</v>
      </c>
      <c r="Q52" s="230">
        <v>100</v>
      </c>
      <c r="R52" s="230">
        <v>69</v>
      </c>
      <c r="S52" s="230">
        <v>68</v>
      </c>
      <c r="T52" s="230">
        <v>219</v>
      </c>
      <c r="U52" s="230">
        <v>91</v>
      </c>
      <c r="V52" s="230" t="s">
        <v>8896</v>
      </c>
      <c r="W52" s="230">
        <v>125</v>
      </c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</row>
    <row r="53" spans="1:49" ht="17" x14ac:dyDescent="0.2">
      <c r="A53" s="229" t="s">
        <v>8897</v>
      </c>
      <c r="B53" s="230" t="s">
        <v>8736</v>
      </c>
      <c r="C53" s="230">
        <v>13</v>
      </c>
      <c r="D53" s="230">
        <v>51</v>
      </c>
      <c r="E53" s="231"/>
      <c r="F53" s="230">
        <v>51</v>
      </c>
      <c r="G53" s="230">
        <v>154</v>
      </c>
      <c r="H53" s="230" t="s">
        <v>255</v>
      </c>
      <c r="I53" s="230" t="s">
        <v>4581</v>
      </c>
      <c r="J53" s="230">
        <v>75</v>
      </c>
      <c r="K53" s="230">
        <v>82</v>
      </c>
      <c r="L53" s="230">
        <v>40</v>
      </c>
      <c r="M53" s="230" t="s">
        <v>8898</v>
      </c>
      <c r="N53" s="230">
        <v>8</v>
      </c>
      <c r="O53" s="230">
        <v>57</v>
      </c>
      <c r="P53" s="230">
        <v>1791</v>
      </c>
      <c r="Q53" s="230">
        <v>118</v>
      </c>
      <c r="R53" s="230">
        <v>77</v>
      </c>
      <c r="S53" s="230">
        <v>76</v>
      </c>
      <c r="T53" s="230">
        <v>168</v>
      </c>
      <c r="U53" s="230">
        <v>77</v>
      </c>
      <c r="V53" s="230" t="s">
        <v>8899</v>
      </c>
      <c r="W53" s="230">
        <v>86</v>
      </c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</row>
    <row r="54" spans="1:49" ht="17" x14ac:dyDescent="0.2">
      <c r="A54" s="229" t="s">
        <v>8900</v>
      </c>
      <c r="B54" s="230" t="s">
        <v>8736</v>
      </c>
      <c r="C54" s="230"/>
      <c r="D54" s="230" t="s">
        <v>8901</v>
      </c>
      <c r="E54" s="231"/>
      <c r="F54" s="230">
        <v>47</v>
      </c>
      <c r="G54" s="230">
        <v>154</v>
      </c>
      <c r="H54" s="230" t="s">
        <v>8815</v>
      </c>
      <c r="I54" s="230" t="s">
        <v>4622</v>
      </c>
      <c r="J54" s="230">
        <v>76</v>
      </c>
      <c r="K54" s="230">
        <v>96</v>
      </c>
      <c r="L54" s="230" t="s">
        <v>8902</v>
      </c>
      <c r="M54" s="230" t="s">
        <v>4730</v>
      </c>
      <c r="N54" s="230">
        <v>7</v>
      </c>
      <c r="O54" s="230"/>
      <c r="P54" s="230">
        <v>1247</v>
      </c>
      <c r="Q54" s="230">
        <v>106</v>
      </c>
      <c r="R54" s="230">
        <v>65</v>
      </c>
      <c r="S54" s="230">
        <v>81</v>
      </c>
      <c r="T54" s="230">
        <v>209</v>
      </c>
      <c r="U54" s="230">
        <v>70</v>
      </c>
      <c r="V54" s="230">
        <v>70</v>
      </c>
      <c r="W54" s="230">
        <v>125</v>
      </c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</row>
    <row r="55" spans="1:49" ht="17" x14ac:dyDescent="0.2">
      <c r="A55" s="229" t="s">
        <v>8903</v>
      </c>
      <c r="B55" s="230" t="s">
        <v>8736</v>
      </c>
      <c r="C55" s="230">
        <v>15</v>
      </c>
      <c r="D55" s="230"/>
      <c r="E55" s="231"/>
      <c r="F55" s="230">
        <v>37</v>
      </c>
      <c r="G55" s="230">
        <v>160</v>
      </c>
      <c r="H55" s="230" t="s">
        <v>8904</v>
      </c>
      <c r="I55" s="230" t="s">
        <v>8905</v>
      </c>
      <c r="J55" s="230">
        <v>100</v>
      </c>
      <c r="K55" s="230">
        <v>104</v>
      </c>
      <c r="L55" s="230" t="s">
        <v>8906</v>
      </c>
      <c r="M55" s="230" t="s">
        <v>4449</v>
      </c>
      <c r="N55" s="230">
        <v>8</v>
      </c>
      <c r="O55" s="230">
        <v>54</v>
      </c>
      <c r="P55" s="230">
        <v>1421</v>
      </c>
      <c r="Q55" s="230">
        <v>97</v>
      </c>
      <c r="R55" s="230">
        <v>70</v>
      </c>
      <c r="S55" s="230">
        <v>311</v>
      </c>
      <c r="T55" s="230">
        <v>174</v>
      </c>
      <c r="U55" s="230">
        <v>112</v>
      </c>
      <c r="V55" s="230" t="s">
        <v>8907</v>
      </c>
      <c r="W55" s="230">
        <v>108</v>
      </c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</row>
    <row r="56" spans="1:49" ht="17" x14ac:dyDescent="0.2">
      <c r="A56" s="229" t="s">
        <v>8908</v>
      </c>
      <c r="B56" s="230" t="s">
        <v>8736</v>
      </c>
      <c r="C56" s="230"/>
      <c r="D56" s="230"/>
      <c r="E56" s="231"/>
      <c r="F56" s="230">
        <v>29</v>
      </c>
      <c r="G56" s="230">
        <v>170</v>
      </c>
      <c r="H56" s="230" t="s">
        <v>8909</v>
      </c>
      <c r="I56" s="230" t="s">
        <v>8910</v>
      </c>
      <c r="J56" s="230">
        <v>81</v>
      </c>
      <c r="K56" s="230">
        <v>107</v>
      </c>
      <c r="L56" s="230" t="s">
        <v>8791</v>
      </c>
      <c r="M56" s="230" t="s">
        <v>8836</v>
      </c>
      <c r="N56" s="230">
        <v>5</v>
      </c>
      <c r="O56" s="230">
        <v>33</v>
      </c>
      <c r="P56" s="230">
        <v>1427</v>
      </c>
      <c r="Q56" s="230">
        <v>117</v>
      </c>
      <c r="R56" s="230">
        <v>60</v>
      </c>
      <c r="S56" s="230"/>
      <c r="T56" s="230"/>
      <c r="U56" s="230"/>
      <c r="V56" s="230"/>
      <c r="W56" s="230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  <c r="AP56" s="232"/>
      <c r="AQ56" s="232"/>
      <c r="AR56" s="232"/>
      <c r="AS56" s="232"/>
      <c r="AT56" s="232"/>
      <c r="AU56" s="232"/>
      <c r="AV56" s="232"/>
      <c r="AW56" s="232"/>
    </row>
    <row r="57" spans="1:49" ht="17" x14ac:dyDescent="0.2">
      <c r="A57" s="229" t="s">
        <v>8911</v>
      </c>
      <c r="B57" s="230" t="s">
        <v>8736</v>
      </c>
      <c r="C57" s="230">
        <v>15</v>
      </c>
      <c r="D57" s="230">
        <v>54</v>
      </c>
      <c r="E57" s="231"/>
      <c r="F57" s="230">
        <v>54</v>
      </c>
      <c r="G57" s="230">
        <v>167</v>
      </c>
      <c r="H57" s="230" t="s">
        <v>8912</v>
      </c>
      <c r="I57" s="230">
        <v>27</v>
      </c>
      <c r="J57" s="230">
        <v>84</v>
      </c>
      <c r="K57" s="230">
        <v>107</v>
      </c>
      <c r="L57" s="230" t="s">
        <v>8913</v>
      </c>
      <c r="M57" s="230" t="s">
        <v>8910</v>
      </c>
      <c r="N57" s="230">
        <v>8</v>
      </c>
      <c r="O57" s="230">
        <v>56</v>
      </c>
      <c r="P57" s="230">
        <v>1475</v>
      </c>
      <c r="Q57" s="230"/>
      <c r="R57" s="230"/>
      <c r="S57" s="230">
        <v>81</v>
      </c>
      <c r="T57" s="230">
        <v>110</v>
      </c>
      <c r="U57" s="230">
        <v>69</v>
      </c>
      <c r="V57" s="230">
        <v>61</v>
      </c>
      <c r="W57" s="230">
        <v>34</v>
      </c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</row>
    <row r="58" spans="1:49" ht="17" x14ac:dyDescent="0.2">
      <c r="A58" s="229" t="s">
        <v>8914</v>
      </c>
      <c r="B58" s="230" t="s">
        <v>8736</v>
      </c>
      <c r="C58" s="230">
        <v>11</v>
      </c>
      <c r="D58" s="230">
        <v>46</v>
      </c>
      <c r="E58" s="231"/>
      <c r="F58" s="230">
        <v>49</v>
      </c>
      <c r="G58" s="230">
        <v>154</v>
      </c>
      <c r="H58" s="230">
        <v>58</v>
      </c>
      <c r="I58" s="230" t="s">
        <v>4891</v>
      </c>
      <c r="J58" s="230">
        <v>74</v>
      </c>
      <c r="K58" s="230">
        <v>94</v>
      </c>
      <c r="L58" s="230" t="s">
        <v>8915</v>
      </c>
      <c r="M58" s="230" t="s">
        <v>8916</v>
      </c>
      <c r="N58" s="230">
        <v>7</v>
      </c>
      <c r="O58" s="230">
        <v>50</v>
      </c>
      <c r="P58" s="230">
        <v>1242</v>
      </c>
      <c r="Q58" s="230"/>
      <c r="R58" s="230"/>
      <c r="S58" s="230">
        <v>78</v>
      </c>
      <c r="T58" s="230">
        <v>210</v>
      </c>
      <c r="U58" s="230">
        <v>276</v>
      </c>
      <c r="V58" s="230" t="s">
        <v>8917</v>
      </c>
      <c r="W58" s="230">
        <v>112</v>
      </c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  <c r="AP58" s="232"/>
      <c r="AQ58" s="232"/>
      <c r="AR58" s="232"/>
      <c r="AS58" s="232"/>
      <c r="AT58" s="232"/>
      <c r="AU58" s="232"/>
      <c r="AV58" s="232"/>
      <c r="AW58" s="232"/>
    </row>
    <row r="59" spans="1:49" ht="17" x14ac:dyDescent="0.2">
      <c r="A59" s="229" t="s">
        <v>8918</v>
      </c>
      <c r="B59" s="230" t="s">
        <v>8736</v>
      </c>
      <c r="C59" s="230"/>
      <c r="D59" s="230"/>
      <c r="E59" s="231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>
        <v>241</v>
      </c>
      <c r="T59" s="230">
        <v>190</v>
      </c>
      <c r="U59" s="230">
        <v>102</v>
      </c>
      <c r="V59" s="230" t="s">
        <v>8919</v>
      </c>
      <c r="W59" s="230">
        <v>128</v>
      </c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  <c r="AP59" s="232"/>
      <c r="AQ59" s="232"/>
      <c r="AR59" s="232"/>
      <c r="AS59" s="232"/>
      <c r="AT59" s="232"/>
      <c r="AU59" s="232"/>
      <c r="AV59" s="232"/>
      <c r="AW59" s="232"/>
    </row>
    <row r="60" spans="1:49" ht="17" x14ac:dyDescent="0.2">
      <c r="A60" s="229" t="s">
        <v>8920</v>
      </c>
      <c r="B60" s="230" t="s">
        <v>8736</v>
      </c>
      <c r="C60" s="230">
        <v>15</v>
      </c>
      <c r="D60" s="230">
        <v>43</v>
      </c>
      <c r="E60" s="231"/>
      <c r="F60" s="230">
        <v>53</v>
      </c>
      <c r="G60" s="230">
        <v>168</v>
      </c>
      <c r="H60" s="230" t="s">
        <v>8921</v>
      </c>
      <c r="I60" s="230" t="s">
        <v>8922</v>
      </c>
      <c r="J60" s="230"/>
      <c r="K60" s="230"/>
      <c r="L60" s="230">
        <v>25</v>
      </c>
      <c r="M60" s="230" t="s">
        <v>8923</v>
      </c>
      <c r="N60" s="230">
        <v>3</v>
      </c>
      <c r="O60" s="230">
        <v>25</v>
      </c>
      <c r="P60" s="230">
        <v>1295</v>
      </c>
      <c r="Q60" s="230"/>
      <c r="R60" s="230"/>
      <c r="S60" s="230"/>
      <c r="T60" s="230"/>
      <c r="U60" s="230"/>
      <c r="V60" s="230"/>
      <c r="W60" s="230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</row>
    <row r="61" spans="1:49" ht="17" x14ac:dyDescent="0.2">
      <c r="A61" s="229" t="s">
        <v>8924</v>
      </c>
      <c r="B61" s="230" t="s">
        <v>8736</v>
      </c>
      <c r="C61" s="230"/>
      <c r="D61" s="230"/>
      <c r="E61" s="231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  <c r="AM61" s="232"/>
      <c r="AN61" s="232"/>
      <c r="AO61" s="232"/>
      <c r="AP61" s="232"/>
      <c r="AQ61" s="232"/>
      <c r="AR61" s="232"/>
      <c r="AS61" s="232"/>
      <c r="AT61" s="232"/>
      <c r="AU61" s="232"/>
      <c r="AV61" s="232"/>
      <c r="AW61" s="232"/>
    </row>
    <row r="62" spans="1:49" ht="17" x14ac:dyDescent="0.2">
      <c r="A62" s="229" t="s">
        <v>8925</v>
      </c>
      <c r="B62" s="230" t="s">
        <v>8736</v>
      </c>
      <c r="C62" s="230"/>
      <c r="D62" s="230"/>
      <c r="E62" s="231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>
        <v>109</v>
      </c>
      <c r="T62" s="230">
        <v>187</v>
      </c>
      <c r="U62" s="230">
        <v>172</v>
      </c>
      <c r="V62" s="230" t="s">
        <v>8743</v>
      </c>
      <c r="W62" s="230">
        <v>110</v>
      </c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</row>
    <row r="63" spans="1:49" ht="17" x14ac:dyDescent="0.2">
      <c r="A63" s="229" t="s">
        <v>8926</v>
      </c>
      <c r="B63" s="230" t="s">
        <v>8736</v>
      </c>
      <c r="C63" s="230"/>
      <c r="D63" s="230"/>
      <c r="E63" s="231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>
        <v>172</v>
      </c>
      <c r="T63" s="230"/>
      <c r="U63" s="230"/>
      <c r="V63" s="230"/>
      <c r="W63" s="230"/>
      <c r="X63" s="232"/>
      <c r="Y63" s="232"/>
      <c r="Z63" s="232"/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  <c r="AM63" s="232"/>
      <c r="AN63" s="232"/>
      <c r="AO63" s="232"/>
      <c r="AP63" s="232"/>
      <c r="AQ63" s="232"/>
      <c r="AR63" s="232"/>
      <c r="AS63" s="232"/>
      <c r="AT63" s="232"/>
      <c r="AU63" s="232"/>
      <c r="AV63" s="232"/>
      <c r="AW63" s="232"/>
    </row>
    <row r="64" spans="1:49" ht="17" x14ac:dyDescent="0.2">
      <c r="A64" s="229" t="s">
        <v>8927</v>
      </c>
      <c r="B64" s="230" t="s">
        <v>8736</v>
      </c>
      <c r="C64" s="230">
        <v>12</v>
      </c>
      <c r="D64" s="230">
        <v>48</v>
      </c>
      <c r="E64" s="231"/>
      <c r="F64" s="230">
        <v>54</v>
      </c>
      <c r="G64" s="230">
        <v>160</v>
      </c>
      <c r="H64" s="230" t="s">
        <v>8928</v>
      </c>
      <c r="I64" s="230" t="s">
        <v>8883</v>
      </c>
      <c r="J64" s="230">
        <v>72</v>
      </c>
      <c r="K64" s="230">
        <v>92</v>
      </c>
      <c r="L64" s="230" t="s">
        <v>8929</v>
      </c>
      <c r="M64" s="230" t="s">
        <v>8930</v>
      </c>
      <c r="N64" s="230">
        <v>5</v>
      </c>
      <c r="O64" s="230">
        <v>38</v>
      </c>
      <c r="P64" s="230">
        <v>1229</v>
      </c>
      <c r="Q64" s="230"/>
      <c r="R64" s="230"/>
      <c r="S64" s="230">
        <v>75</v>
      </c>
      <c r="T64" s="230">
        <v>209</v>
      </c>
      <c r="U64" s="230">
        <v>129</v>
      </c>
      <c r="V64" s="230">
        <v>72</v>
      </c>
      <c r="W64" s="230">
        <v>111</v>
      </c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  <c r="AM64" s="232"/>
      <c r="AN64" s="232"/>
      <c r="AO64" s="232"/>
      <c r="AP64" s="232"/>
      <c r="AQ64" s="232"/>
      <c r="AR64" s="232"/>
      <c r="AS64" s="232"/>
      <c r="AT64" s="232"/>
      <c r="AU64" s="232"/>
      <c r="AV64" s="232"/>
      <c r="AW64" s="232"/>
    </row>
    <row r="65" spans="1:49" ht="17" x14ac:dyDescent="0.2">
      <c r="A65" s="229" t="s">
        <v>8931</v>
      </c>
      <c r="B65" s="230" t="s">
        <v>8736</v>
      </c>
      <c r="C65" s="230">
        <v>12</v>
      </c>
      <c r="D65" s="230">
        <v>42</v>
      </c>
      <c r="E65" s="231"/>
      <c r="F65" s="230">
        <v>58</v>
      </c>
      <c r="G65" s="230">
        <v>160</v>
      </c>
      <c r="H65" s="230" t="s">
        <v>8932</v>
      </c>
      <c r="I65" s="230" t="s">
        <v>8933</v>
      </c>
      <c r="J65" s="230">
        <v>103</v>
      </c>
      <c r="K65" s="230">
        <v>125</v>
      </c>
      <c r="L65" s="230" t="s">
        <v>8934</v>
      </c>
      <c r="M65" s="230" t="s">
        <v>8935</v>
      </c>
      <c r="N65" s="230">
        <v>13</v>
      </c>
      <c r="O65" s="230">
        <v>76</v>
      </c>
      <c r="P65" s="230">
        <v>1586</v>
      </c>
      <c r="Q65" s="230"/>
      <c r="R65" s="230"/>
      <c r="S65" s="230">
        <v>132</v>
      </c>
      <c r="T65" s="230">
        <v>183</v>
      </c>
      <c r="U65" s="230">
        <v>75</v>
      </c>
      <c r="V65" s="230" t="s">
        <v>8936</v>
      </c>
      <c r="W65" s="230">
        <v>117</v>
      </c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  <c r="AM65" s="232"/>
      <c r="AN65" s="232"/>
      <c r="AO65" s="232"/>
      <c r="AP65" s="232"/>
      <c r="AQ65" s="232"/>
      <c r="AR65" s="232"/>
      <c r="AS65" s="232"/>
      <c r="AT65" s="232"/>
      <c r="AU65" s="232"/>
      <c r="AV65" s="232"/>
      <c r="AW65" s="232"/>
    </row>
    <row r="66" spans="1:49" ht="17" x14ac:dyDescent="0.2">
      <c r="A66" s="229" t="s">
        <v>8937</v>
      </c>
      <c r="B66" s="230" t="s">
        <v>8736</v>
      </c>
      <c r="C66" s="230">
        <v>10</v>
      </c>
      <c r="D66" s="230">
        <v>50</v>
      </c>
      <c r="E66" s="231"/>
      <c r="F66" s="230">
        <v>55</v>
      </c>
      <c r="G66" s="230">
        <v>154</v>
      </c>
      <c r="H66" s="230">
        <v>106</v>
      </c>
      <c r="I66" s="230">
        <v>45</v>
      </c>
      <c r="J66" s="230">
        <v>119</v>
      </c>
      <c r="K66" s="230">
        <v>143</v>
      </c>
      <c r="L66" s="230" t="s">
        <v>8938</v>
      </c>
      <c r="M66" s="230" t="s">
        <v>8939</v>
      </c>
      <c r="N66" s="230">
        <v>15</v>
      </c>
      <c r="O66" s="230">
        <v>80</v>
      </c>
      <c r="P66" s="230">
        <v>1723</v>
      </c>
      <c r="Q66" s="230"/>
      <c r="R66" s="230"/>
      <c r="S66" s="230">
        <v>109</v>
      </c>
      <c r="T66" s="230">
        <v>173</v>
      </c>
      <c r="U66" s="230">
        <v>186</v>
      </c>
      <c r="V66" s="230">
        <v>46</v>
      </c>
      <c r="W66" s="230">
        <v>90</v>
      </c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  <c r="AM66" s="232"/>
      <c r="AN66" s="232"/>
      <c r="AO66" s="232"/>
      <c r="AP66" s="232"/>
      <c r="AQ66" s="232"/>
      <c r="AR66" s="232"/>
      <c r="AS66" s="232"/>
      <c r="AT66" s="232"/>
      <c r="AU66" s="232"/>
      <c r="AV66" s="232"/>
      <c r="AW66" s="232"/>
    </row>
    <row r="67" spans="1:49" ht="17" x14ac:dyDescent="0.2">
      <c r="A67" s="229" t="s">
        <v>8940</v>
      </c>
      <c r="B67" s="230" t="s">
        <v>8736</v>
      </c>
      <c r="C67" s="230">
        <v>15</v>
      </c>
      <c r="D67" s="230">
        <v>39</v>
      </c>
      <c r="E67" s="231"/>
      <c r="F67" s="230">
        <v>54</v>
      </c>
      <c r="G67" s="230">
        <v>155</v>
      </c>
      <c r="H67" s="230" t="s">
        <v>8941</v>
      </c>
      <c r="I67" s="230" t="s">
        <v>7243</v>
      </c>
      <c r="J67" s="230">
        <v>81</v>
      </c>
      <c r="K67" s="230">
        <v>99</v>
      </c>
      <c r="L67" s="230" t="s">
        <v>8942</v>
      </c>
      <c r="M67" s="230" t="s">
        <v>8869</v>
      </c>
      <c r="N67" s="230">
        <v>7</v>
      </c>
      <c r="O67" s="230">
        <v>54</v>
      </c>
      <c r="P67" s="230">
        <v>1255</v>
      </c>
      <c r="Q67" s="230"/>
      <c r="R67" s="230"/>
      <c r="S67" s="230">
        <v>85</v>
      </c>
      <c r="T67" s="230">
        <v>179</v>
      </c>
      <c r="U67" s="230">
        <v>129</v>
      </c>
      <c r="V67" s="230">
        <v>41</v>
      </c>
      <c r="W67" s="230">
        <v>112</v>
      </c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  <c r="AP67" s="232"/>
      <c r="AQ67" s="232"/>
      <c r="AR67" s="232"/>
      <c r="AS67" s="232"/>
      <c r="AT67" s="232"/>
      <c r="AU67" s="232"/>
      <c r="AV67" s="232"/>
      <c r="AW67" s="232"/>
    </row>
    <row r="68" spans="1:49" ht="17" x14ac:dyDescent="0.2">
      <c r="A68" s="229" t="s">
        <v>8943</v>
      </c>
      <c r="B68" s="230" t="s">
        <v>8736</v>
      </c>
      <c r="C68" s="230">
        <v>14</v>
      </c>
      <c r="D68" s="230"/>
      <c r="E68" s="231">
        <v>42401</v>
      </c>
      <c r="F68" s="230">
        <v>19</v>
      </c>
      <c r="G68" s="230">
        <v>166</v>
      </c>
      <c r="H68" s="230" t="s">
        <v>8944</v>
      </c>
      <c r="I68" s="230">
        <v>21</v>
      </c>
      <c r="J68" s="230">
        <v>69</v>
      </c>
      <c r="K68" s="230">
        <v>92</v>
      </c>
      <c r="L68" s="230" t="s">
        <v>8945</v>
      </c>
      <c r="M68" s="230" t="s">
        <v>8946</v>
      </c>
      <c r="N68" s="230">
        <v>3</v>
      </c>
      <c r="O68" s="230">
        <v>19</v>
      </c>
      <c r="P68" s="230">
        <v>1292</v>
      </c>
      <c r="Q68" s="230"/>
      <c r="R68" s="230"/>
      <c r="S68" s="230">
        <v>78</v>
      </c>
      <c r="T68" s="230">
        <v>156</v>
      </c>
      <c r="U68" s="230">
        <v>64</v>
      </c>
      <c r="V68" s="230" t="s">
        <v>8947</v>
      </c>
      <c r="W68" s="230">
        <v>101</v>
      </c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  <c r="AP68" s="232"/>
      <c r="AQ68" s="232"/>
      <c r="AR68" s="232"/>
      <c r="AS68" s="232"/>
      <c r="AT68" s="232"/>
      <c r="AU68" s="232"/>
      <c r="AV68" s="232"/>
      <c r="AW68" s="232"/>
    </row>
    <row r="69" spans="1:49" ht="17" x14ac:dyDescent="0.2">
      <c r="A69" s="229" t="s">
        <v>8948</v>
      </c>
      <c r="B69" s="230" t="s">
        <v>8736</v>
      </c>
      <c r="C69" s="230"/>
      <c r="D69" s="230"/>
      <c r="E69" s="231"/>
      <c r="F69" s="230">
        <v>35</v>
      </c>
      <c r="G69" s="230">
        <v>160</v>
      </c>
      <c r="H69" s="230" t="s">
        <v>8949</v>
      </c>
      <c r="I69" s="230" t="s">
        <v>8950</v>
      </c>
      <c r="J69" s="230">
        <v>110</v>
      </c>
      <c r="K69" s="230">
        <v>128</v>
      </c>
      <c r="L69" s="230" t="s">
        <v>8951</v>
      </c>
      <c r="M69" s="230" t="s">
        <v>4449</v>
      </c>
      <c r="N69" s="230">
        <v>10</v>
      </c>
      <c r="O69" s="230">
        <v>67</v>
      </c>
      <c r="P69" s="230">
        <v>1765</v>
      </c>
      <c r="Q69" s="230"/>
      <c r="R69" s="230"/>
      <c r="S69" s="230">
        <v>95</v>
      </c>
      <c r="T69" s="230">
        <v>196</v>
      </c>
      <c r="U69" s="230">
        <v>144</v>
      </c>
      <c r="V69" s="230" t="s">
        <v>8952</v>
      </c>
      <c r="W69" s="230">
        <v>128</v>
      </c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  <c r="AM69" s="232"/>
      <c r="AN69" s="232"/>
      <c r="AO69" s="232"/>
      <c r="AP69" s="232"/>
      <c r="AQ69" s="232"/>
      <c r="AR69" s="232"/>
      <c r="AS69" s="232"/>
      <c r="AT69" s="232"/>
      <c r="AU69" s="232"/>
      <c r="AV69" s="232"/>
      <c r="AW69" s="232"/>
    </row>
    <row r="70" spans="1:49" ht="17" x14ac:dyDescent="0.2">
      <c r="A70" s="229" t="s">
        <v>8953</v>
      </c>
      <c r="B70" s="230" t="s">
        <v>8736</v>
      </c>
      <c r="C70" s="230">
        <v>14</v>
      </c>
      <c r="D70" s="230"/>
      <c r="E70" s="231">
        <v>42430</v>
      </c>
      <c r="F70" s="230">
        <v>25</v>
      </c>
      <c r="G70" s="230">
        <v>175</v>
      </c>
      <c r="H70" s="230" t="s">
        <v>8954</v>
      </c>
      <c r="I70" s="230" t="s">
        <v>8898</v>
      </c>
      <c r="J70" s="230">
        <v>82</v>
      </c>
      <c r="K70" s="230">
        <v>106</v>
      </c>
      <c r="L70" s="230" t="s">
        <v>8955</v>
      </c>
      <c r="M70" s="230" t="s">
        <v>4423</v>
      </c>
      <c r="N70" s="230">
        <v>5</v>
      </c>
      <c r="O70" s="230">
        <v>35</v>
      </c>
      <c r="P70" s="230">
        <v>1539</v>
      </c>
      <c r="Q70" s="230"/>
      <c r="R70" s="230"/>
      <c r="S70" s="230">
        <v>85</v>
      </c>
      <c r="T70" s="230">
        <v>145</v>
      </c>
      <c r="U70" s="230">
        <v>114</v>
      </c>
      <c r="V70" s="230" t="s">
        <v>8956</v>
      </c>
      <c r="W70" s="230">
        <v>86</v>
      </c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  <c r="AU70" s="232"/>
      <c r="AV70" s="232"/>
      <c r="AW70" s="232"/>
    </row>
    <row r="71" spans="1:49" ht="17" x14ac:dyDescent="0.2">
      <c r="A71" s="229" t="s">
        <v>8957</v>
      </c>
      <c r="B71" s="230" t="s">
        <v>8736</v>
      </c>
      <c r="C71" s="230">
        <v>13</v>
      </c>
      <c r="D71" s="230"/>
      <c r="E71" s="231">
        <v>42432</v>
      </c>
      <c r="F71" s="230">
        <v>23</v>
      </c>
      <c r="G71" s="230">
        <v>162</v>
      </c>
      <c r="H71" s="230" t="s">
        <v>8958</v>
      </c>
      <c r="I71" s="230" t="s">
        <v>847</v>
      </c>
      <c r="J71" s="230">
        <v>86</v>
      </c>
      <c r="K71" s="230">
        <v>108</v>
      </c>
      <c r="L71" s="230" t="s">
        <v>8758</v>
      </c>
      <c r="M71" s="230">
        <v>24</v>
      </c>
      <c r="N71" s="230">
        <v>7</v>
      </c>
      <c r="O71" s="230">
        <v>50</v>
      </c>
      <c r="P71" s="230">
        <v>1516</v>
      </c>
      <c r="Q71" s="230"/>
      <c r="R71" s="230"/>
      <c r="S71" s="230">
        <v>75</v>
      </c>
      <c r="T71" s="230">
        <v>161</v>
      </c>
      <c r="U71" s="230">
        <v>201</v>
      </c>
      <c r="V71" s="230" t="s">
        <v>8871</v>
      </c>
      <c r="W71" s="230">
        <v>84</v>
      </c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  <c r="AP71" s="232"/>
      <c r="AQ71" s="232"/>
      <c r="AR71" s="232"/>
      <c r="AS71" s="232"/>
      <c r="AT71" s="232"/>
      <c r="AU71" s="232"/>
      <c r="AV71" s="232"/>
      <c r="AW71" s="232"/>
    </row>
    <row r="72" spans="1:49" ht="17" x14ac:dyDescent="0.2">
      <c r="A72" s="229" t="s">
        <v>8959</v>
      </c>
      <c r="B72" s="230" t="s">
        <v>8736</v>
      </c>
      <c r="C72" s="230">
        <v>13</v>
      </c>
      <c r="D72" s="230">
        <v>37</v>
      </c>
      <c r="E72" s="231"/>
      <c r="F72" s="230">
        <v>45</v>
      </c>
      <c r="G72" s="230">
        <v>170</v>
      </c>
      <c r="H72" s="230" t="s">
        <v>8960</v>
      </c>
      <c r="I72" s="230" t="s">
        <v>8834</v>
      </c>
      <c r="J72" s="230">
        <v>90</v>
      </c>
      <c r="K72" s="230">
        <v>109</v>
      </c>
      <c r="L72" s="230" t="s">
        <v>8961</v>
      </c>
      <c r="M72" s="230" t="s">
        <v>4275</v>
      </c>
      <c r="N72" s="230">
        <v>8</v>
      </c>
      <c r="O72" s="230">
        <v>51</v>
      </c>
      <c r="P72" s="230">
        <v>1528</v>
      </c>
      <c r="Q72" s="230"/>
      <c r="R72" s="230"/>
      <c r="S72" s="230">
        <v>97</v>
      </c>
      <c r="T72" s="230">
        <v>192</v>
      </c>
      <c r="U72" s="230">
        <v>112</v>
      </c>
      <c r="V72" s="230" t="s">
        <v>8962</v>
      </c>
      <c r="W72" s="230">
        <v>127</v>
      </c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  <c r="AP72" s="232"/>
      <c r="AQ72" s="232"/>
      <c r="AR72" s="232"/>
      <c r="AS72" s="232"/>
      <c r="AT72" s="232"/>
      <c r="AU72" s="232"/>
      <c r="AV72" s="232"/>
      <c r="AW72" s="232"/>
    </row>
    <row r="73" spans="1:49" ht="17" x14ac:dyDescent="0.2">
      <c r="A73" s="229" t="s">
        <v>8963</v>
      </c>
      <c r="B73" s="230" t="s">
        <v>8736</v>
      </c>
      <c r="C73" s="230">
        <v>14</v>
      </c>
      <c r="D73" s="230"/>
      <c r="E73" s="231">
        <v>42449</v>
      </c>
      <c r="F73" s="230">
        <v>28</v>
      </c>
      <c r="G73" s="230">
        <v>155</v>
      </c>
      <c r="H73" s="230" t="s">
        <v>4818</v>
      </c>
      <c r="I73" s="230" t="s">
        <v>7442</v>
      </c>
      <c r="J73" s="230" t="s">
        <v>8964</v>
      </c>
      <c r="K73" s="230" t="s">
        <v>4641</v>
      </c>
      <c r="L73" s="230" t="s">
        <v>8965</v>
      </c>
      <c r="M73" s="230">
        <v>24</v>
      </c>
      <c r="N73" s="230">
        <v>6</v>
      </c>
      <c r="O73" s="230">
        <v>44</v>
      </c>
      <c r="P73" s="230">
        <v>1288</v>
      </c>
      <c r="Q73" s="230">
        <v>120</v>
      </c>
      <c r="R73" s="230">
        <v>70</v>
      </c>
      <c r="S73" s="230"/>
      <c r="T73" s="230"/>
      <c r="U73" s="230"/>
      <c r="V73" s="230"/>
      <c r="W73" s="230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  <c r="AP73" s="232"/>
      <c r="AQ73" s="232"/>
      <c r="AR73" s="232"/>
      <c r="AS73" s="232"/>
      <c r="AT73" s="232"/>
      <c r="AU73" s="232"/>
      <c r="AV73" s="232"/>
      <c r="AW73" s="232"/>
    </row>
    <row r="74" spans="1:49" ht="17" x14ac:dyDescent="0.2">
      <c r="A74" s="226" t="s">
        <v>8966</v>
      </c>
      <c r="B74" s="226" t="s">
        <v>8736</v>
      </c>
      <c r="C74" s="226"/>
      <c r="D74" s="226"/>
      <c r="E74" s="226"/>
      <c r="F74" s="226">
        <v>20</v>
      </c>
      <c r="G74" s="226">
        <v>168</v>
      </c>
      <c r="H74" s="226">
        <v>75</v>
      </c>
      <c r="I74" s="226">
        <v>23.67</v>
      </c>
      <c r="J74" s="226">
        <v>89</v>
      </c>
      <c r="K74" s="226">
        <v>105</v>
      </c>
      <c r="L74" s="226"/>
      <c r="M74" s="226"/>
      <c r="N74" s="226"/>
      <c r="O74" s="226"/>
      <c r="P74" s="226"/>
      <c r="Q74" s="226"/>
      <c r="R74" s="226"/>
      <c r="S74" s="226"/>
      <c r="T74" s="226"/>
      <c r="U74" s="230"/>
      <c r="V74" s="230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232"/>
      <c r="AN74" s="232"/>
      <c r="AO74" s="232"/>
      <c r="AP74" s="232"/>
      <c r="AQ74" s="232"/>
      <c r="AR74" s="232"/>
      <c r="AS74" s="232"/>
      <c r="AT74" s="232"/>
      <c r="AU74" s="232"/>
      <c r="AV74" s="232"/>
      <c r="AW74" s="232"/>
    </row>
    <row r="75" spans="1:49" ht="17" x14ac:dyDescent="0.2">
      <c r="A75" s="226" t="s">
        <v>8967</v>
      </c>
      <c r="B75" s="226" t="s">
        <v>8736</v>
      </c>
      <c r="C75" s="226"/>
      <c r="D75" s="226"/>
      <c r="E75" s="226"/>
      <c r="F75" s="226">
        <v>21</v>
      </c>
      <c r="G75" s="226">
        <v>150</v>
      </c>
      <c r="H75" s="226">
        <v>39</v>
      </c>
      <c r="I75" s="226">
        <v>17.329999999999998</v>
      </c>
      <c r="J75" s="226">
        <v>67</v>
      </c>
      <c r="K75" s="226">
        <v>83</v>
      </c>
      <c r="L75" s="226"/>
      <c r="M75" s="226"/>
      <c r="N75" s="226"/>
      <c r="O75" s="226"/>
      <c r="P75" s="226"/>
      <c r="Q75" s="226"/>
      <c r="R75" s="226"/>
      <c r="S75" s="226"/>
      <c r="T75" s="226"/>
      <c r="U75" s="230"/>
      <c r="V75" s="230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232"/>
      <c r="AN75" s="232"/>
      <c r="AO75" s="232"/>
      <c r="AP75" s="232"/>
      <c r="AQ75" s="232"/>
      <c r="AR75" s="232"/>
      <c r="AS75" s="232"/>
      <c r="AT75" s="232"/>
      <c r="AU75" s="232"/>
      <c r="AV75" s="232"/>
      <c r="AW75" s="232"/>
    </row>
    <row r="76" spans="1:49" ht="17" x14ac:dyDescent="0.2">
      <c r="A76" s="226" t="s">
        <v>8968</v>
      </c>
      <c r="B76" s="226" t="s">
        <v>8736</v>
      </c>
      <c r="C76" s="226" t="s">
        <v>2020</v>
      </c>
      <c r="D76" s="226">
        <v>0</v>
      </c>
      <c r="E76" s="226">
        <v>42328</v>
      </c>
      <c r="F76" s="226">
        <v>28</v>
      </c>
      <c r="G76" s="226">
        <v>151</v>
      </c>
      <c r="H76" s="226" t="s">
        <v>8969</v>
      </c>
      <c r="I76" s="226" t="s">
        <v>8847</v>
      </c>
      <c r="J76" s="226">
        <v>86</v>
      </c>
      <c r="K76" s="226">
        <v>103</v>
      </c>
      <c r="L76" s="226" t="s">
        <v>8801</v>
      </c>
      <c r="M76" s="226" t="s">
        <v>8854</v>
      </c>
      <c r="N76" s="226">
        <v>7</v>
      </c>
      <c r="O76" s="226">
        <v>54</v>
      </c>
      <c r="P76" s="226"/>
      <c r="Q76" s="226">
        <v>94</v>
      </c>
      <c r="R76" s="226">
        <v>67</v>
      </c>
      <c r="S76" s="226">
        <v>91</v>
      </c>
      <c r="T76" s="226">
        <v>193</v>
      </c>
      <c r="U76" s="230">
        <v>232</v>
      </c>
      <c r="V76" s="230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32"/>
      <c r="AQ76" s="232"/>
      <c r="AR76" s="232"/>
      <c r="AS76" s="232"/>
      <c r="AT76" s="232"/>
      <c r="AU76" s="232"/>
      <c r="AV76" s="232"/>
      <c r="AW76" s="232"/>
    </row>
    <row r="77" spans="1:49" ht="17" x14ac:dyDescent="0.2">
      <c r="A77" s="226" t="s">
        <v>7962</v>
      </c>
      <c r="B77" s="226" t="s">
        <v>8736</v>
      </c>
      <c r="C77" s="226" t="s">
        <v>3596</v>
      </c>
      <c r="D77" s="226">
        <v>0</v>
      </c>
      <c r="E77" s="226">
        <v>42248</v>
      </c>
      <c r="F77" s="226">
        <v>31</v>
      </c>
      <c r="G77" s="226">
        <v>162</v>
      </c>
      <c r="H77" s="226" t="s">
        <v>8970</v>
      </c>
      <c r="I77" s="226" t="s">
        <v>8935</v>
      </c>
      <c r="J77" s="226">
        <v>62</v>
      </c>
      <c r="K77" s="226">
        <v>99</v>
      </c>
      <c r="L77" s="226">
        <v>28</v>
      </c>
      <c r="M77" s="226" t="s">
        <v>4756</v>
      </c>
      <c r="N77" s="226">
        <v>3</v>
      </c>
      <c r="O77" s="226">
        <v>22</v>
      </c>
      <c r="P77" s="226"/>
      <c r="Q77" s="226">
        <v>91</v>
      </c>
      <c r="R77" s="226">
        <v>62</v>
      </c>
      <c r="S77" s="226">
        <v>96</v>
      </c>
      <c r="T77" s="226">
        <v>140</v>
      </c>
      <c r="U77" s="230">
        <v>60</v>
      </c>
      <c r="V77" s="230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  <c r="AM77" s="232"/>
      <c r="AN77" s="232"/>
      <c r="AO77" s="232"/>
      <c r="AP77" s="232"/>
      <c r="AQ77" s="232"/>
      <c r="AR77" s="232"/>
      <c r="AS77" s="232"/>
      <c r="AT77" s="232"/>
      <c r="AU77" s="232"/>
      <c r="AV77" s="232"/>
      <c r="AW77" s="232"/>
    </row>
    <row r="78" spans="1:49" ht="21" customHeight="1" x14ac:dyDescent="0.2">
      <c r="A78" s="226" t="s">
        <v>8971</v>
      </c>
      <c r="B78" s="226" t="s">
        <v>8736</v>
      </c>
      <c r="C78" s="226"/>
      <c r="D78" s="226"/>
      <c r="E78" s="226"/>
      <c r="F78" s="226">
        <v>25</v>
      </c>
      <c r="G78" s="226">
        <v>151</v>
      </c>
      <c r="H78" s="226" t="s">
        <v>8972</v>
      </c>
      <c r="I78" s="226" t="s">
        <v>8774</v>
      </c>
      <c r="J78" s="226">
        <v>66</v>
      </c>
      <c r="K78" s="226">
        <v>87</v>
      </c>
      <c r="L78" s="226" t="s">
        <v>8973</v>
      </c>
      <c r="M78" s="226" t="s">
        <v>8869</v>
      </c>
      <c r="N78" s="226">
        <v>4</v>
      </c>
      <c r="O78" s="226"/>
      <c r="P78" s="226"/>
      <c r="Q78" s="226">
        <v>100</v>
      </c>
      <c r="R78" s="226">
        <v>60</v>
      </c>
      <c r="S78" s="226">
        <v>83</v>
      </c>
      <c r="T78" s="226"/>
      <c r="U78" s="230"/>
      <c r="V78" s="230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  <c r="AM78" s="232"/>
      <c r="AN78" s="232"/>
      <c r="AO78" s="232"/>
      <c r="AP78" s="232"/>
      <c r="AQ78" s="232"/>
      <c r="AR78" s="232"/>
      <c r="AS78" s="232"/>
      <c r="AT78" s="232"/>
      <c r="AU78" s="232"/>
      <c r="AV78" s="232"/>
      <c r="AW78" s="232"/>
    </row>
    <row r="79" spans="1:49" ht="17" x14ac:dyDescent="0.2">
      <c r="A79" s="226" t="s">
        <v>8974</v>
      </c>
      <c r="B79" s="226" t="s">
        <v>8736</v>
      </c>
      <c r="C79" s="226"/>
      <c r="D79" s="226"/>
      <c r="E79" s="226"/>
      <c r="F79" s="226">
        <v>24</v>
      </c>
      <c r="G79" s="226" t="s">
        <v>8975</v>
      </c>
      <c r="H79" s="226" t="s">
        <v>8976</v>
      </c>
      <c r="I79" s="226" t="s">
        <v>8779</v>
      </c>
      <c r="J79" s="226" t="s">
        <v>8977</v>
      </c>
      <c r="K79" s="226">
        <v>100</v>
      </c>
      <c r="L79" s="226" t="s">
        <v>4882</v>
      </c>
      <c r="M79" s="226" t="s">
        <v>4477</v>
      </c>
      <c r="N79" s="226">
        <v>6</v>
      </c>
      <c r="O79" s="226"/>
      <c r="P79" s="226"/>
      <c r="Q79" s="226">
        <v>91</v>
      </c>
      <c r="R79" s="226">
        <v>64</v>
      </c>
      <c r="S79" s="226">
        <v>94</v>
      </c>
      <c r="T79" s="226"/>
      <c r="U79" s="230"/>
      <c r="V79" s="230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  <c r="AM79" s="232"/>
      <c r="AN79" s="232"/>
      <c r="AO79" s="232"/>
      <c r="AP79" s="232"/>
      <c r="AQ79" s="232"/>
      <c r="AR79" s="232"/>
      <c r="AS79" s="232"/>
      <c r="AT79" s="232"/>
      <c r="AU79" s="232"/>
      <c r="AV79" s="232"/>
      <c r="AW79" s="232"/>
    </row>
    <row r="80" spans="1:49" ht="17" x14ac:dyDescent="0.2">
      <c r="A80" s="226" t="s">
        <v>8978</v>
      </c>
      <c r="B80" s="226" t="s">
        <v>8736</v>
      </c>
      <c r="C80" s="226"/>
      <c r="D80" s="226"/>
      <c r="E80" s="226"/>
      <c r="F80" s="226">
        <v>20</v>
      </c>
      <c r="G80" s="226" t="s">
        <v>8979</v>
      </c>
      <c r="H80" s="226" t="s">
        <v>8980</v>
      </c>
      <c r="I80" s="226" t="s">
        <v>4784</v>
      </c>
      <c r="J80" s="226">
        <v>72</v>
      </c>
      <c r="K80" s="226">
        <v>96</v>
      </c>
      <c r="L80" s="226" t="s">
        <v>8981</v>
      </c>
      <c r="M80" s="226" t="s">
        <v>8982</v>
      </c>
      <c r="N80" s="226">
        <v>4</v>
      </c>
      <c r="O80" s="226"/>
      <c r="P80" s="226"/>
      <c r="Q80" s="226">
        <v>89</v>
      </c>
      <c r="R80" s="226">
        <v>59</v>
      </c>
      <c r="S80" s="226">
        <v>93</v>
      </c>
      <c r="T80" s="226"/>
      <c r="U80" s="230"/>
      <c r="V80" s="230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  <c r="AM80" s="232"/>
      <c r="AN80" s="232"/>
      <c r="AO80" s="232"/>
      <c r="AP80" s="232"/>
      <c r="AQ80" s="232"/>
      <c r="AR80" s="232"/>
      <c r="AS80" s="232"/>
      <c r="AT80" s="232"/>
      <c r="AU80" s="232"/>
      <c r="AV80" s="232"/>
      <c r="AW80" s="232"/>
    </row>
    <row r="81" spans="1:49" ht="17" x14ac:dyDescent="0.2">
      <c r="A81" s="226" t="s">
        <v>8983</v>
      </c>
      <c r="B81" s="226" t="s">
        <v>8736</v>
      </c>
      <c r="C81" s="226"/>
      <c r="D81" s="226"/>
      <c r="E81" s="226"/>
      <c r="F81" s="226">
        <v>19</v>
      </c>
      <c r="G81" s="226">
        <v>151</v>
      </c>
      <c r="H81" s="226" t="s">
        <v>8984</v>
      </c>
      <c r="I81" s="226" t="s">
        <v>8985</v>
      </c>
      <c r="J81" s="226">
        <v>76</v>
      </c>
      <c r="K81" s="226">
        <v>94</v>
      </c>
      <c r="L81" s="226" t="s">
        <v>4287</v>
      </c>
      <c r="M81" s="226" t="s">
        <v>8869</v>
      </c>
      <c r="N81" s="226">
        <v>4</v>
      </c>
      <c r="O81" s="226"/>
      <c r="P81" s="226"/>
      <c r="Q81" s="226">
        <v>102</v>
      </c>
      <c r="R81" s="226">
        <v>77</v>
      </c>
      <c r="S81" s="226">
        <v>106</v>
      </c>
      <c r="T81" s="226"/>
      <c r="U81" s="230"/>
      <c r="V81" s="230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232"/>
      <c r="AN81" s="232"/>
      <c r="AO81" s="232"/>
      <c r="AP81" s="232"/>
      <c r="AQ81" s="232"/>
      <c r="AR81" s="232"/>
      <c r="AS81" s="232"/>
      <c r="AT81" s="232"/>
      <c r="AU81" s="232"/>
      <c r="AV81" s="232"/>
      <c r="AW81" s="232"/>
    </row>
    <row r="82" spans="1:49" ht="17" x14ac:dyDescent="0.2">
      <c r="A82" s="226" t="s">
        <v>8986</v>
      </c>
      <c r="B82" s="226" t="s">
        <v>8736</v>
      </c>
      <c r="C82" s="226"/>
      <c r="D82" s="226"/>
      <c r="E82" s="226"/>
      <c r="F82" s="226">
        <v>20</v>
      </c>
      <c r="G82" s="226" t="s">
        <v>8987</v>
      </c>
      <c r="H82" s="226" t="s">
        <v>8988</v>
      </c>
      <c r="I82" s="226" t="s">
        <v>4189</v>
      </c>
      <c r="J82" s="226">
        <v>76</v>
      </c>
      <c r="K82" s="226">
        <v>100</v>
      </c>
      <c r="L82" s="226" t="s">
        <v>8913</v>
      </c>
      <c r="M82" s="226" t="s">
        <v>8788</v>
      </c>
      <c r="N82" s="226">
        <v>5</v>
      </c>
      <c r="O82" s="226"/>
      <c r="P82" s="226"/>
      <c r="Q82" s="226">
        <v>95</v>
      </c>
      <c r="R82" s="226">
        <v>62</v>
      </c>
      <c r="S82" s="226">
        <v>80</v>
      </c>
      <c r="T82" s="226"/>
      <c r="U82" s="230"/>
      <c r="V82" s="230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  <c r="AM82" s="232"/>
      <c r="AN82" s="232"/>
      <c r="AO82" s="232"/>
      <c r="AP82" s="232"/>
      <c r="AQ82" s="232"/>
      <c r="AR82" s="232"/>
      <c r="AS82" s="232"/>
      <c r="AT82" s="232"/>
      <c r="AU82" s="232"/>
      <c r="AV82" s="232"/>
      <c r="AW82" s="232"/>
    </row>
    <row r="83" spans="1:49" ht="17" x14ac:dyDescent="0.2">
      <c r="A83" s="226" t="s">
        <v>8989</v>
      </c>
      <c r="B83" s="226" t="s">
        <v>8736</v>
      </c>
      <c r="C83" s="226"/>
      <c r="D83" s="226"/>
      <c r="E83" s="226"/>
      <c r="F83" s="226">
        <v>20</v>
      </c>
      <c r="G83" s="226" t="s">
        <v>8990</v>
      </c>
      <c r="H83" s="226" t="s">
        <v>8991</v>
      </c>
      <c r="I83" s="226" t="s">
        <v>8992</v>
      </c>
      <c r="J83" s="226">
        <v>99</v>
      </c>
      <c r="K83" s="226">
        <v>130</v>
      </c>
      <c r="L83" s="226" t="s">
        <v>8993</v>
      </c>
      <c r="M83" s="226" t="s">
        <v>7443</v>
      </c>
      <c r="N83" s="226">
        <v>7</v>
      </c>
      <c r="O83" s="226"/>
      <c r="P83" s="226"/>
      <c r="Q83" s="226">
        <v>113</v>
      </c>
      <c r="R83" s="226">
        <v>78</v>
      </c>
      <c r="S83" s="226">
        <v>95</v>
      </c>
      <c r="T83" s="226"/>
      <c r="U83" s="230"/>
      <c r="V83" s="230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  <c r="AM83" s="232"/>
      <c r="AN83" s="232"/>
      <c r="AO83" s="232"/>
      <c r="AP83" s="232"/>
      <c r="AQ83" s="232"/>
      <c r="AR83" s="232"/>
      <c r="AS83" s="232"/>
      <c r="AT83" s="232"/>
      <c r="AU83" s="232"/>
      <c r="AV83" s="232"/>
      <c r="AW83" s="232"/>
    </row>
    <row r="84" spans="1:49" ht="17" x14ac:dyDescent="0.2">
      <c r="A84" s="226" t="s">
        <v>8994</v>
      </c>
      <c r="B84" s="226" t="s">
        <v>8736</v>
      </c>
      <c r="C84" s="226"/>
      <c r="D84" s="226"/>
      <c r="E84" s="226"/>
      <c r="F84" s="226">
        <v>20</v>
      </c>
      <c r="G84" s="226">
        <v>167</v>
      </c>
      <c r="H84" s="226" t="s">
        <v>8995</v>
      </c>
      <c r="I84" s="226">
        <v>25.21</v>
      </c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30"/>
      <c r="V84" s="230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232"/>
      <c r="AN84" s="232"/>
      <c r="AO84" s="232"/>
      <c r="AP84" s="232"/>
      <c r="AQ84" s="232"/>
      <c r="AR84" s="232"/>
      <c r="AS84" s="232"/>
      <c r="AT84" s="232"/>
      <c r="AU84" s="232"/>
      <c r="AV84" s="232"/>
      <c r="AW84" s="232"/>
    </row>
    <row r="85" spans="1:49" ht="17" x14ac:dyDescent="0.2">
      <c r="A85" s="226" t="s">
        <v>8996</v>
      </c>
      <c r="B85" s="226" t="s">
        <v>8736</v>
      </c>
      <c r="C85" s="226" t="s">
        <v>3587</v>
      </c>
      <c r="D85" s="226">
        <v>0</v>
      </c>
      <c r="E85" s="226">
        <v>42031</v>
      </c>
      <c r="F85" s="226">
        <v>20</v>
      </c>
      <c r="G85" s="226">
        <v>162.19999999999999</v>
      </c>
      <c r="H85" s="226">
        <v>58.1</v>
      </c>
      <c r="I85" s="226">
        <v>22.1</v>
      </c>
      <c r="J85" s="226">
        <v>82</v>
      </c>
      <c r="K85" s="226">
        <v>95</v>
      </c>
      <c r="L85" s="226" t="s">
        <v>8997</v>
      </c>
      <c r="M85" s="226" t="s">
        <v>7466</v>
      </c>
      <c r="N85" s="226">
        <v>4</v>
      </c>
      <c r="O85" s="226"/>
      <c r="P85" s="226"/>
      <c r="Q85" s="226"/>
      <c r="R85" s="226"/>
      <c r="S85" s="226">
        <v>87</v>
      </c>
      <c r="T85" s="226"/>
      <c r="U85" s="230"/>
      <c r="V85" s="230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  <c r="AM85" s="232"/>
      <c r="AN85" s="232"/>
      <c r="AO85" s="232"/>
      <c r="AP85" s="232"/>
      <c r="AQ85" s="232"/>
      <c r="AR85" s="232"/>
      <c r="AS85" s="232"/>
      <c r="AT85" s="232"/>
      <c r="AU85" s="232"/>
      <c r="AV85" s="232"/>
      <c r="AW85" s="232"/>
    </row>
    <row r="86" spans="1:49" ht="17" x14ac:dyDescent="0.2">
      <c r="A86" s="226" t="s">
        <v>8998</v>
      </c>
      <c r="B86" s="226" t="s">
        <v>8736</v>
      </c>
      <c r="C86" s="226"/>
      <c r="D86" s="226"/>
      <c r="E86" s="226"/>
      <c r="F86" s="226">
        <v>22</v>
      </c>
      <c r="G86" s="226">
        <v>164</v>
      </c>
      <c r="H86" s="226">
        <v>59</v>
      </c>
      <c r="I86" s="226">
        <v>22</v>
      </c>
      <c r="J86" s="226">
        <v>83</v>
      </c>
      <c r="K86" s="226">
        <v>99</v>
      </c>
      <c r="L86" s="226">
        <v>33</v>
      </c>
      <c r="M86" s="226" t="s">
        <v>8834</v>
      </c>
      <c r="N86" s="226">
        <v>4</v>
      </c>
      <c r="O86" s="226"/>
      <c r="P86" s="226"/>
      <c r="Q86" s="226">
        <v>93</v>
      </c>
      <c r="R86" s="226">
        <v>64</v>
      </c>
      <c r="S86" s="226">
        <v>104</v>
      </c>
      <c r="T86" s="226"/>
      <c r="U86" s="230"/>
      <c r="V86" s="230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  <c r="AM86" s="232"/>
      <c r="AN86" s="232"/>
      <c r="AO86" s="232"/>
      <c r="AP86" s="232"/>
      <c r="AQ86" s="232"/>
      <c r="AR86" s="232"/>
      <c r="AS86" s="232"/>
      <c r="AT86" s="232"/>
      <c r="AU86" s="232"/>
      <c r="AV86" s="232"/>
      <c r="AW86" s="232"/>
    </row>
    <row r="87" spans="1:49" ht="17" x14ac:dyDescent="0.2">
      <c r="A87" s="226" t="s">
        <v>8999</v>
      </c>
      <c r="B87" s="226" t="s">
        <v>8736</v>
      </c>
      <c r="C87" s="226"/>
      <c r="D87" s="226"/>
      <c r="E87" s="226"/>
      <c r="F87" s="226">
        <v>20</v>
      </c>
      <c r="G87" s="226">
        <v>165</v>
      </c>
      <c r="H87" s="226" t="s">
        <v>9000</v>
      </c>
      <c r="I87" s="226" t="s">
        <v>8910</v>
      </c>
      <c r="J87" s="226">
        <v>89</v>
      </c>
      <c r="K87" s="226">
        <v>99</v>
      </c>
      <c r="L87" s="226" t="s">
        <v>8853</v>
      </c>
      <c r="M87" s="226" t="s">
        <v>4331</v>
      </c>
      <c r="N87" s="226">
        <v>4</v>
      </c>
      <c r="O87" s="226"/>
      <c r="P87" s="226"/>
      <c r="Q87" s="226">
        <v>98</v>
      </c>
      <c r="R87" s="226">
        <v>71</v>
      </c>
      <c r="S87" s="226">
        <v>104</v>
      </c>
      <c r="T87" s="226"/>
      <c r="U87" s="230"/>
      <c r="V87" s="230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  <c r="AM87" s="232"/>
      <c r="AN87" s="232"/>
      <c r="AO87" s="232"/>
      <c r="AP87" s="232"/>
      <c r="AQ87" s="232"/>
      <c r="AR87" s="232"/>
      <c r="AS87" s="232"/>
      <c r="AT87" s="232"/>
      <c r="AU87" s="232"/>
      <c r="AV87" s="232"/>
      <c r="AW87" s="232"/>
    </row>
    <row r="88" spans="1:49" ht="17" x14ac:dyDescent="0.2">
      <c r="A88" s="226" t="s">
        <v>9001</v>
      </c>
      <c r="B88" s="226" t="s">
        <v>8736</v>
      </c>
      <c r="C88" s="226"/>
      <c r="D88" s="226"/>
      <c r="E88" s="226">
        <v>42056</v>
      </c>
      <c r="F88" s="226">
        <v>22</v>
      </c>
      <c r="G88" s="226">
        <v>157</v>
      </c>
      <c r="H88" s="226" t="s">
        <v>4186</v>
      </c>
      <c r="I88" s="226" t="s">
        <v>847</v>
      </c>
      <c r="J88" s="226" t="s">
        <v>9002</v>
      </c>
      <c r="K88" s="226"/>
      <c r="L88" s="226" t="s">
        <v>8750</v>
      </c>
      <c r="M88" s="226">
        <v>25</v>
      </c>
      <c r="N88" s="226">
        <v>6</v>
      </c>
      <c r="O88" s="226"/>
      <c r="P88" s="226"/>
      <c r="Q88" s="226">
        <v>121</v>
      </c>
      <c r="R88" s="226">
        <v>83</v>
      </c>
      <c r="S88" s="226">
        <v>90</v>
      </c>
      <c r="T88" s="226"/>
      <c r="U88" s="230"/>
      <c r="V88" s="230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232"/>
      <c r="AN88" s="232"/>
      <c r="AO88" s="232"/>
      <c r="AP88" s="232"/>
      <c r="AQ88" s="232"/>
      <c r="AR88" s="232"/>
      <c r="AS88" s="232"/>
      <c r="AT88" s="232"/>
      <c r="AU88" s="232"/>
      <c r="AV88" s="232"/>
      <c r="AW88" s="232"/>
    </row>
    <row r="89" spans="1:49" ht="17" x14ac:dyDescent="0.2">
      <c r="A89" s="226" t="s">
        <v>9003</v>
      </c>
      <c r="B89" s="226" t="s">
        <v>8736</v>
      </c>
      <c r="C89" s="226"/>
      <c r="D89" s="226"/>
      <c r="E89" s="226">
        <v>42057</v>
      </c>
      <c r="F89" s="226">
        <v>24</v>
      </c>
      <c r="G89" s="226" t="s">
        <v>9004</v>
      </c>
      <c r="H89" s="226" t="s">
        <v>9005</v>
      </c>
      <c r="I89" s="226" t="s">
        <v>9006</v>
      </c>
      <c r="J89" s="226" t="s">
        <v>9007</v>
      </c>
      <c r="K89" s="226"/>
      <c r="L89" s="226" t="s">
        <v>8770</v>
      </c>
      <c r="M89" s="226" t="s">
        <v>4673</v>
      </c>
      <c r="N89" s="226">
        <v>2</v>
      </c>
      <c r="O89" s="226"/>
      <c r="P89" s="226"/>
      <c r="Q89" s="226">
        <v>98</v>
      </c>
      <c r="R89" s="226">
        <v>64</v>
      </c>
      <c r="S89" s="226">
        <v>82</v>
      </c>
      <c r="T89" s="226"/>
      <c r="U89" s="230"/>
      <c r="V89" s="230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232"/>
      <c r="AN89" s="232"/>
      <c r="AO89" s="232"/>
      <c r="AP89" s="232"/>
      <c r="AQ89" s="232"/>
      <c r="AR89" s="232"/>
      <c r="AS89" s="232"/>
      <c r="AT89" s="232"/>
      <c r="AU89" s="232"/>
      <c r="AV89" s="232"/>
      <c r="AW89" s="232"/>
    </row>
    <row r="90" spans="1:49" ht="17" x14ac:dyDescent="0.2">
      <c r="A90" s="226" t="s">
        <v>9008</v>
      </c>
      <c r="B90" s="226" t="s">
        <v>8736</v>
      </c>
      <c r="C90" s="226" t="s">
        <v>1610</v>
      </c>
      <c r="D90" s="226"/>
      <c r="E90" s="226"/>
      <c r="F90" s="226">
        <v>43</v>
      </c>
      <c r="G90" s="226">
        <v>150</v>
      </c>
      <c r="H90" s="226" t="s">
        <v>4714</v>
      </c>
      <c r="I90" s="226" t="s">
        <v>8905</v>
      </c>
      <c r="J90" s="226" t="s">
        <v>9009</v>
      </c>
      <c r="K90" s="226"/>
      <c r="L90" s="226" t="s">
        <v>9010</v>
      </c>
      <c r="M90" s="226" t="s">
        <v>4410</v>
      </c>
      <c r="N90" s="226">
        <v>9</v>
      </c>
      <c r="O90" s="226"/>
      <c r="P90" s="226"/>
      <c r="Q90" s="226">
        <v>89</v>
      </c>
      <c r="R90" s="226">
        <v>63</v>
      </c>
      <c r="S90" s="226">
        <v>117</v>
      </c>
      <c r="T90" s="226"/>
      <c r="U90" s="230"/>
      <c r="V90" s="230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232"/>
      <c r="AN90" s="232"/>
      <c r="AO90" s="232"/>
      <c r="AP90" s="232"/>
      <c r="AQ90" s="232"/>
      <c r="AR90" s="232"/>
      <c r="AS90" s="232"/>
      <c r="AT90" s="232"/>
      <c r="AU90" s="232"/>
      <c r="AV90" s="232"/>
      <c r="AW90" s="232"/>
    </row>
    <row r="91" spans="1:49" ht="17" x14ac:dyDescent="0.2">
      <c r="A91" s="226" t="s">
        <v>9011</v>
      </c>
      <c r="B91" s="226" t="s">
        <v>8736</v>
      </c>
      <c r="C91" s="226"/>
      <c r="D91" s="226"/>
      <c r="E91" s="226">
        <v>42039</v>
      </c>
      <c r="F91" s="226">
        <v>31</v>
      </c>
      <c r="G91" s="226" t="s">
        <v>9012</v>
      </c>
      <c r="H91" s="226" t="s">
        <v>9013</v>
      </c>
      <c r="I91" s="226" t="s">
        <v>9014</v>
      </c>
      <c r="J91" s="226" t="s">
        <v>9015</v>
      </c>
      <c r="K91" s="226"/>
      <c r="L91" s="226" t="s">
        <v>4730</v>
      </c>
      <c r="M91" s="226" t="s">
        <v>4756</v>
      </c>
      <c r="N91" s="226">
        <v>3</v>
      </c>
      <c r="O91" s="226"/>
      <c r="P91" s="226"/>
      <c r="Q91" s="226">
        <v>96</v>
      </c>
      <c r="R91" s="226">
        <v>62</v>
      </c>
      <c r="S91" s="226">
        <v>100</v>
      </c>
      <c r="T91" s="226"/>
      <c r="U91" s="230"/>
      <c r="V91" s="230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232"/>
      <c r="AN91" s="232"/>
      <c r="AO91" s="232"/>
      <c r="AP91" s="232"/>
      <c r="AQ91" s="232"/>
      <c r="AR91" s="232"/>
      <c r="AS91" s="232"/>
      <c r="AT91" s="232"/>
      <c r="AU91" s="232"/>
      <c r="AV91" s="232"/>
      <c r="AW91" s="232"/>
    </row>
    <row r="92" spans="1:49" ht="17" x14ac:dyDescent="0.2">
      <c r="A92" s="226" t="s">
        <v>9016</v>
      </c>
      <c r="B92" s="226" t="s">
        <v>8736</v>
      </c>
      <c r="C92" s="226">
        <v>13</v>
      </c>
      <c r="D92" s="226">
        <v>48</v>
      </c>
      <c r="E92" s="226"/>
      <c r="F92" s="226">
        <v>52</v>
      </c>
      <c r="G92" s="226">
        <v>162</v>
      </c>
      <c r="H92" s="226">
        <v>88</v>
      </c>
      <c r="I92" s="226" t="s">
        <v>4376</v>
      </c>
      <c r="J92" s="226" t="s">
        <v>9017</v>
      </c>
      <c r="K92" s="226"/>
      <c r="L92" s="226" t="s">
        <v>8861</v>
      </c>
      <c r="M92" s="226">
        <v>22</v>
      </c>
      <c r="N92" s="226">
        <v>11</v>
      </c>
      <c r="O92" s="226"/>
      <c r="P92" s="226"/>
      <c r="Q92" s="226">
        <v>122</v>
      </c>
      <c r="R92" s="226">
        <v>82</v>
      </c>
      <c r="S92" s="226">
        <v>92</v>
      </c>
      <c r="T92" s="226"/>
      <c r="U92" s="230"/>
      <c r="V92" s="230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232"/>
      <c r="AN92" s="232"/>
      <c r="AO92" s="232"/>
      <c r="AP92" s="232"/>
      <c r="AQ92" s="232"/>
      <c r="AR92" s="232"/>
      <c r="AS92" s="232"/>
      <c r="AT92" s="232"/>
      <c r="AU92" s="232"/>
      <c r="AV92" s="232"/>
      <c r="AW92" s="232"/>
    </row>
    <row r="93" spans="1:49" ht="17" x14ac:dyDescent="0.2">
      <c r="A93" s="226" t="s">
        <v>9018</v>
      </c>
      <c r="B93" s="226" t="s">
        <v>8736</v>
      </c>
      <c r="C93" s="226">
        <v>13</v>
      </c>
      <c r="D93" s="226"/>
      <c r="E93" s="226">
        <v>42072</v>
      </c>
      <c r="F93" s="226">
        <v>46</v>
      </c>
      <c r="G93" s="226">
        <v>160</v>
      </c>
      <c r="H93" s="226">
        <v>84</v>
      </c>
      <c r="I93" s="226">
        <v>33</v>
      </c>
      <c r="J93" s="226" t="s">
        <v>9019</v>
      </c>
      <c r="K93" s="226"/>
      <c r="L93" s="226">
        <v>52</v>
      </c>
      <c r="M93" s="226" t="s">
        <v>8808</v>
      </c>
      <c r="N93" s="226">
        <v>11</v>
      </c>
      <c r="O93" s="226">
        <v>66</v>
      </c>
      <c r="P93" s="226">
        <v>1514</v>
      </c>
      <c r="Q93" s="226">
        <v>134</v>
      </c>
      <c r="R93" s="226">
        <v>87</v>
      </c>
      <c r="S93" s="226">
        <v>94</v>
      </c>
      <c r="T93" s="226"/>
      <c r="U93" s="230"/>
      <c r="V93" s="230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  <c r="AP93" s="232"/>
      <c r="AQ93" s="232"/>
      <c r="AR93" s="232"/>
      <c r="AS93" s="232"/>
      <c r="AT93" s="232"/>
      <c r="AU93" s="232"/>
      <c r="AV93" s="232"/>
      <c r="AW93" s="232"/>
    </row>
    <row r="94" spans="1:49" ht="17" x14ac:dyDescent="0.2">
      <c r="A94" s="226" t="s">
        <v>9020</v>
      </c>
      <c r="B94" s="226" t="s">
        <v>8736</v>
      </c>
      <c r="C94" s="226"/>
      <c r="D94" s="226"/>
      <c r="E94" s="226"/>
      <c r="F94" s="226">
        <v>66</v>
      </c>
      <c r="G94" s="226">
        <v>153</v>
      </c>
      <c r="H94" s="226" t="s">
        <v>9021</v>
      </c>
      <c r="I94" s="226" t="s">
        <v>9022</v>
      </c>
      <c r="J94" s="226">
        <v>114</v>
      </c>
      <c r="K94" s="226">
        <v>129</v>
      </c>
      <c r="L94" s="226"/>
      <c r="M94" s="226"/>
      <c r="N94" s="226"/>
      <c r="O94" s="226"/>
      <c r="P94" s="226"/>
      <c r="Q94" s="226">
        <v>124</v>
      </c>
      <c r="R94" s="226">
        <v>70</v>
      </c>
      <c r="S94" s="226">
        <v>104</v>
      </c>
      <c r="T94" s="226">
        <v>184</v>
      </c>
      <c r="U94" s="226">
        <v>121</v>
      </c>
      <c r="V94" s="230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  <c r="AP94" s="232"/>
      <c r="AQ94" s="232"/>
      <c r="AR94" s="232"/>
      <c r="AS94" s="232"/>
      <c r="AT94" s="232"/>
      <c r="AU94" s="232"/>
      <c r="AV94" s="232"/>
      <c r="AW94" s="232"/>
    </row>
    <row r="95" spans="1:49" ht="17" x14ac:dyDescent="0.2">
      <c r="A95" s="226" t="s">
        <v>9023</v>
      </c>
      <c r="B95" s="226" t="s">
        <v>8736</v>
      </c>
      <c r="C95" s="226"/>
      <c r="D95" s="226"/>
      <c r="E95" s="226"/>
      <c r="F95" s="226">
        <v>55</v>
      </c>
      <c r="G95" s="226">
        <v>153</v>
      </c>
      <c r="H95" s="226" t="s">
        <v>9024</v>
      </c>
      <c r="I95" s="226" t="s">
        <v>9025</v>
      </c>
      <c r="J95" s="226">
        <v>107</v>
      </c>
      <c r="K95" s="226">
        <v>118</v>
      </c>
      <c r="L95" s="226"/>
      <c r="M95" s="226"/>
      <c r="N95" s="226"/>
      <c r="O95" s="226"/>
      <c r="P95" s="226"/>
      <c r="Q95" s="226">
        <v>125</v>
      </c>
      <c r="R95" s="226">
        <v>90</v>
      </c>
      <c r="S95" s="226">
        <v>95</v>
      </c>
      <c r="T95" s="226">
        <v>218</v>
      </c>
      <c r="U95" s="226">
        <v>196</v>
      </c>
      <c r="V95" s="230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  <c r="AP95" s="232"/>
      <c r="AQ95" s="232"/>
      <c r="AR95" s="232"/>
      <c r="AS95" s="232"/>
      <c r="AT95" s="232"/>
      <c r="AU95" s="232"/>
      <c r="AV95" s="232"/>
      <c r="AW95" s="232"/>
    </row>
    <row r="96" spans="1:49" ht="17" x14ac:dyDescent="0.2">
      <c r="A96" s="226" t="s">
        <v>9026</v>
      </c>
      <c r="B96" s="226" t="s">
        <v>8736</v>
      </c>
      <c r="C96" s="226">
        <v>16</v>
      </c>
      <c r="D96" s="226">
        <v>48</v>
      </c>
      <c r="E96" s="226"/>
      <c r="F96" s="226">
        <v>58</v>
      </c>
      <c r="G96" s="226">
        <v>159</v>
      </c>
      <c r="H96" s="226" t="s">
        <v>9027</v>
      </c>
      <c r="I96" s="226">
        <v>24</v>
      </c>
      <c r="J96" s="226" t="s">
        <v>8964</v>
      </c>
      <c r="K96" s="226">
        <v>98</v>
      </c>
      <c r="L96" s="226" t="s">
        <v>4728</v>
      </c>
      <c r="M96" s="226" t="s">
        <v>8869</v>
      </c>
      <c r="N96" s="226">
        <v>7</v>
      </c>
      <c r="O96" s="226">
        <v>52</v>
      </c>
      <c r="P96" s="226">
        <v>1304</v>
      </c>
      <c r="Q96" s="226">
        <v>112</v>
      </c>
      <c r="R96" s="226">
        <v>78</v>
      </c>
      <c r="S96" s="226">
        <v>88</v>
      </c>
      <c r="T96" s="226">
        <v>190</v>
      </c>
      <c r="U96" s="226">
        <v>243</v>
      </c>
      <c r="V96" s="230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232"/>
      <c r="AN96" s="232"/>
      <c r="AO96" s="232"/>
      <c r="AP96" s="232"/>
      <c r="AQ96" s="232"/>
      <c r="AR96" s="232"/>
      <c r="AS96" s="232"/>
      <c r="AT96" s="232"/>
      <c r="AU96" s="232"/>
      <c r="AV96" s="232"/>
      <c r="AW96" s="232"/>
    </row>
    <row r="97" spans="1:49" ht="17" x14ac:dyDescent="0.2">
      <c r="A97" s="226" t="s">
        <v>9028</v>
      </c>
      <c r="B97" s="226" t="s">
        <v>8736</v>
      </c>
      <c r="C97" s="226"/>
      <c r="D97" s="226"/>
      <c r="E97" s="226"/>
      <c r="F97" s="226">
        <v>66</v>
      </c>
      <c r="G97" s="226">
        <v>154</v>
      </c>
      <c r="H97" s="226" t="s">
        <v>9029</v>
      </c>
      <c r="I97" s="226" t="s">
        <v>4332</v>
      </c>
      <c r="J97" s="226">
        <v>94</v>
      </c>
      <c r="K97" s="226">
        <v>99</v>
      </c>
      <c r="L97" s="226">
        <v>44</v>
      </c>
      <c r="M97" s="226">
        <v>18</v>
      </c>
      <c r="N97" s="226">
        <v>17</v>
      </c>
      <c r="O97" s="226">
        <v>52</v>
      </c>
      <c r="P97" s="226"/>
      <c r="Q97" s="226">
        <v>145</v>
      </c>
      <c r="R97" s="226">
        <v>95</v>
      </c>
      <c r="S97" s="226">
        <v>107</v>
      </c>
      <c r="T97" s="226">
        <v>239</v>
      </c>
      <c r="U97" s="226">
        <v>700</v>
      </c>
      <c r="V97" s="230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232"/>
      <c r="AN97" s="232"/>
      <c r="AO97" s="232"/>
      <c r="AP97" s="232"/>
      <c r="AQ97" s="232"/>
      <c r="AR97" s="232"/>
      <c r="AS97" s="232"/>
      <c r="AT97" s="232"/>
      <c r="AU97" s="232"/>
      <c r="AV97" s="232"/>
      <c r="AW97" s="232"/>
    </row>
    <row r="98" spans="1:49" ht="17" x14ac:dyDescent="0.2">
      <c r="A98" s="226" t="s">
        <v>9030</v>
      </c>
      <c r="B98" s="226" t="s">
        <v>8736</v>
      </c>
      <c r="C98" s="226"/>
      <c r="D98" s="226"/>
      <c r="E98" s="226"/>
      <c r="F98" s="226">
        <v>25</v>
      </c>
      <c r="G98" s="226">
        <v>171</v>
      </c>
      <c r="H98" s="226">
        <v>73.3</v>
      </c>
      <c r="I98" s="226" t="s">
        <v>8982</v>
      </c>
      <c r="J98" s="226">
        <v>83</v>
      </c>
      <c r="K98" s="226">
        <v>106</v>
      </c>
      <c r="L98" s="226" t="s">
        <v>8787</v>
      </c>
      <c r="M98" s="226" t="s">
        <v>4622</v>
      </c>
      <c r="N98" s="226">
        <v>5</v>
      </c>
      <c r="O98" s="226">
        <v>33</v>
      </c>
      <c r="P98" s="226">
        <v>1471</v>
      </c>
      <c r="Q98" s="226">
        <v>111</v>
      </c>
      <c r="R98" s="226">
        <v>76</v>
      </c>
      <c r="S98" s="226">
        <v>94</v>
      </c>
      <c r="T98" s="226">
        <v>150</v>
      </c>
      <c r="U98" s="226">
        <v>72</v>
      </c>
      <c r="V98" s="230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  <c r="AM98" s="232"/>
      <c r="AN98" s="232"/>
      <c r="AO98" s="232"/>
      <c r="AP98" s="232"/>
      <c r="AQ98" s="232"/>
      <c r="AR98" s="232"/>
      <c r="AS98" s="232"/>
      <c r="AT98" s="232"/>
      <c r="AU98" s="232"/>
      <c r="AV98" s="232"/>
      <c r="AW98" s="232"/>
    </row>
    <row r="99" spans="1:49" ht="17" x14ac:dyDescent="0.2">
      <c r="A99" s="226" t="s">
        <v>9031</v>
      </c>
      <c r="B99" s="226" t="s">
        <v>8736</v>
      </c>
      <c r="C99" s="226"/>
      <c r="D99" s="226"/>
      <c r="E99" s="226"/>
      <c r="F99" s="226">
        <v>42</v>
      </c>
      <c r="G99" s="226">
        <v>164</v>
      </c>
      <c r="H99" s="226" t="s">
        <v>9032</v>
      </c>
      <c r="I99" s="226">
        <v>28.78</v>
      </c>
      <c r="J99" s="226">
        <v>98</v>
      </c>
      <c r="K99" s="226">
        <v>106</v>
      </c>
      <c r="L99" s="226"/>
      <c r="M99" s="226"/>
      <c r="N99" s="226"/>
      <c r="O99" s="226"/>
      <c r="P99" s="226"/>
      <c r="Q99" s="226">
        <v>126</v>
      </c>
      <c r="R99" s="226">
        <v>89</v>
      </c>
      <c r="S99" s="226">
        <v>96</v>
      </c>
      <c r="T99" s="226">
        <v>194</v>
      </c>
      <c r="U99" s="226">
        <v>110</v>
      </c>
      <c r="V99" s="230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232"/>
      <c r="AN99" s="232"/>
      <c r="AO99" s="232"/>
      <c r="AP99" s="232"/>
      <c r="AQ99" s="232"/>
      <c r="AR99" s="232"/>
      <c r="AS99" s="232"/>
      <c r="AT99" s="232"/>
      <c r="AU99" s="232"/>
      <c r="AV99" s="232"/>
      <c r="AW99" s="232"/>
    </row>
    <row r="100" spans="1:49" ht="17" x14ac:dyDescent="0.2">
      <c r="A100" s="226" t="s">
        <v>9033</v>
      </c>
      <c r="B100" s="226" t="s">
        <v>8736</v>
      </c>
      <c r="C100" s="226"/>
      <c r="D100" s="226"/>
      <c r="E100" s="226"/>
      <c r="F100" s="226">
        <v>34</v>
      </c>
      <c r="G100" s="226">
        <v>159</v>
      </c>
      <c r="H100" s="226" t="s">
        <v>9034</v>
      </c>
      <c r="I100" s="226">
        <v>32.590000000000003</v>
      </c>
      <c r="J100" s="226">
        <v>100</v>
      </c>
      <c r="K100" s="226">
        <v>120</v>
      </c>
      <c r="L100" s="226"/>
      <c r="M100" s="226"/>
      <c r="N100" s="226"/>
      <c r="O100" s="226"/>
      <c r="P100" s="226"/>
      <c r="Q100" s="226">
        <v>96</v>
      </c>
      <c r="R100" s="226">
        <v>65</v>
      </c>
      <c r="S100" s="226">
        <v>89</v>
      </c>
      <c r="T100" s="226">
        <v>198</v>
      </c>
      <c r="U100" s="226">
        <v>250</v>
      </c>
      <c r="V100" s="230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232"/>
      <c r="AN100" s="232"/>
      <c r="AO100" s="232"/>
      <c r="AP100" s="232"/>
      <c r="AQ100" s="232"/>
      <c r="AR100" s="232"/>
      <c r="AS100" s="232"/>
      <c r="AT100" s="232"/>
      <c r="AU100" s="232"/>
      <c r="AV100" s="232"/>
      <c r="AW100" s="232"/>
    </row>
    <row r="101" spans="1:49" ht="17" x14ac:dyDescent="0.2">
      <c r="A101" s="226" t="s">
        <v>9035</v>
      </c>
      <c r="B101" s="226" t="s">
        <v>8736</v>
      </c>
      <c r="C101" s="226"/>
      <c r="D101" s="226"/>
      <c r="E101" s="226"/>
      <c r="F101" s="226">
        <v>27</v>
      </c>
      <c r="G101" s="226">
        <v>163</v>
      </c>
      <c r="H101" s="226" t="s">
        <v>9036</v>
      </c>
      <c r="I101" s="226">
        <v>28.49</v>
      </c>
      <c r="J101" s="226">
        <v>92</v>
      </c>
      <c r="K101" s="226">
        <v>112</v>
      </c>
      <c r="L101" s="226"/>
      <c r="M101" s="226"/>
      <c r="N101" s="226"/>
      <c r="O101" s="226"/>
      <c r="P101" s="226"/>
      <c r="Q101" s="226">
        <v>110</v>
      </c>
      <c r="R101" s="226">
        <v>76</v>
      </c>
      <c r="S101" s="226">
        <v>110</v>
      </c>
      <c r="T101" s="226">
        <v>163</v>
      </c>
      <c r="U101" s="226">
        <v>384</v>
      </c>
      <c r="V101" s="230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32"/>
      <c r="AR101" s="232"/>
      <c r="AS101" s="232"/>
      <c r="AT101" s="232"/>
      <c r="AU101" s="232"/>
      <c r="AV101" s="232"/>
      <c r="AW101" s="232"/>
    </row>
    <row r="102" spans="1:49" ht="17" x14ac:dyDescent="0.2">
      <c r="A102" s="226" t="s">
        <v>9037</v>
      </c>
      <c r="B102" s="226" t="s">
        <v>8736</v>
      </c>
      <c r="C102" s="226"/>
      <c r="D102" s="226"/>
      <c r="E102" s="226"/>
      <c r="F102" s="226">
        <v>52</v>
      </c>
      <c r="G102" s="226">
        <v>166</v>
      </c>
      <c r="H102" s="226" t="s">
        <v>4186</v>
      </c>
      <c r="I102" s="226">
        <v>28.2</v>
      </c>
      <c r="J102" s="226"/>
      <c r="K102" s="226"/>
      <c r="L102" s="226"/>
      <c r="M102" s="226"/>
      <c r="N102" s="226"/>
      <c r="O102" s="226"/>
      <c r="P102" s="226"/>
      <c r="Q102" s="226">
        <v>136</v>
      </c>
      <c r="R102" s="226">
        <v>84</v>
      </c>
      <c r="S102" s="226">
        <v>102</v>
      </c>
      <c r="T102" s="226">
        <v>237</v>
      </c>
      <c r="U102" s="226">
        <v>126</v>
      </c>
      <c r="V102" s="230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2"/>
    </row>
    <row r="103" spans="1:49" ht="17" x14ac:dyDescent="0.2">
      <c r="A103" s="226" t="s">
        <v>9038</v>
      </c>
      <c r="B103" s="226" t="s">
        <v>8736</v>
      </c>
      <c r="C103" s="226"/>
      <c r="D103" s="226"/>
      <c r="E103" s="226"/>
      <c r="F103" s="226">
        <v>68</v>
      </c>
      <c r="G103" s="226">
        <v>148</v>
      </c>
      <c r="H103" s="226" t="s">
        <v>9039</v>
      </c>
      <c r="I103" s="226" t="s">
        <v>695</v>
      </c>
      <c r="J103" s="226">
        <v>115</v>
      </c>
      <c r="K103" s="226">
        <v>119</v>
      </c>
      <c r="L103" s="226" t="s">
        <v>8921</v>
      </c>
      <c r="M103" s="226" t="s">
        <v>8849</v>
      </c>
      <c r="N103" s="226">
        <v>13</v>
      </c>
      <c r="O103" s="226">
        <v>78</v>
      </c>
      <c r="P103" s="226"/>
      <c r="Q103" s="226">
        <v>126</v>
      </c>
      <c r="R103" s="226">
        <v>68</v>
      </c>
      <c r="S103" s="226">
        <v>165</v>
      </c>
      <c r="T103" s="226"/>
      <c r="U103" s="226">
        <v>108</v>
      </c>
      <c r="V103" s="230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32"/>
      <c r="AQ103" s="232"/>
      <c r="AR103" s="232"/>
      <c r="AS103" s="232"/>
      <c r="AT103" s="232"/>
      <c r="AU103" s="232"/>
      <c r="AV103" s="232"/>
      <c r="AW103" s="232"/>
    </row>
    <row r="104" spans="1:49" ht="17" x14ac:dyDescent="0.2">
      <c r="A104" s="226" t="s">
        <v>9040</v>
      </c>
      <c r="B104" s="226" t="s">
        <v>8736</v>
      </c>
      <c r="C104" s="226"/>
      <c r="D104" s="226"/>
      <c r="E104" s="226"/>
      <c r="F104" s="226">
        <v>37</v>
      </c>
      <c r="G104" s="226">
        <v>170</v>
      </c>
      <c r="H104" s="226" t="s">
        <v>9041</v>
      </c>
      <c r="I104" s="226" t="s">
        <v>4215</v>
      </c>
      <c r="J104" s="226">
        <v>102</v>
      </c>
      <c r="K104" s="226">
        <v>123</v>
      </c>
      <c r="L104" s="226">
        <v>48</v>
      </c>
      <c r="M104" s="226" t="s">
        <v>8788</v>
      </c>
      <c r="N104" s="226">
        <v>9</v>
      </c>
      <c r="O104" s="226">
        <v>58</v>
      </c>
      <c r="P104" s="226"/>
      <c r="Q104" s="226">
        <v>98</v>
      </c>
      <c r="R104" s="226">
        <v>65</v>
      </c>
      <c r="S104" s="226">
        <v>114</v>
      </c>
      <c r="T104" s="226">
        <v>140</v>
      </c>
      <c r="U104" s="226">
        <v>325</v>
      </c>
      <c r="V104" s="230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32"/>
      <c r="AQ104" s="232"/>
      <c r="AR104" s="232"/>
      <c r="AS104" s="232"/>
      <c r="AT104" s="232"/>
      <c r="AU104" s="232"/>
      <c r="AV104" s="232"/>
      <c r="AW104" s="232"/>
    </row>
    <row r="105" spans="1:49" ht="17" x14ac:dyDescent="0.2">
      <c r="A105" s="226" t="s">
        <v>9042</v>
      </c>
      <c r="B105" s="226" t="s">
        <v>8736</v>
      </c>
      <c r="C105" s="226"/>
      <c r="D105" s="226"/>
      <c r="E105" s="226"/>
      <c r="F105" s="226">
        <v>75</v>
      </c>
      <c r="G105" s="226">
        <v>147</v>
      </c>
      <c r="H105" s="226" t="s">
        <v>9043</v>
      </c>
      <c r="I105" s="226" t="s">
        <v>4297</v>
      </c>
      <c r="J105" s="226">
        <v>101</v>
      </c>
      <c r="K105" s="226">
        <v>119</v>
      </c>
      <c r="L105" s="226">
        <v>44</v>
      </c>
      <c r="M105" s="226" t="s">
        <v>9044</v>
      </c>
      <c r="N105" s="226">
        <v>13</v>
      </c>
      <c r="O105" s="226">
        <v>77</v>
      </c>
      <c r="P105" s="226"/>
      <c r="Q105" s="226">
        <v>178</v>
      </c>
      <c r="R105" s="226">
        <v>73</v>
      </c>
      <c r="S105" s="226">
        <v>96</v>
      </c>
      <c r="T105" s="226">
        <v>207</v>
      </c>
      <c r="U105" s="226">
        <v>156</v>
      </c>
      <c r="V105" s="230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32"/>
      <c r="AQ105" s="232"/>
      <c r="AR105" s="232"/>
      <c r="AS105" s="232"/>
      <c r="AT105" s="232"/>
      <c r="AU105" s="232"/>
      <c r="AV105" s="232"/>
      <c r="AW105" s="232"/>
    </row>
    <row r="106" spans="1:49" ht="17" x14ac:dyDescent="0.2">
      <c r="A106" s="226" t="s">
        <v>9045</v>
      </c>
      <c r="B106" s="226" t="s">
        <v>8736</v>
      </c>
      <c r="C106" s="226"/>
      <c r="D106" s="226"/>
      <c r="E106" s="226"/>
      <c r="F106" s="226">
        <v>53</v>
      </c>
      <c r="G106" s="226">
        <v>153</v>
      </c>
      <c r="H106" s="226">
        <v>56</v>
      </c>
      <c r="I106" s="226" t="s">
        <v>9046</v>
      </c>
      <c r="J106" s="226">
        <v>84</v>
      </c>
      <c r="K106" s="226">
        <v>96</v>
      </c>
      <c r="L106" s="226">
        <v>39</v>
      </c>
      <c r="M106" s="226" t="s">
        <v>250</v>
      </c>
      <c r="N106" s="226">
        <v>7</v>
      </c>
      <c r="O106" s="226">
        <v>51</v>
      </c>
      <c r="P106" s="226"/>
      <c r="Q106" s="226"/>
      <c r="R106" s="226"/>
      <c r="S106" s="226">
        <v>118</v>
      </c>
      <c r="T106" s="226">
        <v>180</v>
      </c>
      <c r="U106" s="226">
        <v>137</v>
      </c>
      <c r="V106" s="230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32"/>
      <c r="AQ106" s="232"/>
      <c r="AR106" s="232"/>
      <c r="AS106" s="232"/>
      <c r="AT106" s="232"/>
      <c r="AU106" s="232"/>
      <c r="AV106" s="232"/>
      <c r="AW106" s="232"/>
    </row>
    <row r="107" spans="1:49" ht="17" x14ac:dyDescent="0.2">
      <c r="A107" s="226" t="s">
        <v>9047</v>
      </c>
      <c r="B107" s="226" t="s">
        <v>8736</v>
      </c>
      <c r="C107" s="226"/>
      <c r="D107" s="226"/>
      <c r="E107" s="226"/>
      <c r="F107" s="226">
        <v>50</v>
      </c>
      <c r="G107" s="226">
        <v>151</v>
      </c>
      <c r="H107" s="226">
        <v>60</v>
      </c>
      <c r="I107" s="226" t="s">
        <v>4552</v>
      </c>
      <c r="J107" s="226">
        <v>89</v>
      </c>
      <c r="K107" s="226">
        <v>98</v>
      </c>
      <c r="L107" s="226">
        <v>36</v>
      </c>
      <c r="M107" s="226" t="s">
        <v>9048</v>
      </c>
      <c r="N107" s="226">
        <v>9</v>
      </c>
      <c r="O107" s="226">
        <v>60</v>
      </c>
      <c r="P107" s="226"/>
      <c r="Q107" s="226">
        <v>98</v>
      </c>
      <c r="R107" s="226">
        <v>57</v>
      </c>
      <c r="S107" s="226">
        <v>107</v>
      </c>
      <c r="T107" s="226">
        <v>194</v>
      </c>
      <c r="U107" s="226">
        <v>206</v>
      </c>
      <c r="V107" s="230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32"/>
      <c r="AQ107" s="232"/>
      <c r="AR107" s="232"/>
      <c r="AS107" s="232"/>
      <c r="AT107" s="232"/>
      <c r="AU107" s="232"/>
      <c r="AV107" s="232"/>
      <c r="AW107" s="232"/>
    </row>
    <row r="108" spans="1:49" ht="17" x14ac:dyDescent="0.2">
      <c r="A108" s="226" t="s">
        <v>9049</v>
      </c>
      <c r="B108" s="226" t="s">
        <v>8736</v>
      </c>
      <c r="C108" s="226">
        <v>14</v>
      </c>
      <c r="D108" s="226">
        <v>36</v>
      </c>
      <c r="E108" s="226"/>
      <c r="F108" s="226">
        <v>53</v>
      </c>
      <c r="G108" s="226">
        <v>160</v>
      </c>
      <c r="H108" s="226" t="s">
        <v>8775</v>
      </c>
      <c r="I108" s="226" t="s">
        <v>8847</v>
      </c>
      <c r="J108" s="226">
        <v>102</v>
      </c>
      <c r="K108" s="226">
        <v>114</v>
      </c>
      <c r="L108" s="226" t="s">
        <v>9050</v>
      </c>
      <c r="M108" s="226" t="s">
        <v>8916</v>
      </c>
      <c r="N108" s="226">
        <v>10</v>
      </c>
      <c r="O108" s="226"/>
      <c r="P108" s="226"/>
      <c r="Q108" s="226">
        <v>137</v>
      </c>
      <c r="R108" s="226">
        <v>92</v>
      </c>
      <c r="S108" s="226">
        <v>107</v>
      </c>
      <c r="T108" s="226"/>
      <c r="U108" s="226"/>
      <c r="V108" s="230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32"/>
      <c r="AQ108" s="232"/>
      <c r="AR108" s="232"/>
      <c r="AS108" s="232"/>
      <c r="AT108" s="232"/>
      <c r="AU108" s="232"/>
      <c r="AV108" s="232"/>
      <c r="AW108" s="232"/>
    </row>
    <row r="109" spans="1:49" ht="17" x14ac:dyDescent="0.2">
      <c r="A109" s="226" t="s">
        <v>9051</v>
      </c>
      <c r="B109" s="226" t="s">
        <v>8736</v>
      </c>
      <c r="C109" s="226"/>
      <c r="D109" s="226"/>
      <c r="E109" s="226"/>
      <c r="F109" s="226">
        <v>42</v>
      </c>
      <c r="G109" s="226">
        <v>158</v>
      </c>
      <c r="H109" s="226" t="s">
        <v>9052</v>
      </c>
      <c r="I109" s="226" t="s">
        <v>4378</v>
      </c>
      <c r="J109" s="226">
        <v>100</v>
      </c>
      <c r="K109" s="226">
        <v>109</v>
      </c>
      <c r="L109" s="226" t="s">
        <v>8881</v>
      </c>
      <c r="M109" s="226" t="s">
        <v>8910</v>
      </c>
      <c r="N109" s="226">
        <v>9</v>
      </c>
      <c r="O109" s="226">
        <v>61</v>
      </c>
      <c r="P109" s="226"/>
      <c r="Q109" s="226"/>
      <c r="R109" s="226"/>
      <c r="S109" s="226">
        <v>192</v>
      </c>
      <c r="T109" s="226">
        <v>183</v>
      </c>
      <c r="U109" s="226">
        <v>164</v>
      </c>
      <c r="V109" s="230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32"/>
      <c r="AQ109" s="232"/>
      <c r="AR109" s="232"/>
      <c r="AS109" s="232"/>
      <c r="AT109" s="232"/>
      <c r="AU109" s="232"/>
      <c r="AV109" s="232"/>
      <c r="AW109" s="232"/>
    </row>
    <row r="110" spans="1:49" ht="17" x14ac:dyDescent="0.2">
      <c r="A110" s="226" t="s">
        <v>9053</v>
      </c>
      <c r="B110" s="226" t="s">
        <v>8736</v>
      </c>
      <c r="C110" s="226">
        <v>14</v>
      </c>
      <c r="D110" s="226"/>
      <c r="E110" s="226">
        <v>42137</v>
      </c>
      <c r="F110" s="226">
        <v>23</v>
      </c>
      <c r="G110" s="226">
        <v>157</v>
      </c>
      <c r="H110" s="226" t="s">
        <v>9054</v>
      </c>
      <c r="I110" s="226" t="s">
        <v>9055</v>
      </c>
      <c r="J110" s="226">
        <v>64</v>
      </c>
      <c r="K110" s="226">
        <v>77</v>
      </c>
      <c r="L110" s="226">
        <v>19</v>
      </c>
      <c r="M110" s="226">
        <v>29</v>
      </c>
      <c r="N110" s="226">
        <v>2</v>
      </c>
      <c r="O110" s="226">
        <v>18</v>
      </c>
      <c r="P110" s="226"/>
      <c r="Q110" s="226">
        <v>100</v>
      </c>
      <c r="R110" s="226">
        <v>76</v>
      </c>
      <c r="S110" s="226">
        <v>97</v>
      </c>
      <c r="T110" s="226">
        <v>151</v>
      </c>
      <c r="U110" s="226"/>
      <c r="V110" s="230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32"/>
      <c r="AQ110" s="232"/>
      <c r="AR110" s="232"/>
      <c r="AS110" s="232"/>
      <c r="AT110" s="232"/>
      <c r="AU110" s="232"/>
      <c r="AV110" s="232"/>
      <c r="AW110" s="232"/>
    </row>
    <row r="111" spans="1:49" ht="17" x14ac:dyDescent="0.2">
      <c r="A111" s="226" t="s">
        <v>9056</v>
      </c>
      <c r="B111" s="226" t="s">
        <v>8736</v>
      </c>
      <c r="C111" s="226"/>
      <c r="D111" s="226"/>
      <c r="E111" s="226">
        <v>42036</v>
      </c>
      <c r="F111" s="226">
        <v>51</v>
      </c>
      <c r="G111" s="226">
        <v>154</v>
      </c>
      <c r="H111" s="226" t="s">
        <v>9057</v>
      </c>
      <c r="I111" s="226" t="s">
        <v>9058</v>
      </c>
      <c r="J111" s="226">
        <v>99</v>
      </c>
      <c r="K111" s="226">
        <v>120</v>
      </c>
      <c r="L111" s="226">
        <v>51</v>
      </c>
      <c r="M111" s="226" t="s">
        <v>8854</v>
      </c>
      <c r="N111" s="226">
        <v>11</v>
      </c>
      <c r="O111" s="226">
        <v>70</v>
      </c>
      <c r="P111" s="226"/>
      <c r="Q111" s="226">
        <v>87</v>
      </c>
      <c r="R111" s="226">
        <v>66</v>
      </c>
      <c r="S111" s="226">
        <v>89</v>
      </c>
      <c r="T111" s="226">
        <v>187</v>
      </c>
      <c r="U111" s="226">
        <v>92</v>
      </c>
      <c r="V111" s="230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32"/>
      <c r="AQ111" s="232"/>
      <c r="AR111" s="232"/>
      <c r="AS111" s="232"/>
      <c r="AT111" s="232"/>
      <c r="AU111" s="232"/>
      <c r="AV111" s="232"/>
      <c r="AW111" s="232"/>
    </row>
    <row r="112" spans="1:49" ht="17" x14ac:dyDescent="0.2">
      <c r="A112" s="226" t="s">
        <v>7966</v>
      </c>
      <c r="B112" s="226" t="s">
        <v>8736</v>
      </c>
      <c r="C112" s="226">
        <v>10</v>
      </c>
      <c r="D112" s="226">
        <v>35</v>
      </c>
      <c r="E112" s="226"/>
      <c r="F112" s="226">
        <v>54</v>
      </c>
      <c r="G112" s="226">
        <v>144</v>
      </c>
      <c r="H112" s="226" t="s">
        <v>9059</v>
      </c>
      <c r="I112" s="226" t="s">
        <v>9060</v>
      </c>
      <c r="J112" s="226">
        <v>127</v>
      </c>
      <c r="K112" s="226">
        <v>147</v>
      </c>
      <c r="L112" s="226" t="s">
        <v>9061</v>
      </c>
      <c r="M112" s="226" t="s">
        <v>9062</v>
      </c>
      <c r="N112" s="226"/>
      <c r="O112" s="226"/>
      <c r="P112" s="226"/>
      <c r="Q112" s="226">
        <v>132</v>
      </c>
      <c r="R112" s="226">
        <v>84</v>
      </c>
      <c r="S112" s="226">
        <v>114</v>
      </c>
      <c r="T112" s="226">
        <v>243</v>
      </c>
      <c r="U112" s="226">
        <v>156</v>
      </c>
      <c r="V112" s="230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32"/>
      <c r="AQ112" s="232"/>
      <c r="AR112" s="232"/>
      <c r="AS112" s="232"/>
      <c r="AT112" s="232"/>
      <c r="AU112" s="232"/>
      <c r="AV112" s="232"/>
      <c r="AW112" s="232"/>
    </row>
    <row r="113" spans="1:49" ht="17" x14ac:dyDescent="0.2">
      <c r="A113" s="226" t="s">
        <v>9063</v>
      </c>
      <c r="B113" s="226" t="s">
        <v>8736</v>
      </c>
      <c r="C113" s="226"/>
      <c r="D113" s="226"/>
      <c r="E113" s="226"/>
      <c r="F113" s="226">
        <v>54</v>
      </c>
      <c r="G113" s="226">
        <v>161</v>
      </c>
      <c r="H113" s="226">
        <v>100.8</v>
      </c>
      <c r="I113" s="226">
        <v>38.9</v>
      </c>
      <c r="J113" s="226">
        <v>118</v>
      </c>
      <c r="K113" s="226">
        <v>129</v>
      </c>
      <c r="L113" s="226">
        <v>48.2</v>
      </c>
      <c r="M113" s="226">
        <v>23.5</v>
      </c>
      <c r="N113" s="226">
        <v>13</v>
      </c>
      <c r="O113" s="226">
        <v>73</v>
      </c>
      <c r="P113" s="226"/>
      <c r="Q113" s="226">
        <v>166</v>
      </c>
      <c r="R113" s="226">
        <v>113</v>
      </c>
      <c r="S113" s="226">
        <v>105</v>
      </c>
      <c r="T113" s="226">
        <v>166</v>
      </c>
      <c r="U113" s="226">
        <v>246</v>
      </c>
      <c r="V113" s="230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32"/>
      <c r="AQ113" s="232"/>
      <c r="AR113" s="232"/>
      <c r="AS113" s="232"/>
      <c r="AT113" s="232"/>
      <c r="AU113" s="232"/>
      <c r="AV113" s="232"/>
      <c r="AW113" s="232"/>
    </row>
    <row r="114" spans="1:49" ht="17" x14ac:dyDescent="0.2">
      <c r="A114" s="226" t="s">
        <v>7973</v>
      </c>
      <c r="B114" s="226" t="s">
        <v>8736</v>
      </c>
      <c r="C114" s="226" t="s">
        <v>2020</v>
      </c>
      <c r="D114" s="226">
        <v>0</v>
      </c>
      <c r="E114" s="226">
        <v>42143</v>
      </c>
      <c r="F114" s="226">
        <v>23</v>
      </c>
      <c r="G114" s="226">
        <v>148</v>
      </c>
      <c r="H114" s="226">
        <v>81.7</v>
      </c>
      <c r="I114" s="226">
        <v>37.299999999999997</v>
      </c>
      <c r="J114" s="226">
        <v>106</v>
      </c>
      <c r="K114" s="226">
        <v>118</v>
      </c>
      <c r="L114" s="226">
        <v>51.4</v>
      </c>
      <c r="M114" s="226">
        <v>21.2</v>
      </c>
      <c r="N114" s="226">
        <v>8</v>
      </c>
      <c r="O114" s="226">
        <v>60</v>
      </c>
      <c r="P114" s="226">
        <v>1430</v>
      </c>
      <c r="Q114" s="226">
        <v>96</v>
      </c>
      <c r="R114" s="226">
        <v>76</v>
      </c>
      <c r="S114" s="226">
        <v>105</v>
      </c>
      <c r="T114" s="226">
        <v>140</v>
      </c>
      <c r="U114" s="226">
        <v>173</v>
      </c>
      <c r="V114" s="230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32"/>
      <c r="AQ114" s="232"/>
      <c r="AR114" s="232"/>
      <c r="AS114" s="232"/>
      <c r="AT114" s="232"/>
      <c r="AU114" s="232"/>
      <c r="AV114" s="232"/>
      <c r="AW114" s="232"/>
    </row>
    <row r="115" spans="1:49" ht="17" x14ac:dyDescent="0.2">
      <c r="A115" s="226" t="s">
        <v>9064</v>
      </c>
      <c r="B115" s="226" t="s">
        <v>8736</v>
      </c>
      <c r="C115" s="226" t="s">
        <v>2020</v>
      </c>
      <c r="D115" s="226">
        <v>0</v>
      </c>
      <c r="E115" s="226">
        <v>42276</v>
      </c>
      <c r="F115" s="226">
        <v>45</v>
      </c>
      <c r="G115" s="226" t="s">
        <v>9065</v>
      </c>
      <c r="H115" s="226" t="s">
        <v>4714</v>
      </c>
      <c r="I115" s="226" t="s">
        <v>4527</v>
      </c>
      <c r="J115" s="226">
        <v>88</v>
      </c>
      <c r="K115" s="226">
        <v>99</v>
      </c>
      <c r="L115" s="226">
        <v>40</v>
      </c>
      <c r="M115" s="226" t="s">
        <v>4730</v>
      </c>
      <c r="N115" s="226">
        <v>7</v>
      </c>
      <c r="O115" s="226">
        <v>45</v>
      </c>
      <c r="P115" s="226"/>
      <c r="Q115" s="226">
        <v>113</v>
      </c>
      <c r="R115" s="226">
        <v>73</v>
      </c>
      <c r="S115" s="226">
        <v>90</v>
      </c>
      <c r="T115" s="226">
        <v>186</v>
      </c>
      <c r="U115" s="226">
        <v>109</v>
      </c>
      <c r="V115" s="230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32"/>
      <c r="AQ115" s="232"/>
      <c r="AR115" s="232"/>
      <c r="AS115" s="232"/>
      <c r="AT115" s="232"/>
      <c r="AU115" s="232"/>
      <c r="AV115" s="232"/>
      <c r="AW115" s="232"/>
    </row>
    <row r="116" spans="1:49" ht="17" x14ac:dyDescent="0.2">
      <c r="A116" s="226" t="s">
        <v>9066</v>
      </c>
      <c r="B116" s="226" t="s">
        <v>8736</v>
      </c>
      <c r="C116" s="226"/>
      <c r="D116" s="226"/>
      <c r="E116" s="226"/>
      <c r="F116" s="226">
        <v>51</v>
      </c>
      <c r="G116" s="226">
        <v>158</v>
      </c>
      <c r="H116" s="226">
        <v>79</v>
      </c>
      <c r="I116" s="226">
        <v>32</v>
      </c>
      <c r="J116" s="226">
        <v>100</v>
      </c>
      <c r="K116" s="226">
        <v>99</v>
      </c>
      <c r="L116" s="226">
        <v>43</v>
      </c>
      <c r="M116" s="226" t="s">
        <v>9067</v>
      </c>
      <c r="N116" s="226">
        <v>10</v>
      </c>
      <c r="O116" s="226">
        <v>65</v>
      </c>
      <c r="P116" s="226"/>
      <c r="Q116" s="226">
        <v>129</v>
      </c>
      <c r="R116" s="226">
        <v>67</v>
      </c>
      <c r="S116" s="226">
        <v>104</v>
      </c>
      <c r="T116" s="226">
        <v>179</v>
      </c>
      <c r="U116" s="226">
        <v>161</v>
      </c>
      <c r="V116" s="230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32"/>
      <c r="AQ116" s="232"/>
      <c r="AR116" s="232"/>
      <c r="AS116" s="232"/>
      <c r="AT116" s="232"/>
      <c r="AU116" s="232"/>
      <c r="AV116" s="232"/>
      <c r="AW116" s="232"/>
    </row>
    <row r="117" spans="1:49" ht="17" x14ac:dyDescent="0.2">
      <c r="A117" s="226" t="s">
        <v>9068</v>
      </c>
      <c r="B117" s="226" t="s">
        <v>8736</v>
      </c>
      <c r="C117" s="226">
        <v>12</v>
      </c>
      <c r="D117" s="226">
        <v>25</v>
      </c>
      <c r="E117" s="226" t="s">
        <v>9069</v>
      </c>
      <c r="F117" s="226">
        <v>35</v>
      </c>
      <c r="G117" s="226">
        <v>159</v>
      </c>
      <c r="H117" s="226" t="s">
        <v>9070</v>
      </c>
      <c r="I117" s="226" t="s">
        <v>4672</v>
      </c>
      <c r="J117" s="226">
        <v>101</v>
      </c>
      <c r="K117" s="226">
        <v>110</v>
      </c>
      <c r="L117" s="226" t="s">
        <v>8782</v>
      </c>
      <c r="M117" s="226" t="s">
        <v>8869</v>
      </c>
      <c r="N117" s="226">
        <v>8</v>
      </c>
      <c r="O117" s="226">
        <v>59</v>
      </c>
      <c r="P117" s="226"/>
      <c r="Q117" s="226">
        <v>99</v>
      </c>
      <c r="R117" s="226">
        <v>68</v>
      </c>
      <c r="S117" s="226">
        <v>101</v>
      </c>
      <c r="T117" s="226">
        <v>180</v>
      </c>
      <c r="U117" s="226">
        <v>152</v>
      </c>
      <c r="V117" s="230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32"/>
      <c r="AQ117" s="232"/>
      <c r="AR117" s="232"/>
      <c r="AS117" s="232"/>
      <c r="AT117" s="232"/>
      <c r="AU117" s="232"/>
      <c r="AV117" s="232"/>
      <c r="AW117" s="232"/>
    </row>
    <row r="118" spans="1:49" ht="17" x14ac:dyDescent="0.2">
      <c r="A118" s="226" t="s">
        <v>9071</v>
      </c>
      <c r="B118" s="226" t="s">
        <v>8736</v>
      </c>
      <c r="C118" s="226">
        <v>14</v>
      </c>
      <c r="D118" s="226"/>
      <c r="E118" s="226"/>
      <c r="F118" s="226">
        <v>56</v>
      </c>
      <c r="G118" s="226">
        <v>142</v>
      </c>
      <c r="H118" s="226">
        <v>68</v>
      </c>
      <c r="I118" s="226">
        <v>33.72</v>
      </c>
      <c r="J118" s="226">
        <v>100</v>
      </c>
      <c r="K118" s="226">
        <v>100</v>
      </c>
      <c r="L118" s="226"/>
      <c r="M118" s="226"/>
      <c r="N118" s="226"/>
      <c r="O118" s="226"/>
      <c r="P118" s="226"/>
      <c r="Q118" s="226">
        <v>130</v>
      </c>
      <c r="R118" s="226">
        <v>90</v>
      </c>
      <c r="S118" s="226">
        <v>98</v>
      </c>
      <c r="T118" s="226">
        <v>193</v>
      </c>
      <c r="U118" s="226">
        <v>149</v>
      </c>
      <c r="V118" s="230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32"/>
      <c r="AQ118" s="232"/>
      <c r="AR118" s="232"/>
      <c r="AS118" s="232"/>
      <c r="AT118" s="232"/>
      <c r="AU118" s="232"/>
      <c r="AV118" s="232"/>
      <c r="AW118" s="232"/>
    </row>
    <row r="119" spans="1:49" ht="17" x14ac:dyDescent="0.2">
      <c r="A119" s="226" t="s">
        <v>9072</v>
      </c>
      <c r="B119" s="226" t="s">
        <v>8736</v>
      </c>
      <c r="C119" s="226"/>
      <c r="D119" s="226"/>
      <c r="E119" s="226"/>
      <c r="F119" s="226">
        <v>28</v>
      </c>
      <c r="G119" s="226">
        <v>160</v>
      </c>
      <c r="H119" s="226" t="s">
        <v>8757</v>
      </c>
      <c r="I119" s="226" t="s">
        <v>8910</v>
      </c>
      <c r="J119" s="226">
        <v>78</v>
      </c>
      <c r="K119" s="226">
        <v>89</v>
      </c>
      <c r="L119" s="226"/>
      <c r="M119" s="226"/>
      <c r="N119" s="226"/>
      <c r="O119" s="226"/>
      <c r="P119" s="226"/>
      <c r="Q119" s="226">
        <v>113</v>
      </c>
      <c r="R119" s="226">
        <v>77</v>
      </c>
      <c r="S119" s="226">
        <v>90</v>
      </c>
      <c r="T119" s="226">
        <v>170</v>
      </c>
      <c r="U119" s="226">
        <v>99</v>
      </c>
      <c r="V119" s="230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32"/>
      <c r="AQ119" s="232"/>
      <c r="AR119" s="232"/>
      <c r="AS119" s="232"/>
      <c r="AT119" s="232"/>
      <c r="AU119" s="232"/>
      <c r="AV119" s="232"/>
      <c r="AW119" s="232"/>
    </row>
    <row r="120" spans="1:49" ht="17" x14ac:dyDescent="0.2">
      <c r="A120" s="226" t="s">
        <v>7965</v>
      </c>
      <c r="B120" s="226" t="s">
        <v>8736</v>
      </c>
      <c r="C120" s="226"/>
      <c r="D120" s="226"/>
      <c r="E120" s="226"/>
      <c r="F120" s="226">
        <v>42</v>
      </c>
      <c r="G120" s="226">
        <v>162</v>
      </c>
      <c r="H120" s="226" t="s">
        <v>9073</v>
      </c>
      <c r="I120" s="226" t="s">
        <v>9074</v>
      </c>
      <c r="J120" s="226">
        <v>80</v>
      </c>
      <c r="K120" s="226">
        <v>89</v>
      </c>
      <c r="L120" s="226"/>
      <c r="M120" s="226"/>
      <c r="N120" s="226"/>
      <c r="O120" s="226"/>
      <c r="P120" s="226"/>
      <c r="Q120" s="226">
        <v>108</v>
      </c>
      <c r="R120" s="226">
        <v>78</v>
      </c>
      <c r="S120" s="226">
        <v>96</v>
      </c>
      <c r="T120" s="226">
        <v>203</v>
      </c>
      <c r="U120" s="226">
        <v>92</v>
      </c>
      <c r="V120" s="230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32"/>
      <c r="AQ120" s="232"/>
      <c r="AR120" s="232"/>
      <c r="AS120" s="232"/>
      <c r="AT120" s="232"/>
      <c r="AU120" s="232"/>
      <c r="AV120" s="232"/>
      <c r="AW120" s="232"/>
    </row>
    <row r="121" spans="1:49" ht="17" x14ac:dyDescent="0.2">
      <c r="A121" s="226" t="s">
        <v>9075</v>
      </c>
      <c r="B121" s="226" t="s">
        <v>8736</v>
      </c>
      <c r="C121" s="226"/>
      <c r="D121" s="226"/>
      <c r="E121" s="226"/>
      <c r="F121" s="226">
        <v>42</v>
      </c>
      <c r="G121" s="226"/>
      <c r="H121" s="226">
        <v>54.9</v>
      </c>
      <c r="I121" s="226"/>
      <c r="J121" s="226">
        <v>68</v>
      </c>
      <c r="K121" s="226">
        <v>83</v>
      </c>
      <c r="L121" s="226" t="s">
        <v>4755</v>
      </c>
      <c r="M121" s="226" t="s">
        <v>9076</v>
      </c>
      <c r="N121" s="226">
        <v>3</v>
      </c>
      <c r="O121" s="226">
        <v>21</v>
      </c>
      <c r="P121" s="226"/>
      <c r="Q121" s="226">
        <v>98</v>
      </c>
      <c r="R121" s="226">
        <v>68</v>
      </c>
      <c r="S121" s="226">
        <v>99</v>
      </c>
      <c r="T121" s="226">
        <v>198</v>
      </c>
      <c r="U121" s="226">
        <v>89</v>
      </c>
      <c r="V121" s="230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32"/>
      <c r="AQ121" s="232"/>
      <c r="AR121" s="232"/>
      <c r="AS121" s="232"/>
      <c r="AT121" s="232"/>
      <c r="AU121" s="232"/>
      <c r="AV121" s="232"/>
      <c r="AW121" s="232"/>
    </row>
    <row r="122" spans="1:49" ht="19.5" customHeight="1" x14ac:dyDescent="0.2">
      <c r="A122" s="226" t="s">
        <v>9077</v>
      </c>
      <c r="B122" s="226" t="s">
        <v>8736</v>
      </c>
      <c r="C122" s="226"/>
      <c r="D122" s="226"/>
      <c r="E122" s="226"/>
      <c r="F122" s="226">
        <v>27</v>
      </c>
      <c r="G122" s="226">
        <v>163</v>
      </c>
      <c r="H122" s="226">
        <v>57.8</v>
      </c>
      <c r="I122" s="226">
        <v>21.8</v>
      </c>
      <c r="J122" s="226">
        <v>80</v>
      </c>
      <c r="K122" s="226">
        <v>96</v>
      </c>
      <c r="L122" s="226">
        <v>33.700000000000003</v>
      </c>
      <c r="M122" s="226">
        <v>26.4</v>
      </c>
      <c r="N122" s="226">
        <v>4</v>
      </c>
      <c r="O122" s="226">
        <v>26</v>
      </c>
      <c r="P122" s="226"/>
      <c r="Q122" s="226">
        <v>99</v>
      </c>
      <c r="R122" s="226">
        <v>69</v>
      </c>
      <c r="S122" s="226">
        <v>91</v>
      </c>
      <c r="T122" s="226"/>
      <c r="U122" s="226">
        <v>168</v>
      </c>
      <c r="V122" s="230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32"/>
      <c r="AQ122" s="232"/>
      <c r="AR122" s="232"/>
      <c r="AS122" s="232"/>
      <c r="AT122" s="232"/>
      <c r="AU122" s="232"/>
      <c r="AV122" s="232"/>
      <c r="AW122" s="232"/>
    </row>
    <row r="123" spans="1:49" ht="17" x14ac:dyDescent="0.2">
      <c r="A123" s="226" t="s">
        <v>9078</v>
      </c>
      <c r="B123" s="226" t="s">
        <v>8736</v>
      </c>
      <c r="C123" s="226" t="s">
        <v>1610</v>
      </c>
      <c r="D123" s="226">
        <v>0</v>
      </c>
      <c r="E123" s="226">
        <v>0</v>
      </c>
      <c r="F123" s="226">
        <v>46</v>
      </c>
      <c r="G123" s="226">
        <v>155</v>
      </c>
      <c r="H123" s="226">
        <v>60.3</v>
      </c>
      <c r="I123" s="226">
        <v>25.1</v>
      </c>
      <c r="J123" s="226">
        <v>84</v>
      </c>
      <c r="K123" s="226">
        <v>98</v>
      </c>
      <c r="L123" s="226">
        <v>39.1</v>
      </c>
      <c r="M123" s="226">
        <v>24.9</v>
      </c>
      <c r="N123" s="226">
        <v>7</v>
      </c>
      <c r="O123" s="226">
        <v>50</v>
      </c>
      <c r="P123" s="226"/>
      <c r="Q123" s="226">
        <v>94</v>
      </c>
      <c r="R123" s="226">
        <v>66</v>
      </c>
      <c r="S123" s="226">
        <v>92</v>
      </c>
      <c r="T123" s="226">
        <v>157</v>
      </c>
      <c r="U123" s="226">
        <v>233</v>
      </c>
      <c r="V123" s="230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32"/>
      <c r="AQ123" s="232"/>
      <c r="AR123" s="232"/>
      <c r="AS123" s="232"/>
      <c r="AT123" s="232"/>
      <c r="AU123" s="232"/>
      <c r="AV123" s="232"/>
      <c r="AW123" s="232"/>
    </row>
    <row r="124" spans="1:49" ht="17" x14ac:dyDescent="0.2">
      <c r="A124" s="226" t="s">
        <v>7970</v>
      </c>
      <c r="B124" s="226" t="s">
        <v>8736</v>
      </c>
      <c r="C124" s="226" t="s">
        <v>2020</v>
      </c>
      <c r="D124" s="226">
        <v>0</v>
      </c>
      <c r="E124" s="226">
        <v>42289</v>
      </c>
      <c r="F124" s="226">
        <v>47</v>
      </c>
      <c r="G124" s="226">
        <v>162</v>
      </c>
      <c r="H124" s="226">
        <v>88.7</v>
      </c>
      <c r="I124" s="226">
        <v>33.799999999999997</v>
      </c>
      <c r="J124" s="226">
        <v>107</v>
      </c>
      <c r="K124" s="226">
        <v>125</v>
      </c>
      <c r="L124" s="226">
        <v>51.9</v>
      </c>
      <c r="M124" s="226">
        <v>20.3</v>
      </c>
      <c r="N124" s="226">
        <v>11</v>
      </c>
      <c r="O124" s="226">
        <v>67</v>
      </c>
      <c r="P124" s="226"/>
      <c r="Q124" s="226">
        <v>127</v>
      </c>
      <c r="R124" s="226">
        <v>78</v>
      </c>
      <c r="S124" s="226">
        <v>113</v>
      </c>
      <c r="T124" s="226">
        <v>257</v>
      </c>
      <c r="U124" s="226">
        <v>200</v>
      </c>
      <c r="V124" s="230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32"/>
      <c r="AQ124" s="232"/>
      <c r="AR124" s="232"/>
      <c r="AS124" s="232"/>
      <c r="AT124" s="232"/>
      <c r="AU124" s="232"/>
      <c r="AV124" s="232"/>
      <c r="AW124" s="232"/>
    </row>
    <row r="125" spans="1:49" ht="17" x14ac:dyDescent="0.2">
      <c r="A125" s="226" t="s">
        <v>9079</v>
      </c>
      <c r="B125" s="226" t="s">
        <v>8736</v>
      </c>
      <c r="C125" s="226" t="s">
        <v>2020</v>
      </c>
      <c r="D125" s="226" t="s">
        <v>9080</v>
      </c>
      <c r="E125" s="226" t="s">
        <v>9081</v>
      </c>
      <c r="F125" s="226">
        <v>65</v>
      </c>
      <c r="G125" s="226">
        <v>148</v>
      </c>
      <c r="H125" s="226">
        <v>63.3</v>
      </c>
      <c r="I125" s="226">
        <v>28.9</v>
      </c>
      <c r="J125" s="226">
        <v>90</v>
      </c>
      <c r="K125" s="226">
        <v>104</v>
      </c>
      <c r="L125" s="226"/>
      <c r="M125" s="226"/>
      <c r="N125" s="226"/>
      <c r="O125" s="226"/>
      <c r="P125" s="226"/>
      <c r="Q125" s="226">
        <v>144</v>
      </c>
      <c r="R125" s="226">
        <v>106</v>
      </c>
      <c r="S125" s="226">
        <v>93</v>
      </c>
      <c r="T125" s="226">
        <v>198</v>
      </c>
      <c r="U125" s="226">
        <v>102</v>
      </c>
      <c r="V125" s="230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32"/>
      <c r="AQ125" s="232"/>
      <c r="AR125" s="232"/>
      <c r="AS125" s="232"/>
      <c r="AT125" s="232"/>
      <c r="AU125" s="232"/>
      <c r="AV125" s="232"/>
      <c r="AW125" s="232"/>
    </row>
    <row r="126" spans="1:49" ht="17" x14ac:dyDescent="0.2">
      <c r="A126" s="226" t="s">
        <v>9082</v>
      </c>
      <c r="B126" s="226" t="s">
        <v>8736</v>
      </c>
      <c r="C126" s="226">
        <v>14</v>
      </c>
      <c r="D126" s="226">
        <v>0</v>
      </c>
      <c r="E126" s="226">
        <v>0</v>
      </c>
      <c r="F126" s="226">
        <v>27</v>
      </c>
      <c r="G126" s="226">
        <v>164</v>
      </c>
      <c r="H126" s="226">
        <v>78.5</v>
      </c>
      <c r="I126" s="226">
        <v>26.21</v>
      </c>
      <c r="J126" s="226">
        <v>89</v>
      </c>
      <c r="K126" s="226">
        <v>105</v>
      </c>
      <c r="L126" s="226"/>
      <c r="M126" s="226"/>
      <c r="N126" s="226"/>
      <c r="O126" s="226"/>
      <c r="P126" s="226"/>
      <c r="Q126" s="226">
        <v>101</v>
      </c>
      <c r="R126" s="226">
        <v>62</v>
      </c>
      <c r="S126" s="226">
        <v>92</v>
      </c>
      <c r="T126" s="226">
        <v>140</v>
      </c>
      <c r="U126" s="226">
        <v>148</v>
      </c>
      <c r="V126" s="230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32"/>
      <c r="AQ126" s="232"/>
      <c r="AR126" s="232"/>
      <c r="AS126" s="232"/>
      <c r="AT126" s="232"/>
      <c r="AU126" s="232"/>
      <c r="AV126" s="232"/>
      <c r="AW126" s="232"/>
    </row>
    <row r="127" spans="1:49" x14ac:dyDescent="0.2">
      <c r="A127" s="233"/>
      <c r="B127" s="234"/>
      <c r="C127" s="234"/>
      <c r="D127" s="234"/>
      <c r="E127" s="235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6"/>
      <c r="R127" s="236"/>
      <c r="S127" s="234"/>
      <c r="T127" s="234"/>
      <c r="U127" s="234"/>
      <c r="V127" s="234"/>
    </row>
    <row r="128" spans="1:49" x14ac:dyDescent="0.2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6"/>
      <c r="R128" s="236"/>
      <c r="S128" s="234"/>
      <c r="T128" s="234"/>
      <c r="U128" s="234"/>
      <c r="V128" s="234"/>
    </row>
    <row r="129" spans="1:22" x14ac:dyDescent="0.2">
      <c r="A129" s="233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6"/>
      <c r="R129" s="236"/>
      <c r="S129" s="234"/>
      <c r="T129" s="234"/>
      <c r="U129" s="234"/>
      <c r="V129" s="234"/>
    </row>
    <row r="130" spans="1:22" x14ac:dyDescent="0.2">
      <c r="A130" s="234"/>
      <c r="B130" s="234"/>
      <c r="C130" s="234"/>
      <c r="D130" s="234"/>
      <c r="E130" s="237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6"/>
      <c r="R130" s="236"/>
      <c r="S130" s="234"/>
      <c r="T130" s="234"/>
      <c r="U130" s="234"/>
      <c r="V130" s="234"/>
    </row>
    <row r="131" spans="1:22" x14ac:dyDescent="0.2">
      <c r="A131" s="233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6"/>
      <c r="R131" s="236"/>
      <c r="S131" s="234"/>
      <c r="T131" s="234"/>
      <c r="U131" s="234"/>
      <c r="V131" s="234"/>
    </row>
    <row r="132" spans="1:22" x14ac:dyDescent="0.2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6"/>
      <c r="R132" s="236"/>
      <c r="S132" s="234"/>
      <c r="T132" s="234"/>
      <c r="U132" s="234"/>
      <c r="V132" s="234"/>
    </row>
    <row r="133" spans="1:22" x14ac:dyDescent="0.2">
      <c r="A133" s="233"/>
      <c r="B133" s="234"/>
      <c r="C133" s="234"/>
      <c r="D133" s="234"/>
      <c r="E133" s="237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6"/>
      <c r="R133" s="236"/>
      <c r="S133" s="234"/>
      <c r="T133" s="234"/>
      <c r="U133" s="234"/>
      <c r="V133" s="234"/>
    </row>
    <row r="134" spans="1:22" x14ac:dyDescent="0.2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6"/>
      <c r="R134" s="236"/>
      <c r="S134" s="234"/>
      <c r="T134" s="234"/>
      <c r="U134" s="234"/>
      <c r="V134" s="234"/>
    </row>
    <row r="135" spans="1:22" x14ac:dyDescent="0.2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6"/>
      <c r="R135" s="236"/>
      <c r="S135" s="234"/>
      <c r="T135" s="234"/>
      <c r="U135" s="234"/>
      <c r="V135" s="234"/>
    </row>
    <row r="136" spans="1:22" x14ac:dyDescent="0.2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6"/>
      <c r="R136" s="236"/>
      <c r="S136" s="234"/>
      <c r="T136" s="234"/>
      <c r="U136" s="234"/>
      <c r="V136" s="234"/>
    </row>
    <row r="137" spans="1:22" x14ac:dyDescent="0.2">
      <c r="A137" s="233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6"/>
      <c r="R137" s="236"/>
      <c r="S137" s="234"/>
      <c r="T137" s="234"/>
      <c r="U137" s="234"/>
      <c r="V137" s="234"/>
    </row>
    <row r="138" spans="1:22" x14ac:dyDescent="0.2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6"/>
      <c r="R138" s="236"/>
      <c r="S138" s="234"/>
      <c r="T138" s="234"/>
      <c r="U138" s="234"/>
      <c r="V138" s="234"/>
    </row>
    <row r="139" spans="1:22" x14ac:dyDescent="0.2">
      <c r="A139" s="233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6"/>
      <c r="R139" s="236"/>
      <c r="S139" s="234"/>
      <c r="T139" s="234"/>
      <c r="U139" s="234"/>
      <c r="V139" s="234"/>
    </row>
    <row r="140" spans="1:22" x14ac:dyDescent="0.2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6"/>
      <c r="R140" s="236"/>
      <c r="S140" s="234"/>
      <c r="T140" s="234"/>
      <c r="U140" s="234"/>
      <c r="V140" s="234"/>
    </row>
    <row r="141" spans="1:22" x14ac:dyDescent="0.2">
      <c r="A141" s="233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6"/>
      <c r="R141" s="236"/>
      <c r="S141" s="234"/>
      <c r="T141" s="234"/>
      <c r="U141" s="234"/>
      <c r="V141" s="234"/>
    </row>
    <row r="142" spans="1:22" x14ac:dyDescent="0.2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6"/>
      <c r="R142" s="236"/>
      <c r="S142" s="234"/>
      <c r="T142" s="234"/>
      <c r="U142" s="234"/>
      <c r="V142" s="234"/>
    </row>
    <row r="143" spans="1:22" x14ac:dyDescent="0.2">
      <c r="A143" s="233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6"/>
      <c r="R143" s="236"/>
      <c r="S143" s="234"/>
      <c r="T143" s="234"/>
      <c r="U143" s="234"/>
      <c r="V143" s="234"/>
    </row>
    <row r="144" spans="1:22" x14ac:dyDescent="0.2">
      <c r="A144" s="234"/>
      <c r="B144" s="234"/>
      <c r="C144" s="234"/>
      <c r="D144" s="234"/>
      <c r="E144" s="237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6"/>
      <c r="R144" s="236"/>
      <c r="S144" s="234"/>
      <c r="T144" s="234"/>
      <c r="U144" s="234"/>
      <c r="V144" s="234"/>
    </row>
    <row r="145" spans="1:22" x14ac:dyDescent="0.2">
      <c r="A145" s="233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6"/>
      <c r="R145" s="236"/>
      <c r="S145" s="234"/>
      <c r="T145" s="234"/>
      <c r="U145" s="234"/>
      <c r="V145" s="234"/>
    </row>
    <row r="146" spans="1:22" x14ac:dyDescent="0.2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6"/>
      <c r="R146" s="236"/>
      <c r="S146" s="234"/>
      <c r="T146" s="234"/>
      <c r="U146" s="234"/>
      <c r="V146" s="234"/>
    </row>
  </sheetData>
  <mergeCells count="5">
    <mergeCell ref="B1:E1"/>
    <mergeCell ref="F1:P1"/>
    <mergeCell ref="Q1:V1"/>
    <mergeCell ref="W1:AC1"/>
    <mergeCell ref="AD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1er proyecto</vt:lpstr>
      <vt:lpstr>casos proyecto 1</vt:lpstr>
      <vt:lpstr>controles 1</vt:lpstr>
      <vt:lpstr>proyecto 2</vt:lpstr>
      <vt:lpstr>Hoja1</vt:lpstr>
      <vt:lpstr>proyecto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ariadna rubio chávez</dc:creator>
  <cp:lastModifiedBy>Lidia Rubio</cp:lastModifiedBy>
  <dcterms:created xsi:type="dcterms:W3CDTF">2025-10-27T19:49:04Z</dcterms:created>
  <dcterms:modified xsi:type="dcterms:W3CDTF">2025-11-08T17:30:37Z</dcterms:modified>
</cp:coreProperties>
</file>